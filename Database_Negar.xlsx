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zeynep/Library/CloudStorage/Dropbox/ITU Papers/NEW SUBMISSION/Negar, Gulsen - NAM on shear strength/"/>
    </mc:Choice>
  </mc:AlternateContent>
  <xr:revisionPtr revIDLastSave="0" documentId="13_ncr:1_{855EC3B1-071D-EC40-844E-387A26E7A849}" xr6:coauthVersionLast="47" xr6:coauthVersionMax="47" xr10:uidLastSave="{00000000-0000-0000-0000-000000000000}"/>
  <bookViews>
    <workbookView xWindow="1200" yWindow="860" windowWidth="27220" windowHeight="15260" xr2:uid="{A36BC9F6-D686-7F46-8D03-8A791BC558EB}"/>
  </bookViews>
  <sheets>
    <sheet name="Maintable (M1) (CORRECTED)" sheetId="1" r:id="rId1"/>
  </sheets>
  <externalReferences>
    <externalReference r:id="rId2"/>
  </externalReferences>
  <definedNames>
    <definedName name="_xlnm._FilterDatabase" localSheetId="0" hidden="1">'Maintable (M1) (CORRECTED)'!$A$1:$W$584</definedName>
    <definedName name="datasplit">[1]filteredcombinations!$E$2:$X$2</definedName>
    <definedName name="datatable">[1]filteredcombinations!$E$2:$X$179</definedName>
    <definedName name="flexuredeftable">[1]deformationcoefficients!$A$5089:$U$7628</definedName>
    <definedName name="regtable">[1]filteredcombinations!$AA$4:$AJ$23</definedName>
    <definedName name="sheardefreg">[1]deformationcoefficients!$A$3:$A$2542</definedName>
    <definedName name="sheardeftable">[1]deformationcoefficients!$A$3:$U$2542</definedName>
    <definedName name="transitiondefreg">[1]deformationcoefficients!$A$2546:$A$5085</definedName>
    <definedName name="transitiondeftable">[1]deformationcoefficients!$A$2546:$U$5085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40" i="1" l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5" i="1"/>
  <c r="AD500" i="1"/>
  <c r="AD499" i="1"/>
  <c r="AD474" i="1"/>
  <c r="AD410" i="1"/>
  <c r="AD409" i="1"/>
  <c r="AD315" i="1"/>
  <c r="AD314" i="1"/>
  <c r="AD268" i="1"/>
  <c r="AD196" i="1"/>
  <c r="AD194" i="1"/>
  <c r="AD193" i="1"/>
  <c r="AD102" i="1"/>
  <c r="AD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" authorId="0" shapeId="0" xr:uid="{DB611758-0CAD-1847-B859-1A491FFD4418}">
      <text>
        <r>
          <rPr>
            <sz val="11"/>
            <color rgb="FF000000"/>
            <rFont val="Arial"/>
            <family val="2"/>
            <charset val="162"/>
          </rPr>
          <t xml:space="preserve">======
</t>
        </r>
        <r>
          <rPr>
            <sz val="11"/>
            <color rgb="FF000000"/>
            <rFont val="Arial"/>
            <family val="2"/>
            <charset val="162"/>
          </rPr>
          <t xml:space="preserve">ID#AAAAJviLRGY
</t>
        </r>
        <r>
          <rPr>
            <sz val="11"/>
            <color rgb="FF000000"/>
            <rFont val="Arial"/>
            <family val="2"/>
            <charset val="162"/>
          </rPr>
          <t xml:space="preserve">Siamak    (2020-07-05 18:02:42)
</t>
        </r>
        <r>
          <rPr>
            <sz val="11"/>
            <color rgb="FF000000"/>
            <rFont val="Arial"/>
            <family val="2"/>
            <charset val="162"/>
          </rPr>
          <t xml:space="preserve">1:Rectengular
</t>
        </r>
        <r>
          <rPr>
            <sz val="11"/>
            <color rgb="FF000000"/>
            <rFont val="Arial"/>
            <family val="2"/>
            <charset val="162"/>
          </rPr>
          <t xml:space="preserve">2:Barbell
</t>
        </r>
        <r>
          <rPr>
            <sz val="11"/>
            <color rgb="FF000000"/>
            <rFont val="Arial"/>
            <family val="2"/>
            <charset val="162"/>
          </rPr>
          <t>3:Flanged</t>
        </r>
      </text>
    </comment>
    <comment ref="I1" authorId="0" shapeId="0" xr:uid="{9AE55311-FF73-064C-B53A-AB5EA0AEA028}">
      <text>
        <r>
          <rPr>
            <sz val="11"/>
            <color rgb="FF000000"/>
            <rFont val="Arial"/>
            <family val="2"/>
            <charset val="162"/>
          </rPr>
          <t xml:space="preserve">======
</t>
        </r>
        <r>
          <rPr>
            <sz val="11"/>
            <color rgb="FF000000"/>
            <rFont val="Arial"/>
            <family val="2"/>
            <charset val="162"/>
          </rPr>
          <t xml:space="preserve">ID#AAAAJviLRI8
</t>
        </r>
        <r>
          <rPr>
            <sz val="11"/>
            <color rgb="FF000000"/>
            <rFont val="Arial"/>
            <family val="2"/>
            <charset val="162"/>
          </rPr>
          <t xml:space="preserve">Yazar    (2020-07-05 18:02:42)
</t>
        </r>
        <r>
          <rPr>
            <sz val="11"/>
            <color rgb="FF000000"/>
            <rFont val="Arial"/>
            <family val="2"/>
            <charset val="162"/>
          </rPr>
          <t xml:space="preserve">Failure Type:
</t>
        </r>
        <r>
          <rPr>
            <sz val="11"/>
            <color rgb="FF000000"/>
            <rFont val="Arial"/>
            <family val="2"/>
            <charset val="162"/>
          </rPr>
          <t xml:space="preserve">0:Not failed
</t>
        </r>
        <r>
          <rPr>
            <sz val="11"/>
            <color rgb="FF000000"/>
            <rFont val="Arial"/>
            <family val="2"/>
            <charset val="162"/>
          </rPr>
          <t xml:space="preserve">1: Shear
</t>
        </r>
        <r>
          <rPr>
            <sz val="11"/>
            <color rgb="FF000000"/>
            <rFont val="Arial"/>
            <family val="2"/>
            <charset val="162"/>
          </rPr>
          <t xml:space="preserve">2: Mix
</t>
        </r>
        <r>
          <rPr>
            <sz val="11"/>
            <color rgb="FF000000"/>
            <rFont val="Arial"/>
            <family val="2"/>
            <charset val="162"/>
          </rPr>
          <t>3: Flexural</t>
        </r>
      </text>
    </comment>
    <comment ref="J1" authorId="0" shapeId="0" xr:uid="{D170A71D-A0BB-E14A-BC51-BFB8679A0CCE}">
      <text>
        <r>
          <rPr>
            <sz val="11"/>
            <color theme="1"/>
            <rFont val="Arial"/>
            <family val="2"/>
            <charset val="162"/>
          </rPr>
          <t>======
ID#AAAAJviLRJI
Yazar    (2020-07-05 18:02:42)
Curvature Type:
1: Single curvature
2: Double curvature</t>
        </r>
      </text>
    </comment>
    <comment ref="U1" authorId="0" shapeId="0" xr:uid="{20F99E05-B12A-D745-862E-7122B1C32737}">
      <text>
        <r>
          <rPr>
            <sz val="11"/>
            <color theme="1"/>
            <rFont val="Arial"/>
            <family val="2"/>
            <charset val="162"/>
          </rPr>
          <t>======
ID#AAAAJviLRKA
Yazar    (2020-07-05 18:02:42)
1: Force-Control
2:Displacement-Control
3-Force control before displacement control
4-Displacement-control before force-control
İncremental İnformation :
0-Constant
1-One cycle incremental
2-Two cycle incremental
Final Code Example:
10-Force Control Constant
11-Force Control one cycle incremental (1 çevrimde artımlı yükleme çeşidi)
22-Displacement-Control two cycle incremental (2 çevrimde bir artımlı yükleme çeşidi)
3 ve 4 özel yükleme çeşitleri olduğundan bu protocola sahip olanlar ayrıca incelenmelidir!</t>
        </r>
      </text>
    </comment>
    <comment ref="A6" authorId="0" shapeId="0" xr:uid="{C27B0CB4-AAB3-3D42-B3FE-1591C4E6D610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Almost every information about these two specimens was erroneous. Many corrections were applied</t>
        </r>
      </text>
    </comment>
    <comment ref="R9" authorId="0" shapeId="0" xr:uid="{E0E6CDD5-87D0-3E4A-9FB8-BA016BCA2772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it changed from %0.74 to %0.60</t>
        </r>
      </text>
    </comment>
    <comment ref="B49" authorId="0" shapeId="0" xr:uid="{D6259C65-3CB2-F44C-AFBA-67FF5E88402F}">
      <text>
        <r>
          <rPr>
            <sz val="11"/>
            <color theme="1"/>
            <rFont val="Arial"/>
            <family val="2"/>
            <charset val="162"/>
          </rPr>
          <t>======
ID#AAAAJviLRIE
Yazar    (2020-07-05 18:02:42)
Hysteretic curve is missing</t>
        </r>
      </text>
    </comment>
    <comment ref="B50" authorId="0" shapeId="0" xr:uid="{BD4A39E4-7B15-A14C-9C9F-CF454DBA9531}">
      <text>
        <r>
          <rPr>
            <sz val="11"/>
            <color theme="1"/>
            <rFont val="Arial"/>
            <family val="2"/>
            <charset val="162"/>
          </rPr>
          <t>======
ID#AAAAJviLRLc
Yazar    (2020-07-05 18:02:42)
Hysteretic curve is missing</t>
        </r>
      </text>
    </comment>
    <comment ref="B51" authorId="0" shapeId="0" xr:uid="{249EB55C-5F38-424E-AC6B-F151356A685E}">
      <text>
        <r>
          <rPr>
            <sz val="11"/>
            <color theme="1"/>
            <rFont val="Arial"/>
            <family val="2"/>
            <charset val="162"/>
          </rPr>
          <t>======
ID#AAAAJviLRNM
Yazar    (2020-07-05 18:02:42)
Hysteretic curve is missing</t>
        </r>
      </text>
    </comment>
    <comment ref="B80" authorId="0" shapeId="0" xr:uid="{D0D4315E-89E0-7342-BEFE-99E363ED6F71}">
      <text>
        <r>
          <rPr>
            <sz val="11"/>
            <color theme="1"/>
            <rFont val="Arial"/>
            <family val="2"/>
            <charset val="162"/>
          </rPr>
          <t>======
ID#AAAAJviLRHo
Yazar    (2020-07-05 18:02:42)
1% drift ratio criterion is not fulfilled.</t>
        </r>
      </text>
    </comment>
    <comment ref="K93" authorId="0" shapeId="0" xr:uid="{54DA15BA-917B-CC4B-8230-7769D20F976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Note that the reported value in Table 1 of the reference (25%) is the </t>
        </r>
        <r>
          <rPr>
            <b/>
            <sz val="9"/>
            <color indexed="81"/>
            <rFont val="Tahoma"/>
            <family val="2"/>
          </rPr>
          <t>design axial load ratio</t>
        </r>
        <r>
          <rPr>
            <sz val="9"/>
            <color indexed="81"/>
            <rFont val="Tahoma"/>
            <family val="2"/>
          </rPr>
          <t xml:space="preserve"> which is based on the design compressive strength of concrete (f'c = f'ck/1.4 where f'ck = 0.67*fcu,k according to the Chinese code, GB 50011-2010)
f'c: design axial compressive strength of concrete under uniaxial compression at 28 days
f'ck: characteristic axial strength of concrete
fcu,k: characteristic cube strength of concrete under uniaxial compression at 28 days
Yuen, Y. P., &amp; Kuang, J. S. (2015). Effect of axial compression on ductility design of RC walls. Proceedings of the Institution of Civil Engineers-Structures and Buildings, 168(8), 554-569.
</t>
        </r>
      </text>
    </comment>
    <comment ref="B100" authorId="0" shapeId="0" xr:uid="{862D6C8B-A72D-B24E-B963-BB2C03EA5674}">
      <text>
        <r>
          <rPr>
            <sz val="11"/>
            <color theme="1"/>
            <rFont val="Arial"/>
            <family val="2"/>
            <charset val="162"/>
          </rPr>
          <t>======
ID#AAAAJviLRH8
Yazar    (2020-07-05 18:02:42)
Attempt for digitising this specimen was unsuccessful</t>
        </r>
      </text>
    </comment>
    <comment ref="B108" authorId="0" shapeId="0" xr:uid="{2D8ECE22-DF2C-CD4B-86E7-A92F80CEA39E}">
      <text>
        <r>
          <rPr>
            <sz val="11"/>
            <color theme="1"/>
            <rFont val="Arial"/>
            <family val="2"/>
            <charset val="162"/>
          </rPr>
          <t>======
ID#AAAAJviLRMI
Yazar    (2020-07-05 18:02:42)
Not proper for the research purposes because of varying axial load throughout the test</t>
        </r>
      </text>
    </comment>
    <comment ref="B109" authorId="0" shapeId="0" xr:uid="{BA2A33BE-9A91-7240-B63C-E959273CC9A3}">
      <text>
        <r>
          <rPr>
            <sz val="11"/>
            <color theme="1"/>
            <rFont val="Arial"/>
            <family val="2"/>
            <charset val="162"/>
          </rPr>
          <t>======
ID#AAAAJviLRMs
Yazar    (2020-07-05 18:02:42)
Not proper for the research purposes because of varying axial load throughout the test</t>
        </r>
      </text>
    </comment>
    <comment ref="A113" authorId="0" shapeId="0" xr:uid="{29CB9224-500B-9544-A7EF-7B3BEEFF356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Chinese</t>
        </r>
      </text>
    </comment>
    <comment ref="M135" authorId="0" shapeId="0" xr:uid="{A3DA7D07-3B4C-FE46-8BA7-1B86FB55B84E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Cited from Sengupta &amp; Li (2014) due to insufficient information in the main reference (Hidalgo et al, 2002)</t>
        </r>
      </text>
    </comment>
    <comment ref="M136" authorId="0" shapeId="0" xr:uid="{9F2B374A-0292-5949-BDCD-1A9ECA1EA681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Cited from Sengupta &amp; Li (2014) due to insufficient information in the main reference (Hidalgo et al, 2002)</t>
        </r>
      </text>
    </comment>
    <comment ref="M137" authorId="0" shapeId="0" xr:uid="{20574650-F2B4-284A-B930-152906AF02ED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Cited from Sengupta &amp; Li (2014) due to insufficient information in the main reference (Hidalgo et al, 2002)</t>
        </r>
      </text>
    </comment>
    <comment ref="M138" authorId="0" shapeId="0" xr:uid="{EF5B11EA-FE1B-B847-845F-A0ECD17DFB64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Cited from Sengupta &amp; Li (2014) due to insufficient information in the main reference (Hidalgo et al, 2002)</t>
        </r>
      </text>
    </comment>
    <comment ref="M139" authorId="0" shapeId="0" xr:uid="{CA6C0F30-F717-3B42-9ABB-F69841CA6CB6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Cited from Sengupta &amp; Li (2014) due to insufficient information in the main reference (Hidalgo et al, 2002)</t>
        </r>
      </text>
    </comment>
    <comment ref="M140" authorId="0" shapeId="0" xr:uid="{A1151BD2-A739-0543-97D1-7F0132E15AE2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Cited from Sengupta &amp; Li (2014) due to insufficient information in the main reference (Hidalgo et al, 2002)</t>
        </r>
      </text>
    </comment>
    <comment ref="M141" authorId="0" shapeId="0" xr:uid="{A23FAB59-3BCF-754A-BD75-BEF5B362DAF0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Cited from Sengupta &amp; Li (2014) due to insufficient information in the main reference (Hidalgo et al, 2002)</t>
        </r>
      </text>
    </comment>
    <comment ref="B142" authorId="0" shapeId="0" xr:uid="{DF66856D-B097-CC4B-BA29-B81E62B77E4A}">
      <text>
        <r>
          <rPr>
            <sz val="11"/>
            <color theme="1"/>
            <rFont val="Arial"/>
            <family val="2"/>
            <charset val="162"/>
          </rPr>
          <t>======
ID#AAAAJviLRGA
Yazar    (2020-07-05 18:02:42)
%1 drift ratio criterion is not fulfilled.</t>
        </r>
      </text>
    </comment>
    <comment ref="B143" authorId="0" shapeId="0" xr:uid="{EC8FDD52-8BBC-114B-B083-8EFBE0791BF1}">
      <text>
        <r>
          <rPr>
            <sz val="11"/>
            <color theme="1"/>
            <rFont val="Arial"/>
            <family val="2"/>
            <charset val="162"/>
          </rPr>
          <t>======
ID#AAAAJviLRNo
Yazar    (2020-07-05 18:02:42)
%1 drift ratio criterion is not fulfilled.</t>
        </r>
      </text>
    </comment>
    <comment ref="B144" authorId="0" shapeId="0" xr:uid="{D4E5896B-9248-9042-A81A-A3F45CC392B4}">
      <text>
        <r>
          <rPr>
            <sz val="11"/>
            <color theme="1"/>
            <rFont val="Arial"/>
            <family val="2"/>
            <charset val="162"/>
          </rPr>
          <t>======
ID#AAAAJviLRKM
Yazar    (2020-07-05 18:02:42)
%1 drift ratio criterion is not fulfilled.</t>
        </r>
      </text>
    </comment>
    <comment ref="B145" authorId="0" shapeId="0" xr:uid="{FF47D04D-6240-9042-A517-08CCCB4E37EC}">
      <text>
        <r>
          <rPr>
            <sz val="11"/>
            <color theme="1"/>
            <rFont val="Arial"/>
            <family val="2"/>
            <charset val="162"/>
          </rPr>
          <t>======
ID#AAAAJviLRMg
Yazar    (2020-07-05 18:02:42)
%1 drift ratio criterion is not fulfilled.</t>
        </r>
      </text>
    </comment>
    <comment ref="B146" authorId="0" shapeId="0" xr:uid="{AE1DA5F6-4183-3F43-8460-E315BA493B5A}">
      <text>
        <r>
          <rPr>
            <sz val="11"/>
            <color theme="1"/>
            <rFont val="Arial"/>
            <family val="2"/>
            <charset val="162"/>
          </rPr>
          <t>======
ID#AAAAJviLRGI
Yazar    (2020-07-05 18:02:42)
%1 drift ratio criterion is not fulfilled.</t>
        </r>
      </text>
    </comment>
    <comment ref="B147" authorId="0" shapeId="0" xr:uid="{82EF8993-A17E-E446-AA48-AEFB50F903BA}">
      <text>
        <r>
          <rPr>
            <sz val="11"/>
            <color theme="1"/>
            <rFont val="Arial"/>
            <family val="2"/>
            <charset val="162"/>
          </rPr>
          <t>======
ID#AAAAJviLROU
Yazar    (2020-07-05 18:02:42)
%1 drift ratio criterion is not fulfilled.</t>
        </r>
      </text>
    </comment>
    <comment ref="B148" authorId="0" shapeId="0" xr:uid="{0D84DCCB-731E-3746-842A-CF104804133D}">
      <text>
        <r>
          <rPr>
            <sz val="11"/>
            <color theme="1"/>
            <rFont val="Arial"/>
            <family val="2"/>
            <charset val="162"/>
          </rPr>
          <t>======
ID#AAAAJviLRM8
Yazar    (2020-07-05 18:02:42)
%1 drift ratio criterion is not fulfilled.</t>
        </r>
      </text>
    </comment>
    <comment ref="A158" authorId="0" shapeId="0" xr:uid="{EE7281DD-63DC-1343-9594-C502B29A4FF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Chinese</t>
        </r>
      </text>
    </comment>
    <comment ref="B158" authorId="0" shapeId="0" xr:uid="{3BE59F45-4018-AF42-A7E7-AAA882F52EA8}">
      <text>
        <r>
          <rPr>
            <sz val="11"/>
            <color theme="1"/>
            <rFont val="Arial"/>
            <family val="2"/>
            <charset val="162"/>
          </rPr>
          <t>======
ID#AAAAJviLRMU
Yazar    (2020-07-05 18:02:42)
%1 drift ratio criterion is not fulfilled.</t>
        </r>
      </text>
    </comment>
    <comment ref="A160" authorId="0" shapeId="0" xr:uid="{5EE129CF-BA24-4845-85BF-20437EA7062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 Chinese</t>
        </r>
      </text>
    </comment>
    <comment ref="B175" authorId="0" shapeId="0" xr:uid="{6CCAEF75-47A8-7044-9E36-7D2877C69F8A}">
      <text>
        <r>
          <rPr>
            <sz val="11"/>
            <color theme="1"/>
            <rFont val="Arial"/>
            <family val="2"/>
            <charset val="162"/>
          </rPr>
          <t>======
ID#AAAAJviLRI0
Yazar    (2020-07-05 18:02:42)
%1 drift ratio criterion is not fulfilled.</t>
        </r>
      </text>
    </comment>
    <comment ref="B176" authorId="0" shapeId="0" xr:uid="{2A5E1F4D-050E-7341-9F48-FB55EEC16639}">
      <text>
        <r>
          <rPr>
            <sz val="11"/>
            <color theme="1"/>
            <rFont val="Arial"/>
            <family val="2"/>
            <charset val="162"/>
          </rPr>
          <t>======
ID#AAAAJviLRGk
Yazar    (2020-07-05 18:02:42)
%1 drift ratio criterion is not fulfilled.</t>
        </r>
      </text>
    </comment>
    <comment ref="B177" authorId="0" shapeId="0" xr:uid="{B09EAE60-C397-C144-B1ED-439D5DF1DA79}">
      <text>
        <r>
          <rPr>
            <sz val="11"/>
            <color theme="1"/>
            <rFont val="Arial"/>
            <family val="2"/>
            <charset val="162"/>
          </rPr>
          <t>======
ID#AAAAJviLRIs
Yazar    (2020-07-05 18:02:42)
Hysteretic curves for specimens NO.1 to NO.8 not available
only the backbone curves are available.</t>
        </r>
      </text>
    </comment>
    <comment ref="B179" authorId="0" shapeId="0" xr:uid="{455FA514-6727-E847-B7A9-BF26A4072042}">
      <text>
        <r>
          <rPr>
            <sz val="11"/>
            <color theme="1"/>
            <rFont val="Arial"/>
            <family val="2"/>
            <charset val="162"/>
          </rPr>
          <t>======
ID#AAAAJviLRF0
Yazar    (2020-07-05 18:02:42)
drift ratio criterion is not fulfilled.</t>
        </r>
      </text>
    </comment>
    <comment ref="B184" authorId="0" shapeId="0" xr:uid="{54017FC2-AFCA-564A-8C8C-EECD1FDB110C}">
      <text>
        <r>
          <rPr>
            <sz val="11"/>
            <color theme="1"/>
            <rFont val="Arial"/>
            <family val="2"/>
            <charset val="162"/>
          </rPr>
          <t>======
ID#AAAAJviLRFs
Yazar    (2020-07-05 18:02:42)
Hysteretic curves for specimens NO.1 to NO.8 not available</t>
        </r>
      </text>
    </comment>
    <comment ref="B188" authorId="0" shapeId="0" xr:uid="{D3F6F4A4-109E-7E45-B3F6-D81841E5D85C}">
      <text>
        <r>
          <rPr>
            <sz val="11"/>
            <color theme="1"/>
            <rFont val="Arial"/>
            <family val="2"/>
            <charset val="162"/>
          </rPr>
          <t>======
ID#AAAAJviLRGM
Yazar    (2020-07-05 18:02:42)
%1 Drift Ratio criterion is not fulfilled.</t>
        </r>
      </text>
    </comment>
    <comment ref="B189" authorId="0" shapeId="0" xr:uid="{CB9B1CE4-E342-C343-B4F7-99D1478441DE}">
      <text>
        <r>
          <rPr>
            <sz val="11"/>
            <color theme="1"/>
            <rFont val="Arial"/>
            <family val="2"/>
            <charset val="162"/>
          </rPr>
          <t>======
ID#AAAAJviLRLk
Yazar    (2020-07-05 18:02:42)
%1 Drift Ratio criterion is not fulfilled.</t>
        </r>
      </text>
    </comment>
    <comment ref="B192" authorId="0" shapeId="0" xr:uid="{9D246537-DB00-AF40-890B-5D23F2AD982B}">
      <text>
        <r>
          <rPr>
            <sz val="11"/>
            <color theme="1"/>
            <rFont val="Arial"/>
            <family val="2"/>
            <charset val="162"/>
          </rPr>
          <t>======
ID#AAAAJviLROs
Yazar    (2020-07-05 18:02:42)
%1 drift ratio criterion is not fulfilled.</t>
        </r>
      </text>
    </comment>
    <comment ref="B210" authorId="0" shapeId="0" xr:uid="{E396C951-79CD-6C43-9778-C00ECD2E7050}">
      <text>
        <r>
          <rPr>
            <sz val="11"/>
            <color theme="1"/>
            <rFont val="Arial"/>
            <family val="2"/>
            <charset val="162"/>
          </rPr>
          <t>======
ID#AAAAJviLROo
Yazar    (2020-07-05 18:02:42)
%1 drift ratio criterion is not fulfilled.</t>
        </r>
      </text>
    </comment>
    <comment ref="B211" authorId="0" shapeId="0" xr:uid="{3F8B6196-121F-7344-B16E-E73A0920738E}">
      <text>
        <r>
          <rPr>
            <sz val="11"/>
            <color theme="1"/>
            <rFont val="Arial"/>
            <family val="2"/>
            <charset val="162"/>
          </rPr>
          <t>======
ID#AAAAJviLRKY
Yazar    (2020-07-05 18:02:42)
%1 drift ratio criterion is not fulfilled.</t>
        </r>
      </text>
    </comment>
    <comment ref="B213" authorId="0" shapeId="0" xr:uid="{8E0BA742-1CE0-7048-8677-A4FFC6919D19}">
      <text>
        <r>
          <rPr>
            <sz val="11"/>
            <color rgb="FF000000"/>
            <rFont val="Arial"/>
            <family val="2"/>
            <charset val="162"/>
          </rPr>
          <t xml:space="preserve">======
</t>
        </r>
        <r>
          <rPr>
            <sz val="11"/>
            <color rgb="FF000000"/>
            <rFont val="Arial"/>
            <family val="2"/>
            <charset val="162"/>
          </rPr>
          <t xml:space="preserve">ID#AAAAJviLRH4
</t>
        </r>
        <r>
          <rPr>
            <sz val="11"/>
            <color rgb="FF000000"/>
            <rFont val="Arial"/>
            <family val="2"/>
            <charset val="162"/>
          </rPr>
          <t xml:space="preserve">Yazar    (2020-07-05 18:02:42)
</t>
        </r>
        <r>
          <rPr>
            <sz val="11"/>
            <color rgb="FF000000"/>
            <rFont val="Arial"/>
            <family val="2"/>
            <charset val="162"/>
          </rPr>
          <t>%1 drift ratio criterion is not fulfilled.</t>
        </r>
      </text>
    </comment>
    <comment ref="U213" authorId="0" shapeId="0" xr:uid="{7B53ADD3-8D18-3A48-848A-1C5B12F5025C}">
      <text>
        <r>
          <rPr>
            <sz val="11"/>
            <color theme="1"/>
            <rFont val="Arial"/>
            <family val="2"/>
            <charset val="162"/>
          </rPr>
          <t>======
ID#AAAAJviLRJ8
Yazar    (2020-07-05 18:02:42)
1 cycle loading is applied to the first step only.</t>
        </r>
      </text>
    </comment>
    <comment ref="U214" authorId="0" shapeId="0" xr:uid="{829E5C59-31F9-094E-B8B3-B1785D399DC1}">
      <text>
        <r>
          <rPr>
            <sz val="11"/>
            <color theme="1"/>
            <rFont val="Arial"/>
            <family val="2"/>
            <charset val="162"/>
          </rPr>
          <t>======
ID#AAAAJviLRNE
Yazar    (2020-07-05 18:02:42)
1 cycle loading is applied to the first step only.</t>
        </r>
      </text>
    </comment>
    <comment ref="B215" authorId="0" shapeId="0" xr:uid="{2914FDDF-D857-304E-8357-5E5CAD798E90}">
      <text>
        <r>
          <rPr>
            <sz val="11"/>
            <color theme="1"/>
            <rFont val="Arial"/>
            <family val="2"/>
            <charset val="162"/>
          </rPr>
          <t>======
ID#AAAAJviLRN8
Yazar    (2020-07-05 18:02:42)
%1 drift ratio criterion is not fulfilled.</t>
        </r>
      </text>
    </comment>
    <comment ref="U215" authorId="0" shapeId="0" xr:uid="{83C9189D-3AF2-5546-AA6B-AB34E4442820}">
      <text>
        <r>
          <rPr>
            <sz val="11"/>
            <color theme="1"/>
            <rFont val="Arial"/>
            <family val="2"/>
            <charset val="162"/>
          </rPr>
          <t>======
ID#AAAAJviLRH0
Yazar    (2020-07-05 18:02:42)
1 cycle loading is applied to the first step only.</t>
        </r>
      </text>
    </comment>
    <comment ref="U216" authorId="0" shapeId="0" xr:uid="{3C19B247-83DD-0F4D-B441-F6B9277670A0}">
      <text>
        <r>
          <rPr>
            <sz val="11"/>
            <color theme="1"/>
            <rFont val="Arial"/>
            <family val="2"/>
            <charset val="162"/>
          </rPr>
          <t>======
ID#AAAAJviLRLg
Yazar    (2020-07-05 18:02:42)
1 cycle loading is applied to the first step only.</t>
        </r>
      </text>
    </comment>
    <comment ref="U217" authorId="0" shapeId="0" xr:uid="{95967A93-DE8D-0841-B938-849DC5EC0D01}">
      <text>
        <r>
          <rPr>
            <sz val="11"/>
            <color theme="1"/>
            <rFont val="Arial"/>
            <family val="2"/>
            <charset val="162"/>
          </rPr>
          <t>======
ID#AAAAJviLROY
Yazar    (2020-07-05 18:02:42)
1 cycle loading is applied to the first step only.</t>
        </r>
      </text>
    </comment>
    <comment ref="U218" authorId="0" shapeId="0" xr:uid="{240318ED-D1AC-5D46-9109-6B8DCC56CBB7}">
      <text>
        <r>
          <rPr>
            <sz val="11"/>
            <color theme="1"/>
            <rFont val="Arial"/>
            <family val="2"/>
            <charset val="162"/>
          </rPr>
          <t>======
ID#AAAAJviLRGE
Yazar    (2020-07-05 18:02:42)
1 cycle loading is applied to the first step only.</t>
        </r>
      </text>
    </comment>
    <comment ref="U219" authorId="0" shapeId="0" xr:uid="{67FC6A46-4FB4-2045-8697-D7149E56964B}">
      <text>
        <r>
          <rPr>
            <sz val="11"/>
            <color theme="1"/>
            <rFont val="Arial"/>
            <family val="2"/>
            <charset val="162"/>
          </rPr>
          <t>======
ID#AAAAJviLRG4
Yazar    (2020-07-05 18:02:42)
1 cycle loading is applied to the first step only.</t>
        </r>
      </text>
    </comment>
    <comment ref="U220" authorId="0" shapeId="0" xr:uid="{ABF3FB86-B7B4-EC4D-A5F2-96CCA559FD41}">
      <text>
        <r>
          <rPr>
            <sz val="11"/>
            <color theme="1"/>
            <rFont val="Arial"/>
            <family val="2"/>
            <charset val="162"/>
          </rPr>
          <t>======
ID#AAAAJviLRHY
Yazar    (2020-07-05 18:02:42)
1 cycle loading is applied to the first step only.</t>
        </r>
      </text>
    </comment>
    <comment ref="P222" authorId="0" shapeId="0" xr:uid="{0D2A6252-9A28-2C4F-8027-38706E906B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38 phi8 bars in the 2360mm wall height</t>
        </r>
      </text>
    </comment>
    <comment ref="B226" authorId="0" shapeId="0" xr:uid="{9DEE4DDD-5556-1046-A41D-AFEB69DC4329}">
      <text>
        <r>
          <rPr>
            <sz val="11"/>
            <color theme="1"/>
            <rFont val="Arial"/>
            <family val="2"/>
            <charset val="162"/>
          </rPr>
          <t>======
ID#AAAAJviLROw
Yazar    (2020-07-05 18:02:42)
%1 drift ratio criterion is not fulfilled.</t>
        </r>
      </text>
    </comment>
    <comment ref="B270" authorId="0" shapeId="0" xr:uid="{8E48EBF5-824A-5E4E-ACCB-A4FD42FE7F83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71" authorId="0" shapeId="0" xr:uid="{7A6E31F7-9DF3-594F-B0C9-70ECEB183082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73" authorId="0" shapeId="0" xr:uid="{B87C2773-21CA-7846-9F07-490F508D9C5D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74" authorId="0" shapeId="0" xr:uid="{BE95DB07-9B57-004D-BB1A-0108C92F1B69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76" authorId="0" shapeId="0" xr:uid="{4180D7CB-1F63-BE42-95A3-23CC5A82E5EE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77" authorId="0" shapeId="0" xr:uid="{F93C4D29-9890-984F-8BBA-67733AF6B0B3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78" authorId="0" shapeId="0" xr:uid="{D02C4AEA-CFAF-4242-8BC0-24C8960BB295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79" authorId="0" shapeId="0" xr:uid="{1A01AA39-9066-A546-BECC-1E29F6787B1E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81" authorId="0" shapeId="0" xr:uid="{DC0D9780-DEB7-F941-B01B-3A023700C684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82" authorId="0" shapeId="0" xr:uid="{A5D6C3CC-038F-6142-A587-68D2E27461BE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84" authorId="0" shapeId="0" xr:uid="{F8C398A4-C91D-BF43-B3EA-B68CCFE0EA94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87" authorId="0" shapeId="0" xr:uid="{AFB1962F-AD61-D148-89F7-1BA17D33EEC7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288" authorId="0" shapeId="0" xr:uid="{3FF89196-E092-5040-B2D0-E0B3A259B500}">
      <text>
        <r>
          <rPr>
            <sz val="11"/>
            <color theme="1"/>
            <rFont val="Arial"/>
            <family val="2"/>
            <charset val="162"/>
          </rPr>
          <t>======
ID#AAAAJviLRJ0
Yazar    (2020-07-05 18:02:42)
The hysteretic curve is not appropriate for the research purposes</t>
        </r>
      </text>
    </comment>
    <comment ref="B305" authorId="0" shapeId="0" xr:uid="{7480C1A6-E18F-0641-86C5-6DBA71A63651}">
      <text>
        <r>
          <rPr>
            <sz val="11"/>
            <color theme="1"/>
            <rFont val="Arial"/>
            <family val="2"/>
            <charset val="162"/>
          </rPr>
          <t>======
ID#AAAAJviLRNc
Yazar    (2020-07-05 18:02:42)
NOT PROPER for 1% drift ratio studies but, PROPER for cumulative energy studies</t>
        </r>
      </text>
    </comment>
    <comment ref="B306" authorId="0" shapeId="0" xr:uid="{CC6BCF67-6CFA-1B4E-A4BF-1B70EBBB68E1}">
      <text>
        <r>
          <rPr>
            <sz val="11"/>
            <color theme="1"/>
            <rFont val="Arial"/>
            <family val="2"/>
            <charset val="162"/>
          </rPr>
          <t>======
ID#AAAAJviLRJE
Yazar    (2020-07-05 18:02:42)
NOT PROPER for 1% drift ratio studies but, PROPER for cumulative energy studies</t>
        </r>
      </text>
    </comment>
    <comment ref="A313" authorId="0" shapeId="0" xr:uid="{5BBEFFB4-8217-134C-8626-70F740EDE4C5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Oh_HRI-W2, Oh_HRI-W5 &amp; Oh_HRI-W7 specimens from Oh et al (2006) which had been entered the database are respectively identical to specimens Oh_WR-20, Oh_WR-10 &amp; Oh_WR-0 from (Oh et al, 2002). Hence, they were identified as duplicate data and removed. </t>
        </r>
      </text>
    </comment>
    <comment ref="B313" authorId="0" shapeId="0" xr:uid="{3C2BF5B7-83E9-624D-9EED-B2E3A24AA359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T wall</t>
        </r>
      </text>
    </comment>
    <comment ref="B316" authorId="0" shapeId="0" xr:uid="{18DC5A7E-B83E-7147-BD6D-D02394E0A302}">
      <text>
        <r>
          <rPr>
            <sz val="11"/>
            <color theme="1"/>
            <rFont val="Arial"/>
            <family val="2"/>
            <charset val="162"/>
          </rPr>
          <t>======
ID#AAAAJviLRMM
Yazar    (2020-07-05 18:02:42)
%1 drift ratio criterion is not fulfilled.</t>
        </r>
      </text>
    </comment>
    <comment ref="B317" authorId="0" shapeId="0" xr:uid="{88D56002-E7C5-8942-B115-AE3A9CA6C108}">
      <text>
        <r>
          <rPr>
            <sz val="11"/>
            <color theme="1"/>
            <rFont val="Arial"/>
            <family val="2"/>
            <charset val="162"/>
          </rPr>
          <t>======
ID#AAAAJviLRMM
Yazar    (2020-07-05 18:02:42)
%1 drift ratio criterion is not fulfilled.</t>
        </r>
      </text>
    </comment>
    <comment ref="B318" authorId="0" shapeId="0" xr:uid="{35A94731-EB43-4249-9517-B07737C8A292}">
      <text>
        <r>
          <rPr>
            <sz val="11"/>
            <color theme="1"/>
            <rFont val="Arial"/>
            <family val="2"/>
            <charset val="162"/>
          </rPr>
          <t>======
ID#AAAAJviLRHc
Yazar    (2020-07-05 18:02:42)
%1 drift ratio criterion is not fulfilled.</t>
        </r>
      </text>
    </comment>
    <comment ref="R320" authorId="0" shapeId="0" xr:uid="{B8DA4537-E3D9-DD4E-9FE8-4DC805EA0561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Corrected from 0.54 to 0.66</t>
        </r>
      </text>
    </comment>
    <comment ref="R321" authorId="0" shapeId="0" xr:uid="{203D5D32-971F-CE4D-8A7C-0153F43F477B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Corrected from 0.54 to 0.66</t>
        </r>
      </text>
    </comment>
    <comment ref="R322" authorId="0" shapeId="0" xr:uid="{40DADB84-6417-E846-B53F-055F2E1CA50F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Corrected from 0.54 to 0.66</t>
        </r>
      </text>
    </comment>
    <comment ref="O323" authorId="0" shapeId="0" xr:uid="{84FE2D22-3071-E845-81A9-417E37EE9F91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Was modified as a result of change in legs No.</t>
        </r>
      </text>
    </comment>
    <comment ref="R323" authorId="0" shapeId="0" xr:uid="{BAF43DDC-04D8-814A-AFDA-9B05A939364A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Corrected from 0.88 to 0.52</t>
        </r>
      </text>
    </comment>
    <comment ref="O326" authorId="0" shapeId="0" xr:uid="{346FDA43-32A1-2743-A79E-9C50DF4A647D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Was modified as a result of change in legs No.</t>
        </r>
      </text>
    </comment>
    <comment ref="O327" authorId="0" shapeId="0" xr:uid="{9984C989-166A-5341-BB11-A0266FCDCF36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Was modified as a result of change in legs No.</t>
        </r>
      </text>
    </comment>
    <comment ref="R330" authorId="0" shapeId="0" xr:uid="{69A5B416-8099-8F4D-9871-00BCAFABEEAB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ρl was rectified as a result of correcting distance between Long. Rebars.</t>
        </r>
      </text>
    </comment>
    <comment ref="R332" authorId="0" shapeId="0" xr:uid="{51A1B48B-D98E-4148-BD02-3D5F0EA0F34C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ρl was rectified as a result of correcting distance between Long. Rebars.</t>
        </r>
      </text>
    </comment>
    <comment ref="B341" authorId="0" shapeId="0" xr:uid="{956D3DCF-760F-B44B-909F-69E5FBAFA9E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1.0% drift criterion not fulfilled</t>
        </r>
      </text>
    </comment>
    <comment ref="Q341" authorId="0" shapeId="0" xr:uid="{1471CC58-F270-9D48-A857-058AD8E1C4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S341" authorId="0" shapeId="0" xr:uid="{6AC7E79F-EB2B-CB4B-8E25-96777741443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42" authorId="0" shapeId="0" xr:uid="{2FFECBB8-8E8A-C343-9995-940FBC25CB4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1.0% drift criterion not fulfilled</t>
        </r>
      </text>
    </comment>
    <comment ref="Q342" authorId="0" shapeId="0" xr:uid="{399EA549-5AAB-CE43-ADAB-83570A4C9DC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S342" authorId="0" shapeId="0" xr:uid="{D29E95EF-65DC-1D48-8E1A-C895ED021D4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43" authorId="0" shapeId="0" xr:uid="{3F074977-5BE6-C541-9D11-447A1D918620}">
      <text>
        <r>
          <rPr>
            <sz val="11"/>
            <color theme="1"/>
            <rFont val="Arial"/>
            <family val="2"/>
            <charset val="162"/>
          </rPr>
          <t>======
ID#AAAAJviLRG8
Yazar    (2020-07-05 18:02:42)
Digitisation was not possible as two hysteretic curves have been drawn in one figure (on top of eachother)</t>
        </r>
      </text>
    </comment>
    <comment ref="N343" authorId="0" shapeId="0" xr:uid="{BE45E380-01FA-4743-A500-DCB40526089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43" authorId="0" shapeId="0" xr:uid="{A81CEA2C-2AB1-004C-8A0A-6CB12AE1E92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43" authorId="0" shapeId="0" xr:uid="{05615A77-0794-A64E-8F6B-8900950EEB0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44" authorId="0" shapeId="0" xr:uid="{06093CC0-2F61-8B4B-B784-B0F95A1728E1}">
      <text>
        <r>
          <rPr>
            <sz val="11"/>
            <color theme="1"/>
            <rFont val="Arial"/>
            <family val="2"/>
            <charset val="162"/>
          </rPr>
          <t>======
ID#AAAAJviLRG8
Yazar    (2020-07-05 18:02:42)
Digitisation was not possible as two hysteretic curves have been drawn in one figure (on top of eachother)</t>
        </r>
      </text>
    </comment>
    <comment ref="N344" authorId="0" shapeId="0" xr:uid="{B86CB6EF-3AD5-1B45-8942-CEC5B651C3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44" authorId="0" shapeId="0" xr:uid="{8788647A-DF41-C042-8F6D-A5707CAAB3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44" authorId="0" shapeId="0" xr:uid="{10EE3109-E682-7B46-A844-5476A57A41E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45" authorId="0" shapeId="0" xr:uid="{30F6B35C-E033-694A-9E27-EE739D0022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hysteretic curve</t>
        </r>
      </text>
    </comment>
    <comment ref="N345" authorId="0" shapeId="0" xr:uid="{098955F7-E324-D44B-8575-87E3D321BA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45" authorId="0" shapeId="0" xr:uid="{0BDF0262-2B54-F84B-9232-8AE9E8784B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45" authorId="0" shapeId="0" xr:uid="{354E2A27-662E-D846-86E2-E478FF72FCB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46" authorId="0" shapeId="0" xr:uid="{819FB1E4-1F25-9442-9772-4C41ACFC58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hysteretic curve</t>
        </r>
      </text>
    </comment>
    <comment ref="N346" authorId="0" shapeId="0" xr:uid="{73EADC05-BA78-034B-9B57-DFF8EAE58DF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46" authorId="0" shapeId="0" xr:uid="{998E9B5E-7D4E-E746-8D1D-A887CD31633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46" authorId="0" shapeId="0" xr:uid="{0C498D50-AF28-4946-B95D-05C91D9036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47" authorId="0" shapeId="0" xr:uid="{C1457CD5-C610-914E-9B97-40BBBE5EE2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hysteretic curve</t>
        </r>
      </text>
    </comment>
    <comment ref="N347" authorId="0" shapeId="0" xr:uid="{0FB7DAC4-9E88-834F-8E63-373FA4AD81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47" authorId="0" shapeId="0" xr:uid="{2E2F455F-6D21-604E-8286-D0C49132A2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47" authorId="0" shapeId="0" xr:uid="{790CF6EF-AC96-CC4F-8DE4-3396F3EE040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48" authorId="0" shapeId="0" xr:uid="{92BE22C4-8B1F-AA41-BC51-4BA8CB2ACF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hysteretic curve</t>
        </r>
      </text>
    </comment>
    <comment ref="N348" authorId="0" shapeId="0" xr:uid="{E118D8ED-3764-E74F-BA4D-62553198247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48" authorId="0" shapeId="0" xr:uid="{BD269674-5EF0-F644-BF68-2D6A544D34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48" authorId="0" shapeId="0" xr:uid="{96EEFA5F-29A0-3042-9B04-00ABE4B26C4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49" authorId="0" shapeId="0" xr:uid="{2D84DCE3-D324-0C47-B10D-2FFE814A89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hysteretic curve</t>
        </r>
      </text>
    </comment>
    <comment ref="N349" authorId="0" shapeId="0" xr:uid="{EC621EAD-17EB-5B4C-BD45-B7D31B1288F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49" authorId="0" shapeId="0" xr:uid="{6CAD98D5-B2A2-CD4B-8F54-C96D72D17E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49" authorId="0" shapeId="0" xr:uid="{CBB7CA89-FA0F-6F42-8969-89AD8EFA86E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50" authorId="0" shapeId="0" xr:uid="{25563C8F-5BC0-C441-ABEA-76545A4ED06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hysteretic curve</t>
        </r>
      </text>
    </comment>
    <comment ref="N350" authorId="0" shapeId="0" xr:uid="{E85FABDE-D18B-6F4E-A137-6E5F837FF1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50" authorId="0" shapeId="0" xr:uid="{D46B8D64-9498-CE41-B2BF-8AFDB4E9E3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50" authorId="0" shapeId="0" xr:uid="{A4001C07-B0F5-164C-8FF7-F97374F8C53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51" authorId="0" shapeId="0" xr:uid="{884CABFC-9BDE-E540-B74F-E29EB05B48B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hysteretic curve</t>
        </r>
      </text>
    </comment>
    <comment ref="N351" authorId="0" shapeId="0" xr:uid="{12165F40-7042-324F-98D5-BB962E3DF7E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</t>
        </r>
      </text>
    </comment>
    <comment ref="O351" authorId="0" shapeId="0" xr:uid="{5B79B24F-7306-DF48-8CDD-7E163592BC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data
</t>
        </r>
      </text>
    </comment>
    <comment ref="Q351" authorId="0" shapeId="0" xr:uid="{019927AC-094D-0846-BE55-3A9D5EF5D15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 specified</t>
        </r>
      </text>
    </comment>
    <comment ref="B356" authorId="0" shapeId="0" xr:uid="{C478553D-7C0E-4443-A84A-011566BE7B93}">
      <text>
        <r>
          <rPr>
            <sz val="11"/>
            <color theme="1"/>
            <rFont val="Arial"/>
            <family val="2"/>
            <charset val="162"/>
          </rPr>
          <t>======
ID#AAAAJviLRHg
Yazar    (2020-07-05 18:02:42)
%1 drift ratio criterion is not fulfilled.</t>
        </r>
      </text>
    </comment>
    <comment ref="B357" authorId="0" shapeId="0" xr:uid="{B83BBE95-6A33-1E4E-87BD-672F25DF150E}">
      <text>
        <r>
          <rPr>
            <sz val="11"/>
            <color theme="1"/>
            <rFont val="Arial"/>
            <family val="2"/>
            <charset val="162"/>
          </rPr>
          <t>======
ID#AAAAJviLRLY
Yazar    (2020-07-05 18:02:42)
%1 drift ratio criterion is not fulfilled.</t>
        </r>
      </text>
    </comment>
    <comment ref="B358" authorId="0" shapeId="0" xr:uid="{E34846AA-4BEB-F446-A8BD-FDCD65036FD9}">
      <text>
        <r>
          <rPr>
            <sz val="11"/>
            <color theme="1"/>
            <rFont val="Arial"/>
            <family val="2"/>
            <charset val="162"/>
          </rPr>
          <t>======
ID#AAAAJviLRFk
Yazar    (2020-07-05 18:02:42)
%1 drift ratio criterion is not fulfilled.</t>
        </r>
      </text>
    </comment>
    <comment ref="B359" authorId="0" shapeId="0" xr:uid="{2724AFC2-FD75-AA4D-B4F2-51CB7485A9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0" authorId="0" shapeId="0" xr:uid="{9B2826E7-A9B0-B948-8668-B22017BA63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1" authorId="0" shapeId="0" xr:uid="{6B5D408A-2072-8442-893B-49DCF8C6B19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2" authorId="0" shapeId="0" xr:uid="{94CB444B-BB19-B649-9966-E6FB06EE3C0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3" authorId="0" shapeId="0" xr:uid="{DECAE608-5889-7A4C-B637-9C4CD1D1B22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4" authorId="0" shapeId="0" xr:uid="{234EE193-4D2D-3B46-ADC9-4797297808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5" authorId="0" shapeId="0" xr:uid="{3FF2F430-6CE1-A44B-ABE1-C1D07733520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6" authorId="0" shapeId="0" xr:uid="{98E5159A-FA02-8240-94CA-F6A27023BE3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7" authorId="0" shapeId="0" xr:uid="{2B7CF880-64D2-3241-8E1A-8B344EA026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8" authorId="0" shapeId="0" xr:uid="{7C68A211-0971-A24C-9B3D-8B3F9B3C17A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69" authorId="0" shapeId="0" xr:uid="{237F3CE0-6F3B-4943-817E-0600907B1E5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70" authorId="0" shapeId="0" xr:uid="{1926A509-0B0A-0C4E-9321-271654F6E381}">
      <text>
        <r>
          <rPr>
            <sz val="11"/>
            <color theme="1"/>
            <rFont val="Arial"/>
            <family val="2"/>
            <charset val="162"/>
          </rPr>
          <t>======
ID#AAAAJviLRNk
Yazar    (2020-07-05 18:02:42)
%1 drift ratio criterion is not fulfilled.</t>
        </r>
      </text>
    </comment>
    <comment ref="B371" authorId="0" shapeId="0" xr:uid="{EE02DE61-45A7-4B44-B93B-8114104A00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72" authorId="0" shapeId="0" xr:uid="{4B055375-BB81-D44A-8DAC-B19525860D01}">
      <text>
        <r>
          <rPr>
            <sz val="11"/>
            <color theme="1"/>
            <rFont val="Arial"/>
            <family val="2"/>
            <charset val="162"/>
          </rPr>
          <t>======
ID#AAAAJviLRLQ
Yazar    (2020-07-05 18:02:42)
%1 drift ratio criterion is not fulfilled.</t>
        </r>
      </text>
    </comment>
    <comment ref="B373" authorId="0" shapeId="0" xr:uid="{7D0C5727-0809-0B48-99C0-A2A25CC7D1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74" authorId="0" shapeId="0" xr:uid="{50CD0623-9DBD-2A4D-BB15-9F0894F3B05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75" authorId="0" shapeId="0" xr:uid="{441BE007-4EF7-E647-BE25-176E2FFBEF7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76" authorId="0" shapeId="0" xr:uid="{C5435D50-EB7F-0B46-BD0A-47D2B3B3CD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77" authorId="0" shapeId="0" xr:uid="{12E1B6C1-B012-C84D-AA8A-DD595754260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78" authorId="0" shapeId="0" xr:uid="{6A113277-0460-F042-BDEB-BDD77B9876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79" authorId="0" shapeId="0" xr:uid="{5C235360-4FCF-B24C-9A3E-27991383EE9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80" authorId="0" shapeId="0" xr:uid="{4F690F0E-C34B-AA48-8E41-940E182B6A1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86" authorId="0" shapeId="0" xr:uid="{7091F3E3-6E8F-3F44-AD88-39DB8B78128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B387" authorId="0" shapeId="0" xr:uid="{B7253D00-F7B7-B84D-938C-7AB179A80D4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Hysteretis curve not available</t>
        </r>
      </text>
    </comment>
    <comment ref="I391" authorId="0" shapeId="0" xr:uid="{1D8B62BC-4A29-8843-B7D8-80B3D29EB5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Sliding shear (pp. 23)</t>
        </r>
      </text>
    </comment>
    <comment ref="R396" authorId="0" shapeId="0" xr:uid="{38E7F351-8012-984F-8778-7DBDC3886E8C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Boundary region is assumed not to exist. Consequently, long. steel ratio in the web region is modified.</t>
        </r>
      </text>
    </comment>
    <comment ref="R397" authorId="0" shapeId="0" xr:uid="{3A6DDCEE-435F-184D-BC9D-875A9C90392A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Boundary region is assumed not to exist. Consequently, long. steel ratio in the web region is modified.</t>
        </r>
      </text>
    </comment>
    <comment ref="R398" authorId="0" shapeId="0" xr:uid="{2489C069-40D8-0A45-8EA6-140C13A3D1D2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Boundary region is assumed not to exist. Consequently, long. steel ratio in the web region is modified.</t>
        </r>
      </text>
    </comment>
    <comment ref="B399" authorId="0" shapeId="0" xr:uid="{9D7DEE5D-7025-044E-AD8B-42F71413DC38}">
      <text>
        <r>
          <rPr>
            <sz val="11"/>
            <color theme="1"/>
            <rFont val="Arial"/>
            <family val="2"/>
            <charset val="162"/>
          </rPr>
          <t>======
ID#AAAAJviLRFw
Yazar    (2020-07-05 18:02:42)
%1 drift ratio criterion is not fulfilled.</t>
        </r>
      </text>
    </comment>
    <comment ref="M399" authorId="0" shapeId="0" xr:uid="{A86D5195-F37C-9D42-BCE8-BF5BB756FEB6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O399" authorId="0" shapeId="0" xr:uid="{818D4E51-1EAA-7041-BFD6-7282A8E770DD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P399" authorId="0" shapeId="0" xr:uid="{68E97908-E8A9-6548-AF30-1F7014E47EAC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R399" authorId="0" shapeId="0" xr:uid="{B836CD4E-2B3B-6943-A126-6BB3C39741A4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B400" authorId="0" shapeId="0" xr:uid="{866052B3-FFE8-AE45-9C7D-E1C9290E2E1C}">
      <text>
        <r>
          <rPr>
            <sz val="11"/>
            <color theme="1"/>
            <rFont val="Arial"/>
            <family val="2"/>
            <charset val="162"/>
          </rPr>
          <t>======
ID#AAAAJviLRHs
Yazar    (2020-07-05 18:02:42)
%1 drift ratio criterion is not fulfilled.</t>
        </r>
      </text>
    </comment>
    <comment ref="M400" authorId="0" shapeId="0" xr:uid="{6DD3EAB2-9A3E-CD4B-872A-8FA152B50CED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O400" authorId="0" shapeId="0" xr:uid="{C2B2EEC7-8D45-1742-B55E-0513AB3C6B4E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P400" authorId="0" shapeId="0" xr:uid="{972CC30E-3757-2444-94EB-8AB5793960E4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R400" authorId="0" shapeId="0" xr:uid="{1D11CDCD-CB97-2142-924F-C110E9F54C2D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B401" authorId="0" shapeId="0" xr:uid="{8CD7F439-53DA-9443-86A4-6695FAEDF6A0}">
      <text>
        <r>
          <rPr>
            <sz val="11"/>
            <color theme="1"/>
            <rFont val="Arial"/>
            <family val="2"/>
            <charset val="162"/>
          </rPr>
          <t>======
ID#AAAAJviLRJo
Yazar    (2020-07-05 18:02:42)
%1 drift ratio criterion is not fulfilled.</t>
        </r>
      </text>
    </comment>
    <comment ref="M401" authorId="0" shapeId="0" xr:uid="{50CADACC-7367-D24C-92AA-7835FBD6A558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O401" authorId="0" shapeId="0" xr:uid="{6A2E576E-44B8-FA4B-82A9-9498A9FCBE6C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P401" authorId="0" shapeId="0" xr:uid="{35C6CB0F-B3BD-6148-AB51-A2529067CA51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R401" authorId="0" shapeId="0" xr:uid="{6D4D031C-400E-3646-946E-D784CB984290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B402" authorId="0" shapeId="0" xr:uid="{7552C9A7-E2AD-D041-84A6-6D782E578FB7}">
      <text>
        <r>
          <rPr>
            <sz val="11"/>
            <color theme="1"/>
            <rFont val="Arial"/>
            <family val="2"/>
            <charset val="162"/>
          </rPr>
          <t>======
ID#AAAAJviLRME
Yazar    (2020-07-05 18:02:42)
%1 drift ratio criterion is not fulfilled.</t>
        </r>
      </text>
    </comment>
    <comment ref="M402" authorId="0" shapeId="0" xr:uid="{D8CF06B9-BB27-3C41-A076-F72F8474A808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O402" authorId="0" shapeId="0" xr:uid="{27E31DCA-6649-E04A-A368-06078D92BD53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P402" authorId="0" shapeId="0" xr:uid="{136F1019-669B-254A-9452-5CE80F7F0083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R402" authorId="0" shapeId="0" xr:uid="{79070ACB-4C6B-2C46-9B43-C8984C0996DC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M403" authorId="0" shapeId="0" xr:uid="{13704FCA-40FF-1B45-9188-74F084D710E4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O403" authorId="0" shapeId="0" xr:uid="{CA42A368-AFBC-A04B-9700-B0379F43B12F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P403" authorId="0" shapeId="0" xr:uid="{C29A06DC-6109-A64F-8CFC-995E10E57CB7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R403" authorId="0" shapeId="0" xr:uid="{AD89D70F-F19E-5D48-8825-FB6A13116E95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M404" authorId="0" shapeId="0" xr:uid="{2B2B9DD5-9832-5D49-A401-3356C5CB3CA9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O404" authorId="0" shapeId="0" xr:uid="{86E4465A-B838-074B-BAC1-77DC1AE20C39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P404" authorId="0" shapeId="0" xr:uid="{ADB032BF-179F-B64B-919A-C7365F2DB9D0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R404" authorId="0" shapeId="0" xr:uid="{8A8565C4-B9F6-254D-856D-06B08A853822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M405" authorId="0" shapeId="0" xr:uid="{6F6CD4DA-60AC-3445-8E96-6B93EB771828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O405" authorId="0" shapeId="0" xr:uid="{C9E1FBA8-E94D-384D-82C0-EE2B3340B7D7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P405" authorId="0" shapeId="0" xr:uid="{4FA807B0-9CC9-804F-B9CE-5303C5CFA343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R405" authorId="0" shapeId="0" xr:uid="{ABB4F8A2-C8EB-1749-AD2D-7A996717BB00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slightly as Dnom was modified</t>
        </r>
      </text>
    </comment>
    <comment ref="B414" authorId="0" shapeId="0" xr:uid="{A17A30F9-E20C-1F4A-9703-12CE3BF41724}">
      <text>
        <r>
          <rPr>
            <sz val="11"/>
            <color theme="1"/>
            <rFont val="Arial"/>
            <family val="2"/>
            <charset val="162"/>
          </rPr>
          <t>======
ID#AAAAJviLRIA
Yazar    (2020-07-05 18:02:42)
%1 drift ratio criterion is not fulfilled.</t>
        </r>
      </text>
    </comment>
    <comment ref="B415" authorId="0" shapeId="0" xr:uid="{482B6BDD-CE00-604E-8B95-33C6BCF4272E}">
      <text>
        <r>
          <rPr>
            <sz val="11"/>
            <color theme="1"/>
            <rFont val="Arial"/>
            <family val="2"/>
            <charset val="162"/>
          </rPr>
          <t>======
ID#AAAAJviLRM4
Yazar    (2020-07-05 18:02:42)
%1 drift ratio criterion is not fulfilled.</t>
        </r>
      </text>
    </comment>
    <comment ref="B416" authorId="0" shapeId="0" xr:uid="{0F6EC201-A89E-A343-AAFC-412727387638}">
      <text>
        <r>
          <rPr>
            <sz val="11"/>
            <color theme="1"/>
            <rFont val="Arial"/>
            <family val="2"/>
            <charset val="162"/>
          </rPr>
          <t>======
ID#AAAAJviLRLo
Yazar    (2020-07-05 18:02:42)
%1 drift ratio criterion is not fulfilled.</t>
        </r>
      </text>
    </comment>
    <comment ref="O417" authorId="0" shapeId="0" xr:uid="{1226630D-5EEA-AB4B-BF31-61F49F0A9D5A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ratio was rectified as a result of correcting leg numbers</t>
        </r>
      </text>
    </comment>
    <comment ref="B418" authorId="0" shapeId="0" xr:uid="{68330925-7EF5-4942-898A-CAAECDEF1381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Specimens recognised with "H" are subjected to bilateral out of plane loading and probably should not be used in the current study where specimens subjected to uni-lateral loadings are of interest</t>
        </r>
      </text>
    </comment>
    <comment ref="O418" authorId="0" shapeId="0" xr:uid="{C3605466-8351-1147-9B02-E0CBEBF576F9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ratio was rectified as a result of correcting leg numbers</t>
        </r>
      </text>
    </comment>
    <comment ref="B419" authorId="0" shapeId="0" xr:uid="{CC349E03-BB09-F144-8DFC-57AFA5F9A210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Specimens recognised with "H" are subjected to bilateral out of plane loading and probably should not be used in the current study where specimens subjected to uni-lateral loadings are of interest</t>
        </r>
      </text>
    </comment>
    <comment ref="B420" authorId="0" shapeId="0" xr:uid="{F1417B7C-661B-D34A-810C-7E6564B27281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Specimens recognised with "H" are subjected to bilateral out of plane loading and probably should not be used in the current study where specimens subjected to uni-lateral loadings are of interest</t>
        </r>
      </text>
    </comment>
    <comment ref="O420" authorId="0" shapeId="0" xr:uid="{BEE52095-43EC-C14F-8395-5ED2760F2956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ratio was rectified as a result of correcting leg numbers</t>
        </r>
      </text>
    </comment>
    <comment ref="B421" authorId="0" shapeId="0" xr:uid="{59AFBCAF-F15B-994F-98C5-C46BB235D115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Specimens recognised with "H" are subjected to bilateral out of plane loading and probably should not be used in the current study where specimens subjected to uni-lateral loadings are of interest</t>
        </r>
      </text>
    </comment>
    <comment ref="O421" authorId="0" shapeId="0" xr:uid="{71437F83-56C2-B448-86DC-0BDA236FCCF5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ratio was rectified as a result of correcting leg numbers</t>
        </r>
      </text>
    </comment>
    <comment ref="B422" authorId="0" shapeId="0" xr:uid="{D2863470-C6F1-2F4D-9095-6590A9B94DE3}">
      <text>
        <r>
          <rPr>
            <sz val="11"/>
            <color theme="1"/>
            <rFont val="Arial"/>
            <family val="2"/>
            <charset val="162"/>
          </rPr>
          <t>======
ID#AAAAJviLRO8
Yazar    (2020-07-05 18:02:42)
Specimens T2-S1 and T2-S2 (at the bottom of the inventory) differed in
terms of anchorage conditions of horizontal web reinforcement:
Specimen T2-S1 had U-cap hooks at the ends of the horizontal web bars,
while specimen T2-S2, as well as all other specimens, had 180° hooks at
the end of the horizontal bars. So, T2-S1 specimen is not used.</t>
        </r>
      </text>
    </comment>
    <comment ref="B440" authorId="0" shapeId="0" xr:uid="{92BFE387-5E12-6A4D-B6E9-383030572978}">
      <text>
        <r>
          <rPr>
            <sz val="11"/>
            <color theme="1"/>
            <rFont val="Arial"/>
            <family val="2"/>
            <charset val="162"/>
          </rPr>
          <t>======
ID#AAAAJviLRKg
Yazar    (2020-07-05 18:02:42)
Yazar
Hysteretic curve only available for the push side (identified as not appropriate for the project purposes)</t>
        </r>
      </text>
    </comment>
    <comment ref="O441" authorId="0" shapeId="0" xr:uid="{67299C7D-62B2-2548-9295-0BD121DEBC4F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Slightly changed as s was modified</t>
        </r>
      </text>
    </comment>
    <comment ref="O442" authorId="0" shapeId="0" xr:uid="{41DBE1DE-FC47-9349-9662-8A22E12471D2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Slightly changed as s was modified</t>
        </r>
      </text>
    </comment>
    <comment ref="O443" authorId="0" shapeId="0" xr:uid="{A4F4445A-057B-FB47-B4D4-FE710686AD8E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Slightly changed as s was modified</t>
        </r>
      </text>
    </comment>
    <comment ref="O444" authorId="0" shapeId="0" xr:uid="{0ED7DD2B-0810-044C-94BA-A91EBD25C50E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Slightly changed as s was modified</t>
        </r>
      </text>
    </comment>
    <comment ref="O445" authorId="0" shapeId="0" xr:uid="{53CEE42E-4716-674B-AD37-8B80AC7CB40E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Slightly changed as s was modified</t>
        </r>
      </text>
    </comment>
    <comment ref="A462" authorId="0" shapeId="0" xr:uid="{D7F52A52-9095-A445-9944-704E7C4E9E88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Not appropriate for equivalent viscous damping studies as there is no cycle with a maximum lateral drift close to  1% drift ratio</t>
        </r>
      </text>
    </comment>
    <comment ref="K463" authorId="0" shapeId="0" xr:uid="{E6FB8B6F-92AB-2E47-9A4F-7CA5468F3D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Note that the reported 10% axial load ratio is based on the design concrete strength (f'c) which is different from the compressive concrete strength fck (f'c = Ø*fck where Ø is the material safety factor = 0.65) </t>
        </r>
      </text>
    </comment>
    <comment ref="L464" authorId="0" shapeId="0" xr:uid="{38BA456E-C785-B547-AE2A-86B129E94F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30*0.97 = 29.1
Conversion factor according to UNESCO for 10*20cm cylinder 
(Elwell, David J., and Gongkang Fu. Compression testing of concrete: cylinders vs. cubes. No. FHWA/NY/SR-95/119. 1995.)</t>
        </r>
      </text>
    </comment>
    <comment ref="L465" authorId="0" shapeId="0" xr:uid="{E18F73AD-A932-8E49-A2CE-081294A3FBB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30*0.97 = 29.1
Conversion factor according to UNESCO for 10*20cm cylinder 
(Elwell, David J., and Gongkang Fu. Compression testing of concrete: cylinders vs. cubes. No. FHWA/NY/SR-95/119. 1995.)</t>
        </r>
      </text>
    </comment>
    <comment ref="M476" authorId="0" shapeId="0" xr:uid="{8A69495B-2474-EB4A-AA09-4BC2A8FDABE4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steel rario changed as Dnom was corrected</t>
        </r>
      </text>
    </comment>
    <comment ref="B482" authorId="0" shapeId="0" xr:uid="{5344C1EE-4050-494A-9E5E-933D9B0C49B0}">
      <text>
        <r>
          <rPr>
            <sz val="11"/>
            <color theme="1"/>
            <rFont val="Arial"/>
            <family val="2"/>
            <charset val="162"/>
          </rPr>
          <t>======
ID#AAAAJviLRKQ
Yazar    (2020-07-05 18:02:42)
%1 Drift Ratio criterion is not fulfilled.</t>
        </r>
      </text>
    </comment>
    <comment ref="B487" authorId="0" shapeId="0" xr:uid="{8694DE1C-9948-E040-AA2C-22615999A635}">
      <text>
        <r>
          <rPr>
            <sz val="11"/>
            <color theme="1"/>
            <rFont val="Arial"/>
            <family val="2"/>
            <charset val="162"/>
          </rPr>
          <t>======
ID#AAAAJviLRLU
Yazar    (2020-07-05 18:02:42)
%1 Drift Ratio criterion is not fulfilled.</t>
        </r>
      </text>
    </comment>
    <comment ref="B488" authorId="0" shapeId="0" xr:uid="{7D197476-B70A-4C49-A466-ADF56DE1AC23}">
      <text>
        <r>
          <rPr>
            <sz val="11"/>
            <color theme="1"/>
            <rFont val="Arial"/>
            <family val="2"/>
            <charset val="162"/>
          </rPr>
          <t>======
ID#AAAAJviLRJc
Yazar    (2020-07-05 18:02:42)
%1 Drift Ratio criterion is not fulfilled.</t>
        </r>
      </text>
    </comment>
    <comment ref="B489" authorId="0" shapeId="0" xr:uid="{945D3DCC-1738-7D4B-8570-30224A3A14E8}">
      <text>
        <r>
          <rPr>
            <sz val="11"/>
            <color theme="1"/>
            <rFont val="Arial"/>
            <family val="2"/>
            <charset val="162"/>
          </rPr>
          <t>======
ID#AAAAJviLROM
Yazar    (2020-07-05 18:02:42)
%1 Drift Ratio criterion is not fulfilled.</t>
        </r>
      </text>
    </comment>
    <comment ref="B490" authorId="0" shapeId="0" xr:uid="{32263985-2651-2141-9BF4-5742D3013F8C}">
      <text>
        <r>
          <rPr>
            <sz val="11"/>
            <color theme="1"/>
            <rFont val="Arial"/>
            <family val="2"/>
            <charset val="162"/>
          </rPr>
          <t>======
ID#AAAAJviLRLA
Yazar    (2020-07-05 18:02:42)
%1 Drift Ratio criterion is not fulfilled.</t>
        </r>
      </text>
    </comment>
    <comment ref="B491" authorId="0" shapeId="0" xr:uid="{B07EB7B6-2642-AF48-AC1F-B97F43122D5F}">
      <text>
        <r>
          <rPr>
            <sz val="11"/>
            <color theme="1"/>
            <rFont val="Arial"/>
            <family val="2"/>
            <charset val="162"/>
          </rPr>
          <t>======
ID#AAAAJviLRL8
Yazar    (2020-07-05 18:02:42)
Hysteretic curve not available</t>
        </r>
      </text>
    </comment>
    <comment ref="B492" authorId="0" shapeId="0" xr:uid="{01B087C1-51D3-6243-B8CB-C985AD525A0A}">
      <text>
        <r>
          <rPr>
            <sz val="11"/>
            <color theme="1"/>
            <rFont val="Arial"/>
            <family val="2"/>
            <charset val="162"/>
          </rPr>
          <t>======
ID#AAAAJviLRNU
Yazar    (2020-07-05 18:02:42)
1% Drift Ratio'ya ulaşmamıştır.</t>
        </r>
      </text>
    </comment>
    <comment ref="B493" authorId="0" shapeId="0" xr:uid="{345E1BB3-0750-3540-AA4E-350B5395A181}">
      <text>
        <r>
          <rPr>
            <sz val="11"/>
            <color theme="1"/>
            <rFont val="Arial"/>
            <family val="2"/>
            <charset val="162"/>
          </rPr>
          <t>======
ID#AAAAJviLRG0
Yazar    (2020-07-05 18:02:42)
%1 Drift Ratio criterion is not fulfilled.</t>
        </r>
      </text>
    </comment>
    <comment ref="B494" authorId="0" shapeId="0" xr:uid="{4B70B7EF-1BD9-EF4B-BB8E-AE64A0F66254}">
      <text>
        <r>
          <rPr>
            <sz val="11"/>
            <color theme="1"/>
            <rFont val="Arial"/>
            <family val="2"/>
            <charset val="162"/>
          </rPr>
          <t>======
ID#AAAAJviLRGo
Yazar    (2020-07-05 18:02:42)
Hysteretic curve not available</t>
        </r>
      </text>
    </comment>
    <comment ref="B495" authorId="0" shapeId="0" xr:uid="{227238E9-D3FD-7944-8D30-01588B501862}">
      <text>
        <r>
          <rPr>
            <sz val="11"/>
            <color theme="1"/>
            <rFont val="Arial"/>
            <family val="2"/>
            <charset val="162"/>
          </rPr>
          <t>======
ID#AAAAJviLRKk
Yazar    (2020-07-05 18:02:42)
%1 Drift Ratio criterion is not fulfilled.</t>
        </r>
      </text>
    </comment>
    <comment ref="B496" authorId="0" shapeId="0" xr:uid="{0EF71873-8948-0141-9579-17190AFF73FC}">
      <text>
        <r>
          <rPr>
            <sz val="11"/>
            <color theme="1"/>
            <rFont val="Arial"/>
            <family val="2"/>
            <charset val="162"/>
          </rPr>
          <t>======
ID#AAAAJviLRJ4
Yazar    (2020-07-05 18:02:42)
Hysteretic curve not available</t>
        </r>
      </text>
    </comment>
    <comment ref="A505" authorId="0" shapeId="0" xr:uid="{22931CE8-948A-F844-8946-A62C2BC94422}">
      <text>
        <r>
          <rPr>
            <sz val="11"/>
            <color theme="1"/>
            <rFont val="Arial"/>
            <family val="2"/>
            <charset val="162"/>
          </rPr>
          <t>======
ID#AAAAJviLRO0
Yazar    (2020-07-05 18:02:42)
Girilen Uç bölgesi boyutları yanlış</t>
        </r>
      </text>
    </comment>
    <comment ref="B509" authorId="0" shapeId="0" xr:uid="{0C03E660-CA72-E947-BA79-EA5707221668}">
      <text>
        <r>
          <rPr>
            <sz val="11"/>
            <color theme="1"/>
            <rFont val="Arial"/>
            <family val="2"/>
            <charset val="162"/>
          </rPr>
          <t>======
ID#AAAAJviLROQ
Yazar    (2020-07-05 18:02:42)
%1 Drift Ratio criterion is not fulfilled.</t>
        </r>
      </text>
    </comment>
    <comment ref="B510" authorId="0" shapeId="0" xr:uid="{4C60B158-9926-5749-A341-4D409B9DDF32}">
      <text>
        <r>
          <rPr>
            <sz val="11"/>
            <color theme="1"/>
            <rFont val="Arial"/>
            <family val="2"/>
            <charset val="162"/>
          </rPr>
          <t>======
ID#AAAAJviLRNQ
Yazar    (2020-07-05 18:02:42)
%1 Drift Ratio criterion is not fulfilled.</t>
        </r>
      </text>
    </comment>
    <comment ref="B511" authorId="0" shapeId="0" xr:uid="{79C4F208-857F-6040-99FD-B49C4949CE1B}">
      <text>
        <r>
          <rPr>
            <sz val="11"/>
            <color theme="1"/>
            <rFont val="Arial"/>
            <family val="2"/>
            <charset val="162"/>
          </rPr>
          <t>======
ID#AAAAJviLRHM
Yazar    (2020-07-05 18:02:42)
%1 Drift Ratio criterion is not fulfilled.</t>
        </r>
      </text>
    </comment>
    <comment ref="B512" authorId="0" shapeId="0" xr:uid="{78510F0C-5FB5-8E45-BA0F-2BF10334D969}">
      <text>
        <r>
          <rPr>
            <sz val="11"/>
            <color theme="1"/>
            <rFont val="Arial"/>
            <family val="2"/>
            <charset val="162"/>
          </rPr>
          <t>======
ID#AAAAJviLRKU
Yazar    (2020-07-05 18:02:42)
%1 Drift Ratio criterion is not fulfilled.</t>
        </r>
      </text>
    </comment>
    <comment ref="B513" authorId="0" shapeId="0" xr:uid="{B3549DC1-100A-2845-A9F6-BB26D28B30F2}">
      <text>
        <r>
          <rPr>
            <sz val="11"/>
            <color theme="1"/>
            <rFont val="Arial"/>
            <family val="2"/>
            <charset val="162"/>
          </rPr>
          <t>======
ID#AAAAJviLRLs
Yazar    (2020-07-05 18:02:42)
%1 Drift Ratio criterion is not fulfilled.</t>
        </r>
      </text>
    </comment>
    <comment ref="B514" authorId="0" shapeId="0" xr:uid="{1CD351C5-70E6-7D43-AE9E-0F1D2BDAB506}">
      <text>
        <r>
          <rPr>
            <sz val="11"/>
            <color theme="1"/>
            <rFont val="Arial"/>
            <family val="2"/>
            <charset val="162"/>
          </rPr>
          <t>======
ID#AAAAJviLRJM
Yazar    (2020-07-05 18:02:42)
%1 Drift Ratio criterion is not fulfilled.</t>
        </r>
      </text>
    </comment>
    <comment ref="B515" authorId="0" shapeId="0" xr:uid="{9011802E-D14E-654E-96B7-9369E40203F5}">
      <text>
        <r>
          <rPr>
            <sz val="11"/>
            <color theme="1"/>
            <rFont val="Arial"/>
            <family val="2"/>
            <charset val="162"/>
          </rPr>
          <t>======
ID#AAAAJviLRI4
Yazar    (2020-07-05 18:02:42)
1% Drift Ratio'ya ulaşamamıştır.</t>
        </r>
      </text>
    </comment>
    <comment ref="B516" authorId="0" shapeId="0" xr:uid="{89372BE1-4147-0D46-B99B-519BFE794A00}">
      <text>
        <r>
          <rPr>
            <sz val="11"/>
            <color theme="1"/>
            <rFont val="Arial"/>
            <family val="2"/>
            <charset val="162"/>
          </rPr>
          <t>======
ID#AAAAJviLRM0
Yazar    (2020-07-05 18:02:42)
%1 Drift Ratio criterion is not fulfilled.</t>
        </r>
      </text>
    </comment>
    <comment ref="B517" authorId="0" shapeId="0" xr:uid="{6883C938-5DAE-8542-84F9-2659FBF9AA60}">
      <text>
        <r>
          <rPr>
            <sz val="11"/>
            <color theme="1"/>
            <rFont val="Arial"/>
            <family val="2"/>
            <charset val="162"/>
          </rPr>
          <t>======
ID#AAAAJviLRKc
Yazar    (2020-07-05 18:02:42)
1% Drift Ratio'ya ulaşamamıştır.</t>
        </r>
      </text>
    </comment>
    <comment ref="B518" authorId="0" shapeId="0" xr:uid="{FE70B8C0-43F8-584B-8CB8-567D3D26CA81}">
      <text>
        <r>
          <rPr>
            <sz val="11"/>
            <color theme="1"/>
            <rFont val="Arial"/>
            <family val="2"/>
            <charset val="162"/>
          </rPr>
          <t>======
ID#AAAAJviLRL4
Yazar    (2020-07-05 18:02:42)
%1 Drift Ratio criterion is not fulfilled.</t>
        </r>
      </text>
    </comment>
    <comment ref="A519" authorId="0" shapeId="0" xr:uid="{1FAD5109-4B0A-B749-AA4A-F699D86D23A9}">
      <text>
        <r>
          <rPr>
            <sz val="11"/>
            <color theme="1"/>
            <rFont val="Arial"/>
            <family val="2"/>
            <charset val="162"/>
          </rPr>
          <t>======
ID#AAAAJviLRIk
Yazar    (2020-07-05 18:02:42)
Specimens W-60-C and W-40-C that were stopped because the limits of
the setup were reached.</t>
        </r>
      </text>
    </comment>
    <comment ref="B519" authorId="0" shapeId="0" xr:uid="{67C683E2-4408-2041-AF12-92720D317420}">
      <text>
        <r>
          <rPr>
            <sz val="11"/>
            <color theme="1"/>
            <rFont val="Arial"/>
            <family val="2"/>
            <charset val="162"/>
          </rPr>
          <t>======
ID#AAAAJviLROE
Yazar    (2020-07-05 18:02:42)
This specimen did not fail:
specimens W-60-C and W-40-C that were stopped because the limits of
the setup were reached. In</t>
        </r>
      </text>
    </comment>
    <comment ref="B520" authorId="0" shapeId="0" xr:uid="{A56DDEE6-F23E-314B-B1A0-94D2F5D1461E}">
      <text>
        <r>
          <rPr>
            <sz val="11"/>
            <color theme="1"/>
            <rFont val="Arial"/>
            <family val="2"/>
            <charset val="162"/>
          </rPr>
          <t>======
ID#AAAAJviLRLM
Yazar    (2020-07-05 18:02:42)
This specimen did not fail:
specimens W-60-C and W-40-C that were stopped because the limits of
the setup were reached. In</t>
        </r>
      </text>
    </comment>
    <comment ref="A521" authorId="0" shapeId="0" xr:uid="{B9035EE7-5FBB-9947-AEAE-9BF20AC7BB64}">
      <text>
        <r>
          <rPr>
            <sz val="11"/>
            <color theme="1"/>
            <rFont val="Arial"/>
            <family val="2"/>
            <charset val="162"/>
          </rPr>
          <t>======
ID#AAAAJviLRGs
Yazar    (2020-07-05 18:02:42)
Data from University of Patras incompatible with the data from the paper. No other reference was found for controlling purposes</t>
        </r>
      </text>
    </comment>
    <comment ref="A527" authorId="0" shapeId="0" xr:uid="{9BEF12CD-5DD8-234A-BDEA-E65EF167307C}">
      <text>
        <r>
          <rPr>
            <sz val="11"/>
            <color theme="1"/>
            <rFont val="Arial"/>
            <family val="2"/>
            <charset val="162"/>
          </rPr>
          <t>======
ID#AAAAJviLRKE
Yazar    (2020-07-05 18:02:42)
Hysteretic curves are not proper for the project purposes.</t>
        </r>
      </text>
    </comment>
    <comment ref="A546" authorId="0" shapeId="0" xr:uid="{7229349F-9A05-C24E-953A-4E8E3A2BF4DF}">
      <text>
        <r>
          <rPr>
            <sz val="11"/>
            <color theme="1"/>
            <rFont val="Arial"/>
            <family val="2"/>
            <charset val="162"/>
          </rPr>
          <t>======
ID#AAAAJviLRJk
Yazar    (2020-07-05 18:02:42)
Axial Load varies throughout the test.</t>
        </r>
      </text>
    </comment>
    <comment ref="B557" authorId="0" shapeId="0" xr:uid="{69000192-9D62-0947-AF65-18464D0DB99C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58" authorId="0" shapeId="0" xr:uid="{89547A9C-4EA9-E846-AB1F-A46341247CF2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59" authorId="0" shapeId="0" xr:uid="{6ACB78C0-6C81-4E43-A97D-9A323A43D288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60" authorId="0" shapeId="0" xr:uid="{1B21BB49-E790-8344-9312-A3CBA91582C5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61" authorId="0" shapeId="0" xr:uid="{25D3E07F-79F4-5C48-96A9-B5C9A1C09CA6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62" authorId="0" shapeId="0" xr:uid="{AC2F14A0-29B7-794F-813B-4EC1A4A9CA67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63" authorId="0" shapeId="0" xr:uid="{659CA286-8C8A-F34C-98FB-D2130C3B7737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64" authorId="0" shapeId="0" xr:uid="{A6CD8491-DAF3-234E-AB40-1E96F25E8145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65" authorId="0" shapeId="0" xr:uid="{45EB9EF3-7F2A-F141-9C9E-FCFBDC4EF24B}">
      <text>
        <r>
          <rPr>
            <b/>
            <sz val="9"/>
            <color indexed="81"/>
            <rFont val="Tahoma"/>
            <family val="2"/>
            <charset val="162"/>
          </rPr>
          <t>Author:</t>
        </r>
        <r>
          <rPr>
            <sz val="9"/>
            <color indexed="81"/>
            <rFont val="Tahoma"/>
            <family val="2"/>
            <charset val="162"/>
          </rPr>
          <t xml:space="preserve">
Digitisation was not successful</t>
        </r>
      </text>
    </comment>
    <comment ref="B566" authorId="0" shapeId="0" xr:uid="{21576A6C-12D0-DD4B-8EF9-333D17BB9FFB}">
      <text>
        <r>
          <rPr>
            <sz val="11"/>
            <color theme="1"/>
            <rFont val="Arial"/>
            <family val="2"/>
            <charset val="162"/>
          </rPr>
          <t>======
ID#AAAAJviLRHU
Yazar    (2020-07-05 18:02:42)
Two 10 &amp; 7 storey frames with shear walls were tested. Not appropriate for the project purposes</t>
        </r>
      </text>
    </comment>
    <comment ref="A568" authorId="0" shapeId="0" xr:uid="{70F7D3E3-F0F7-534D-AECD-47C4AC37CDA4}">
      <text>
        <r>
          <rPr>
            <sz val="11"/>
            <color theme="1"/>
            <rFont val="Arial"/>
            <family val="2"/>
            <charset val="162"/>
          </rPr>
          <t>======
ID#AAAAJviLRKo
Yazar    (2020-07-05 18:02:42)
Asymmetric specimen with asymmetric loading protocol.</t>
        </r>
      </text>
    </comment>
    <comment ref="B570" authorId="0" shapeId="0" xr:uid="{01AEBC19-B30C-6040-B046-6ED79688AF33}">
      <text>
        <r>
          <rPr>
            <sz val="11"/>
            <color theme="1"/>
            <rFont val="Arial"/>
            <family val="2"/>
            <charset val="162"/>
          </rPr>
          <t>======
ID#AAAAJviLRHw
Yazar    (2020-07-05 18:02:42)
%1 Drift Ratio criterion is not fulfilled.</t>
        </r>
      </text>
    </comment>
    <comment ref="B571" authorId="0" shapeId="0" xr:uid="{750ABA7E-008C-F344-9E17-B6E3D18E1F53}">
      <text>
        <r>
          <rPr>
            <sz val="11"/>
            <color theme="1"/>
            <rFont val="Arial"/>
            <family val="2"/>
            <charset val="162"/>
          </rPr>
          <t>======
ID#AAAAJviLRJQ
Yazar    (2020-07-05 18:02:42)
%1 Drift Ratio criterion is not fulfilled.</t>
        </r>
      </text>
    </comment>
    <comment ref="B573" authorId="0" shapeId="0" xr:uid="{D3399F6E-EDA4-F349-942F-1335015BFC34}">
      <text>
        <r>
          <rPr>
            <sz val="11"/>
            <color theme="1"/>
            <rFont val="Arial"/>
            <family val="2"/>
            <charset val="162"/>
          </rPr>
          <t>======
ID#AAAAJviLRHE
Yazar    (2020-07-05 18:02:42)
Specimens T2-S1 and T2-S2 differed in
terms of anchorage conditions of horizontal web reinforcement:
Specimen T2-S1 had U-cap hooks at the ends of the horizontal web bars,
while specimen T2-S2, as well as all other specimens, had 180° hooks at
the end of the horizontal bars</t>
        </r>
      </text>
    </comment>
    <comment ref="B574" authorId="0" shapeId="0" xr:uid="{AD473B30-E224-4841-9F1A-003654B81B8E}">
      <text>
        <r>
          <rPr>
            <sz val="11"/>
            <color theme="1"/>
            <rFont val="Arial"/>
            <family val="2"/>
            <charset val="162"/>
          </rPr>
          <t>======
ID#AAAAJviLRGw
Yazar    (2020-07-05 18:02:42)
%1 drift ratio criterion is not fulfilled.</t>
        </r>
      </text>
    </comment>
    <comment ref="B575" authorId="0" shapeId="0" xr:uid="{73D91A87-6B72-8F45-B0C1-B18410D36D5F}">
      <text>
        <r>
          <rPr>
            <sz val="11"/>
            <color theme="1"/>
            <rFont val="Arial"/>
            <family val="2"/>
            <charset val="162"/>
          </rPr>
          <t>======
ID#AAAAJviLRJA
Yazar    (2020-07-05 18:02:42)
%1 drift ratio criterion is not fulfilled.</t>
        </r>
      </text>
    </comment>
    <comment ref="B576" authorId="0" shapeId="0" xr:uid="{78781E45-3269-5945-B66B-FC1CDF0C51B7}">
      <text>
        <r>
          <rPr>
            <sz val="11"/>
            <color theme="1"/>
            <rFont val="Arial"/>
            <family val="2"/>
            <charset val="162"/>
          </rPr>
          <t>======
ID#AAAAJviLRMM
Yazar    (2020-07-05 18:02:42)
%1 drift ratio criterion is not fulfilled.</t>
        </r>
      </text>
    </comment>
    <comment ref="B577" authorId="0" shapeId="0" xr:uid="{6C40F038-C505-AB4C-B3DB-5F73C92A8140}">
      <text>
        <r>
          <rPr>
            <sz val="11"/>
            <color theme="1"/>
            <rFont val="Arial"/>
            <family val="2"/>
            <charset val="162"/>
          </rPr>
          <t>======
ID#AAAAJviLRIQ
Yazar    (2020-07-05 18:02:42)
Yazar:
%1 drift ratio criterion is not fulfilled.</t>
        </r>
      </text>
    </comment>
    <comment ref="B578" authorId="0" shapeId="0" xr:uid="{09C623FE-D0C6-8B45-AC89-767489613148}">
      <text>
        <r>
          <rPr>
            <sz val="11"/>
            <color theme="1"/>
            <rFont val="Arial"/>
            <family val="2"/>
            <charset val="162"/>
          </rPr>
          <t>======
ID#AAAAJviLRKw
Yazar    (2020-07-05 18:02:42)
Digitisation was not possible as two hysteretic curves have been drawn in one figure (on top of eachother)</t>
        </r>
      </text>
    </comment>
    <comment ref="B579" authorId="0" shapeId="0" xr:uid="{17EB2311-10C9-544C-88AE-0BBD5FEA9A0E}">
      <text>
        <r>
          <rPr>
            <sz val="11"/>
            <color theme="1"/>
            <rFont val="Arial"/>
            <family val="2"/>
            <charset val="162"/>
          </rPr>
          <t>======
ID#AAAAJviLRG8
Yazar    (2020-07-05 18:02:42)
Digitisation was not possible as two hysteretic curves have been drawn in one figure (on top of eachother)</t>
        </r>
      </text>
    </comment>
    <comment ref="B580" authorId="0" shapeId="0" xr:uid="{0019466B-D3EA-3745-941D-7D33605B12D6}">
      <text>
        <r>
          <rPr>
            <sz val="11"/>
            <color theme="1"/>
            <rFont val="Arial"/>
            <family val="2"/>
            <charset val="162"/>
          </rPr>
          <t>======
ID#AAAAJviLRMw
Yazar    (2020-07-05 18:02:42)
Hysteretic curve not available</t>
        </r>
      </text>
    </comment>
    <comment ref="B581" authorId="0" shapeId="0" xr:uid="{EE4758CF-28BB-B643-B90C-9DC77B5A71A4}">
      <text>
        <r>
          <rPr>
            <sz val="11"/>
            <color theme="1"/>
            <rFont val="Arial"/>
            <family val="2"/>
            <charset val="162"/>
          </rPr>
          <t>======
ID#AAAAJviLRHI
Yazar    (2020-07-05 18:02:42)
Hysteretic curve and backbone curve not available</t>
        </r>
      </text>
    </comment>
    <comment ref="B582" authorId="0" shapeId="0" xr:uid="{41517BD0-FACD-E14F-9759-578FBC56DE0B}">
      <text>
        <r>
          <rPr>
            <sz val="11"/>
            <color theme="1"/>
            <rFont val="Arial"/>
            <family val="2"/>
            <charset val="162"/>
          </rPr>
          <t>======
ID#AAAAJviLRNY
Yazar    (2020-07-05 18:02:42)
Hysteretic curve and backbone curve not available</t>
        </r>
      </text>
    </comment>
    <comment ref="B583" authorId="0" shapeId="0" xr:uid="{52F802EA-69D8-3B48-A7E7-876A9C839BC4}">
      <text>
        <r>
          <rPr>
            <sz val="11"/>
            <color theme="1"/>
            <rFont val="Arial"/>
            <family val="2"/>
            <charset val="162"/>
          </rPr>
          <t>======
ID#AAAAJviLRFo
Yazar    (2020-07-05 18:02:42)
Hysteretic curves for specimens W48M6, W48M4, W72M8, W96M8 not available</t>
        </r>
      </text>
    </comment>
    <comment ref="B584" authorId="0" shapeId="0" xr:uid="{9427D78E-60DE-4F45-89FE-F7716E88899E}">
      <text>
        <r>
          <rPr>
            <sz val="11"/>
            <color theme="1"/>
            <rFont val="Arial"/>
            <family val="2"/>
            <charset val="162"/>
          </rPr>
          <t>======
ID#AAAAJviLRHA
Yazar    (2020-07-05 18:02:42)
Hysteretic curves for specimens W48M6, W48M4, W72M8, W96M8 not available</t>
        </r>
      </text>
    </comment>
  </commentList>
</comments>
</file>

<file path=xl/sharedStrings.xml><?xml version="1.0" encoding="utf-8"?>
<sst xmlns="http://schemas.openxmlformats.org/spreadsheetml/2006/main" count="990" uniqueCount="745">
  <si>
    <t>Paper No</t>
  </si>
  <si>
    <t>Specimen</t>
  </si>
  <si>
    <t>Wall Geometry (in mm)</t>
  </si>
  <si>
    <t>Shear Span Ratio</t>
  </si>
  <si>
    <t>Aspect Ratio</t>
  </si>
  <si>
    <t>Walls Cross Section</t>
  </si>
  <si>
    <t>Failure Type</t>
  </si>
  <si>
    <t>Curvature Type</t>
  </si>
  <si>
    <t>Axial Load Ratio</t>
  </si>
  <si>
    <t>Loading Protocol</t>
  </si>
  <si>
    <t>ρl fyl/fc</t>
  </si>
  <si>
    <t>ρt fyt/fc</t>
  </si>
  <si>
    <t>ρsh fysh/fc</t>
  </si>
  <si>
    <t>ρbl fybl/fc</t>
  </si>
  <si>
    <t>Maximum Shear Force</t>
  </si>
  <si>
    <t>Thickness</t>
  </si>
  <si>
    <t>Length</t>
  </si>
  <si>
    <t>Height</t>
  </si>
  <si>
    <t>fc (MPa)</t>
  </si>
  <si>
    <t>ρbl (%)</t>
  </si>
  <si>
    <t>fy (MPa)</t>
  </si>
  <si>
    <t>ρt (%)</t>
  </si>
  <si>
    <t>ρl (%)</t>
  </si>
  <si>
    <t>Force (kN)</t>
  </si>
  <si>
    <t>Abdulridha &amp; Palermo (2017)</t>
  </si>
  <si>
    <t>W1-SR</t>
  </si>
  <si>
    <t>-</t>
  </si>
  <si>
    <t>[114] Adajar et al.1995</t>
  </si>
  <si>
    <t>RCW1</t>
  </si>
  <si>
    <t>RCW3</t>
  </si>
  <si>
    <t>[98] Adebar,2007</t>
  </si>
  <si>
    <t>High-Rise Core Wall (265)</t>
  </si>
  <si>
    <t>[26] Alarcon,2014</t>
  </si>
  <si>
    <t>W1 (49)</t>
  </si>
  <si>
    <t>W2 (50)</t>
  </si>
  <si>
    <t>W3 (51)</t>
  </si>
  <si>
    <t>[82] Ali,1991</t>
  </si>
  <si>
    <t>W1 (221)</t>
  </si>
  <si>
    <t>[33] Altın,2013</t>
  </si>
  <si>
    <t>1 (Reference) (65)</t>
  </si>
  <si>
    <t>Athanasopoulou (2010)</t>
  </si>
  <si>
    <t>S1</t>
  </si>
  <si>
    <t>S4</t>
  </si>
  <si>
    <t>S6</t>
  </si>
  <si>
    <t>S9</t>
  </si>
  <si>
    <t>[117]  Baek et al.2017</t>
  </si>
  <si>
    <t>NS2</t>
  </si>
  <si>
    <t>HS2</t>
  </si>
  <si>
    <t>NS2L</t>
  </si>
  <si>
    <t>HS2L</t>
  </si>
  <si>
    <t>NF2</t>
  </si>
  <si>
    <t>HF2</t>
  </si>
  <si>
    <t>HF2-500</t>
  </si>
  <si>
    <t>HF2-600</t>
  </si>
  <si>
    <t>[153]  Baek et al.2017</t>
  </si>
  <si>
    <t>NS1M</t>
  </si>
  <si>
    <t>HS1M</t>
  </si>
  <si>
    <t>NF1M</t>
  </si>
  <si>
    <t>HF1M</t>
  </si>
  <si>
    <t>HF1M-B</t>
  </si>
  <si>
    <t>NF1T-B</t>
  </si>
  <si>
    <t>HF1T-B</t>
  </si>
  <si>
    <t>NS0.5M</t>
  </si>
  <si>
    <t>HS0.5M</t>
  </si>
  <si>
    <t>NF0.5M</t>
  </si>
  <si>
    <t>HF0.5M</t>
  </si>
  <si>
    <t>HF0.5M-B</t>
  </si>
  <si>
    <t>[154]  Baek et al.2018</t>
  </si>
  <si>
    <t>SW1</t>
  </si>
  <si>
    <t>SW2</t>
  </si>
  <si>
    <t>SW3</t>
  </si>
  <si>
    <t>SW4</t>
  </si>
  <si>
    <t>SW5</t>
  </si>
  <si>
    <t>SW6</t>
  </si>
  <si>
    <t>FW1</t>
  </si>
  <si>
    <t>FW2</t>
  </si>
  <si>
    <t>FW3</t>
  </si>
  <si>
    <t>FW4</t>
  </si>
  <si>
    <t>[72] Barda,1977</t>
  </si>
  <si>
    <t>B3-2 (173)</t>
  </si>
  <si>
    <t>B6-4 (176)</t>
  </si>
  <si>
    <t>B7-5 (177)</t>
  </si>
  <si>
    <t>B8-5 (178)</t>
  </si>
  <si>
    <t>Basereh, 2021</t>
  </si>
  <si>
    <t>M1</t>
  </si>
  <si>
    <t>Bastami, 2023</t>
  </si>
  <si>
    <t>H15</t>
  </si>
  <si>
    <t>H10</t>
  </si>
  <si>
    <t>[100] Belmouden, Lestuzzi (2006)</t>
  </si>
  <si>
    <t>WSH2</t>
  </si>
  <si>
    <t>'Loading Protocole'!A20</t>
  </si>
  <si>
    <t>WSH3</t>
  </si>
  <si>
    <t>WSH4</t>
  </si>
  <si>
    <t>WSH6</t>
  </si>
  <si>
    <t>[118] Cheng et al.2016</t>
  </si>
  <si>
    <t>M60</t>
  </si>
  <si>
    <t>M115</t>
  </si>
  <si>
    <t>H60</t>
  </si>
  <si>
    <t>H115</t>
  </si>
  <si>
    <t>H60X</t>
  </si>
  <si>
    <t>[174] Cheng et al.2023</t>
  </si>
  <si>
    <t>RCW</t>
  </si>
  <si>
    <t>[139] Cho
(2004)</t>
  </si>
  <si>
    <t>W3</t>
  </si>
  <si>
    <t>No data</t>
  </si>
  <si>
    <t>Choi et al (2022)</t>
  </si>
  <si>
    <t>SOLID</t>
  </si>
  <si>
    <t>[121] Christidis et al.2016</t>
  </si>
  <si>
    <r>
      <t>W</t>
    </r>
    <r>
      <rPr>
        <vertAlign val="subscript"/>
        <sz val="10"/>
        <color theme="1"/>
        <rFont val="Arial"/>
        <family val="2"/>
        <charset val="162"/>
      </rPr>
      <t>13</t>
    </r>
  </si>
  <si>
    <t>'Loading Protocole'!A240</t>
  </si>
  <si>
    <t>[121] Christidis et al.2017</t>
  </si>
  <si>
    <t>W7</t>
  </si>
  <si>
    <t>W9</t>
  </si>
  <si>
    <t>W11</t>
  </si>
  <si>
    <t>[125] Cortés-Puentes 
(2018)</t>
  </si>
  <si>
    <t>SQ1</t>
  </si>
  <si>
    <t>SQ1a</t>
  </si>
  <si>
    <t>SQ2</t>
  </si>
  <si>
    <t>[145] Dabbagh 2005</t>
  </si>
  <si>
    <t>'Loading Protocole'!A771</t>
  </si>
  <si>
    <t>[1] Dazio, 2009</t>
  </si>
  <si>
    <t>WSH1 (1)</t>
  </si>
  <si>
    <t>'Loading Protocole'!A380</t>
  </si>
  <si>
    <t>WSH2 (2)</t>
  </si>
  <si>
    <t>WSH3 (3)</t>
  </si>
  <si>
    <t>WSH4 (4)</t>
  </si>
  <si>
    <t>WSH5 (5)</t>
  </si>
  <si>
    <t>WSH6 (6)</t>
  </si>
  <si>
    <t>[140] Deng et al,
(2008)</t>
  </si>
  <si>
    <t>HPCW-01</t>
  </si>
  <si>
    <t>F3I-Y-D3I</t>
  </si>
  <si>
    <t>HPCW-02</t>
  </si>
  <si>
    <t>HPCW-03</t>
  </si>
  <si>
    <t>HPCW-04</t>
  </si>
  <si>
    <t>Deng et al., (2017)</t>
  </si>
  <si>
    <t>S5</t>
  </si>
  <si>
    <t>Dina et al, (2023)</t>
  </si>
  <si>
    <t>WR-1</t>
  </si>
  <si>
    <t>WR-2</t>
  </si>
  <si>
    <t>Ding et al., (2023)</t>
  </si>
  <si>
    <t>SWY1</t>
  </si>
  <si>
    <t>SWY2</t>
  </si>
  <si>
    <t>Ding et al., (2024)</t>
  </si>
  <si>
    <t>SW-0.45</t>
  </si>
  <si>
    <t>[122] El-Azizy et al.2015</t>
  </si>
  <si>
    <t>W1</t>
  </si>
  <si>
    <t>W2</t>
  </si>
  <si>
    <t>W4</t>
  </si>
  <si>
    <t>W5</t>
  </si>
  <si>
    <t>W6</t>
  </si>
  <si>
    <t>El-Kady et al. 2022</t>
  </si>
  <si>
    <t>[108] Elnashai&amp;Pinho 1998</t>
  </si>
  <si>
    <t>original</t>
  </si>
  <si>
    <t>[173] Faraone et al., (2019)</t>
  </si>
  <si>
    <t>Slender Wall</t>
  </si>
  <si>
    <t>Ghazizadeh &amp; Cruz-Noguez (2018)</t>
  </si>
  <si>
    <t>Control Wall</t>
  </si>
  <si>
    <t>[144]Ghorbani-Renani et al
(2009)</t>
  </si>
  <si>
    <t>A2C</t>
  </si>
  <si>
    <t>B2C</t>
  </si>
  <si>
    <t>[22] Greifenhagen, 2005</t>
  </si>
  <si>
    <t>M1 (42)</t>
  </si>
  <si>
    <t>M2 (43)</t>
  </si>
  <si>
    <t>M3 (44)</t>
  </si>
  <si>
    <t>M4 (45)</t>
  </si>
  <si>
    <t>[116] Gu et al. 2019</t>
  </si>
  <si>
    <t>XQB-1</t>
  </si>
  <si>
    <t>'Loading Protocole'!A180</t>
  </si>
  <si>
    <t>[161] Han et al (2002)</t>
  </si>
  <si>
    <t>[147] Han et al.2018</t>
  </si>
  <si>
    <t>IW1</t>
  </si>
  <si>
    <t>IW2</t>
  </si>
  <si>
    <t>IW3</t>
  </si>
  <si>
    <t>IW4</t>
  </si>
  <si>
    <t>IW5</t>
  </si>
  <si>
    <t>IW6</t>
  </si>
  <si>
    <t>IW7</t>
  </si>
  <si>
    <t>IW8</t>
  </si>
  <si>
    <t>IW9</t>
  </si>
  <si>
    <t>IW10</t>
  </si>
  <si>
    <t>IW11</t>
  </si>
  <si>
    <t>IW12</t>
  </si>
  <si>
    <t>IW13</t>
  </si>
  <si>
    <t>IW14</t>
  </si>
  <si>
    <t>IW15</t>
  </si>
  <si>
    <t>IW16</t>
  </si>
  <si>
    <t>IW17</t>
  </si>
  <si>
    <t>IW18</t>
  </si>
  <si>
    <t>IW19</t>
  </si>
  <si>
    <t>IW20</t>
  </si>
  <si>
    <t>[54;55] Hidalgo,2002</t>
  </si>
  <si>
    <t>1 (131)</t>
  </si>
  <si>
    <t>2 (132)</t>
  </si>
  <si>
    <t>4 (133)</t>
  </si>
  <si>
    <t>6 (134)</t>
  </si>
  <si>
    <t>7 (135)</t>
  </si>
  <si>
    <t>8 (136)</t>
  </si>
  <si>
    <t>9 (137)</t>
  </si>
  <si>
    <t>10 (138)</t>
  </si>
  <si>
    <t>11 (139)</t>
  </si>
  <si>
    <t>12 (140)</t>
  </si>
  <si>
    <t>13 (141)</t>
  </si>
  <si>
    <t>14 (142)</t>
  </si>
  <si>
    <t>15 (143)</t>
  </si>
  <si>
    <t>16 (144)</t>
  </si>
  <si>
    <t>Hu et al (2021)</t>
  </si>
  <si>
    <t>RC40</t>
  </si>
  <si>
    <t>[27] Hube,2014</t>
  </si>
  <si>
    <t>W4 (52)</t>
  </si>
  <si>
    <t>W5 (53)</t>
  </si>
  <si>
    <t>W6 (54)</t>
  </si>
  <si>
    <t>W7 (55)</t>
  </si>
  <si>
    <t>W8 (56)</t>
  </si>
  <si>
    <t>W9 (57)</t>
  </si>
  <si>
    <t>[138] Hwang
(2004)</t>
  </si>
  <si>
    <t>WF-12</t>
  </si>
  <si>
    <t>D2I-N-D2I</t>
  </si>
  <si>
    <t>WF-15</t>
  </si>
  <si>
    <t>[92] Ji,2002</t>
  </si>
  <si>
    <t>SW-1 (239)</t>
  </si>
  <si>
    <t>SW-2 (240)</t>
  </si>
  <si>
    <t>[93] Jiang,1999</t>
  </si>
  <si>
    <t>SSW-T (241)</t>
  </si>
  <si>
    <t>DSW-T (242)</t>
  </si>
  <si>
    <t>[135] Jiang et al
(2013)</t>
  </si>
  <si>
    <t>F1I-Y-D3I</t>
  </si>
  <si>
    <t>SW7</t>
  </si>
  <si>
    <t>Jiang et al., (2022)</t>
  </si>
  <si>
    <t>W0</t>
  </si>
  <si>
    <t>[52] Kabeyasawa-Hiraishi,1993</t>
  </si>
  <si>
    <t>NW-1 (90)</t>
  </si>
  <si>
    <t>NW-2 (91)</t>
  </si>
  <si>
    <t>NW-3 (92)</t>
  </si>
  <si>
    <t>NW-4 (93)</t>
  </si>
  <si>
    <t>NW-5 (94)</t>
  </si>
  <si>
    <t>NW-6 (95)</t>
  </si>
  <si>
    <t>W-08 (96)</t>
  </si>
  <si>
    <t>W-12 (97)</t>
  </si>
  <si>
    <t>NO.1 (98)</t>
  </si>
  <si>
    <t>NO.2 (99)</t>
  </si>
  <si>
    <t>NO.3 (100)</t>
  </si>
  <si>
    <t>NO.4 (101)</t>
  </si>
  <si>
    <t>NO.5 (102)</t>
  </si>
  <si>
    <t>NO.6 (103)</t>
  </si>
  <si>
    <t>NO.7 (104)</t>
  </si>
  <si>
    <t>NO.8 (105)</t>
  </si>
  <si>
    <t>TAK01 (124)</t>
  </si>
  <si>
    <t>TAK02 (125)</t>
  </si>
  <si>
    <t>TAK03 (126)</t>
  </si>
  <si>
    <t>MAE03 (111)</t>
  </si>
  <si>
    <t>MAE07 (112)</t>
  </si>
  <si>
    <t>W72M6 (116)</t>
  </si>
  <si>
    <t>SMZ01 (119)</t>
  </si>
  <si>
    <t>SMZ03 (120)</t>
  </si>
  <si>
    <t>[164] Kim et al., (2021)</t>
  </si>
  <si>
    <t>WS0</t>
  </si>
  <si>
    <t>WN0</t>
  </si>
  <si>
    <t>WS4</t>
  </si>
  <si>
    <t>Kim et al, (2021)</t>
  </si>
  <si>
    <t>[152] Kimura and Sugano 1996</t>
  </si>
  <si>
    <t>W8N18 (121)</t>
  </si>
  <si>
    <t>W8N13 (122)</t>
  </si>
  <si>
    <t>W8N8H (123)</t>
  </si>
  <si>
    <t>W4N18</t>
  </si>
  <si>
    <t>W4N18C</t>
  </si>
  <si>
    <t>Kisa et al. 2021</t>
  </si>
  <si>
    <t>SW</t>
  </si>
  <si>
    <t>Kou et al., (2021)</t>
  </si>
  <si>
    <t>[40] Kuang,2007</t>
  </si>
  <si>
    <t>N-1,0 (76)</t>
  </si>
  <si>
    <t>M-1,0-H (77)</t>
  </si>
  <si>
    <t>M-1,0-2H (78)</t>
  </si>
  <si>
    <t>M-1,0-SH (79)</t>
  </si>
  <si>
    <t>M-1,0-J (80)</t>
  </si>
  <si>
    <t>M-1,0-T (81)</t>
  </si>
  <si>
    <t>[76] Lefas-Kotsovos ,1990</t>
  </si>
  <si>
    <t>Lefas_SW31 (212)</t>
  </si>
  <si>
    <t>Lefas_SW32</t>
  </si>
  <si>
    <t>SW33 (214)</t>
  </si>
  <si>
    <t xml:space="preserve">[141] Li et al, 
(2015) </t>
  </si>
  <si>
    <t>LW1</t>
  </si>
  <si>
    <t>D1I-N-D2I</t>
  </si>
  <si>
    <t>LW2</t>
  </si>
  <si>
    <t>LW3</t>
  </si>
  <si>
    <t>LW4</t>
  </si>
  <si>
    <t>LW5</t>
  </si>
  <si>
    <t>MW1</t>
  </si>
  <si>
    <t>MW2</t>
  </si>
  <si>
    <t>MW3</t>
  </si>
  <si>
    <t>Li et al., (2023)</t>
  </si>
  <si>
    <t>SW-N-0</t>
  </si>
  <si>
    <t>Li et al., (2024)</t>
  </si>
  <si>
    <t>RC</t>
  </si>
  <si>
    <t>[172] Liu, (2004)</t>
  </si>
  <si>
    <t>[106]&amp;[107] Lombard et al.2000</t>
  </si>
  <si>
    <t>1' (Control Wall)</t>
  </si>
  <si>
    <t>'Loading Protocole'!A120</t>
  </si>
  <si>
    <t>[30;31] Lopes,2000</t>
  </si>
  <si>
    <t>Lopes_SW13 (62)</t>
  </si>
  <si>
    <t>[91] Lowes,2012</t>
  </si>
  <si>
    <t>PW1 (235)</t>
  </si>
  <si>
    <t>PW2 (236)</t>
  </si>
  <si>
    <t>PW3 (237)</t>
  </si>
  <si>
    <t>PW4 (238)</t>
  </si>
  <si>
    <t>[131] Lu et al
 (2015)</t>
  </si>
  <si>
    <t>SW-1</t>
  </si>
  <si>
    <t>D1I-Y3I</t>
  </si>
  <si>
    <t>SW-2</t>
  </si>
  <si>
    <t>[143]Lu et al
 (2016)</t>
  </si>
  <si>
    <t>C1</t>
  </si>
  <si>
    <t>F1I-N-D3I</t>
  </si>
  <si>
    <t>C2</t>
  </si>
  <si>
    <t>C3</t>
  </si>
  <si>
    <t>C4</t>
  </si>
  <si>
    <t>C5</t>
  </si>
  <si>
    <t>C6</t>
  </si>
  <si>
    <t>Lu et al., (2017)</t>
  </si>
  <si>
    <t>SW0</t>
  </si>
  <si>
    <t>[151] Lu et al
 (2018)</t>
  </si>
  <si>
    <t>M2</t>
  </si>
  <si>
    <t>M3</t>
  </si>
  <si>
    <t>M4</t>
  </si>
  <si>
    <t>[128] Luna
(2015)</t>
  </si>
  <si>
    <t>D3C-N-D2I</t>
  </si>
  <si>
    <t>SW-3</t>
  </si>
  <si>
    <t>SW-4</t>
  </si>
  <si>
    <t>SW-5</t>
  </si>
  <si>
    <t>SW-6</t>
  </si>
  <si>
    <t>SW-7</t>
  </si>
  <si>
    <t>SW-8</t>
  </si>
  <si>
    <t>SW-9</t>
  </si>
  <si>
    <t>SW-10</t>
  </si>
  <si>
    <t>SW-11</t>
  </si>
  <si>
    <t>SW-12</t>
  </si>
  <si>
    <t>[13] Ma,2013</t>
  </si>
  <si>
    <t>SW1 (17)</t>
  </si>
  <si>
    <t>SW2 (18)</t>
  </si>
  <si>
    <t>SW3 (19)</t>
  </si>
  <si>
    <t>SW4 (20)</t>
  </si>
  <si>
    <t>[146] Ma and Li 2018</t>
  </si>
  <si>
    <t>HP0D0</t>
  </si>
  <si>
    <t>HP5D0</t>
  </si>
  <si>
    <t>[80] Massone,2009</t>
  </si>
  <si>
    <t>WP-T5-N0-S1 (215)</t>
  </si>
  <si>
    <t>WP-T5-N0-S2 (216)</t>
  </si>
  <si>
    <t>WP-T5-N5-S2 (218)</t>
  </si>
  <si>
    <t>WP-T5-N10-S1 (219)</t>
  </si>
  <si>
    <t>WP-T5-N10-S2 (220)</t>
  </si>
  <si>
    <t>[115] Massone et al .(2019)</t>
  </si>
  <si>
    <t>'Loading Protocole'!A160</t>
  </si>
  <si>
    <t>Massone et al. (2023)</t>
  </si>
  <si>
    <t>[150] Mo &amp; Chan, (1996)</t>
  </si>
  <si>
    <t>LN4-1</t>
  </si>
  <si>
    <t>?</t>
  </si>
  <si>
    <t>LN4-2</t>
  </si>
  <si>
    <t>LN4-3</t>
  </si>
  <si>
    <t>LN6-1</t>
  </si>
  <si>
    <t>LN6-2</t>
  </si>
  <si>
    <t>LN6-3</t>
  </si>
  <si>
    <t>LM6-1</t>
  </si>
  <si>
    <t>LM6-2</t>
  </si>
  <si>
    <t>LM6-3</t>
  </si>
  <si>
    <t>LM4-2</t>
  </si>
  <si>
    <t>LM4-3</t>
  </si>
  <si>
    <t>HN4-1</t>
  </si>
  <si>
    <t>HN4-2</t>
  </si>
  <si>
    <t>HN4-3</t>
  </si>
  <si>
    <t>HN6-1</t>
  </si>
  <si>
    <t>HN6-2</t>
  </si>
  <si>
    <t>HN6-3</t>
  </si>
  <si>
    <t>HM4-1</t>
  </si>
  <si>
    <t>HM4-2</t>
  </si>
  <si>
    <t>HM4-3</t>
  </si>
  <si>
    <t>[9] Mohamed, 2014</t>
  </si>
  <si>
    <t>ST15 (9)</t>
  </si>
  <si>
    <t>Morgan et al., 1986</t>
  </si>
  <si>
    <t>Isolated Wall</t>
  </si>
  <si>
    <t xml:space="preserve">Moscoso et al., (2021) </t>
  </si>
  <si>
    <t>RW3-S2.5U</t>
  </si>
  <si>
    <t>RW5-S1.75U</t>
  </si>
  <si>
    <t>Ni et al., (2019)</t>
  </si>
  <si>
    <t>RH0.1F</t>
  </si>
  <si>
    <t>RH0.2F</t>
  </si>
  <si>
    <t>RN0.1F</t>
  </si>
  <si>
    <t>[71] Oesterle,1979</t>
  </si>
  <si>
    <t>R1 (157)</t>
  </si>
  <si>
    <t>R2 (158)</t>
  </si>
  <si>
    <t>B1 (159)</t>
  </si>
  <si>
    <t>B2 (160)</t>
  </si>
  <si>
    <t>B3 (161)</t>
  </si>
  <si>
    <t>B5 (163)</t>
  </si>
  <si>
    <t>B6 (164)</t>
  </si>
  <si>
    <t>B7 (165)</t>
  </si>
  <si>
    <t>B8 (166)</t>
  </si>
  <si>
    <t>B9 (167)</t>
  </si>
  <si>
    <t>B10 (168)</t>
  </si>
  <si>
    <t>F1 (169)</t>
  </si>
  <si>
    <t>F2 (170)</t>
  </si>
  <si>
    <t>[100] Oh et al, 2002</t>
  </si>
  <si>
    <t>Oh_WR-20</t>
  </si>
  <si>
    <t>Oh_WR10</t>
  </si>
  <si>
    <t>Oh_WR-0</t>
  </si>
  <si>
    <t>Oh_WB</t>
  </si>
  <si>
    <t>[101] Oh, Han, Choi (2006)</t>
  </si>
  <si>
    <t>Oh_HRI-W8 (1084)</t>
  </si>
  <si>
    <t>'Loading Protocole'!A40</t>
  </si>
  <si>
    <t>Olabi et al., (2022)</t>
  </si>
  <si>
    <t>CSW0</t>
  </si>
  <si>
    <t>Paglia (2023)</t>
  </si>
  <si>
    <t>SFW</t>
  </si>
  <si>
    <t>[84] Palermo, Vecchio (2002)</t>
  </si>
  <si>
    <t>DP1</t>
  </si>
  <si>
    <t>'Loading Protocole'!A221</t>
  </si>
  <si>
    <t>DP2</t>
  </si>
  <si>
    <t>'Loading Protocole'!A222</t>
  </si>
  <si>
    <t>[68]Paterson&amp;Mitchell(2003)</t>
  </si>
  <si>
    <t>Paterson_W1</t>
  </si>
  <si>
    <t>Paterson_W2</t>
  </si>
  <si>
    <t>[123] Park et al.2015</t>
  </si>
  <si>
    <t>S2</t>
  </si>
  <si>
    <t>S3</t>
  </si>
  <si>
    <t>S7</t>
  </si>
  <si>
    <t>S8</t>
  </si>
  <si>
    <t>[85] Paulay,1982</t>
  </si>
  <si>
    <t>Wall1 (222)</t>
  </si>
  <si>
    <t>[130] Peng et al
 (2016)</t>
  </si>
  <si>
    <t>[86] Pilakoutas,1995</t>
  </si>
  <si>
    <t>SW4 (224)</t>
  </si>
  <si>
    <t>SW5 (225)</t>
  </si>
  <si>
    <t>SW6 (226)</t>
  </si>
  <si>
    <t>SW7 (227)</t>
  </si>
  <si>
    <t>SW8 (228)</t>
  </si>
  <si>
    <t>SW9 (229)</t>
  </si>
  <si>
    <t>[163] Qiao et al (2017)</t>
  </si>
  <si>
    <t>[23] Quiroz (2013)</t>
  </si>
  <si>
    <t>MFIEN3EP (48)</t>
  </si>
  <si>
    <t>Rama Rao (2014)</t>
  </si>
  <si>
    <t>No Name</t>
  </si>
  <si>
    <t>[162] Ren et al (2018)</t>
  </si>
  <si>
    <t>RC-W</t>
  </si>
  <si>
    <t>Rong et al (2020)</t>
  </si>
  <si>
    <t>[149] Saito et al, (1989)</t>
  </si>
  <si>
    <t>L-1</t>
  </si>
  <si>
    <t>L-2</t>
  </si>
  <si>
    <t>W-15-1</t>
  </si>
  <si>
    <t>No information</t>
  </si>
  <si>
    <t>W-12-1</t>
  </si>
  <si>
    <t>W-12-2</t>
  </si>
  <si>
    <t>W-12-3</t>
  </si>
  <si>
    <t>W-12-4</t>
  </si>
  <si>
    <t>W-12-5</t>
  </si>
  <si>
    <t>W-15-2</t>
  </si>
  <si>
    <t>W-12-6</t>
  </si>
  <si>
    <t>W-12-7</t>
  </si>
  <si>
    <t>[53] Salonikios,1999</t>
  </si>
  <si>
    <t>MSW1 (30)</t>
  </si>
  <si>
    <t>MSW2 (31)</t>
  </si>
  <si>
    <t>MSW3 (32)</t>
  </si>
  <si>
    <t>MSW6 (130)</t>
  </si>
  <si>
    <t>Salonikios_LSW1 (127)</t>
  </si>
  <si>
    <t>Salonikios_LSW2 (128)</t>
  </si>
  <si>
    <t>Salonikios_LSW3 (129)</t>
  </si>
  <si>
    <t>[148] Sato et al, (1989)</t>
  </si>
  <si>
    <t>18M12-40</t>
  </si>
  <si>
    <t>24M 8-30</t>
  </si>
  <si>
    <t>24M 8-40</t>
  </si>
  <si>
    <t>24M 8-50</t>
  </si>
  <si>
    <t>24M 6-30</t>
  </si>
  <si>
    <t>24M 6-40</t>
  </si>
  <si>
    <t>36M 12-30</t>
  </si>
  <si>
    <t>36M 12-40</t>
  </si>
  <si>
    <t>36M 12-50</t>
  </si>
  <si>
    <t>36L 8-30</t>
  </si>
  <si>
    <t>36L 8-40</t>
  </si>
  <si>
    <t>36M 8-30</t>
  </si>
  <si>
    <t>36M 8-40</t>
  </si>
  <si>
    <t>36M 8-50</t>
  </si>
  <si>
    <t>36M 6-30</t>
  </si>
  <si>
    <t>36M 6-40</t>
  </si>
  <si>
    <t>48M 8-30</t>
  </si>
  <si>
    <t>48M 8-40</t>
  </si>
  <si>
    <t>48M 8-50</t>
  </si>
  <si>
    <t>48M H-30</t>
  </si>
  <si>
    <t>48H 8-40</t>
  </si>
  <si>
    <t>48H 8-50</t>
  </si>
  <si>
    <t>[67] Shaingchin, Lukkunaprasit, Wood (2007)</t>
  </si>
  <si>
    <t>WC150</t>
  </si>
  <si>
    <t>'Loading Protocole'!A60</t>
  </si>
  <si>
    <t>[164] Shen et al (2017)</t>
  </si>
  <si>
    <t>SHW0</t>
  </si>
  <si>
    <t>Shiga et al. (1973)</t>
  </si>
  <si>
    <t>WB-1</t>
  </si>
  <si>
    <t>WB-2</t>
  </si>
  <si>
    <t>WB-3</t>
  </si>
  <si>
    <t>WB-4</t>
  </si>
  <si>
    <t>WB-5</t>
  </si>
  <si>
    <t>WB-6</t>
  </si>
  <si>
    <t>WB-7</t>
  </si>
  <si>
    <t>WB-8</t>
  </si>
  <si>
    <t>[90] Shiu,1981</t>
  </si>
  <si>
    <t>CI-1 (234)</t>
  </si>
  <si>
    <t>[97] Sittipunt,2001</t>
  </si>
  <si>
    <t>W1 (263)</t>
  </si>
  <si>
    <t>W2 (264)</t>
  </si>
  <si>
    <t>Song et al, 2020</t>
  </si>
  <si>
    <t>SS-1</t>
  </si>
  <si>
    <t>[126] Sosa
(2017)</t>
  </si>
  <si>
    <t>F1I-Y-D1I</t>
  </si>
  <si>
    <t>[21] Su,2006</t>
  </si>
  <si>
    <t>W1 (39)</t>
  </si>
  <si>
    <t>W2 (40)</t>
  </si>
  <si>
    <t>W3 (41)</t>
  </si>
  <si>
    <t>[119] &amp; [120] Susanto Teng and Jimmy Chandra(2016)</t>
  </si>
  <si>
    <t>J1</t>
  </si>
  <si>
    <t>J2</t>
  </si>
  <si>
    <t>J3</t>
  </si>
  <si>
    <t>J4</t>
  </si>
  <si>
    <t>J5</t>
  </si>
  <si>
    <t>J6</t>
  </si>
  <si>
    <t>J7</t>
  </si>
  <si>
    <t>[109] Takehara et al. 1997</t>
  </si>
  <si>
    <t>96SWH-4</t>
  </si>
  <si>
    <t>93SWH-6</t>
  </si>
  <si>
    <t>Taleb et al (2017)</t>
  </si>
  <si>
    <t>BC40</t>
  </si>
  <si>
    <t>BC80</t>
  </si>
  <si>
    <t>NC40</t>
  </si>
  <si>
    <t>NC80</t>
  </si>
  <si>
    <t>Tang et al., (2024)</t>
  </si>
  <si>
    <t>CIP</t>
  </si>
  <si>
    <t>[28] Tasnimi, 2000</t>
  </si>
  <si>
    <t>SHW1 (58)</t>
  </si>
  <si>
    <t>Tasnimi_SHW2 (59)</t>
  </si>
  <si>
    <t>Tasnimi_SHW3 (60)</t>
  </si>
  <si>
    <t>Tasnimi_SHW4 (61)</t>
  </si>
  <si>
    <t>[112] Tatsuya (1996)</t>
  </si>
  <si>
    <t>M35X (106)</t>
  </si>
  <si>
    <t>M35H (107)</t>
  </si>
  <si>
    <t>P35H (108)</t>
  </si>
  <si>
    <t>M30H (109)</t>
  </si>
  <si>
    <t>MW35H (110)</t>
  </si>
  <si>
    <t>Terzioglu et al. (2018) </t>
  </si>
  <si>
    <t>T2-S2-3</t>
  </si>
  <si>
    <t>T2-S3-4</t>
  </si>
  <si>
    <t>T3-S1-5</t>
  </si>
  <si>
    <t>T4-S1-6</t>
  </si>
  <si>
    <t>T5-S1-7</t>
  </si>
  <si>
    <t>T6-S1-8</t>
  </si>
  <si>
    <t>T1-S2-9</t>
  </si>
  <si>
    <t>T1-N5-S1-10</t>
  </si>
  <si>
    <t>T1-N10-S1-11</t>
  </si>
  <si>
    <t>T1-S1-2</t>
  </si>
  <si>
    <t>[12] Thomsen, 2004</t>
  </si>
  <si>
    <t>RW1 (15)</t>
  </si>
  <si>
    <t>RW2 (16)</t>
  </si>
  <si>
    <t>TW-1 (Flange in Compression) (194)</t>
  </si>
  <si>
    <t>TW-1 (Flange in Tension) (195)</t>
  </si>
  <si>
    <t>TW-2 (Flange in Compression) (196)</t>
  </si>
  <si>
    <t>TW-2 (Flange in Tension) (197)</t>
  </si>
  <si>
    <t>[41] Thomson,2009</t>
  </si>
  <si>
    <t>SW-H02 (83)</t>
  </si>
  <si>
    <t>SW-H03 (84)</t>
  </si>
  <si>
    <t>SW-M01 (82)</t>
  </si>
  <si>
    <t>[10] Tran, 2014</t>
  </si>
  <si>
    <t>RW-A20-P10-S38 (10)</t>
  </si>
  <si>
    <t>RW-A20-P10-S63 (11)</t>
  </si>
  <si>
    <t>RW-A15-P10-S51 (12)</t>
  </si>
  <si>
    <t>RW-A15-P10-S78 (13)</t>
  </si>
  <si>
    <t>RW-A15-P2,5-S64 (14)</t>
  </si>
  <si>
    <t>[175] Tripathi et al. (2019)</t>
  </si>
  <si>
    <t>SWD-1</t>
  </si>
  <si>
    <t>SWD-2</t>
  </si>
  <si>
    <t>SWD-3</t>
  </si>
  <si>
    <t>[176] Tripathi (2020)</t>
  </si>
  <si>
    <t>SWD-1C</t>
  </si>
  <si>
    <t>SWD-2C</t>
  </si>
  <si>
    <t>[142]Villalobos et al
(2017)</t>
  </si>
  <si>
    <t>W-MC-C</t>
  </si>
  <si>
    <t>D3I-N-D3I</t>
  </si>
  <si>
    <t>W-MC-N</t>
  </si>
  <si>
    <t>W-60-N2</t>
  </si>
  <si>
    <t>W-60-N</t>
  </si>
  <si>
    <t>Wang et al., (2023)</t>
  </si>
  <si>
    <t>Wu et al., (2024)</t>
  </si>
  <si>
    <t>RCSW</t>
  </si>
  <si>
    <t>[14] Yan,2008</t>
  </si>
  <si>
    <t>SW-1 (21)</t>
  </si>
  <si>
    <t>SW-2 (22)</t>
  </si>
  <si>
    <t>SW-3 (23)</t>
  </si>
  <si>
    <t>SW-4 (24)</t>
  </si>
  <si>
    <t>SW-5 (25)</t>
  </si>
  <si>
    <t>Yanez et al (1992)</t>
  </si>
  <si>
    <t>Yang et al. (2018)</t>
  </si>
  <si>
    <t>Specimen C</t>
  </si>
  <si>
    <t>Yang et al. (2022)</t>
  </si>
  <si>
    <t>1.0-N</t>
  </si>
  <si>
    <t>1.5-N</t>
  </si>
  <si>
    <t>Yu et al (2019)</t>
  </si>
  <si>
    <t>Specimen A</t>
  </si>
  <si>
    <t>Yuan et al (2018)</t>
  </si>
  <si>
    <t>[35] Yun,2001</t>
  </si>
  <si>
    <t>HW1 (66)</t>
  </si>
  <si>
    <t>HW2 (67)</t>
  </si>
  <si>
    <t>HW3 (68)</t>
  </si>
  <si>
    <t>HW4 (69)</t>
  </si>
  <si>
    <t>HW5 (70)</t>
  </si>
  <si>
    <t>Yuniarsyah et al, (2017)</t>
  </si>
  <si>
    <t>NSW4</t>
  </si>
  <si>
    <t>[51] Zhang,2000</t>
  </si>
  <si>
    <t>SW7 (87)</t>
  </si>
  <si>
    <t>SW8 (88)</t>
  </si>
  <si>
    <t>SW9 (89)</t>
  </si>
  <si>
    <t>[18] Zhang,2014</t>
  </si>
  <si>
    <t>SW-1 (33)</t>
  </si>
  <si>
    <t>SW-2 (34)</t>
  </si>
  <si>
    <t>SW-3 (35)</t>
  </si>
  <si>
    <t>SW6-1 (36)</t>
  </si>
  <si>
    <t>SW6-2 (37)</t>
  </si>
  <si>
    <t>SW6-3 (38)</t>
  </si>
  <si>
    <t>[94] Zhang,2007</t>
  </si>
  <si>
    <t>SW1-1 (243)</t>
  </si>
  <si>
    <t>SW1-2 (244)</t>
  </si>
  <si>
    <t>SW1-3 (245)</t>
  </si>
  <si>
    <t>Zhang_SW1-4 (246)</t>
  </si>
  <si>
    <t>Zhang_SW2-1 (247)</t>
  </si>
  <si>
    <t>Zhang_SW2-2 (248)</t>
  </si>
  <si>
    <t>Zhang_SW2-3 (249)</t>
  </si>
  <si>
    <t>SW2-4 (250)</t>
  </si>
  <si>
    <t>Zhang_SW4-1 (251)</t>
  </si>
  <si>
    <t>Zhang_SW4-2 (252)</t>
  </si>
  <si>
    <t>SW4-4 (253)</t>
  </si>
  <si>
    <t>Zhang_SW5-1 (254)</t>
  </si>
  <si>
    <t>Zhang_SW5-3 (255)</t>
  </si>
  <si>
    <t xml:space="preserve">Zhang, J. et al, (2021) </t>
  </si>
  <si>
    <t>[134] Zhang, Q. (2016)</t>
  </si>
  <si>
    <t>HW-1</t>
  </si>
  <si>
    <t>Zhang, X. et al. (2021)</t>
  </si>
  <si>
    <t>XSW-3</t>
  </si>
  <si>
    <t>XSW-4</t>
  </si>
  <si>
    <t>Zhang, X. et al. (2022)</t>
  </si>
  <si>
    <t>CW4</t>
  </si>
  <si>
    <t>Zhao et al, 2019</t>
  </si>
  <si>
    <t>Zhi et al., 2017</t>
  </si>
  <si>
    <t>SW1-1</t>
  </si>
  <si>
    <t>Zhi et al, 2024</t>
  </si>
  <si>
    <t>[7] Zhou, 2014</t>
  </si>
  <si>
    <t>SW1 (7)</t>
  </si>
  <si>
    <t>SW2 (8)</t>
  </si>
  <si>
    <t>[198] Zhou et al., (2021)</t>
  </si>
  <si>
    <t>[134] Zhu and Guo
(2016)</t>
  </si>
  <si>
    <t>MW</t>
  </si>
  <si>
    <t>[157] Aoyama et al.1984</t>
  </si>
  <si>
    <t>P2015</t>
  </si>
  <si>
    <t>'Loading Protocole'!A220</t>
  </si>
  <si>
    <t>[151] Endo et al.1980(from Lu et al., 2010, NEES Database)</t>
  </si>
  <si>
    <t>W7101</t>
  </si>
  <si>
    <t>W7102</t>
  </si>
  <si>
    <t>W7103</t>
  </si>
  <si>
    <t>W7104</t>
  </si>
  <si>
    <t>W7105</t>
  </si>
  <si>
    <t>[136] Layssi 
(2012)</t>
  </si>
  <si>
    <t>Lap splice failure</t>
  </si>
  <si>
    <t>[137] Hsiao
(2008)</t>
  </si>
  <si>
    <t>Hsiao_MW1</t>
  </si>
  <si>
    <t>Hsiao_LW1</t>
  </si>
  <si>
    <t>[142]Villalobos et al (2017)</t>
  </si>
  <si>
    <t>W-60-C</t>
  </si>
  <si>
    <t>W-40-C</t>
  </si>
  <si>
    <t>[105] Matsuoka et al.2003</t>
  </si>
  <si>
    <t>Matsuoka_F1W5_0.00-1.3-0.014 (2007)</t>
  </si>
  <si>
    <t>Matsuoka_F1W5_0.00-1.3-1.4 (2008)</t>
  </si>
  <si>
    <t>FS1W5-0.00-2.5-0.014</t>
  </si>
  <si>
    <t>FS1W5-0.00-2.5-1.4</t>
  </si>
  <si>
    <t>S1W5-0.00-4.5-0.014</t>
  </si>
  <si>
    <t>Matsuoka_S1W5_0.00-4.5-1.4 (2012)</t>
  </si>
  <si>
    <t>Hirosawa_1975</t>
  </si>
  <si>
    <t>Kokusho_1-2 (1056)</t>
  </si>
  <si>
    <t>Kokusho_1-3 (1057)</t>
  </si>
  <si>
    <t>Kokusho_1-4 (1058)</t>
  </si>
  <si>
    <t>Kokusho_1-5 (1059)</t>
  </si>
  <si>
    <t>Kokusho_1-6 (1060)</t>
  </si>
  <si>
    <t>Kokusho_1-7 (1061)</t>
  </si>
  <si>
    <t>Kokusho_2-1 (1062)</t>
  </si>
  <si>
    <t>Kokusho_2-2 (1063)</t>
  </si>
  <si>
    <t>Kokusho_2-3 (1064)</t>
  </si>
  <si>
    <t>Kokusho_2-4 (1065)</t>
  </si>
  <si>
    <t>Kokusho_3-3 (1066)</t>
  </si>
  <si>
    <t>Kokusho_3-4 (1067)</t>
  </si>
  <si>
    <t>Kokusho_3-5 (1068)</t>
  </si>
  <si>
    <t>Kokusho_3-6 (1069)</t>
  </si>
  <si>
    <t>Kokusho_3-7 (1070)</t>
  </si>
  <si>
    <t>Kokusho_3-8 (1071)</t>
  </si>
  <si>
    <t>Kokusho_4-1 (1072)</t>
  </si>
  <si>
    <t>Kokusho_4-2 (1073)</t>
  </si>
  <si>
    <t>Kokusho_4-3 (1074)</t>
  </si>
  <si>
    <t>[156] Tokunaga and Nakachi (2012)</t>
  </si>
  <si>
    <t>Tokunaga_No.2 (1091)</t>
  </si>
  <si>
    <t>Tokunaga_No.4 (1092)</t>
  </si>
  <si>
    <t>Tokunaga_No.6 (1093)</t>
  </si>
  <si>
    <t>Tokunaga_No.8 (1094)</t>
  </si>
  <si>
    <t>Tokunaga_No.1 (1095)</t>
  </si>
  <si>
    <t>Tokunaga_No.3 (1096)</t>
  </si>
  <si>
    <t>Tokunaga_No.5 (1097)</t>
  </si>
  <si>
    <t>Tokunaga_No.7 (1098)</t>
  </si>
  <si>
    <t>Tokunaga_H1 (1099)</t>
  </si>
  <si>
    <t>Tokunaga-H2 (1100)</t>
  </si>
  <si>
    <t>Tokunaga-H3 (1101)</t>
  </si>
  <si>
    <t xml:space="preserve">[155] Gebreyohaness et al. (2014) </t>
  </si>
  <si>
    <t>WPS1</t>
  </si>
  <si>
    <t>WPS2</t>
  </si>
  <si>
    <t>WPS3</t>
  </si>
  <si>
    <t>WPS4</t>
  </si>
  <si>
    <t>WPS5</t>
  </si>
  <si>
    <t>WPS6</t>
  </si>
  <si>
    <t>WPS7</t>
  </si>
  <si>
    <t>WPS8</t>
  </si>
  <si>
    <t>WPS10</t>
  </si>
  <si>
    <t>[87] Vallenas,1979</t>
  </si>
  <si>
    <t>Specimen4 (231)</t>
  </si>
  <si>
    <t>Specimen6 (233)</t>
  </si>
  <si>
    <t>[45] Aaleti,2013</t>
  </si>
  <si>
    <t>RWN_Pull (85)</t>
  </si>
  <si>
    <t>RWN_Push (86)</t>
  </si>
  <si>
    <t>[132] Woods et al
(2016)</t>
  </si>
  <si>
    <t>CW1</t>
  </si>
  <si>
    <t>F2I-Y-D2I</t>
  </si>
  <si>
    <t>CW2</t>
  </si>
  <si>
    <t>SW 3</t>
  </si>
  <si>
    <t>T2-S1-1</t>
  </si>
  <si>
    <t>[127] Yang
(2016)</t>
  </si>
  <si>
    <t>Massone 2009</t>
  </si>
  <si>
    <t>WP-T5-N5-S1 (217)</t>
  </si>
  <si>
    <t>W48M6 (113)</t>
  </si>
  <si>
    <t>W48M4 (114)</t>
  </si>
  <si>
    <t>W72M8 (115)</t>
  </si>
  <si>
    <t>W72M8 (117)</t>
  </si>
  <si>
    <t>W96M8 (118)</t>
  </si>
  <si>
    <t>≈ 748.9</t>
  </si>
  <si>
    <t>fyl (MPa)</t>
  </si>
  <si>
    <t>fybl (MPa)</t>
  </si>
  <si>
    <r>
      <t>A</t>
    </r>
    <r>
      <rPr>
        <b/>
        <vertAlign val="subscript"/>
        <sz val="10"/>
        <color theme="1"/>
        <rFont val="Arial"/>
        <family val="2"/>
        <charset val="162"/>
      </rPr>
      <t>b</t>
    </r>
    <r>
      <rPr>
        <b/>
        <sz val="10"/>
        <color theme="1"/>
        <rFont val="Arial"/>
        <family val="2"/>
        <charset val="162"/>
      </rPr>
      <t>/A</t>
    </r>
    <r>
      <rPr>
        <b/>
        <vertAlign val="subscript"/>
        <sz val="10"/>
        <color theme="1"/>
        <rFont val="Arial"/>
        <family val="2"/>
        <charset val="162"/>
      </rPr>
      <t>g</t>
    </r>
  </si>
  <si>
    <r>
      <t>l</t>
    </r>
    <r>
      <rPr>
        <b/>
        <vertAlign val="subscript"/>
        <sz val="10"/>
        <color theme="1"/>
        <rFont val="Arial"/>
        <family val="2"/>
        <charset val="162"/>
      </rPr>
      <t>w</t>
    </r>
    <r>
      <rPr>
        <b/>
        <sz val="10"/>
        <color theme="1"/>
        <rFont val="Arial"/>
        <family val="2"/>
        <charset val="162"/>
      </rPr>
      <t>/t</t>
    </r>
    <r>
      <rPr>
        <b/>
        <vertAlign val="subscript"/>
        <sz val="10"/>
        <color theme="1"/>
        <rFont val="Arial"/>
        <family val="2"/>
        <charset val="162"/>
      </rPr>
      <t>w</t>
    </r>
  </si>
  <si>
    <t>ρsh (%)</t>
  </si>
  <si>
    <t>V/sqrt(fc)</t>
  </si>
  <si>
    <t>Shear level (normalized)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</si>
</sst>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_-* #,##0.00\ _₺_-;\-* #,##0.00\ _₺_-;_-* &quot;-&quot;??\ _₺_-;_-@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  <charset val="162"/>
    </font>
    <font>
      <sz val="11"/>
      <color theme="1"/>
      <name val="Arial"/>
      <family val="2"/>
      <charset val="162"/>
    </font>
    <font>
      <b/>
      <sz val="10"/>
      <color theme="1"/>
      <name val="Arial"/>
      <family val="2"/>
      <charset val="162"/>
    </font>
    <font>
      <sz val="11"/>
      <name val="Arial"/>
      <family val="2"/>
      <charset val="162"/>
    </font>
    <font>
      <sz val="10"/>
      <color theme="1"/>
      <name val="Arial"/>
      <family val="2"/>
      <charset val="16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vertAlign val="subscript"/>
      <sz val="10"/>
      <color theme="1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u/>
      <sz val="10"/>
      <color theme="1"/>
      <name val="Arial"/>
      <family val="2"/>
      <charset val="162"/>
    </font>
    <font>
      <sz val="10"/>
      <color theme="1"/>
      <name val="Times New Roman"/>
      <family val="1"/>
    </font>
    <font>
      <sz val="10"/>
      <color rgb="FF7030A0"/>
      <name val="Arial"/>
      <family val="2"/>
      <charset val="162"/>
    </font>
    <font>
      <sz val="12"/>
      <color theme="1"/>
      <name val="Arial"/>
      <family val="2"/>
      <charset val="16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vertAlign val="subscript"/>
      <sz val="10"/>
      <color theme="1"/>
      <name val="Arial"/>
      <family val="2"/>
      <charset val="162"/>
    </font>
    <font>
      <u/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</cellStyleXfs>
  <cellXfs count="80">
    <xf numFmtId="0" fontId="0" fillId="0" borderId="0" xfId="0"/>
    <xf numFmtId="0" fontId="6" fillId="0" borderId="3" xfId="1" applyFont="1" applyBorder="1" applyAlignment="1">
      <alignment horizontal="center" vertical="center"/>
    </xf>
    <xf numFmtId="0" fontId="3" fillId="0" borderId="0" xfId="1"/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2" fontId="3" fillId="0" borderId="0" xfId="1" applyNumberFormat="1"/>
    <xf numFmtId="0" fontId="6" fillId="0" borderId="0" xfId="1" applyFont="1"/>
    <xf numFmtId="0" fontId="15" fillId="0" borderId="0" xfId="1" applyFont="1"/>
    <xf numFmtId="0" fontId="16" fillId="0" borderId="0" xfId="1" applyFont="1"/>
    <xf numFmtId="164" fontId="4" fillId="0" borderId="0" xfId="1" applyNumberFormat="1" applyFont="1" applyAlignment="1">
      <alignment horizontal="center" vertical="center"/>
    </xf>
    <xf numFmtId="1" fontId="4" fillId="0" borderId="9" xfId="1" applyNumberFormat="1" applyFont="1" applyBorder="1" applyAlignment="1">
      <alignment horizontal="center" vertical="center"/>
    </xf>
    <xf numFmtId="2" fontId="6" fillId="0" borderId="9" xfId="1" applyNumberFormat="1" applyFont="1" applyBorder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2" fontId="4" fillId="0" borderId="9" xfId="1" applyNumberFormat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165" fontId="9" fillId="0" borderId="0" xfId="2" applyNumberFormat="1" applyFont="1" applyAlignment="1">
      <alignment horizontal="center" vertical="center"/>
    </xf>
    <xf numFmtId="164" fontId="9" fillId="0" borderId="0" xfId="2" applyNumberFormat="1" applyFont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6" xfId="1" applyFont="1" applyBorder="1" applyAlignment="1">
      <alignment horizontal="center" vertical="center"/>
    </xf>
    <xf numFmtId="1" fontId="6" fillId="0" borderId="0" xfId="1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9" fillId="0" borderId="0" xfId="2" applyFont="1"/>
    <xf numFmtId="165" fontId="6" fillId="0" borderId="0" xfId="1" applyNumberFormat="1" applyFont="1" applyAlignment="1">
      <alignment horizontal="center" vertical="center"/>
    </xf>
    <xf numFmtId="166" fontId="6" fillId="0" borderId="0" xfId="1" applyNumberFormat="1" applyFont="1" applyAlignment="1">
      <alignment horizontal="center" vertical="center"/>
    </xf>
    <xf numFmtId="164" fontId="6" fillId="0" borderId="6" xfId="1" applyNumberFormat="1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1" fontId="9" fillId="0" borderId="0" xfId="2" applyNumberFormat="1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6" fillId="0" borderId="6" xfId="1" applyFont="1" applyBorder="1" applyAlignment="1">
      <alignment horizontal="center" vertical="center" wrapText="1"/>
    </xf>
    <xf numFmtId="0" fontId="13" fillId="0" borderId="0" xfId="1" applyFont="1" applyAlignment="1">
      <alignment horizontal="center" vertical="center"/>
    </xf>
    <xf numFmtId="2" fontId="6" fillId="0" borderId="6" xfId="1" applyNumberFormat="1" applyFont="1" applyBorder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67" fontId="6" fillId="0" borderId="0" xfId="1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13" fillId="0" borderId="0" xfId="1" applyFont="1"/>
    <xf numFmtId="0" fontId="16" fillId="0" borderId="0" xfId="1" applyFont="1" applyAlignment="1">
      <alignment horizontal="center" vertical="center"/>
    </xf>
    <xf numFmtId="2" fontId="16" fillId="0" borderId="0" xfId="1" applyNumberFormat="1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2" fontId="9" fillId="0" borderId="11" xfId="2" applyNumberFormat="1" applyFont="1" applyBorder="1" applyAlignment="1">
      <alignment horizontal="center" vertical="center"/>
    </xf>
    <xf numFmtId="0" fontId="22" fillId="0" borderId="0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5" fontId="9" fillId="0" borderId="0" xfId="4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9" fillId="0" borderId="0" xfId="4" applyNumberFormat="1" applyFont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2" fontId="6" fillId="0" borderId="0" xfId="1" applyNumberFormat="1" applyFont="1" applyAlignment="1">
      <alignment horizontal="center" vertical="center"/>
    </xf>
    <xf numFmtId="0" fontId="3" fillId="0" borderId="0" xfId="1"/>
    <xf numFmtId="0" fontId="6" fillId="0" borderId="0" xfId="1" applyFont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3" fillId="0" borderId="5" xfId="1" applyBorder="1"/>
    <xf numFmtId="0" fontId="6" fillId="0" borderId="5" xfId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2" applyFont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5" fillId="0" borderId="7" xfId="1" applyFont="1" applyBorder="1"/>
    <xf numFmtId="0" fontId="5" fillId="0" borderId="10" xfId="1" applyFont="1" applyBorder="1"/>
    <xf numFmtId="0" fontId="4" fillId="0" borderId="3" xfId="1" applyFont="1" applyBorder="1" applyAlignment="1">
      <alignment horizontal="center" vertical="center" wrapText="1"/>
    </xf>
    <xf numFmtId="0" fontId="3" fillId="0" borderId="9" xfId="1" applyBorder="1"/>
    <xf numFmtId="0" fontId="4" fillId="0" borderId="4" xfId="1" applyFont="1" applyBorder="1" applyAlignment="1">
      <alignment horizontal="center" vertical="center" wrapText="1"/>
    </xf>
    <xf numFmtId="0" fontId="3" fillId="0" borderId="7" xfId="1" applyBorder="1"/>
    <xf numFmtId="0" fontId="3" fillId="0" borderId="10" xfId="1" applyBorder="1"/>
    <xf numFmtId="2" fontId="4" fillId="0" borderId="3" xfId="1" applyNumberFormat="1" applyFont="1" applyBorder="1" applyAlignment="1">
      <alignment horizontal="center" vertical="center" wrapText="1"/>
    </xf>
    <xf numFmtId="0" fontId="3" fillId="0" borderId="3" xfId="1" applyBorder="1"/>
    <xf numFmtId="1" fontId="4" fillId="0" borderId="3" xfId="1" applyNumberFormat="1" applyFont="1" applyBorder="1" applyAlignment="1">
      <alignment horizontal="center" vertical="center" wrapText="1"/>
    </xf>
    <xf numFmtId="2" fontId="4" fillId="0" borderId="1" xfId="1" applyNumberFormat="1" applyFont="1" applyBorder="1" applyAlignment="1">
      <alignment horizontal="center" vertical="center"/>
    </xf>
    <xf numFmtId="2" fontId="4" fillId="0" borderId="2" xfId="1" applyNumberFormat="1" applyFont="1" applyBorder="1" applyAlignment="1">
      <alignment horizontal="center" vertical="center"/>
    </xf>
    <xf numFmtId="0" fontId="3" fillId="0" borderId="6" xfId="1" applyBorder="1"/>
    <xf numFmtId="0" fontId="3" fillId="0" borderId="8" xfId="1" applyBorder="1"/>
    <xf numFmtId="2" fontId="4" fillId="0" borderId="3" xfId="1" applyNumberFormat="1" applyFont="1" applyBorder="1" applyAlignment="1">
      <alignment horizontal="center" vertical="center"/>
    </xf>
    <xf numFmtId="0" fontId="23" fillId="0" borderId="0" xfId="1" applyFont="1" applyAlignment="1">
      <alignment vertical="center" wrapText="1"/>
    </xf>
  </cellXfs>
  <cellStyles count="5">
    <cellStyle name="Köprü 2" xfId="3" xr:uid="{EE48FEB1-6E41-244F-8B59-20817BD4B1FB}"/>
    <cellStyle name="Normal" xfId="0" builtinId="0"/>
    <cellStyle name="Normal 2 6" xfId="2" xr:uid="{23DB8B7B-4552-B24E-B0DA-4AC8FBB248DE}"/>
    <cellStyle name="Normal 2 6 4" xfId="4" xr:uid="{DA8C0269-B8C7-0746-A72B-16A18DE85DDF}"/>
    <cellStyle name="Normal 3" xfId="1" xr:uid="{242A5489-B67D-174B-B2B6-26288333DB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Zeynep%20Tuna/Dropbox/Ductility%20Paper%20ACI%20Str%20J%202018/Deformation%20Final%20Analyses/My%20database_ZD2_f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Code Calcs"/>
      <sheetName val="maintable"/>
      <sheetName val="Simplified database"/>
      <sheetName val="ASCE limits for shear cont REV"/>
      <sheetName val="Table 5 of ACI Paper"/>
      <sheetName val="shear strength"/>
      <sheetName val="deformation"/>
      <sheetName val="Def.results"/>
      <sheetName val="trans - flex"/>
      <sheetName val="filteredcombinations"/>
      <sheetName val="deformationcoefficients"/>
      <sheetName val="Datasplit kont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E2" t="str">
            <v>Data split-1</v>
          </cell>
          <cell r="F2" t="str">
            <v>Data split-2</v>
          </cell>
          <cell r="G2" t="str">
            <v>Data split-3</v>
          </cell>
          <cell r="H2" t="str">
            <v>Data split-4</v>
          </cell>
          <cell r="I2" t="str">
            <v>Data split-5</v>
          </cell>
          <cell r="J2" t="str">
            <v>Data split-6</v>
          </cell>
          <cell r="K2" t="str">
            <v>Data split-7</v>
          </cell>
          <cell r="L2" t="str">
            <v>Data split-8</v>
          </cell>
          <cell r="M2" t="str">
            <v>Data split-9</v>
          </cell>
          <cell r="N2" t="str">
            <v>Data split-10</v>
          </cell>
          <cell r="O2" t="str">
            <v>Data split-11</v>
          </cell>
          <cell r="P2" t="str">
            <v>Data split-12</v>
          </cell>
          <cell r="Q2" t="str">
            <v>Data split-13</v>
          </cell>
          <cell r="R2" t="str">
            <v>Data split-14</v>
          </cell>
          <cell r="S2" t="str">
            <v>Data split-15</v>
          </cell>
          <cell r="T2" t="str">
            <v>Data split-16</v>
          </cell>
          <cell r="U2" t="str">
            <v>Data split-17</v>
          </cell>
          <cell r="V2" t="str">
            <v>Data split-18</v>
          </cell>
          <cell r="W2" t="str">
            <v>Data split-19</v>
          </cell>
          <cell r="X2" t="str">
            <v>Data split-20</v>
          </cell>
        </row>
        <row r="3">
          <cell r="E3">
            <v>2</v>
          </cell>
          <cell r="F3">
            <v>2</v>
          </cell>
          <cell r="G3">
            <v>1</v>
          </cell>
          <cell r="H3">
            <v>1</v>
          </cell>
          <cell r="I3">
            <v>2</v>
          </cell>
          <cell r="J3">
            <v>2</v>
          </cell>
          <cell r="K3">
            <v>1</v>
          </cell>
          <cell r="L3">
            <v>2</v>
          </cell>
          <cell r="M3">
            <v>2</v>
          </cell>
          <cell r="N3">
            <v>1</v>
          </cell>
          <cell r="O3">
            <v>2</v>
          </cell>
          <cell r="P3">
            <v>1</v>
          </cell>
          <cell r="Q3">
            <v>2</v>
          </cell>
          <cell r="R3">
            <v>2</v>
          </cell>
          <cell r="S3">
            <v>1</v>
          </cell>
          <cell r="T3">
            <v>2</v>
          </cell>
          <cell r="U3">
            <v>2</v>
          </cell>
          <cell r="V3">
            <v>2</v>
          </cell>
          <cell r="W3">
            <v>2</v>
          </cell>
          <cell r="X3">
            <v>2</v>
          </cell>
        </row>
        <row r="4">
          <cell r="E4">
            <v>1</v>
          </cell>
          <cell r="F4">
            <v>2</v>
          </cell>
          <cell r="G4">
            <v>1</v>
          </cell>
          <cell r="H4">
            <v>2</v>
          </cell>
          <cell r="I4">
            <v>1</v>
          </cell>
          <cell r="J4">
            <v>2</v>
          </cell>
          <cell r="K4">
            <v>2</v>
          </cell>
          <cell r="L4">
            <v>2</v>
          </cell>
          <cell r="M4">
            <v>1</v>
          </cell>
          <cell r="N4">
            <v>1</v>
          </cell>
          <cell r="O4">
            <v>2</v>
          </cell>
          <cell r="P4">
            <v>1</v>
          </cell>
          <cell r="Q4">
            <v>2</v>
          </cell>
          <cell r="R4">
            <v>2</v>
          </cell>
          <cell r="S4">
            <v>2</v>
          </cell>
          <cell r="T4">
            <v>2</v>
          </cell>
          <cell r="U4">
            <v>1</v>
          </cell>
          <cell r="V4">
            <v>2</v>
          </cell>
          <cell r="W4">
            <v>1</v>
          </cell>
          <cell r="X4">
            <v>1</v>
          </cell>
          <cell r="AA4" t="str">
            <v>Data split-1</v>
          </cell>
          <cell r="AB4">
            <v>7.1999999999999995E-2</v>
          </cell>
          <cell r="AC4">
            <v>0.33</v>
          </cell>
          <cell r="AD4">
            <v>4.5999999999999999E-3</v>
          </cell>
          <cell r="AE4">
            <v>6.2E-2</v>
          </cell>
          <cell r="AF4">
            <v>0.22</v>
          </cell>
          <cell r="AG4">
            <v>5.4999999999999997E-3</v>
          </cell>
          <cell r="AH4">
            <v>3.5000000000000003E-2</v>
          </cell>
          <cell r="AI4">
            <v>1.6</v>
          </cell>
          <cell r="AJ4">
            <v>4.1999999999999997E-3</v>
          </cell>
        </row>
        <row r="5">
          <cell r="E5">
            <v>1</v>
          </cell>
          <cell r="F5">
            <v>1</v>
          </cell>
          <cell r="G5">
            <v>2</v>
          </cell>
          <cell r="H5">
            <v>1</v>
          </cell>
          <cell r="I5">
            <v>1</v>
          </cell>
          <cell r="J5">
            <v>1</v>
          </cell>
          <cell r="K5">
            <v>2</v>
          </cell>
          <cell r="L5">
            <v>1</v>
          </cell>
          <cell r="M5">
            <v>2</v>
          </cell>
          <cell r="N5">
            <v>2</v>
          </cell>
          <cell r="O5">
            <v>1</v>
          </cell>
          <cell r="P5">
            <v>2</v>
          </cell>
          <cell r="Q5">
            <v>2</v>
          </cell>
          <cell r="R5">
            <v>1</v>
          </cell>
          <cell r="S5">
            <v>2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1</v>
          </cell>
          <cell r="AA5" t="str">
            <v>Data split-2</v>
          </cell>
          <cell r="AB5">
            <v>6.7000000000000004E-2</v>
          </cell>
          <cell r="AC5">
            <v>0.38</v>
          </cell>
          <cell r="AD5">
            <v>4.0000000000000001E-3</v>
          </cell>
          <cell r="AE5">
            <v>4.2999999999999997E-2</v>
          </cell>
          <cell r="AF5">
            <v>0.24</v>
          </cell>
          <cell r="AG5">
            <v>4.4999999999999997E-3</v>
          </cell>
          <cell r="AH5">
            <v>4.5999999999999999E-2</v>
          </cell>
          <cell r="AI5">
            <v>2</v>
          </cell>
          <cell r="AJ5">
            <v>3.3999999999999998E-3</v>
          </cell>
        </row>
        <row r="6">
          <cell r="E6">
            <v>2</v>
          </cell>
          <cell r="F6">
            <v>1</v>
          </cell>
          <cell r="G6">
            <v>1</v>
          </cell>
          <cell r="H6">
            <v>2</v>
          </cell>
          <cell r="I6">
            <v>2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2</v>
          </cell>
          <cell r="O6">
            <v>1</v>
          </cell>
          <cell r="P6">
            <v>1</v>
          </cell>
          <cell r="Q6">
            <v>1</v>
          </cell>
          <cell r="R6">
            <v>1</v>
          </cell>
          <cell r="S6">
            <v>2</v>
          </cell>
          <cell r="T6">
            <v>2</v>
          </cell>
          <cell r="U6">
            <v>2</v>
          </cell>
          <cell r="V6">
            <v>1</v>
          </cell>
          <cell r="W6">
            <v>2</v>
          </cell>
          <cell r="X6">
            <v>2</v>
          </cell>
          <cell r="AA6" t="str">
            <v>Data split-3</v>
          </cell>
          <cell r="AB6">
            <v>0.11</v>
          </cell>
          <cell r="AC6">
            <v>0.27</v>
          </cell>
          <cell r="AD6">
            <v>6.1999999999999998E-3</v>
          </cell>
          <cell r="AH6">
            <v>4.2000000000000003E-2</v>
          </cell>
          <cell r="AI6">
            <v>1.7</v>
          </cell>
          <cell r="AJ6">
            <v>4.3E-3</v>
          </cell>
        </row>
        <row r="7">
          <cell r="E7">
            <v>1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1</v>
          </cell>
          <cell r="K7">
            <v>1</v>
          </cell>
          <cell r="L7">
            <v>2</v>
          </cell>
          <cell r="M7">
            <v>1</v>
          </cell>
          <cell r="N7">
            <v>2</v>
          </cell>
          <cell r="O7">
            <v>1</v>
          </cell>
          <cell r="P7">
            <v>1</v>
          </cell>
          <cell r="Q7">
            <v>2</v>
          </cell>
          <cell r="R7">
            <v>1</v>
          </cell>
          <cell r="S7">
            <v>1</v>
          </cell>
          <cell r="T7">
            <v>2</v>
          </cell>
          <cell r="U7">
            <v>1</v>
          </cell>
          <cell r="V7">
            <v>2</v>
          </cell>
          <cell r="W7">
            <v>1</v>
          </cell>
          <cell r="X7">
            <v>2</v>
          </cell>
          <cell r="AA7" t="str">
            <v>Data split-4</v>
          </cell>
          <cell r="AB7">
            <v>8.5000000000000006E-2</v>
          </cell>
          <cell r="AC7">
            <v>0.37</v>
          </cell>
          <cell r="AD7">
            <v>3.8E-3</v>
          </cell>
          <cell r="AE7">
            <v>3.6999999999999998E-2</v>
          </cell>
          <cell r="AF7">
            <v>0.27</v>
          </cell>
          <cell r="AG7">
            <v>4.7000000000000002E-3</v>
          </cell>
          <cell r="AH7">
            <v>3.5999999999999997E-2</v>
          </cell>
          <cell r="AI7">
            <v>2.1</v>
          </cell>
          <cell r="AJ7">
            <v>3.8E-3</v>
          </cell>
        </row>
        <row r="8">
          <cell r="E8">
            <v>1</v>
          </cell>
          <cell r="F8">
            <v>2</v>
          </cell>
          <cell r="G8">
            <v>2</v>
          </cell>
          <cell r="H8">
            <v>1</v>
          </cell>
          <cell r="I8">
            <v>1</v>
          </cell>
          <cell r="J8">
            <v>2</v>
          </cell>
          <cell r="K8">
            <v>1</v>
          </cell>
          <cell r="L8">
            <v>1</v>
          </cell>
          <cell r="M8">
            <v>2</v>
          </cell>
          <cell r="N8">
            <v>1</v>
          </cell>
          <cell r="O8">
            <v>1</v>
          </cell>
          <cell r="P8">
            <v>2</v>
          </cell>
          <cell r="Q8">
            <v>1</v>
          </cell>
          <cell r="R8">
            <v>2</v>
          </cell>
          <cell r="S8">
            <v>2</v>
          </cell>
          <cell r="T8">
            <v>1</v>
          </cell>
          <cell r="U8">
            <v>2</v>
          </cell>
          <cell r="V8">
            <v>1</v>
          </cell>
          <cell r="W8">
            <v>1</v>
          </cell>
          <cell r="X8">
            <v>1</v>
          </cell>
          <cell r="AA8" t="str">
            <v>Data split-5</v>
          </cell>
          <cell r="AB8">
            <v>0.14000000000000001</v>
          </cell>
          <cell r="AC8">
            <v>0.3</v>
          </cell>
          <cell r="AD8">
            <v>4.1000000000000003E-3</v>
          </cell>
          <cell r="AE8">
            <v>8.3999999999999995E-3</v>
          </cell>
          <cell r="AF8">
            <v>0.26</v>
          </cell>
          <cell r="AG8">
            <v>4.8999999999999998E-3</v>
          </cell>
          <cell r="AH8">
            <v>5.0999999999999997E-2</v>
          </cell>
          <cell r="AI8">
            <v>1.8</v>
          </cell>
          <cell r="AJ8">
            <v>4.1999999999999997E-3</v>
          </cell>
        </row>
        <row r="9">
          <cell r="E9">
            <v>1</v>
          </cell>
          <cell r="F9">
            <v>2</v>
          </cell>
          <cell r="G9">
            <v>2</v>
          </cell>
          <cell r="H9">
            <v>1</v>
          </cell>
          <cell r="I9">
            <v>1</v>
          </cell>
          <cell r="J9">
            <v>2</v>
          </cell>
          <cell r="K9">
            <v>2</v>
          </cell>
          <cell r="L9">
            <v>2</v>
          </cell>
          <cell r="M9">
            <v>1</v>
          </cell>
          <cell r="N9">
            <v>2</v>
          </cell>
          <cell r="O9">
            <v>2</v>
          </cell>
          <cell r="P9">
            <v>2</v>
          </cell>
          <cell r="Q9">
            <v>1</v>
          </cell>
          <cell r="R9">
            <v>1</v>
          </cell>
          <cell r="S9">
            <v>2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</v>
          </cell>
          <cell r="AA9" t="str">
            <v>Data split-6</v>
          </cell>
          <cell r="AB9">
            <v>3.2000000000000001E-2</v>
          </cell>
          <cell r="AC9">
            <v>0.35</v>
          </cell>
          <cell r="AD9">
            <v>4.7000000000000002E-3</v>
          </cell>
          <cell r="AH9">
            <v>4.8000000000000001E-2</v>
          </cell>
          <cell r="AI9">
            <v>1.6</v>
          </cell>
          <cell r="AJ9">
            <v>4.1999999999999997E-3</v>
          </cell>
        </row>
        <row r="10">
          <cell r="E10">
            <v>1</v>
          </cell>
          <cell r="F10">
            <v>1</v>
          </cell>
          <cell r="G10">
            <v>2</v>
          </cell>
          <cell r="H10">
            <v>1</v>
          </cell>
          <cell r="I10">
            <v>1</v>
          </cell>
          <cell r="J10">
            <v>1</v>
          </cell>
          <cell r="K10">
            <v>1</v>
          </cell>
          <cell r="L10">
            <v>2</v>
          </cell>
          <cell r="M10">
            <v>2</v>
          </cell>
          <cell r="N10">
            <v>1</v>
          </cell>
          <cell r="O10">
            <v>1</v>
          </cell>
          <cell r="P10">
            <v>1</v>
          </cell>
          <cell r="Q10">
            <v>2</v>
          </cell>
          <cell r="R10">
            <v>1</v>
          </cell>
          <cell r="S10">
            <v>2</v>
          </cell>
          <cell r="T10">
            <v>2</v>
          </cell>
          <cell r="U10">
            <v>2</v>
          </cell>
          <cell r="V10">
            <v>1</v>
          </cell>
          <cell r="W10">
            <v>2</v>
          </cell>
          <cell r="X10">
            <v>2</v>
          </cell>
          <cell r="AA10" t="str">
            <v>Data split-7</v>
          </cell>
          <cell r="AB10">
            <v>2.0999999999999999E-3</v>
          </cell>
          <cell r="AC10">
            <v>0.34</v>
          </cell>
          <cell r="AD10">
            <v>4.7000000000000002E-3</v>
          </cell>
          <cell r="AE10">
            <v>3.1E-2</v>
          </cell>
          <cell r="AF10">
            <v>0.25</v>
          </cell>
          <cell r="AG10">
            <v>4.7999999999999996E-3</v>
          </cell>
          <cell r="AH10">
            <v>9.5000000000000001E-2</v>
          </cell>
          <cell r="AI10">
            <v>1</v>
          </cell>
          <cell r="AJ10">
            <v>4.3E-3</v>
          </cell>
        </row>
        <row r="11">
          <cell r="E11">
            <v>2</v>
          </cell>
          <cell r="F11">
            <v>1</v>
          </cell>
          <cell r="G11">
            <v>2</v>
          </cell>
          <cell r="H11">
            <v>2</v>
          </cell>
          <cell r="I11">
            <v>1</v>
          </cell>
          <cell r="J11">
            <v>1</v>
          </cell>
          <cell r="K11">
            <v>2</v>
          </cell>
          <cell r="L11">
            <v>2</v>
          </cell>
          <cell r="M11">
            <v>2</v>
          </cell>
          <cell r="N11">
            <v>1</v>
          </cell>
          <cell r="O11">
            <v>2</v>
          </cell>
          <cell r="P11">
            <v>1</v>
          </cell>
          <cell r="Q11">
            <v>2</v>
          </cell>
          <cell r="R11">
            <v>2</v>
          </cell>
          <cell r="S11">
            <v>2</v>
          </cell>
          <cell r="T11">
            <v>1</v>
          </cell>
          <cell r="U11">
            <v>2</v>
          </cell>
          <cell r="V11">
            <v>2</v>
          </cell>
          <cell r="W11">
            <v>2</v>
          </cell>
          <cell r="X11">
            <v>1</v>
          </cell>
          <cell r="AA11" t="str">
            <v>Data split-8</v>
          </cell>
          <cell r="AB11">
            <v>0.16</v>
          </cell>
          <cell r="AC11">
            <v>0.24</v>
          </cell>
          <cell r="AD11">
            <v>7.0000000000000001E-3</v>
          </cell>
          <cell r="AE11">
            <v>0.02</v>
          </cell>
          <cell r="AF11">
            <v>0.27</v>
          </cell>
          <cell r="AG11">
            <v>4.5999999999999999E-3</v>
          </cell>
          <cell r="AH11">
            <v>5.8000000000000003E-2</v>
          </cell>
          <cell r="AI11">
            <v>0.87</v>
          </cell>
          <cell r="AJ11">
            <v>6.0000000000000001E-3</v>
          </cell>
        </row>
        <row r="12">
          <cell r="E12">
            <v>1</v>
          </cell>
          <cell r="F12">
            <v>2</v>
          </cell>
          <cell r="G12">
            <v>2</v>
          </cell>
          <cell r="H12">
            <v>2</v>
          </cell>
          <cell r="I12">
            <v>1</v>
          </cell>
          <cell r="J12">
            <v>2</v>
          </cell>
          <cell r="K12">
            <v>2</v>
          </cell>
          <cell r="L12">
            <v>2</v>
          </cell>
          <cell r="M12">
            <v>1</v>
          </cell>
          <cell r="N12">
            <v>1</v>
          </cell>
          <cell r="O12">
            <v>2</v>
          </cell>
          <cell r="P12">
            <v>2</v>
          </cell>
          <cell r="Q12">
            <v>1</v>
          </cell>
          <cell r="R12">
            <v>1</v>
          </cell>
          <cell r="S12">
            <v>1</v>
          </cell>
          <cell r="T12">
            <v>1</v>
          </cell>
          <cell r="U12">
            <v>2</v>
          </cell>
          <cell r="V12">
            <v>1</v>
          </cell>
          <cell r="W12">
            <v>1</v>
          </cell>
          <cell r="X12">
            <v>2</v>
          </cell>
          <cell r="AA12" t="str">
            <v>Data split-9</v>
          </cell>
          <cell r="AB12">
            <v>8.4000000000000005E-2</v>
          </cell>
          <cell r="AC12">
            <v>0.33</v>
          </cell>
          <cell r="AD12">
            <v>4.7000000000000002E-3</v>
          </cell>
          <cell r="AE12">
            <v>7.4999999999999997E-3</v>
          </cell>
          <cell r="AF12">
            <v>0.28000000000000003</v>
          </cell>
          <cell r="AG12">
            <v>4.7000000000000002E-3</v>
          </cell>
          <cell r="AH12">
            <v>4.8000000000000001E-2</v>
          </cell>
          <cell r="AI12">
            <v>1.5</v>
          </cell>
          <cell r="AJ12">
            <v>4.1000000000000003E-3</v>
          </cell>
        </row>
        <row r="13">
          <cell r="E13">
            <v>2</v>
          </cell>
          <cell r="F13">
            <v>2</v>
          </cell>
          <cell r="G13">
            <v>2</v>
          </cell>
          <cell r="H13">
            <v>1</v>
          </cell>
          <cell r="I13">
            <v>1</v>
          </cell>
          <cell r="J13">
            <v>1</v>
          </cell>
          <cell r="K13">
            <v>1</v>
          </cell>
          <cell r="L13">
            <v>1</v>
          </cell>
          <cell r="M13">
            <v>1</v>
          </cell>
          <cell r="N13">
            <v>2</v>
          </cell>
          <cell r="O13">
            <v>1</v>
          </cell>
          <cell r="P13">
            <v>2</v>
          </cell>
          <cell r="Q13">
            <v>2</v>
          </cell>
          <cell r="R13">
            <v>2</v>
          </cell>
          <cell r="S13">
            <v>2</v>
          </cell>
          <cell r="T13">
            <v>1</v>
          </cell>
          <cell r="U13">
            <v>1</v>
          </cell>
          <cell r="V13">
            <v>2</v>
          </cell>
          <cell r="W13">
            <v>2</v>
          </cell>
          <cell r="X13">
            <v>1</v>
          </cell>
          <cell r="AA13" t="str">
            <v>Data split-10</v>
          </cell>
          <cell r="AB13">
            <v>0.1</v>
          </cell>
          <cell r="AC13">
            <v>0.27</v>
          </cell>
          <cell r="AD13">
            <v>6.8999999999999999E-3</v>
          </cell>
          <cell r="AE13">
            <v>0.03</v>
          </cell>
          <cell r="AF13">
            <v>0.25</v>
          </cell>
          <cell r="AG13">
            <v>4.7999999999999996E-3</v>
          </cell>
          <cell r="AH13">
            <v>4.1000000000000002E-2</v>
          </cell>
          <cell r="AI13">
            <v>1.6</v>
          </cell>
          <cell r="AJ13">
            <v>4.7999999999999996E-3</v>
          </cell>
        </row>
        <row r="14">
          <cell r="E14">
            <v>1</v>
          </cell>
          <cell r="F14">
            <v>1</v>
          </cell>
          <cell r="G14">
            <v>2</v>
          </cell>
          <cell r="H14">
            <v>2</v>
          </cell>
          <cell r="I14">
            <v>2</v>
          </cell>
          <cell r="J14">
            <v>2</v>
          </cell>
          <cell r="K14">
            <v>2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2</v>
          </cell>
          <cell r="R14">
            <v>2</v>
          </cell>
          <cell r="S14">
            <v>1</v>
          </cell>
          <cell r="T14">
            <v>1</v>
          </cell>
          <cell r="U14">
            <v>2</v>
          </cell>
          <cell r="V14">
            <v>1</v>
          </cell>
          <cell r="W14">
            <v>2</v>
          </cell>
          <cell r="X14">
            <v>2</v>
          </cell>
          <cell r="AA14" t="str">
            <v>Data split-11</v>
          </cell>
          <cell r="AB14">
            <v>0.02</v>
          </cell>
          <cell r="AC14">
            <v>0.36</v>
          </cell>
          <cell r="AD14">
            <v>4.4000000000000003E-3</v>
          </cell>
          <cell r="AE14">
            <v>3.3000000000000002E-2</v>
          </cell>
          <cell r="AF14">
            <v>0.24</v>
          </cell>
          <cell r="AG14">
            <v>4.7999999999999996E-3</v>
          </cell>
          <cell r="AH14">
            <v>6.2E-2</v>
          </cell>
          <cell r="AI14">
            <v>1.6</v>
          </cell>
          <cell r="AJ14">
            <v>4.1000000000000003E-3</v>
          </cell>
        </row>
        <row r="15">
          <cell r="E15">
            <v>2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J15">
            <v>2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2</v>
          </cell>
          <cell r="Q15">
            <v>2</v>
          </cell>
          <cell r="R15">
            <v>2</v>
          </cell>
          <cell r="S15">
            <v>1</v>
          </cell>
          <cell r="T15">
            <v>1</v>
          </cell>
          <cell r="U15">
            <v>1</v>
          </cell>
          <cell r="V15">
            <v>2</v>
          </cell>
          <cell r="W15">
            <v>2</v>
          </cell>
          <cell r="X15">
            <v>1</v>
          </cell>
          <cell r="AA15" t="str">
            <v>Data split-12</v>
          </cell>
          <cell r="AB15">
            <v>4.3999999999999997E-2</v>
          </cell>
          <cell r="AC15">
            <v>0.32</v>
          </cell>
          <cell r="AD15">
            <v>5.5999999999999999E-3</v>
          </cell>
          <cell r="AE15">
            <v>4.1000000000000002E-2</v>
          </cell>
          <cell r="AF15">
            <v>0.27</v>
          </cell>
          <cell r="AG15">
            <v>4.4000000000000003E-3</v>
          </cell>
          <cell r="AH15">
            <v>5.5E-2</v>
          </cell>
          <cell r="AI15">
            <v>1.2</v>
          </cell>
          <cell r="AJ15">
            <v>5.0000000000000001E-3</v>
          </cell>
        </row>
        <row r="16">
          <cell r="E16">
            <v>1</v>
          </cell>
          <cell r="F16">
            <v>2</v>
          </cell>
          <cell r="G16">
            <v>1</v>
          </cell>
          <cell r="H16">
            <v>2</v>
          </cell>
          <cell r="I16">
            <v>2</v>
          </cell>
          <cell r="J16">
            <v>1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1</v>
          </cell>
          <cell r="P16">
            <v>1</v>
          </cell>
          <cell r="Q16">
            <v>2</v>
          </cell>
          <cell r="R16">
            <v>2</v>
          </cell>
          <cell r="S16">
            <v>1</v>
          </cell>
          <cell r="T16">
            <v>2</v>
          </cell>
          <cell r="U16">
            <v>1</v>
          </cell>
          <cell r="V16">
            <v>1</v>
          </cell>
          <cell r="W16">
            <v>2</v>
          </cell>
          <cell r="X16">
            <v>1</v>
          </cell>
          <cell r="AA16" t="str">
            <v>Data split-13</v>
          </cell>
          <cell r="AB16">
            <v>0.13</v>
          </cell>
          <cell r="AC16">
            <v>0.31</v>
          </cell>
          <cell r="AD16">
            <v>4.1000000000000003E-3</v>
          </cell>
          <cell r="AE16">
            <v>2.5999999999999999E-2</v>
          </cell>
          <cell r="AF16">
            <v>0.32</v>
          </cell>
          <cell r="AG16">
            <v>3.8E-3</v>
          </cell>
          <cell r="AH16">
            <v>5.2999999999999999E-2</v>
          </cell>
          <cell r="AI16">
            <v>1.8</v>
          </cell>
          <cell r="AJ16">
            <v>3.8E-3</v>
          </cell>
        </row>
        <row r="17">
          <cell r="E17">
            <v>1</v>
          </cell>
          <cell r="F17">
            <v>2</v>
          </cell>
          <cell r="G17">
            <v>1</v>
          </cell>
          <cell r="H17">
            <v>1</v>
          </cell>
          <cell r="I17">
            <v>2</v>
          </cell>
          <cell r="J17">
            <v>2</v>
          </cell>
          <cell r="K17">
            <v>1</v>
          </cell>
          <cell r="L17">
            <v>1</v>
          </cell>
          <cell r="M17">
            <v>2</v>
          </cell>
          <cell r="N17">
            <v>2</v>
          </cell>
          <cell r="O17">
            <v>2</v>
          </cell>
          <cell r="P17">
            <v>1</v>
          </cell>
          <cell r="Q17">
            <v>1</v>
          </cell>
          <cell r="R17">
            <v>1</v>
          </cell>
          <cell r="S17">
            <v>2</v>
          </cell>
          <cell r="T17">
            <v>1</v>
          </cell>
          <cell r="U17">
            <v>2</v>
          </cell>
          <cell r="V17">
            <v>2</v>
          </cell>
          <cell r="W17">
            <v>2</v>
          </cell>
          <cell r="X17">
            <v>1</v>
          </cell>
          <cell r="AA17" t="str">
            <v>Data split-14</v>
          </cell>
          <cell r="AB17">
            <v>0.15</v>
          </cell>
          <cell r="AC17">
            <v>0.28000000000000003</v>
          </cell>
          <cell r="AD17">
            <v>4.7999999999999996E-3</v>
          </cell>
          <cell r="AE17">
            <v>9.5999999999999992E-3</v>
          </cell>
          <cell r="AF17">
            <v>0.25</v>
          </cell>
          <cell r="AG17">
            <v>4.8999999999999998E-3</v>
          </cell>
          <cell r="AH17">
            <v>2.1000000000000001E-2</v>
          </cell>
          <cell r="AI17">
            <v>1.7</v>
          </cell>
          <cell r="AJ17">
            <v>4.4999999999999997E-3</v>
          </cell>
        </row>
        <row r="18">
          <cell r="E18">
            <v>2</v>
          </cell>
          <cell r="F18">
            <v>2</v>
          </cell>
          <cell r="G18">
            <v>2</v>
          </cell>
          <cell r="H18">
            <v>1</v>
          </cell>
          <cell r="I18">
            <v>1</v>
          </cell>
          <cell r="J18">
            <v>1</v>
          </cell>
          <cell r="K18">
            <v>1</v>
          </cell>
          <cell r="L18">
            <v>2</v>
          </cell>
          <cell r="M18">
            <v>1</v>
          </cell>
          <cell r="N18">
            <v>2</v>
          </cell>
          <cell r="O18">
            <v>2</v>
          </cell>
          <cell r="P18">
            <v>2</v>
          </cell>
          <cell r="Q18">
            <v>2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V18">
            <v>1</v>
          </cell>
          <cell r="W18">
            <v>2</v>
          </cell>
          <cell r="X18">
            <v>2</v>
          </cell>
          <cell r="AA18" t="str">
            <v>Data split-15</v>
          </cell>
          <cell r="AB18">
            <v>0.11</v>
          </cell>
          <cell r="AC18">
            <v>0.25</v>
          </cell>
          <cell r="AD18">
            <v>6.7000000000000002E-3</v>
          </cell>
          <cell r="AE18">
            <v>0.05</v>
          </cell>
          <cell r="AF18">
            <v>0.22</v>
          </cell>
          <cell r="AG18">
            <v>5.4999999999999997E-3</v>
          </cell>
          <cell r="AH18">
            <v>5.7000000000000002E-2</v>
          </cell>
          <cell r="AI18">
            <v>1.6</v>
          </cell>
          <cell r="AJ18">
            <v>4.3E-3</v>
          </cell>
        </row>
        <row r="19"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J19">
            <v>2</v>
          </cell>
          <cell r="K19">
            <v>1</v>
          </cell>
          <cell r="L19">
            <v>1</v>
          </cell>
          <cell r="M19">
            <v>2</v>
          </cell>
          <cell r="N19">
            <v>2</v>
          </cell>
          <cell r="O19">
            <v>1</v>
          </cell>
          <cell r="P19">
            <v>1</v>
          </cell>
          <cell r="Q19">
            <v>2</v>
          </cell>
          <cell r="R19">
            <v>2</v>
          </cell>
          <cell r="S19">
            <v>2</v>
          </cell>
          <cell r="T19">
            <v>2</v>
          </cell>
          <cell r="U19">
            <v>1</v>
          </cell>
          <cell r="V19">
            <v>1</v>
          </cell>
          <cell r="W19">
            <v>1</v>
          </cell>
          <cell r="X19">
            <v>2</v>
          </cell>
          <cell r="AA19" t="str">
            <v>Data split-16</v>
          </cell>
          <cell r="AB19">
            <v>5.5E-2</v>
          </cell>
          <cell r="AC19">
            <v>0.38</v>
          </cell>
          <cell r="AD19">
            <v>4.5999999999999999E-3</v>
          </cell>
          <cell r="AE19">
            <v>3.3000000000000002E-2</v>
          </cell>
          <cell r="AF19">
            <v>0.27</v>
          </cell>
          <cell r="AG19">
            <v>4.4999999999999997E-3</v>
          </cell>
          <cell r="AH19">
            <v>7.4999999999999997E-2</v>
          </cell>
          <cell r="AI19">
            <v>1.4</v>
          </cell>
          <cell r="AJ19">
            <v>4.1000000000000003E-3</v>
          </cell>
        </row>
        <row r="20">
          <cell r="E20">
            <v>1</v>
          </cell>
          <cell r="F20">
            <v>1</v>
          </cell>
          <cell r="G20">
            <v>2</v>
          </cell>
          <cell r="H20">
            <v>1</v>
          </cell>
          <cell r="I20">
            <v>1</v>
          </cell>
          <cell r="J20">
            <v>1</v>
          </cell>
          <cell r="K20">
            <v>2</v>
          </cell>
          <cell r="L20">
            <v>2</v>
          </cell>
          <cell r="M20">
            <v>1</v>
          </cell>
          <cell r="N20">
            <v>1</v>
          </cell>
          <cell r="O20">
            <v>2</v>
          </cell>
          <cell r="P20">
            <v>1</v>
          </cell>
          <cell r="Q20">
            <v>1</v>
          </cell>
          <cell r="R20">
            <v>1</v>
          </cell>
          <cell r="S20">
            <v>1</v>
          </cell>
          <cell r="T20">
            <v>1</v>
          </cell>
          <cell r="U20">
            <v>2</v>
          </cell>
          <cell r="V20">
            <v>1</v>
          </cell>
          <cell r="W20">
            <v>1</v>
          </cell>
          <cell r="X20">
            <v>1</v>
          </cell>
          <cell r="AA20" t="str">
            <v>Data split-17</v>
          </cell>
          <cell r="AB20">
            <v>0.17</v>
          </cell>
          <cell r="AC20">
            <v>0.25</v>
          </cell>
          <cell r="AD20">
            <v>5.1000000000000004E-3</v>
          </cell>
          <cell r="AE20">
            <v>3.9E-2</v>
          </cell>
          <cell r="AF20">
            <v>0.23</v>
          </cell>
          <cell r="AG20">
            <v>5.0000000000000001E-3</v>
          </cell>
          <cell r="AH20">
            <v>3.4000000000000002E-2</v>
          </cell>
          <cell r="AI20">
            <v>1.6</v>
          </cell>
          <cell r="AJ20">
            <v>4.7000000000000002E-3</v>
          </cell>
        </row>
        <row r="21">
          <cell r="E21">
            <v>2</v>
          </cell>
          <cell r="F21">
            <v>1</v>
          </cell>
          <cell r="G21">
            <v>2</v>
          </cell>
          <cell r="H21">
            <v>2</v>
          </cell>
          <cell r="I21">
            <v>2</v>
          </cell>
          <cell r="J21">
            <v>2</v>
          </cell>
          <cell r="K21">
            <v>2</v>
          </cell>
          <cell r="L21">
            <v>1</v>
          </cell>
          <cell r="M21">
            <v>2</v>
          </cell>
          <cell r="N21">
            <v>1</v>
          </cell>
          <cell r="O21">
            <v>2</v>
          </cell>
          <cell r="P21">
            <v>2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2</v>
          </cell>
          <cell r="V21">
            <v>1</v>
          </cell>
          <cell r="W21">
            <v>1</v>
          </cell>
          <cell r="X21">
            <v>1</v>
          </cell>
          <cell r="AA21" t="str">
            <v>Data split-18</v>
          </cell>
          <cell r="AB21">
            <v>0.15</v>
          </cell>
          <cell r="AC21">
            <v>0.25</v>
          </cell>
          <cell r="AD21">
            <v>5.3E-3</v>
          </cell>
          <cell r="AE21">
            <v>0.12</v>
          </cell>
          <cell r="AF21">
            <v>0.22</v>
          </cell>
          <cell r="AG21">
            <v>4.4000000000000003E-3</v>
          </cell>
          <cell r="AH21">
            <v>0.04</v>
          </cell>
          <cell r="AI21">
            <v>2.2000000000000002</v>
          </cell>
          <cell r="AJ21">
            <v>3.2000000000000002E-3</v>
          </cell>
        </row>
        <row r="22">
          <cell r="E22">
            <v>1</v>
          </cell>
          <cell r="F22">
            <v>1</v>
          </cell>
          <cell r="G22">
            <v>2</v>
          </cell>
          <cell r="H22">
            <v>2</v>
          </cell>
          <cell r="I22">
            <v>1</v>
          </cell>
          <cell r="J22">
            <v>2</v>
          </cell>
          <cell r="K22">
            <v>2</v>
          </cell>
          <cell r="L22">
            <v>2</v>
          </cell>
          <cell r="M22">
            <v>1</v>
          </cell>
          <cell r="N22">
            <v>2</v>
          </cell>
          <cell r="O22">
            <v>2</v>
          </cell>
          <cell r="P22">
            <v>1</v>
          </cell>
          <cell r="Q22">
            <v>2</v>
          </cell>
          <cell r="R22">
            <v>1</v>
          </cell>
          <cell r="S22">
            <v>1</v>
          </cell>
          <cell r="T22">
            <v>2</v>
          </cell>
          <cell r="U22">
            <v>1</v>
          </cell>
          <cell r="V22">
            <v>2</v>
          </cell>
          <cell r="W22">
            <v>1</v>
          </cell>
          <cell r="X22">
            <v>1</v>
          </cell>
          <cell r="AA22" t="str">
            <v>Data split-19</v>
          </cell>
          <cell r="AB22">
            <v>0.14000000000000001</v>
          </cell>
          <cell r="AC22">
            <v>0.25</v>
          </cell>
          <cell r="AD22">
            <v>5.5999999999999999E-3</v>
          </cell>
          <cell r="AE22">
            <v>2.1999999999999999E-2</v>
          </cell>
          <cell r="AF22">
            <v>0.33</v>
          </cell>
          <cell r="AG22">
            <v>4.1999999999999997E-3</v>
          </cell>
          <cell r="AH22">
            <v>4.4999999999999998E-2</v>
          </cell>
          <cell r="AI22">
            <v>0.9</v>
          </cell>
          <cell r="AJ22">
            <v>6.1000000000000004E-3</v>
          </cell>
        </row>
        <row r="23">
          <cell r="E23">
            <v>2</v>
          </cell>
          <cell r="F23">
            <v>2</v>
          </cell>
          <cell r="G23">
            <v>1</v>
          </cell>
          <cell r="H23">
            <v>2</v>
          </cell>
          <cell r="I23">
            <v>1</v>
          </cell>
          <cell r="J23">
            <v>2</v>
          </cell>
          <cell r="K23">
            <v>1</v>
          </cell>
          <cell r="L23">
            <v>1</v>
          </cell>
          <cell r="M23">
            <v>2</v>
          </cell>
          <cell r="N23">
            <v>2</v>
          </cell>
          <cell r="O23">
            <v>2</v>
          </cell>
          <cell r="P23">
            <v>2</v>
          </cell>
          <cell r="Q23">
            <v>1</v>
          </cell>
          <cell r="R23">
            <v>1</v>
          </cell>
          <cell r="S23">
            <v>1</v>
          </cell>
          <cell r="T23">
            <v>2</v>
          </cell>
          <cell r="U23">
            <v>2</v>
          </cell>
          <cell r="V23">
            <v>2</v>
          </cell>
          <cell r="W23">
            <v>2</v>
          </cell>
          <cell r="X23">
            <v>2</v>
          </cell>
          <cell r="AA23" t="str">
            <v>Data split-20</v>
          </cell>
          <cell r="AB23">
            <v>0.17</v>
          </cell>
          <cell r="AC23">
            <v>0.23</v>
          </cell>
          <cell r="AD23">
            <v>6.1000000000000004E-3</v>
          </cell>
          <cell r="AE23">
            <v>2.9000000000000001E-2</v>
          </cell>
          <cell r="AF23">
            <v>0.24</v>
          </cell>
          <cell r="AG23">
            <v>4.7000000000000002E-3</v>
          </cell>
          <cell r="AH23">
            <v>9.4E-2</v>
          </cell>
          <cell r="AI23">
            <v>1</v>
          </cell>
          <cell r="AJ23">
            <v>4.5999999999999999E-3</v>
          </cell>
        </row>
        <row r="24"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2</v>
          </cell>
          <cell r="J24">
            <v>2</v>
          </cell>
          <cell r="K24">
            <v>1</v>
          </cell>
          <cell r="L24">
            <v>1</v>
          </cell>
          <cell r="M24">
            <v>1</v>
          </cell>
          <cell r="N24">
            <v>2</v>
          </cell>
          <cell r="O24">
            <v>2</v>
          </cell>
          <cell r="P24">
            <v>1</v>
          </cell>
          <cell r="Q24">
            <v>2</v>
          </cell>
          <cell r="R24">
            <v>1</v>
          </cell>
          <cell r="S24">
            <v>2</v>
          </cell>
          <cell r="T24">
            <v>1</v>
          </cell>
          <cell r="U24">
            <v>2</v>
          </cell>
          <cell r="V24">
            <v>1</v>
          </cell>
          <cell r="W24">
            <v>2</v>
          </cell>
          <cell r="X24">
            <v>1</v>
          </cell>
        </row>
        <row r="25">
          <cell r="E25">
            <v>1</v>
          </cell>
          <cell r="F25">
            <v>1</v>
          </cell>
          <cell r="G25">
            <v>1</v>
          </cell>
          <cell r="H25">
            <v>2</v>
          </cell>
          <cell r="I25">
            <v>1</v>
          </cell>
          <cell r="J25">
            <v>1</v>
          </cell>
          <cell r="K25">
            <v>1</v>
          </cell>
          <cell r="L25">
            <v>2</v>
          </cell>
          <cell r="M25">
            <v>1</v>
          </cell>
          <cell r="N25">
            <v>2</v>
          </cell>
          <cell r="O25">
            <v>1</v>
          </cell>
          <cell r="P25">
            <v>2</v>
          </cell>
          <cell r="Q25">
            <v>1</v>
          </cell>
          <cell r="R25">
            <v>1</v>
          </cell>
          <cell r="S25">
            <v>2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</v>
          </cell>
        </row>
        <row r="26">
          <cell r="E26">
            <v>1</v>
          </cell>
          <cell r="F26">
            <v>1</v>
          </cell>
          <cell r="G26">
            <v>1</v>
          </cell>
          <cell r="H26">
            <v>1</v>
          </cell>
          <cell r="I26">
            <v>2</v>
          </cell>
          <cell r="J26">
            <v>2</v>
          </cell>
          <cell r="K26">
            <v>1</v>
          </cell>
          <cell r="L26">
            <v>1</v>
          </cell>
          <cell r="M26">
            <v>2</v>
          </cell>
          <cell r="N26">
            <v>2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2</v>
          </cell>
          <cell r="W26">
            <v>2</v>
          </cell>
          <cell r="X26">
            <v>1</v>
          </cell>
        </row>
        <row r="27">
          <cell r="E27">
            <v>2</v>
          </cell>
          <cell r="F27">
            <v>2</v>
          </cell>
          <cell r="G27">
            <v>1</v>
          </cell>
          <cell r="H27">
            <v>1</v>
          </cell>
          <cell r="I27">
            <v>2</v>
          </cell>
          <cell r="J27">
            <v>1</v>
          </cell>
          <cell r="K27">
            <v>2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2</v>
          </cell>
          <cell r="R27">
            <v>1</v>
          </cell>
          <cell r="S27">
            <v>1</v>
          </cell>
          <cell r="T27">
            <v>2</v>
          </cell>
          <cell r="U27">
            <v>1</v>
          </cell>
          <cell r="V27">
            <v>1</v>
          </cell>
          <cell r="W27">
            <v>2</v>
          </cell>
          <cell r="X27">
            <v>1</v>
          </cell>
        </row>
        <row r="28">
          <cell r="E28">
            <v>2</v>
          </cell>
          <cell r="F28">
            <v>1</v>
          </cell>
          <cell r="G28">
            <v>1</v>
          </cell>
          <cell r="H28">
            <v>2</v>
          </cell>
          <cell r="I28">
            <v>1</v>
          </cell>
          <cell r="J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2</v>
          </cell>
          <cell r="Q28">
            <v>1</v>
          </cell>
          <cell r="R28">
            <v>2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2</v>
          </cell>
          <cell r="X28">
            <v>2</v>
          </cell>
        </row>
        <row r="29"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2</v>
          </cell>
          <cell r="P29">
            <v>2</v>
          </cell>
          <cell r="Q29">
            <v>1</v>
          </cell>
          <cell r="R29">
            <v>2</v>
          </cell>
          <cell r="S29">
            <v>1</v>
          </cell>
          <cell r="T29">
            <v>1</v>
          </cell>
          <cell r="U29">
            <v>1</v>
          </cell>
          <cell r="V29">
            <v>2</v>
          </cell>
          <cell r="W29">
            <v>2</v>
          </cell>
          <cell r="X29">
            <v>1</v>
          </cell>
        </row>
        <row r="30">
          <cell r="E30">
            <v>2</v>
          </cell>
          <cell r="F30">
            <v>2</v>
          </cell>
          <cell r="G30">
            <v>1</v>
          </cell>
          <cell r="H30">
            <v>2</v>
          </cell>
          <cell r="I30">
            <v>2</v>
          </cell>
          <cell r="J30">
            <v>2</v>
          </cell>
          <cell r="K30">
            <v>1</v>
          </cell>
          <cell r="L30">
            <v>2</v>
          </cell>
          <cell r="M30">
            <v>1</v>
          </cell>
          <cell r="N30">
            <v>1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1</v>
          </cell>
        </row>
        <row r="31">
          <cell r="E31">
            <v>2</v>
          </cell>
          <cell r="F31">
            <v>1</v>
          </cell>
          <cell r="G31">
            <v>2</v>
          </cell>
          <cell r="H31">
            <v>1</v>
          </cell>
          <cell r="I31">
            <v>2</v>
          </cell>
          <cell r="J31">
            <v>2</v>
          </cell>
          <cell r="K31">
            <v>1</v>
          </cell>
          <cell r="L31">
            <v>1</v>
          </cell>
          <cell r="M31">
            <v>1</v>
          </cell>
          <cell r="N31">
            <v>1</v>
          </cell>
          <cell r="O31">
            <v>2</v>
          </cell>
          <cell r="P31">
            <v>1</v>
          </cell>
          <cell r="Q31">
            <v>1</v>
          </cell>
          <cell r="R31">
            <v>2</v>
          </cell>
          <cell r="S31">
            <v>1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1</v>
          </cell>
        </row>
        <row r="32"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2</v>
          </cell>
          <cell r="Q32">
            <v>2</v>
          </cell>
          <cell r="R32">
            <v>1</v>
          </cell>
          <cell r="S32">
            <v>1</v>
          </cell>
          <cell r="T32">
            <v>2</v>
          </cell>
          <cell r="U32">
            <v>1</v>
          </cell>
          <cell r="V32">
            <v>1</v>
          </cell>
          <cell r="W32">
            <v>1</v>
          </cell>
          <cell r="X32">
            <v>1</v>
          </cell>
        </row>
        <row r="33"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J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2</v>
          </cell>
          <cell r="P33">
            <v>2</v>
          </cell>
          <cell r="Q33">
            <v>1</v>
          </cell>
          <cell r="R33">
            <v>2</v>
          </cell>
          <cell r="S33">
            <v>2</v>
          </cell>
          <cell r="T33">
            <v>1</v>
          </cell>
          <cell r="U33">
            <v>2</v>
          </cell>
          <cell r="V33">
            <v>1</v>
          </cell>
          <cell r="W33">
            <v>2</v>
          </cell>
          <cell r="X33">
            <v>2</v>
          </cell>
        </row>
        <row r="34">
          <cell r="E34">
            <v>1</v>
          </cell>
          <cell r="F34">
            <v>2</v>
          </cell>
          <cell r="G34">
            <v>1</v>
          </cell>
          <cell r="H34">
            <v>1</v>
          </cell>
          <cell r="I34">
            <v>2</v>
          </cell>
          <cell r="J34">
            <v>1</v>
          </cell>
          <cell r="K34">
            <v>2</v>
          </cell>
          <cell r="L34">
            <v>1</v>
          </cell>
          <cell r="M34">
            <v>2</v>
          </cell>
          <cell r="N34">
            <v>1</v>
          </cell>
          <cell r="O34">
            <v>1</v>
          </cell>
          <cell r="P34">
            <v>1</v>
          </cell>
          <cell r="Q34">
            <v>1</v>
          </cell>
          <cell r="R34">
            <v>2</v>
          </cell>
          <cell r="S34">
            <v>2</v>
          </cell>
          <cell r="T34">
            <v>1</v>
          </cell>
          <cell r="U34">
            <v>1</v>
          </cell>
          <cell r="V34">
            <v>2</v>
          </cell>
          <cell r="W34">
            <v>2</v>
          </cell>
          <cell r="X34">
            <v>2</v>
          </cell>
        </row>
        <row r="35">
          <cell r="E35">
            <v>1</v>
          </cell>
          <cell r="F35">
            <v>1</v>
          </cell>
          <cell r="G35">
            <v>2</v>
          </cell>
          <cell r="H35">
            <v>1</v>
          </cell>
          <cell r="I35">
            <v>2</v>
          </cell>
          <cell r="J35">
            <v>1</v>
          </cell>
          <cell r="K35">
            <v>2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2</v>
          </cell>
          <cell r="Q35">
            <v>2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2</v>
          </cell>
          <cell r="X35">
            <v>1</v>
          </cell>
        </row>
        <row r="36">
          <cell r="E36">
            <v>2</v>
          </cell>
          <cell r="F36">
            <v>1</v>
          </cell>
          <cell r="G36">
            <v>2</v>
          </cell>
          <cell r="H36">
            <v>1</v>
          </cell>
          <cell r="I36">
            <v>2</v>
          </cell>
          <cell r="J36">
            <v>1</v>
          </cell>
          <cell r="K36">
            <v>1</v>
          </cell>
          <cell r="L36">
            <v>2</v>
          </cell>
          <cell r="M36">
            <v>1</v>
          </cell>
          <cell r="N36">
            <v>2</v>
          </cell>
          <cell r="O36">
            <v>1</v>
          </cell>
          <cell r="P36">
            <v>2</v>
          </cell>
          <cell r="Q36">
            <v>2</v>
          </cell>
          <cell r="R36">
            <v>2</v>
          </cell>
          <cell r="S36">
            <v>1</v>
          </cell>
          <cell r="T36">
            <v>2</v>
          </cell>
          <cell r="U36">
            <v>1</v>
          </cell>
          <cell r="V36">
            <v>2</v>
          </cell>
          <cell r="W36">
            <v>2</v>
          </cell>
          <cell r="X36">
            <v>2</v>
          </cell>
        </row>
        <row r="37"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J37">
            <v>1</v>
          </cell>
          <cell r="K37">
            <v>1</v>
          </cell>
          <cell r="L37">
            <v>1</v>
          </cell>
          <cell r="M37">
            <v>2</v>
          </cell>
          <cell r="N37">
            <v>2</v>
          </cell>
          <cell r="O37">
            <v>1</v>
          </cell>
          <cell r="P37">
            <v>1</v>
          </cell>
          <cell r="Q37">
            <v>2</v>
          </cell>
          <cell r="R37">
            <v>2</v>
          </cell>
          <cell r="S37">
            <v>1</v>
          </cell>
          <cell r="T37">
            <v>2</v>
          </cell>
          <cell r="U37">
            <v>1</v>
          </cell>
          <cell r="V37">
            <v>1</v>
          </cell>
          <cell r="W37">
            <v>1</v>
          </cell>
          <cell r="X37">
            <v>1</v>
          </cell>
        </row>
        <row r="38">
          <cell r="E38">
            <v>2</v>
          </cell>
          <cell r="F38">
            <v>1</v>
          </cell>
          <cell r="G38">
            <v>2</v>
          </cell>
          <cell r="H38">
            <v>2</v>
          </cell>
          <cell r="I38">
            <v>2</v>
          </cell>
          <cell r="J38">
            <v>2</v>
          </cell>
          <cell r="K38">
            <v>2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2</v>
          </cell>
          <cell r="Q38">
            <v>2</v>
          </cell>
          <cell r="R38">
            <v>1</v>
          </cell>
          <cell r="S38">
            <v>2</v>
          </cell>
          <cell r="T38">
            <v>1</v>
          </cell>
          <cell r="U38">
            <v>2</v>
          </cell>
          <cell r="V38">
            <v>1</v>
          </cell>
          <cell r="W38">
            <v>1</v>
          </cell>
          <cell r="X38">
            <v>2</v>
          </cell>
        </row>
        <row r="39">
          <cell r="E39">
            <v>1</v>
          </cell>
          <cell r="F39">
            <v>1</v>
          </cell>
          <cell r="G39">
            <v>2</v>
          </cell>
          <cell r="H39">
            <v>2</v>
          </cell>
          <cell r="I39">
            <v>2</v>
          </cell>
          <cell r="J39">
            <v>1</v>
          </cell>
          <cell r="K39">
            <v>2</v>
          </cell>
          <cell r="L39">
            <v>2</v>
          </cell>
          <cell r="M39">
            <v>2</v>
          </cell>
          <cell r="N39">
            <v>1</v>
          </cell>
          <cell r="O39">
            <v>1</v>
          </cell>
          <cell r="P39">
            <v>1</v>
          </cell>
          <cell r="Q39">
            <v>1</v>
          </cell>
          <cell r="R39">
            <v>1</v>
          </cell>
          <cell r="S39">
            <v>2</v>
          </cell>
          <cell r="T39">
            <v>1</v>
          </cell>
          <cell r="U39">
            <v>2</v>
          </cell>
          <cell r="V39">
            <v>1</v>
          </cell>
          <cell r="W39">
            <v>2</v>
          </cell>
          <cell r="X39">
            <v>1</v>
          </cell>
        </row>
        <row r="40">
          <cell r="E40">
            <v>2</v>
          </cell>
          <cell r="F40">
            <v>1</v>
          </cell>
          <cell r="G40">
            <v>1</v>
          </cell>
          <cell r="H40">
            <v>2</v>
          </cell>
          <cell r="I40">
            <v>2</v>
          </cell>
          <cell r="J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2</v>
          </cell>
          <cell r="Q40">
            <v>2</v>
          </cell>
          <cell r="R40">
            <v>2</v>
          </cell>
          <cell r="S40">
            <v>1</v>
          </cell>
          <cell r="T40">
            <v>1</v>
          </cell>
          <cell r="U40">
            <v>2</v>
          </cell>
          <cell r="V40">
            <v>2</v>
          </cell>
          <cell r="W40">
            <v>2</v>
          </cell>
          <cell r="X40">
            <v>1</v>
          </cell>
        </row>
        <row r="41">
          <cell r="E41">
            <v>2</v>
          </cell>
          <cell r="F41">
            <v>2</v>
          </cell>
          <cell r="G41">
            <v>2</v>
          </cell>
          <cell r="H41">
            <v>2</v>
          </cell>
          <cell r="I41">
            <v>2</v>
          </cell>
          <cell r="J41">
            <v>1</v>
          </cell>
          <cell r="K41">
            <v>2</v>
          </cell>
          <cell r="L41">
            <v>2</v>
          </cell>
          <cell r="M41">
            <v>1</v>
          </cell>
          <cell r="N41">
            <v>1</v>
          </cell>
          <cell r="O41">
            <v>1</v>
          </cell>
          <cell r="P41">
            <v>2</v>
          </cell>
          <cell r="Q41">
            <v>1</v>
          </cell>
          <cell r="R41">
            <v>1</v>
          </cell>
          <cell r="S41">
            <v>2</v>
          </cell>
          <cell r="T41">
            <v>1</v>
          </cell>
          <cell r="U41">
            <v>2</v>
          </cell>
          <cell r="V41">
            <v>1</v>
          </cell>
          <cell r="W41">
            <v>1</v>
          </cell>
          <cell r="X41">
            <v>2</v>
          </cell>
        </row>
        <row r="42">
          <cell r="E42">
            <v>1</v>
          </cell>
          <cell r="F42">
            <v>2</v>
          </cell>
          <cell r="G42">
            <v>2</v>
          </cell>
          <cell r="H42">
            <v>1</v>
          </cell>
          <cell r="I42">
            <v>1</v>
          </cell>
          <cell r="J42">
            <v>2</v>
          </cell>
          <cell r="K42">
            <v>2</v>
          </cell>
          <cell r="L42">
            <v>1</v>
          </cell>
          <cell r="M42">
            <v>2</v>
          </cell>
          <cell r="N42">
            <v>1</v>
          </cell>
          <cell r="O42">
            <v>1</v>
          </cell>
          <cell r="P42">
            <v>1</v>
          </cell>
          <cell r="Q42">
            <v>1</v>
          </cell>
          <cell r="R42">
            <v>2</v>
          </cell>
          <cell r="S42">
            <v>1</v>
          </cell>
          <cell r="T42">
            <v>2</v>
          </cell>
          <cell r="U42">
            <v>2</v>
          </cell>
          <cell r="V42">
            <v>2</v>
          </cell>
          <cell r="W42">
            <v>1</v>
          </cell>
          <cell r="X42">
            <v>2</v>
          </cell>
        </row>
        <row r="43">
          <cell r="E43">
            <v>2</v>
          </cell>
          <cell r="F43">
            <v>2</v>
          </cell>
          <cell r="G43">
            <v>2</v>
          </cell>
          <cell r="H43">
            <v>1</v>
          </cell>
          <cell r="I43">
            <v>2</v>
          </cell>
          <cell r="J43">
            <v>1</v>
          </cell>
          <cell r="K43">
            <v>2</v>
          </cell>
          <cell r="L43">
            <v>1</v>
          </cell>
          <cell r="M43">
            <v>2</v>
          </cell>
          <cell r="N43">
            <v>2</v>
          </cell>
          <cell r="O43">
            <v>1</v>
          </cell>
          <cell r="P43">
            <v>1</v>
          </cell>
          <cell r="Q43">
            <v>1</v>
          </cell>
          <cell r="R43">
            <v>2</v>
          </cell>
          <cell r="S43">
            <v>2</v>
          </cell>
          <cell r="T43">
            <v>1</v>
          </cell>
          <cell r="U43">
            <v>2</v>
          </cell>
          <cell r="V43">
            <v>1</v>
          </cell>
          <cell r="W43">
            <v>2</v>
          </cell>
          <cell r="X43">
            <v>1</v>
          </cell>
        </row>
        <row r="44"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2</v>
          </cell>
          <cell r="J44">
            <v>1</v>
          </cell>
          <cell r="K44">
            <v>2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2</v>
          </cell>
          <cell r="Q44">
            <v>1</v>
          </cell>
          <cell r="R44">
            <v>1</v>
          </cell>
          <cell r="S44">
            <v>2</v>
          </cell>
          <cell r="T44">
            <v>2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</row>
        <row r="45">
          <cell r="E45">
            <v>2</v>
          </cell>
          <cell r="F45">
            <v>1</v>
          </cell>
          <cell r="G45">
            <v>1</v>
          </cell>
          <cell r="H45">
            <v>2</v>
          </cell>
          <cell r="I45">
            <v>1</v>
          </cell>
          <cell r="J45">
            <v>2</v>
          </cell>
          <cell r="K45">
            <v>1</v>
          </cell>
          <cell r="L45">
            <v>2</v>
          </cell>
          <cell r="M45">
            <v>2</v>
          </cell>
          <cell r="N45">
            <v>2</v>
          </cell>
          <cell r="O45">
            <v>1</v>
          </cell>
          <cell r="P45">
            <v>1</v>
          </cell>
          <cell r="Q45">
            <v>2</v>
          </cell>
          <cell r="R45">
            <v>1</v>
          </cell>
          <cell r="S45">
            <v>2</v>
          </cell>
          <cell r="T45">
            <v>1</v>
          </cell>
          <cell r="U45">
            <v>1</v>
          </cell>
          <cell r="V45">
            <v>1</v>
          </cell>
          <cell r="W45">
            <v>1</v>
          </cell>
          <cell r="X45">
            <v>2</v>
          </cell>
        </row>
        <row r="46">
          <cell r="E46">
            <v>1</v>
          </cell>
          <cell r="F46">
            <v>2</v>
          </cell>
          <cell r="G46">
            <v>1</v>
          </cell>
          <cell r="H46">
            <v>1</v>
          </cell>
          <cell r="I46">
            <v>1</v>
          </cell>
          <cell r="J46">
            <v>2</v>
          </cell>
          <cell r="K46">
            <v>1</v>
          </cell>
          <cell r="L46">
            <v>2</v>
          </cell>
          <cell r="M46">
            <v>2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2</v>
          </cell>
          <cell r="S46">
            <v>1</v>
          </cell>
          <cell r="T46">
            <v>2</v>
          </cell>
          <cell r="U46">
            <v>2</v>
          </cell>
          <cell r="V46">
            <v>2</v>
          </cell>
          <cell r="W46">
            <v>2</v>
          </cell>
          <cell r="X46">
            <v>1</v>
          </cell>
        </row>
        <row r="47">
          <cell r="E47">
            <v>1</v>
          </cell>
          <cell r="F47">
            <v>1</v>
          </cell>
          <cell r="G47">
            <v>1</v>
          </cell>
          <cell r="H47">
            <v>2</v>
          </cell>
          <cell r="I47">
            <v>1</v>
          </cell>
          <cell r="J47">
            <v>2</v>
          </cell>
          <cell r="K47">
            <v>2</v>
          </cell>
          <cell r="L47">
            <v>2</v>
          </cell>
          <cell r="M47">
            <v>1</v>
          </cell>
          <cell r="N47">
            <v>1</v>
          </cell>
          <cell r="O47">
            <v>1</v>
          </cell>
          <cell r="P47">
            <v>2</v>
          </cell>
          <cell r="Q47">
            <v>1</v>
          </cell>
          <cell r="R47">
            <v>2</v>
          </cell>
          <cell r="S47">
            <v>1</v>
          </cell>
          <cell r="T47">
            <v>1</v>
          </cell>
          <cell r="U47">
            <v>2</v>
          </cell>
          <cell r="V47">
            <v>1</v>
          </cell>
          <cell r="W47">
            <v>2</v>
          </cell>
          <cell r="X47">
            <v>2</v>
          </cell>
        </row>
        <row r="48">
          <cell r="E48">
            <v>1</v>
          </cell>
          <cell r="F48">
            <v>2</v>
          </cell>
          <cell r="G48">
            <v>1</v>
          </cell>
          <cell r="H48">
            <v>2</v>
          </cell>
          <cell r="I48">
            <v>2</v>
          </cell>
          <cell r="J48">
            <v>2</v>
          </cell>
          <cell r="K48">
            <v>2</v>
          </cell>
          <cell r="L48">
            <v>1</v>
          </cell>
          <cell r="M48">
            <v>1</v>
          </cell>
          <cell r="N48">
            <v>2</v>
          </cell>
          <cell r="O48">
            <v>1</v>
          </cell>
          <cell r="P48">
            <v>1</v>
          </cell>
          <cell r="Q48">
            <v>2</v>
          </cell>
          <cell r="R48">
            <v>2</v>
          </cell>
          <cell r="S48">
            <v>2</v>
          </cell>
          <cell r="T48">
            <v>1</v>
          </cell>
          <cell r="U48">
            <v>2</v>
          </cell>
          <cell r="V48">
            <v>1</v>
          </cell>
          <cell r="W48">
            <v>2</v>
          </cell>
          <cell r="X48">
            <v>2</v>
          </cell>
        </row>
        <row r="49">
          <cell r="E49">
            <v>1</v>
          </cell>
          <cell r="F49">
            <v>1</v>
          </cell>
          <cell r="G49">
            <v>1</v>
          </cell>
          <cell r="H49">
            <v>2</v>
          </cell>
          <cell r="I49">
            <v>2</v>
          </cell>
          <cell r="J49">
            <v>2</v>
          </cell>
          <cell r="K49">
            <v>1</v>
          </cell>
          <cell r="L49">
            <v>2</v>
          </cell>
          <cell r="M49">
            <v>1</v>
          </cell>
          <cell r="N49">
            <v>2</v>
          </cell>
          <cell r="O49">
            <v>1</v>
          </cell>
          <cell r="P49">
            <v>2</v>
          </cell>
          <cell r="Q49">
            <v>2</v>
          </cell>
          <cell r="R49">
            <v>1</v>
          </cell>
          <cell r="S49">
            <v>2</v>
          </cell>
          <cell r="T49">
            <v>2</v>
          </cell>
          <cell r="U49">
            <v>1</v>
          </cell>
          <cell r="V49">
            <v>2</v>
          </cell>
          <cell r="W49">
            <v>2</v>
          </cell>
          <cell r="X49">
            <v>1</v>
          </cell>
        </row>
        <row r="50">
          <cell r="E50">
            <v>1</v>
          </cell>
          <cell r="F50">
            <v>2</v>
          </cell>
          <cell r="G50">
            <v>1</v>
          </cell>
          <cell r="H50">
            <v>1</v>
          </cell>
          <cell r="I50">
            <v>1</v>
          </cell>
          <cell r="J50">
            <v>1</v>
          </cell>
          <cell r="K50">
            <v>2</v>
          </cell>
          <cell r="L50">
            <v>2</v>
          </cell>
          <cell r="M50">
            <v>1</v>
          </cell>
          <cell r="N50">
            <v>2</v>
          </cell>
          <cell r="O50">
            <v>1</v>
          </cell>
          <cell r="P50">
            <v>1</v>
          </cell>
          <cell r="Q50">
            <v>2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V50">
            <v>2</v>
          </cell>
          <cell r="W50">
            <v>1</v>
          </cell>
          <cell r="X50">
            <v>1</v>
          </cell>
        </row>
        <row r="51">
          <cell r="E51">
            <v>2</v>
          </cell>
          <cell r="F51">
            <v>1</v>
          </cell>
          <cell r="G51">
            <v>2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L51">
            <v>2</v>
          </cell>
          <cell r="M51">
            <v>2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2</v>
          </cell>
          <cell r="S51">
            <v>1</v>
          </cell>
          <cell r="T51">
            <v>2</v>
          </cell>
          <cell r="U51">
            <v>2</v>
          </cell>
          <cell r="V51">
            <v>1</v>
          </cell>
          <cell r="W51">
            <v>2</v>
          </cell>
          <cell r="X51">
            <v>2</v>
          </cell>
        </row>
        <row r="52">
          <cell r="E52">
            <v>2</v>
          </cell>
          <cell r="F52">
            <v>2</v>
          </cell>
          <cell r="G52">
            <v>2</v>
          </cell>
          <cell r="H52">
            <v>2</v>
          </cell>
          <cell r="I52">
            <v>1</v>
          </cell>
          <cell r="J52">
            <v>2</v>
          </cell>
          <cell r="K52">
            <v>1</v>
          </cell>
          <cell r="L52">
            <v>2</v>
          </cell>
          <cell r="M52">
            <v>2</v>
          </cell>
          <cell r="N52">
            <v>1</v>
          </cell>
          <cell r="O52">
            <v>1</v>
          </cell>
          <cell r="P52">
            <v>2</v>
          </cell>
          <cell r="Q52">
            <v>1</v>
          </cell>
          <cell r="R52">
            <v>1</v>
          </cell>
          <cell r="S52">
            <v>1</v>
          </cell>
          <cell r="T52">
            <v>2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</row>
        <row r="53">
          <cell r="E53">
            <v>1</v>
          </cell>
          <cell r="F53">
            <v>1</v>
          </cell>
          <cell r="G53">
            <v>2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1</v>
          </cell>
          <cell r="N53">
            <v>2</v>
          </cell>
          <cell r="O53">
            <v>1</v>
          </cell>
          <cell r="P53">
            <v>1</v>
          </cell>
          <cell r="Q53">
            <v>2</v>
          </cell>
          <cell r="R53">
            <v>1</v>
          </cell>
          <cell r="S53">
            <v>2</v>
          </cell>
          <cell r="T53">
            <v>1</v>
          </cell>
          <cell r="U53">
            <v>2</v>
          </cell>
          <cell r="V53">
            <v>1</v>
          </cell>
          <cell r="W53">
            <v>1</v>
          </cell>
          <cell r="X53">
            <v>1</v>
          </cell>
        </row>
        <row r="54">
          <cell r="E54">
            <v>1</v>
          </cell>
          <cell r="F54">
            <v>1</v>
          </cell>
          <cell r="G54">
            <v>2</v>
          </cell>
          <cell r="H54">
            <v>2</v>
          </cell>
          <cell r="I54">
            <v>2</v>
          </cell>
          <cell r="J54">
            <v>1</v>
          </cell>
          <cell r="K54">
            <v>2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Q54">
            <v>1</v>
          </cell>
          <cell r="R54">
            <v>2</v>
          </cell>
          <cell r="S54">
            <v>2</v>
          </cell>
          <cell r="T54">
            <v>1</v>
          </cell>
          <cell r="U54">
            <v>2</v>
          </cell>
          <cell r="V54">
            <v>1</v>
          </cell>
          <cell r="W54">
            <v>1</v>
          </cell>
          <cell r="X54">
            <v>1</v>
          </cell>
        </row>
        <row r="55">
          <cell r="E55">
            <v>2</v>
          </cell>
          <cell r="F55">
            <v>1</v>
          </cell>
          <cell r="G55">
            <v>1</v>
          </cell>
          <cell r="H55">
            <v>2</v>
          </cell>
          <cell r="I55">
            <v>1</v>
          </cell>
          <cell r="J55">
            <v>1</v>
          </cell>
          <cell r="K55">
            <v>1</v>
          </cell>
          <cell r="L55">
            <v>2</v>
          </cell>
          <cell r="M55">
            <v>1</v>
          </cell>
          <cell r="N55">
            <v>1</v>
          </cell>
          <cell r="O55">
            <v>2</v>
          </cell>
          <cell r="P55">
            <v>1</v>
          </cell>
          <cell r="Q55">
            <v>1</v>
          </cell>
          <cell r="R55">
            <v>1</v>
          </cell>
          <cell r="S55">
            <v>2</v>
          </cell>
          <cell r="T55">
            <v>1</v>
          </cell>
          <cell r="U55">
            <v>2</v>
          </cell>
          <cell r="V55">
            <v>2</v>
          </cell>
          <cell r="W55">
            <v>2</v>
          </cell>
          <cell r="X55">
            <v>2</v>
          </cell>
        </row>
        <row r="56">
          <cell r="E56">
            <v>1</v>
          </cell>
          <cell r="F56">
            <v>1</v>
          </cell>
          <cell r="G56">
            <v>1</v>
          </cell>
          <cell r="H56">
            <v>2</v>
          </cell>
          <cell r="I56">
            <v>2</v>
          </cell>
          <cell r="J56">
            <v>1</v>
          </cell>
          <cell r="K56">
            <v>2</v>
          </cell>
          <cell r="L56">
            <v>1</v>
          </cell>
          <cell r="M56">
            <v>1</v>
          </cell>
          <cell r="N56">
            <v>2</v>
          </cell>
          <cell r="O56">
            <v>1</v>
          </cell>
          <cell r="P56">
            <v>2</v>
          </cell>
          <cell r="Q56">
            <v>2</v>
          </cell>
          <cell r="R56">
            <v>2</v>
          </cell>
          <cell r="S56">
            <v>2</v>
          </cell>
          <cell r="T56">
            <v>1</v>
          </cell>
          <cell r="U56">
            <v>2</v>
          </cell>
          <cell r="V56">
            <v>1</v>
          </cell>
          <cell r="W56">
            <v>2</v>
          </cell>
          <cell r="X56">
            <v>2</v>
          </cell>
        </row>
        <row r="57">
          <cell r="E57">
            <v>1</v>
          </cell>
          <cell r="F57">
            <v>1</v>
          </cell>
          <cell r="G57">
            <v>1</v>
          </cell>
          <cell r="H57">
            <v>2</v>
          </cell>
          <cell r="I57">
            <v>2</v>
          </cell>
          <cell r="J57">
            <v>1</v>
          </cell>
          <cell r="K57">
            <v>1</v>
          </cell>
          <cell r="L57">
            <v>1</v>
          </cell>
          <cell r="M57">
            <v>1</v>
          </cell>
          <cell r="N57">
            <v>2</v>
          </cell>
          <cell r="O57">
            <v>1</v>
          </cell>
          <cell r="P57">
            <v>1</v>
          </cell>
          <cell r="Q57">
            <v>2</v>
          </cell>
          <cell r="R57">
            <v>2</v>
          </cell>
          <cell r="S57">
            <v>2</v>
          </cell>
          <cell r="T57">
            <v>2</v>
          </cell>
          <cell r="U57">
            <v>2</v>
          </cell>
          <cell r="V57">
            <v>2</v>
          </cell>
          <cell r="W57">
            <v>2</v>
          </cell>
          <cell r="X57">
            <v>2</v>
          </cell>
        </row>
        <row r="58">
          <cell r="E58">
            <v>1</v>
          </cell>
          <cell r="F58">
            <v>2</v>
          </cell>
          <cell r="G58">
            <v>1</v>
          </cell>
          <cell r="H58">
            <v>2</v>
          </cell>
          <cell r="I58">
            <v>2</v>
          </cell>
          <cell r="J58">
            <v>1</v>
          </cell>
          <cell r="K58">
            <v>1</v>
          </cell>
          <cell r="L58">
            <v>1</v>
          </cell>
          <cell r="M58">
            <v>2</v>
          </cell>
          <cell r="N58">
            <v>2</v>
          </cell>
          <cell r="O58">
            <v>1</v>
          </cell>
          <cell r="P58">
            <v>1</v>
          </cell>
          <cell r="Q58">
            <v>2</v>
          </cell>
          <cell r="R58">
            <v>2</v>
          </cell>
          <cell r="S58">
            <v>1</v>
          </cell>
          <cell r="T58">
            <v>2</v>
          </cell>
          <cell r="U58">
            <v>1</v>
          </cell>
          <cell r="V58">
            <v>2</v>
          </cell>
          <cell r="W58">
            <v>2</v>
          </cell>
          <cell r="X58">
            <v>1</v>
          </cell>
        </row>
        <row r="59">
          <cell r="E59">
            <v>1</v>
          </cell>
          <cell r="F59">
            <v>1</v>
          </cell>
          <cell r="G59">
            <v>2</v>
          </cell>
          <cell r="H59">
            <v>2</v>
          </cell>
          <cell r="I59">
            <v>2</v>
          </cell>
          <cell r="J59">
            <v>1</v>
          </cell>
          <cell r="K59">
            <v>2</v>
          </cell>
          <cell r="L59">
            <v>1</v>
          </cell>
          <cell r="M59">
            <v>2</v>
          </cell>
          <cell r="N59">
            <v>2</v>
          </cell>
          <cell r="O59">
            <v>2</v>
          </cell>
          <cell r="P59">
            <v>2</v>
          </cell>
          <cell r="Q59">
            <v>2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V59">
            <v>2</v>
          </cell>
          <cell r="W59">
            <v>1</v>
          </cell>
          <cell r="X59">
            <v>2</v>
          </cell>
        </row>
        <row r="60">
          <cell r="E60">
            <v>1</v>
          </cell>
          <cell r="F60">
            <v>1</v>
          </cell>
          <cell r="G60">
            <v>2</v>
          </cell>
          <cell r="H60">
            <v>2</v>
          </cell>
          <cell r="I60">
            <v>2</v>
          </cell>
          <cell r="J60">
            <v>1</v>
          </cell>
          <cell r="K60">
            <v>2</v>
          </cell>
          <cell r="L60">
            <v>2</v>
          </cell>
          <cell r="M60">
            <v>2</v>
          </cell>
          <cell r="N60">
            <v>1</v>
          </cell>
          <cell r="O60">
            <v>2</v>
          </cell>
          <cell r="P60">
            <v>1</v>
          </cell>
          <cell r="Q60">
            <v>2</v>
          </cell>
          <cell r="R60">
            <v>1</v>
          </cell>
          <cell r="S60">
            <v>2</v>
          </cell>
          <cell r="T60">
            <v>2</v>
          </cell>
          <cell r="U60">
            <v>2</v>
          </cell>
          <cell r="V60">
            <v>2</v>
          </cell>
          <cell r="W60">
            <v>1</v>
          </cell>
          <cell r="X60">
            <v>1</v>
          </cell>
        </row>
        <row r="61">
          <cell r="E61">
            <v>1</v>
          </cell>
          <cell r="F61">
            <v>2</v>
          </cell>
          <cell r="G61">
            <v>2</v>
          </cell>
          <cell r="H61">
            <v>1</v>
          </cell>
          <cell r="I61">
            <v>2</v>
          </cell>
          <cell r="J61">
            <v>1</v>
          </cell>
          <cell r="K61">
            <v>2</v>
          </cell>
          <cell r="L61">
            <v>2</v>
          </cell>
          <cell r="M61">
            <v>2</v>
          </cell>
          <cell r="N61">
            <v>2</v>
          </cell>
          <cell r="O61">
            <v>2</v>
          </cell>
          <cell r="P61">
            <v>1</v>
          </cell>
          <cell r="Q61">
            <v>2</v>
          </cell>
          <cell r="R61">
            <v>2</v>
          </cell>
          <cell r="S61">
            <v>1</v>
          </cell>
          <cell r="T61">
            <v>2</v>
          </cell>
          <cell r="U61">
            <v>1</v>
          </cell>
          <cell r="V61">
            <v>1</v>
          </cell>
          <cell r="W61">
            <v>1</v>
          </cell>
          <cell r="X61">
            <v>1</v>
          </cell>
        </row>
        <row r="62">
          <cell r="E62">
            <v>2</v>
          </cell>
          <cell r="F62">
            <v>2</v>
          </cell>
          <cell r="G62">
            <v>1</v>
          </cell>
          <cell r="H62">
            <v>1</v>
          </cell>
          <cell r="I62">
            <v>1</v>
          </cell>
          <cell r="J62">
            <v>2</v>
          </cell>
          <cell r="K62">
            <v>1</v>
          </cell>
          <cell r="L62">
            <v>2</v>
          </cell>
          <cell r="M62">
            <v>1</v>
          </cell>
          <cell r="N62">
            <v>1</v>
          </cell>
          <cell r="O62">
            <v>1</v>
          </cell>
          <cell r="P62">
            <v>2</v>
          </cell>
          <cell r="Q62">
            <v>1</v>
          </cell>
          <cell r="R62">
            <v>1</v>
          </cell>
          <cell r="S62">
            <v>1</v>
          </cell>
          <cell r="T62">
            <v>1</v>
          </cell>
          <cell r="U62">
            <v>2</v>
          </cell>
          <cell r="V62">
            <v>1</v>
          </cell>
          <cell r="W62">
            <v>1</v>
          </cell>
          <cell r="X62">
            <v>2</v>
          </cell>
        </row>
        <row r="63">
          <cell r="E63">
            <v>2</v>
          </cell>
          <cell r="F63">
            <v>2</v>
          </cell>
          <cell r="G63">
            <v>1</v>
          </cell>
          <cell r="H63">
            <v>2</v>
          </cell>
          <cell r="I63">
            <v>2</v>
          </cell>
          <cell r="J63">
            <v>1</v>
          </cell>
          <cell r="K63">
            <v>2</v>
          </cell>
          <cell r="L63">
            <v>1</v>
          </cell>
          <cell r="M63">
            <v>1</v>
          </cell>
          <cell r="N63">
            <v>2</v>
          </cell>
          <cell r="O63">
            <v>2</v>
          </cell>
          <cell r="P63">
            <v>2</v>
          </cell>
          <cell r="Q63">
            <v>1</v>
          </cell>
          <cell r="R63">
            <v>1</v>
          </cell>
          <cell r="S63">
            <v>2</v>
          </cell>
          <cell r="T63">
            <v>2</v>
          </cell>
          <cell r="U63">
            <v>2</v>
          </cell>
          <cell r="V63">
            <v>1</v>
          </cell>
          <cell r="W63">
            <v>1</v>
          </cell>
          <cell r="X63">
            <v>2</v>
          </cell>
        </row>
        <row r="64">
          <cell r="E64">
            <v>2</v>
          </cell>
          <cell r="F64">
            <v>2</v>
          </cell>
          <cell r="G64">
            <v>2</v>
          </cell>
          <cell r="H64">
            <v>1</v>
          </cell>
          <cell r="I64">
            <v>1</v>
          </cell>
          <cell r="J64">
            <v>1</v>
          </cell>
          <cell r="K64">
            <v>2</v>
          </cell>
          <cell r="L64">
            <v>2</v>
          </cell>
          <cell r="M64">
            <v>2</v>
          </cell>
          <cell r="N64">
            <v>2</v>
          </cell>
          <cell r="O64">
            <v>2</v>
          </cell>
          <cell r="P64">
            <v>2</v>
          </cell>
          <cell r="Q64">
            <v>2</v>
          </cell>
          <cell r="R64">
            <v>1</v>
          </cell>
          <cell r="S64">
            <v>1</v>
          </cell>
          <cell r="T64">
            <v>2</v>
          </cell>
          <cell r="U64">
            <v>2</v>
          </cell>
          <cell r="V64">
            <v>2</v>
          </cell>
          <cell r="W64">
            <v>2</v>
          </cell>
          <cell r="X64">
            <v>2</v>
          </cell>
        </row>
        <row r="65">
          <cell r="E65">
            <v>1</v>
          </cell>
          <cell r="F65">
            <v>2</v>
          </cell>
          <cell r="G65">
            <v>1</v>
          </cell>
          <cell r="H65">
            <v>1</v>
          </cell>
          <cell r="I65">
            <v>2</v>
          </cell>
          <cell r="J65">
            <v>1</v>
          </cell>
          <cell r="K65">
            <v>1</v>
          </cell>
          <cell r="L65">
            <v>2</v>
          </cell>
          <cell r="M65">
            <v>1</v>
          </cell>
          <cell r="N65">
            <v>1</v>
          </cell>
          <cell r="O65">
            <v>1</v>
          </cell>
          <cell r="P65">
            <v>2</v>
          </cell>
          <cell r="Q65">
            <v>2</v>
          </cell>
          <cell r="R65">
            <v>1</v>
          </cell>
          <cell r="S65">
            <v>2</v>
          </cell>
          <cell r="T65">
            <v>2</v>
          </cell>
          <cell r="U65">
            <v>1</v>
          </cell>
          <cell r="V65">
            <v>2</v>
          </cell>
          <cell r="W65">
            <v>1</v>
          </cell>
          <cell r="X65">
            <v>2</v>
          </cell>
        </row>
        <row r="66">
          <cell r="E66">
            <v>1</v>
          </cell>
          <cell r="F66">
            <v>1</v>
          </cell>
          <cell r="G66">
            <v>2</v>
          </cell>
          <cell r="H66">
            <v>1</v>
          </cell>
          <cell r="I66">
            <v>1</v>
          </cell>
          <cell r="J66">
            <v>2</v>
          </cell>
          <cell r="K66">
            <v>1</v>
          </cell>
          <cell r="L66">
            <v>1</v>
          </cell>
          <cell r="M66">
            <v>2</v>
          </cell>
          <cell r="N66">
            <v>2</v>
          </cell>
          <cell r="O66">
            <v>1</v>
          </cell>
          <cell r="P66">
            <v>2</v>
          </cell>
          <cell r="Q66">
            <v>2</v>
          </cell>
          <cell r="R66">
            <v>1</v>
          </cell>
          <cell r="S66">
            <v>2</v>
          </cell>
          <cell r="T66">
            <v>1</v>
          </cell>
          <cell r="U66">
            <v>1</v>
          </cell>
          <cell r="V66">
            <v>1</v>
          </cell>
          <cell r="W66">
            <v>2</v>
          </cell>
          <cell r="X66">
            <v>1</v>
          </cell>
        </row>
        <row r="67">
          <cell r="E67">
            <v>2</v>
          </cell>
          <cell r="F67">
            <v>1</v>
          </cell>
          <cell r="G67">
            <v>2</v>
          </cell>
          <cell r="H67">
            <v>1</v>
          </cell>
          <cell r="I67">
            <v>2</v>
          </cell>
          <cell r="J67">
            <v>2</v>
          </cell>
          <cell r="K67">
            <v>2</v>
          </cell>
          <cell r="L67">
            <v>1</v>
          </cell>
          <cell r="M67">
            <v>2</v>
          </cell>
          <cell r="N67">
            <v>2</v>
          </cell>
          <cell r="O67">
            <v>2</v>
          </cell>
          <cell r="P67">
            <v>2</v>
          </cell>
          <cell r="Q67">
            <v>2</v>
          </cell>
          <cell r="R67">
            <v>2</v>
          </cell>
          <cell r="S67">
            <v>2</v>
          </cell>
          <cell r="T67">
            <v>1</v>
          </cell>
          <cell r="U67">
            <v>2</v>
          </cell>
          <cell r="V67">
            <v>1</v>
          </cell>
          <cell r="W67">
            <v>1</v>
          </cell>
          <cell r="X67">
            <v>1</v>
          </cell>
        </row>
        <row r="68">
          <cell r="E68">
            <v>1</v>
          </cell>
          <cell r="F68">
            <v>1</v>
          </cell>
          <cell r="G68">
            <v>1</v>
          </cell>
          <cell r="H68">
            <v>2</v>
          </cell>
          <cell r="I68">
            <v>1</v>
          </cell>
          <cell r="J68">
            <v>1</v>
          </cell>
          <cell r="K68">
            <v>1</v>
          </cell>
          <cell r="L68">
            <v>2</v>
          </cell>
          <cell r="M68">
            <v>2</v>
          </cell>
          <cell r="N68">
            <v>2</v>
          </cell>
          <cell r="O68">
            <v>1</v>
          </cell>
          <cell r="P68">
            <v>1</v>
          </cell>
          <cell r="Q68">
            <v>1</v>
          </cell>
          <cell r="R68">
            <v>2</v>
          </cell>
          <cell r="S68">
            <v>1</v>
          </cell>
          <cell r="T68">
            <v>2</v>
          </cell>
          <cell r="U68">
            <v>2</v>
          </cell>
          <cell r="V68">
            <v>2</v>
          </cell>
          <cell r="W68">
            <v>1</v>
          </cell>
          <cell r="X68">
            <v>2</v>
          </cell>
        </row>
        <row r="69"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J69">
            <v>2</v>
          </cell>
          <cell r="K69">
            <v>1</v>
          </cell>
          <cell r="L69">
            <v>2</v>
          </cell>
          <cell r="M69">
            <v>2</v>
          </cell>
          <cell r="N69">
            <v>1</v>
          </cell>
          <cell r="O69">
            <v>2</v>
          </cell>
          <cell r="P69">
            <v>1</v>
          </cell>
          <cell r="Q69">
            <v>1</v>
          </cell>
          <cell r="R69">
            <v>1</v>
          </cell>
          <cell r="S69">
            <v>2</v>
          </cell>
          <cell r="T69">
            <v>1</v>
          </cell>
          <cell r="U69">
            <v>2</v>
          </cell>
          <cell r="V69">
            <v>1</v>
          </cell>
          <cell r="W69">
            <v>2</v>
          </cell>
          <cell r="X69">
            <v>1</v>
          </cell>
        </row>
        <row r="70">
          <cell r="E70">
            <v>1</v>
          </cell>
          <cell r="F70">
            <v>1</v>
          </cell>
          <cell r="G70">
            <v>2</v>
          </cell>
          <cell r="H70">
            <v>1</v>
          </cell>
          <cell r="I70">
            <v>1</v>
          </cell>
          <cell r="J70">
            <v>2</v>
          </cell>
          <cell r="K70">
            <v>1</v>
          </cell>
          <cell r="L70">
            <v>2</v>
          </cell>
          <cell r="M70">
            <v>1</v>
          </cell>
          <cell r="N70">
            <v>1</v>
          </cell>
          <cell r="O70">
            <v>1</v>
          </cell>
          <cell r="P70">
            <v>2</v>
          </cell>
          <cell r="Q70">
            <v>1</v>
          </cell>
          <cell r="R70">
            <v>1</v>
          </cell>
          <cell r="S70">
            <v>1</v>
          </cell>
          <cell r="T70">
            <v>2</v>
          </cell>
          <cell r="U70">
            <v>1</v>
          </cell>
          <cell r="V70">
            <v>2</v>
          </cell>
          <cell r="W70">
            <v>1</v>
          </cell>
          <cell r="X70">
            <v>2</v>
          </cell>
        </row>
        <row r="71">
          <cell r="E71">
            <v>2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2</v>
          </cell>
          <cell r="K71">
            <v>2</v>
          </cell>
          <cell r="L71">
            <v>2</v>
          </cell>
          <cell r="M71">
            <v>1</v>
          </cell>
          <cell r="N71">
            <v>2</v>
          </cell>
          <cell r="O71">
            <v>2</v>
          </cell>
          <cell r="P71">
            <v>1</v>
          </cell>
          <cell r="Q71">
            <v>2</v>
          </cell>
          <cell r="R71">
            <v>1</v>
          </cell>
          <cell r="S71">
            <v>2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2</v>
          </cell>
        </row>
        <row r="72">
          <cell r="E72">
            <v>1</v>
          </cell>
          <cell r="F72">
            <v>1</v>
          </cell>
          <cell r="G72">
            <v>2</v>
          </cell>
          <cell r="H72">
            <v>1</v>
          </cell>
          <cell r="I72">
            <v>1</v>
          </cell>
          <cell r="J72">
            <v>2</v>
          </cell>
          <cell r="K72">
            <v>1</v>
          </cell>
          <cell r="L72">
            <v>1</v>
          </cell>
          <cell r="M72">
            <v>1</v>
          </cell>
          <cell r="N72">
            <v>2</v>
          </cell>
          <cell r="O72">
            <v>2</v>
          </cell>
          <cell r="P72">
            <v>1</v>
          </cell>
          <cell r="Q72">
            <v>1</v>
          </cell>
          <cell r="R72">
            <v>2</v>
          </cell>
          <cell r="S72">
            <v>2</v>
          </cell>
          <cell r="T72">
            <v>1</v>
          </cell>
          <cell r="U72">
            <v>1</v>
          </cell>
          <cell r="V72">
            <v>2</v>
          </cell>
          <cell r="W72">
            <v>1</v>
          </cell>
          <cell r="X72">
            <v>2</v>
          </cell>
        </row>
        <row r="73">
          <cell r="E73">
            <v>2</v>
          </cell>
          <cell r="F73">
            <v>1</v>
          </cell>
          <cell r="G73">
            <v>2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2</v>
          </cell>
          <cell r="M73">
            <v>2</v>
          </cell>
          <cell r="N73">
            <v>2</v>
          </cell>
          <cell r="O73">
            <v>1</v>
          </cell>
          <cell r="P73">
            <v>1</v>
          </cell>
          <cell r="Q73">
            <v>1</v>
          </cell>
          <cell r="R73">
            <v>2</v>
          </cell>
          <cell r="S73">
            <v>1</v>
          </cell>
          <cell r="T73">
            <v>2</v>
          </cell>
          <cell r="U73">
            <v>1</v>
          </cell>
          <cell r="V73">
            <v>1</v>
          </cell>
          <cell r="W73">
            <v>1</v>
          </cell>
          <cell r="X73">
            <v>1</v>
          </cell>
        </row>
        <row r="74">
          <cell r="E74">
            <v>1</v>
          </cell>
          <cell r="F74">
            <v>2</v>
          </cell>
          <cell r="G74">
            <v>2</v>
          </cell>
          <cell r="H74">
            <v>1</v>
          </cell>
          <cell r="I74">
            <v>2</v>
          </cell>
          <cell r="J74">
            <v>2</v>
          </cell>
          <cell r="K74">
            <v>2</v>
          </cell>
          <cell r="L74">
            <v>1</v>
          </cell>
          <cell r="M74">
            <v>2</v>
          </cell>
          <cell r="N74">
            <v>1</v>
          </cell>
          <cell r="O74">
            <v>2</v>
          </cell>
          <cell r="P74">
            <v>1</v>
          </cell>
          <cell r="Q74">
            <v>2</v>
          </cell>
          <cell r="R74">
            <v>2</v>
          </cell>
          <cell r="S74">
            <v>1</v>
          </cell>
          <cell r="T74">
            <v>2</v>
          </cell>
          <cell r="U74">
            <v>2</v>
          </cell>
          <cell r="V74">
            <v>1</v>
          </cell>
          <cell r="W74">
            <v>2</v>
          </cell>
          <cell r="X74">
            <v>1</v>
          </cell>
        </row>
        <row r="75">
          <cell r="E75">
            <v>1</v>
          </cell>
          <cell r="F75">
            <v>1</v>
          </cell>
          <cell r="G75">
            <v>1</v>
          </cell>
          <cell r="H75">
            <v>2</v>
          </cell>
          <cell r="I75">
            <v>2</v>
          </cell>
          <cell r="J75">
            <v>1</v>
          </cell>
          <cell r="K75">
            <v>1</v>
          </cell>
          <cell r="L75">
            <v>1</v>
          </cell>
          <cell r="M75">
            <v>2</v>
          </cell>
          <cell r="N75">
            <v>1</v>
          </cell>
          <cell r="O75">
            <v>1</v>
          </cell>
          <cell r="P75">
            <v>1</v>
          </cell>
          <cell r="Q75">
            <v>1</v>
          </cell>
          <cell r="R75">
            <v>1</v>
          </cell>
          <cell r="S75">
            <v>2</v>
          </cell>
          <cell r="T75">
            <v>2</v>
          </cell>
          <cell r="U75">
            <v>1</v>
          </cell>
          <cell r="V75">
            <v>1</v>
          </cell>
          <cell r="W75">
            <v>1</v>
          </cell>
          <cell r="X75">
            <v>1</v>
          </cell>
        </row>
        <row r="76"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2</v>
          </cell>
          <cell r="L76">
            <v>1</v>
          </cell>
          <cell r="M76">
            <v>2</v>
          </cell>
          <cell r="N76">
            <v>1</v>
          </cell>
          <cell r="O76">
            <v>2</v>
          </cell>
          <cell r="P76">
            <v>2</v>
          </cell>
          <cell r="Q76">
            <v>1</v>
          </cell>
          <cell r="R76">
            <v>2</v>
          </cell>
          <cell r="S76">
            <v>1</v>
          </cell>
          <cell r="T76">
            <v>1</v>
          </cell>
          <cell r="U76">
            <v>1</v>
          </cell>
          <cell r="V76">
            <v>2</v>
          </cell>
          <cell r="W76">
            <v>1</v>
          </cell>
          <cell r="X76">
            <v>1</v>
          </cell>
        </row>
        <row r="77">
          <cell r="E77">
            <v>2</v>
          </cell>
          <cell r="F77">
            <v>2</v>
          </cell>
          <cell r="G77">
            <v>2</v>
          </cell>
          <cell r="H77">
            <v>1</v>
          </cell>
          <cell r="I77">
            <v>1</v>
          </cell>
          <cell r="J77">
            <v>2</v>
          </cell>
          <cell r="K77">
            <v>1</v>
          </cell>
          <cell r="L77">
            <v>2</v>
          </cell>
          <cell r="M77">
            <v>2</v>
          </cell>
          <cell r="N77">
            <v>2</v>
          </cell>
          <cell r="O77">
            <v>1</v>
          </cell>
          <cell r="P77">
            <v>1</v>
          </cell>
          <cell r="Q77">
            <v>1</v>
          </cell>
          <cell r="R77">
            <v>1</v>
          </cell>
          <cell r="S77">
            <v>2</v>
          </cell>
          <cell r="T77">
            <v>1</v>
          </cell>
          <cell r="U77">
            <v>2</v>
          </cell>
          <cell r="V77">
            <v>1</v>
          </cell>
          <cell r="W77">
            <v>1</v>
          </cell>
          <cell r="X77">
            <v>1</v>
          </cell>
        </row>
        <row r="78"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1</v>
          </cell>
          <cell r="K78">
            <v>1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1</v>
          </cell>
          <cell r="Q78">
            <v>1</v>
          </cell>
          <cell r="R78">
            <v>2</v>
          </cell>
          <cell r="S78">
            <v>1</v>
          </cell>
          <cell r="T78">
            <v>2</v>
          </cell>
          <cell r="U78">
            <v>2</v>
          </cell>
          <cell r="V78">
            <v>2</v>
          </cell>
          <cell r="W78">
            <v>1</v>
          </cell>
          <cell r="X78">
            <v>1</v>
          </cell>
        </row>
        <row r="79">
          <cell r="E79">
            <v>1</v>
          </cell>
          <cell r="F79">
            <v>1</v>
          </cell>
          <cell r="G79">
            <v>2</v>
          </cell>
          <cell r="H79">
            <v>1</v>
          </cell>
          <cell r="I79">
            <v>2</v>
          </cell>
          <cell r="J79">
            <v>2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2</v>
          </cell>
          <cell r="Q79">
            <v>2</v>
          </cell>
          <cell r="R79">
            <v>1</v>
          </cell>
          <cell r="S79">
            <v>2</v>
          </cell>
          <cell r="T79">
            <v>2</v>
          </cell>
          <cell r="U79">
            <v>2</v>
          </cell>
          <cell r="V79">
            <v>2</v>
          </cell>
          <cell r="W79">
            <v>2</v>
          </cell>
          <cell r="X79">
            <v>2</v>
          </cell>
        </row>
        <row r="80">
          <cell r="E80">
            <v>2</v>
          </cell>
          <cell r="F80">
            <v>1</v>
          </cell>
          <cell r="G80">
            <v>2</v>
          </cell>
          <cell r="H80">
            <v>2</v>
          </cell>
          <cell r="I80">
            <v>2</v>
          </cell>
          <cell r="J80">
            <v>1</v>
          </cell>
          <cell r="K80">
            <v>2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2</v>
          </cell>
          <cell r="Q80">
            <v>1</v>
          </cell>
          <cell r="R80">
            <v>2</v>
          </cell>
          <cell r="S80">
            <v>1</v>
          </cell>
          <cell r="T80">
            <v>1</v>
          </cell>
          <cell r="U80">
            <v>1</v>
          </cell>
          <cell r="V80">
            <v>1</v>
          </cell>
          <cell r="W80">
            <v>2</v>
          </cell>
          <cell r="X80">
            <v>2</v>
          </cell>
        </row>
        <row r="81">
          <cell r="E81">
            <v>1</v>
          </cell>
          <cell r="F81">
            <v>1</v>
          </cell>
          <cell r="G81">
            <v>2</v>
          </cell>
          <cell r="H81">
            <v>1</v>
          </cell>
          <cell r="I81">
            <v>1</v>
          </cell>
          <cell r="J81">
            <v>1</v>
          </cell>
          <cell r="K81">
            <v>2</v>
          </cell>
          <cell r="L81">
            <v>2</v>
          </cell>
          <cell r="M81">
            <v>2</v>
          </cell>
          <cell r="N81">
            <v>1</v>
          </cell>
          <cell r="O81">
            <v>1</v>
          </cell>
          <cell r="P81">
            <v>1</v>
          </cell>
          <cell r="Q81">
            <v>2</v>
          </cell>
          <cell r="R81">
            <v>1</v>
          </cell>
          <cell r="S81">
            <v>2</v>
          </cell>
          <cell r="T81">
            <v>2</v>
          </cell>
          <cell r="U81">
            <v>2</v>
          </cell>
          <cell r="V81">
            <v>2</v>
          </cell>
          <cell r="W81">
            <v>1</v>
          </cell>
          <cell r="X81">
            <v>2</v>
          </cell>
        </row>
        <row r="82">
          <cell r="E82">
            <v>1</v>
          </cell>
          <cell r="F82">
            <v>2</v>
          </cell>
          <cell r="G82">
            <v>1</v>
          </cell>
          <cell r="H82">
            <v>1</v>
          </cell>
          <cell r="I82">
            <v>2</v>
          </cell>
          <cell r="J82">
            <v>1</v>
          </cell>
          <cell r="K82">
            <v>2</v>
          </cell>
          <cell r="L82">
            <v>2</v>
          </cell>
          <cell r="M82">
            <v>2</v>
          </cell>
          <cell r="N82">
            <v>1</v>
          </cell>
          <cell r="O82">
            <v>2</v>
          </cell>
          <cell r="P82">
            <v>1</v>
          </cell>
          <cell r="Q82">
            <v>1</v>
          </cell>
          <cell r="R82">
            <v>2</v>
          </cell>
          <cell r="S82">
            <v>2</v>
          </cell>
          <cell r="T82">
            <v>2</v>
          </cell>
          <cell r="U82">
            <v>2</v>
          </cell>
          <cell r="V82">
            <v>1</v>
          </cell>
          <cell r="W82">
            <v>2</v>
          </cell>
          <cell r="X82">
            <v>2</v>
          </cell>
        </row>
        <row r="83">
          <cell r="E83">
            <v>2</v>
          </cell>
          <cell r="F83">
            <v>2</v>
          </cell>
          <cell r="G83">
            <v>2</v>
          </cell>
          <cell r="H83">
            <v>2</v>
          </cell>
          <cell r="I83">
            <v>2</v>
          </cell>
          <cell r="J83">
            <v>2</v>
          </cell>
          <cell r="K83">
            <v>2</v>
          </cell>
          <cell r="L83">
            <v>2</v>
          </cell>
          <cell r="M83">
            <v>2</v>
          </cell>
          <cell r="N83">
            <v>2</v>
          </cell>
          <cell r="O83">
            <v>1</v>
          </cell>
          <cell r="P83">
            <v>2</v>
          </cell>
          <cell r="Q83">
            <v>2</v>
          </cell>
          <cell r="R83">
            <v>2</v>
          </cell>
          <cell r="S83">
            <v>1</v>
          </cell>
          <cell r="T83">
            <v>1</v>
          </cell>
          <cell r="U83">
            <v>2</v>
          </cell>
          <cell r="V83">
            <v>1</v>
          </cell>
          <cell r="W83">
            <v>2</v>
          </cell>
          <cell r="X83">
            <v>2</v>
          </cell>
        </row>
        <row r="84"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J84">
            <v>1</v>
          </cell>
          <cell r="K84">
            <v>1</v>
          </cell>
          <cell r="L84">
            <v>1</v>
          </cell>
          <cell r="M84">
            <v>1</v>
          </cell>
          <cell r="N84">
            <v>1</v>
          </cell>
          <cell r="O84">
            <v>2</v>
          </cell>
          <cell r="P84">
            <v>1</v>
          </cell>
          <cell r="Q84">
            <v>1</v>
          </cell>
          <cell r="R84">
            <v>1</v>
          </cell>
          <cell r="S84">
            <v>2</v>
          </cell>
          <cell r="T84">
            <v>1</v>
          </cell>
          <cell r="U84">
            <v>1</v>
          </cell>
          <cell r="V84">
            <v>1</v>
          </cell>
          <cell r="W84">
            <v>1</v>
          </cell>
          <cell r="X84">
            <v>1</v>
          </cell>
        </row>
        <row r="85">
          <cell r="E85">
            <v>2</v>
          </cell>
          <cell r="F85">
            <v>1</v>
          </cell>
          <cell r="G85">
            <v>1</v>
          </cell>
          <cell r="H85">
            <v>2</v>
          </cell>
          <cell r="I85">
            <v>1</v>
          </cell>
          <cell r="J85">
            <v>1</v>
          </cell>
          <cell r="K85">
            <v>2</v>
          </cell>
          <cell r="L85">
            <v>2</v>
          </cell>
          <cell r="M85">
            <v>2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>
            <v>1</v>
          </cell>
          <cell r="S85">
            <v>2</v>
          </cell>
          <cell r="T85">
            <v>2</v>
          </cell>
          <cell r="U85">
            <v>2</v>
          </cell>
          <cell r="V85">
            <v>1</v>
          </cell>
          <cell r="W85">
            <v>2</v>
          </cell>
          <cell r="X85">
            <v>1</v>
          </cell>
        </row>
        <row r="86">
          <cell r="E86">
            <v>2</v>
          </cell>
          <cell r="F86">
            <v>2</v>
          </cell>
          <cell r="G86">
            <v>2</v>
          </cell>
          <cell r="H86">
            <v>2</v>
          </cell>
          <cell r="I86">
            <v>2</v>
          </cell>
          <cell r="J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2</v>
          </cell>
          <cell r="P86">
            <v>2</v>
          </cell>
          <cell r="Q86">
            <v>2</v>
          </cell>
          <cell r="R86">
            <v>2</v>
          </cell>
          <cell r="S86">
            <v>1</v>
          </cell>
          <cell r="T86">
            <v>1</v>
          </cell>
          <cell r="U86">
            <v>2</v>
          </cell>
          <cell r="V86">
            <v>2</v>
          </cell>
          <cell r="W86">
            <v>1</v>
          </cell>
          <cell r="X86">
            <v>2</v>
          </cell>
        </row>
        <row r="87"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J87">
            <v>2</v>
          </cell>
          <cell r="K87">
            <v>2</v>
          </cell>
          <cell r="L87">
            <v>2</v>
          </cell>
          <cell r="M87">
            <v>1</v>
          </cell>
          <cell r="N87">
            <v>2</v>
          </cell>
          <cell r="O87">
            <v>1</v>
          </cell>
          <cell r="P87">
            <v>2</v>
          </cell>
          <cell r="Q87">
            <v>1</v>
          </cell>
          <cell r="R87">
            <v>2</v>
          </cell>
          <cell r="S87">
            <v>1</v>
          </cell>
          <cell r="T87">
            <v>2</v>
          </cell>
          <cell r="U87">
            <v>1</v>
          </cell>
          <cell r="V87">
            <v>1</v>
          </cell>
          <cell r="W87">
            <v>2</v>
          </cell>
          <cell r="X87">
            <v>1</v>
          </cell>
        </row>
        <row r="88">
          <cell r="E88">
            <v>1</v>
          </cell>
          <cell r="F88">
            <v>2</v>
          </cell>
          <cell r="G88">
            <v>2</v>
          </cell>
          <cell r="H88">
            <v>1</v>
          </cell>
          <cell r="I88">
            <v>1</v>
          </cell>
          <cell r="J88">
            <v>2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Q88">
            <v>2</v>
          </cell>
          <cell r="R88">
            <v>2</v>
          </cell>
          <cell r="S88">
            <v>2</v>
          </cell>
          <cell r="T88">
            <v>1</v>
          </cell>
          <cell r="U88">
            <v>1</v>
          </cell>
          <cell r="V88">
            <v>2</v>
          </cell>
          <cell r="W88">
            <v>1</v>
          </cell>
          <cell r="X88">
            <v>1</v>
          </cell>
        </row>
        <row r="89">
          <cell r="E89">
            <v>2</v>
          </cell>
          <cell r="F89">
            <v>1</v>
          </cell>
          <cell r="G89">
            <v>1</v>
          </cell>
          <cell r="H89">
            <v>1</v>
          </cell>
          <cell r="I89">
            <v>2</v>
          </cell>
          <cell r="J89">
            <v>2</v>
          </cell>
          <cell r="K89">
            <v>2</v>
          </cell>
          <cell r="L89">
            <v>1</v>
          </cell>
          <cell r="M89">
            <v>2</v>
          </cell>
          <cell r="N89">
            <v>2</v>
          </cell>
          <cell r="O89">
            <v>1</v>
          </cell>
          <cell r="P89">
            <v>1</v>
          </cell>
          <cell r="Q89">
            <v>1</v>
          </cell>
          <cell r="R89">
            <v>2</v>
          </cell>
          <cell r="S89">
            <v>2</v>
          </cell>
          <cell r="T89">
            <v>2</v>
          </cell>
          <cell r="U89">
            <v>1</v>
          </cell>
          <cell r="V89">
            <v>1</v>
          </cell>
          <cell r="W89">
            <v>2</v>
          </cell>
          <cell r="X89">
            <v>2</v>
          </cell>
        </row>
        <row r="90">
          <cell r="E90">
            <v>2</v>
          </cell>
          <cell r="F90">
            <v>2</v>
          </cell>
          <cell r="G90">
            <v>2</v>
          </cell>
          <cell r="H90">
            <v>1</v>
          </cell>
          <cell r="I90">
            <v>2</v>
          </cell>
          <cell r="J90">
            <v>1</v>
          </cell>
          <cell r="K90">
            <v>1</v>
          </cell>
          <cell r="L90">
            <v>2</v>
          </cell>
          <cell r="M90">
            <v>1</v>
          </cell>
          <cell r="N90">
            <v>1</v>
          </cell>
          <cell r="O90">
            <v>2</v>
          </cell>
          <cell r="P90">
            <v>1</v>
          </cell>
          <cell r="Q90">
            <v>2</v>
          </cell>
          <cell r="R90">
            <v>2</v>
          </cell>
          <cell r="S90">
            <v>1</v>
          </cell>
          <cell r="T90">
            <v>1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</row>
        <row r="91">
          <cell r="E91">
            <v>2</v>
          </cell>
          <cell r="F91">
            <v>1</v>
          </cell>
          <cell r="G91">
            <v>2</v>
          </cell>
          <cell r="H91">
            <v>1</v>
          </cell>
          <cell r="I91">
            <v>1</v>
          </cell>
          <cell r="J91">
            <v>1</v>
          </cell>
          <cell r="K91">
            <v>2</v>
          </cell>
          <cell r="L91">
            <v>2</v>
          </cell>
          <cell r="M91">
            <v>1</v>
          </cell>
          <cell r="N91">
            <v>1</v>
          </cell>
          <cell r="O91">
            <v>2</v>
          </cell>
          <cell r="P91">
            <v>1</v>
          </cell>
          <cell r="Q91">
            <v>1</v>
          </cell>
          <cell r="R91">
            <v>1</v>
          </cell>
          <cell r="S91">
            <v>2</v>
          </cell>
          <cell r="T91">
            <v>2</v>
          </cell>
          <cell r="U91">
            <v>2</v>
          </cell>
          <cell r="V91">
            <v>2</v>
          </cell>
          <cell r="W91">
            <v>1</v>
          </cell>
          <cell r="X91">
            <v>2</v>
          </cell>
        </row>
        <row r="92">
          <cell r="E92">
            <v>1</v>
          </cell>
          <cell r="F92">
            <v>2</v>
          </cell>
          <cell r="G92">
            <v>1</v>
          </cell>
          <cell r="H92">
            <v>1</v>
          </cell>
          <cell r="I92">
            <v>2</v>
          </cell>
          <cell r="J92">
            <v>1</v>
          </cell>
          <cell r="K92">
            <v>1</v>
          </cell>
          <cell r="L92">
            <v>1</v>
          </cell>
          <cell r="M92">
            <v>2</v>
          </cell>
          <cell r="N92">
            <v>1</v>
          </cell>
          <cell r="O92">
            <v>1</v>
          </cell>
          <cell r="P92">
            <v>1</v>
          </cell>
          <cell r="Q92">
            <v>2</v>
          </cell>
          <cell r="R92">
            <v>1</v>
          </cell>
          <cell r="S92">
            <v>1</v>
          </cell>
          <cell r="T92">
            <v>2</v>
          </cell>
          <cell r="U92">
            <v>1</v>
          </cell>
          <cell r="V92">
            <v>1</v>
          </cell>
          <cell r="W92">
            <v>2</v>
          </cell>
          <cell r="X92">
            <v>1</v>
          </cell>
        </row>
        <row r="93">
          <cell r="E93">
            <v>2</v>
          </cell>
          <cell r="F93">
            <v>1</v>
          </cell>
          <cell r="G93">
            <v>1</v>
          </cell>
          <cell r="H93">
            <v>2</v>
          </cell>
          <cell r="I93">
            <v>1</v>
          </cell>
          <cell r="J93">
            <v>2</v>
          </cell>
          <cell r="K93">
            <v>1</v>
          </cell>
          <cell r="L93">
            <v>2</v>
          </cell>
          <cell r="M93">
            <v>1</v>
          </cell>
          <cell r="N93">
            <v>2</v>
          </cell>
          <cell r="O93">
            <v>1</v>
          </cell>
          <cell r="P93">
            <v>2</v>
          </cell>
          <cell r="Q93">
            <v>2</v>
          </cell>
          <cell r="R93">
            <v>2</v>
          </cell>
          <cell r="S93">
            <v>2</v>
          </cell>
          <cell r="T93">
            <v>1</v>
          </cell>
          <cell r="U93">
            <v>2</v>
          </cell>
          <cell r="V93">
            <v>2</v>
          </cell>
          <cell r="W93">
            <v>1</v>
          </cell>
          <cell r="X93">
            <v>2</v>
          </cell>
        </row>
        <row r="94">
          <cell r="E94">
            <v>2</v>
          </cell>
          <cell r="F94">
            <v>2</v>
          </cell>
          <cell r="G94">
            <v>2</v>
          </cell>
          <cell r="H94">
            <v>1</v>
          </cell>
          <cell r="I94">
            <v>1</v>
          </cell>
          <cell r="J94">
            <v>1</v>
          </cell>
          <cell r="K94">
            <v>2</v>
          </cell>
          <cell r="L94">
            <v>2</v>
          </cell>
          <cell r="M94">
            <v>2</v>
          </cell>
          <cell r="N94">
            <v>2</v>
          </cell>
          <cell r="O94">
            <v>2</v>
          </cell>
          <cell r="P94">
            <v>1</v>
          </cell>
          <cell r="Q94">
            <v>1</v>
          </cell>
          <cell r="R94">
            <v>2</v>
          </cell>
          <cell r="S94">
            <v>1</v>
          </cell>
          <cell r="T94">
            <v>2</v>
          </cell>
          <cell r="U94">
            <v>1</v>
          </cell>
          <cell r="V94">
            <v>2</v>
          </cell>
          <cell r="W94">
            <v>1</v>
          </cell>
          <cell r="X94">
            <v>1</v>
          </cell>
        </row>
        <row r="95">
          <cell r="E95">
            <v>1</v>
          </cell>
          <cell r="F95">
            <v>1</v>
          </cell>
          <cell r="G95">
            <v>1</v>
          </cell>
          <cell r="H95">
            <v>2</v>
          </cell>
          <cell r="I95">
            <v>2</v>
          </cell>
          <cell r="J95">
            <v>2</v>
          </cell>
          <cell r="K95">
            <v>2</v>
          </cell>
          <cell r="L95">
            <v>2</v>
          </cell>
          <cell r="M95">
            <v>1</v>
          </cell>
          <cell r="N95">
            <v>1</v>
          </cell>
          <cell r="O95">
            <v>2</v>
          </cell>
          <cell r="P95">
            <v>2</v>
          </cell>
          <cell r="Q95">
            <v>1</v>
          </cell>
          <cell r="R95">
            <v>1</v>
          </cell>
          <cell r="S95">
            <v>2</v>
          </cell>
          <cell r="T95">
            <v>1</v>
          </cell>
          <cell r="U95">
            <v>2</v>
          </cell>
          <cell r="V95">
            <v>2</v>
          </cell>
          <cell r="W95">
            <v>1</v>
          </cell>
          <cell r="X95">
            <v>2</v>
          </cell>
        </row>
        <row r="96">
          <cell r="E96">
            <v>1</v>
          </cell>
          <cell r="F96">
            <v>1</v>
          </cell>
          <cell r="G96">
            <v>2</v>
          </cell>
          <cell r="H96">
            <v>2</v>
          </cell>
          <cell r="I96">
            <v>2</v>
          </cell>
          <cell r="J96">
            <v>1</v>
          </cell>
          <cell r="K96">
            <v>1</v>
          </cell>
          <cell r="L96">
            <v>1</v>
          </cell>
          <cell r="M96">
            <v>2</v>
          </cell>
          <cell r="N96">
            <v>1</v>
          </cell>
          <cell r="O96">
            <v>1</v>
          </cell>
          <cell r="P96">
            <v>1</v>
          </cell>
          <cell r="Q96">
            <v>2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2</v>
          </cell>
          <cell r="X96">
            <v>1</v>
          </cell>
        </row>
        <row r="97">
          <cell r="E97">
            <v>2</v>
          </cell>
          <cell r="F97">
            <v>2</v>
          </cell>
          <cell r="G97">
            <v>2</v>
          </cell>
          <cell r="H97">
            <v>1</v>
          </cell>
          <cell r="I97">
            <v>2</v>
          </cell>
          <cell r="J97">
            <v>1</v>
          </cell>
          <cell r="K97">
            <v>1</v>
          </cell>
          <cell r="L97">
            <v>2</v>
          </cell>
          <cell r="M97">
            <v>1</v>
          </cell>
          <cell r="N97">
            <v>1</v>
          </cell>
          <cell r="O97">
            <v>2</v>
          </cell>
          <cell r="P97">
            <v>1</v>
          </cell>
          <cell r="Q97">
            <v>2</v>
          </cell>
          <cell r="R97">
            <v>1</v>
          </cell>
          <cell r="S97">
            <v>1</v>
          </cell>
          <cell r="T97">
            <v>1</v>
          </cell>
          <cell r="U97">
            <v>2</v>
          </cell>
          <cell r="V97">
            <v>1</v>
          </cell>
          <cell r="W97">
            <v>2</v>
          </cell>
          <cell r="X97">
            <v>2</v>
          </cell>
        </row>
        <row r="98">
          <cell r="E98">
            <v>1</v>
          </cell>
          <cell r="F98">
            <v>2</v>
          </cell>
          <cell r="G98">
            <v>1</v>
          </cell>
          <cell r="H98">
            <v>2</v>
          </cell>
          <cell r="I98">
            <v>2</v>
          </cell>
          <cell r="J98">
            <v>2</v>
          </cell>
          <cell r="K98">
            <v>2</v>
          </cell>
          <cell r="L98">
            <v>2</v>
          </cell>
          <cell r="M98">
            <v>2</v>
          </cell>
          <cell r="N98">
            <v>2</v>
          </cell>
          <cell r="O98">
            <v>2</v>
          </cell>
          <cell r="P98">
            <v>1</v>
          </cell>
          <cell r="Q98">
            <v>1</v>
          </cell>
          <cell r="R98">
            <v>1</v>
          </cell>
          <cell r="S98">
            <v>2</v>
          </cell>
          <cell r="T98">
            <v>1</v>
          </cell>
          <cell r="U98">
            <v>1</v>
          </cell>
          <cell r="V98">
            <v>2</v>
          </cell>
          <cell r="W98">
            <v>1</v>
          </cell>
          <cell r="X98">
            <v>2</v>
          </cell>
        </row>
        <row r="99">
          <cell r="E99">
            <v>2</v>
          </cell>
          <cell r="F99">
            <v>1</v>
          </cell>
          <cell r="G99">
            <v>2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2</v>
          </cell>
          <cell r="M99">
            <v>2</v>
          </cell>
          <cell r="N99">
            <v>2</v>
          </cell>
          <cell r="O99">
            <v>1</v>
          </cell>
          <cell r="P99">
            <v>2</v>
          </cell>
          <cell r="Q99">
            <v>1</v>
          </cell>
          <cell r="R99">
            <v>2</v>
          </cell>
          <cell r="S99">
            <v>2</v>
          </cell>
          <cell r="T99">
            <v>1</v>
          </cell>
          <cell r="U99">
            <v>2</v>
          </cell>
          <cell r="V99">
            <v>1</v>
          </cell>
          <cell r="W99">
            <v>2</v>
          </cell>
          <cell r="X99">
            <v>1</v>
          </cell>
        </row>
        <row r="100">
          <cell r="E100">
            <v>1</v>
          </cell>
          <cell r="F100">
            <v>2</v>
          </cell>
          <cell r="G100">
            <v>2</v>
          </cell>
          <cell r="H100">
            <v>2</v>
          </cell>
          <cell r="I100">
            <v>2</v>
          </cell>
          <cell r="J100">
            <v>1</v>
          </cell>
          <cell r="K100">
            <v>2</v>
          </cell>
          <cell r="L100">
            <v>1</v>
          </cell>
          <cell r="M100">
            <v>1</v>
          </cell>
          <cell r="N100">
            <v>2</v>
          </cell>
          <cell r="O100">
            <v>2</v>
          </cell>
          <cell r="P100">
            <v>2</v>
          </cell>
          <cell r="Q100">
            <v>2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V100">
            <v>1</v>
          </cell>
          <cell r="W100">
            <v>1</v>
          </cell>
          <cell r="X100">
            <v>2</v>
          </cell>
        </row>
        <row r="101">
          <cell r="E101">
            <v>2</v>
          </cell>
          <cell r="F101">
            <v>2</v>
          </cell>
          <cell r="G101">
            <v>1</v>
          </cell>
          <cell r="H101">
            <v>1</v>
          </cell>
          <cell r="I101">
            <v>1</v>
          </cell>
          <cell r="J101">
            <v>2</v>
          </cell>
          <cell r="K101">
            <v>2</v>
          </cell>
          <cell r="L101">
            <v>2</v>
          </cell>
          <cell r="M101">
            <v>2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2</v>
          </cell>
          <cell r="S101">
            <v>1</v>
          </cell>
          <cell r="T101">
            <v>1</v>
          </cell>
          <cell r="U101">
            <v>1</v>
          </cell>
          <cell r="V101">
            <v>1</v>
          </cell>
          <cell r="W101">
            <v>1</v>
          </cell>
          <cell r="X101">
            <v>1</v>
          </cell>
        </row>
        <row r="102"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2</v>
          </cell>
          <cell r="J102">
            <v>1</v>
          </cell>
          <cell r="K102">
            <v>1</v>
          </cell>
          <cell r="L102">
            <v>1</v>
          </cell>
          <cell r="M102">
            <v>2</v>
          </cell>
          <cell r="N102">
            <v>1</v>
          </cell>
          <cell r="O102">
            <v>2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2</v>
          </cell>
          <cell r="U102">
            <v>1</v>
          </cell>
          <cell r="V102">
            <v>2</v>
          </cell>
          <cell r="W102">
            <v>1</v>
          </cell>
          <cell r="X102">
            <v>1</v>
          </cell>
        </row>
        <row r="103">
          <cell r="E103">
            <v>1</v>
          </cell>
          <cell r="F103">
            <v>2</v>
          </cell>
          <cell r="G103">
            <v>2</v>
          </cell>
          <cell r="H103">
            <v>1</v>
          </cell>
          <cell r="I103">
            <v>1</v>
          </cell>
          <cell r="J103">
            <v>2</v>
          </cell>
          <cell r="K103">
            <v>2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2</v>
          </cell>
          <cell r="U103">
            <v>1</v>
          </cell>
          <cell r="V103">
            <v>1</v>
          </cell>
          <cell r="W103">
            <v>2</v>
          </cell>
          <cell r="X103">
            <v>2</v>
          </cell>
        </row>
        <row r="104">
          <cell r="E104">
            <v>2</v>
          </cell>
          <cell r="F104">
            <v>2</v>
          </cell>
          <cell r="G104">
            <v>1</v>
          </cell>
          <cell r="H104">
            <v>2</v>
          </cell>
          <cell r="I104">
            <v>2</v>
          </cell>
          <cell r="J104">
            <v>2</v>
          </cell>
          <cell r="K104">
            <v>1</v>
          </cell>
          <cell r="L104">
            <v>1</v>
          </cell>
          <cell r="M104">
            <v>2</v>
          </cell>
          <cell r="N104">
            <v>2</v>
          </cell>
          <cell r="O104">
            <v>2</v>
          </cell>
          <cell r="P104">
            <v>2</v>
          </cell>
          <cell r="Q104">
            <v>2</v>
          </cell>
          <cell r="R104">
            <v>1</v>
          </cell>
          <cell r="S104">
            <v>1</v>
          </cell>
          <cell r="T104">
            <v>2</v>
          </cell>
          <cell r="U104">
            <v>1</v>
          </cell>
          <cell r="V104">
            <v>1</v>
          </cell>
          <cell r="W104">
            <v>1</v>
          </cell>
          <cell r="X104">
            <v>2</v>
          </cell>
        </row>
        <row r="105">
          <cell r="E105">
            <v>2</v>
          </cell>
          <cell r="F105">
            <v>2</v>
          </cell>
          <cell r="G105">
            <v>2</v>
          </cell>
          <cell r="H105">
            <v>2</v>
          </cell>
          <cell r="I105">
            <v>1</v>
          </cell>
          <cell r="J105">
            <v>2</v>
          </cell>
          <cell r="K105">
            <v>2</v>
          </cell>
          <cell r="L105">
            <v>2</v>
          </cell>
          <cell r="M105">
            <v>2</v>
          </cell>
          <cell r="N105">
            <v>1</v>
          </cell>
          <cell r="O105">
            <v>2</v>
          </cell>
          <cell r="P105">
            <v>2</v>
          </cell>
          <cell r="Q105">
            <v>1</v>
          </cell>
          <cell r="R105">
            <v>1</v>
          </cell>
          <cell r="S105">
            <v>1</v>
          </cell>
          <cell r="T105">
            <v>2</v>
          </cell>
          <cell r="U105">
            <v>1</v>
          </cell>
          <cell r="V105">
            <v>1</v>
          </cell>
          <cell r="W105">
            <v>1</v>
          </cell>
          <cell r="X105">
            <v>1</v>
          </cell>
        </row>
        <row r="106">
          <cell r="E106">
            <v>2</v>
          </cell>
          <cell r="F106">
            <v>2</v>
          </cell>
          <cell r="G106">
            <v>1</v>
          </cell>
          <cell r="H106">
            <v>2</v>
          </cell>
          <cell r="I106">
            <v>1</v>
          </cell>
          <cell r="J106">
            <v>1</v>
          </cell>
          <cell r="K106">
            <v>1</v>
          </cell>
          <cell r="L106">
            <v>1</v>
          </cell>
          <cell r="M106">
            <v>1</v>
          </cell>
          <cell r="N106">
            <v>2</v>
          </cell>
          <cell r="O106">
            <v>1</v>
          </cell>
          <cell r="P106">
            <v>1</v>
          </cell>
          <cell r="Q106">
            <v>1</v>
          </cell>
          <cell r="R106">
            <v>2</v>
          </cell>
          <cell r="S106">
            <v>1</v>
          </cell>
          <cell r="T106">
            <v>2</v>
          </cell>
          <cell r="U106">
            <v>1</v>
          </cell>
          <cell r="V106">
            <v>1</v>
          </cell>
          <cell r="W106">
            <v>1</v>
          </cell>
          <cell r="X106">
            <v>1</v>
          </cell>
        </row>
        <row r="107">
          <cell r="E107">
            <v>1</v>
          </cell>
          <cell r="F107">
            <v>2</v>
          </cell>
          <cell r="G107">
            <v>2</v>
          </cell>
          <cell r="H107">
            <v>2</v>
          </cell>
          <cell r="I107">
            <v>1</v>
          </cell>
          <cell r="J107">
            <v>2</v>
          </cell>
          <cell r="K107">
            <v>1</v>
          </cell>
          <cell r="L107">
            <v>2</v>
          </cell>
          <cell r="M107">
            <v>1</v>
          </cell>
          <cell r="N107">
            <v>2</v>
          </cell>
          <cell r="O107">
            <v>2</v>
          </cell>
          <cell r="P107">
            <v>1</v>
          </cell>
          <cell r="Q107">
            <v>1</v>
          </cell>
          <cell r="R107">
            <v>1</v>
          </cell>
          <cell r="S107">
            <v>2</v>
          </cell>
          <cell r="T107">
            <v>2</v>
          </cell>
          <cell r="U107">
            <v>1</v>
          </cell>
          <cell r="V107">
            <v>2</v>
          </cell>
          <cell r="W107">
            <v>2</v>
          </cell>
          <cell r="X107">
            <v>1</v>
          </cell>
        </row>
        <row r="108">
          <cell r="E108">
            <v>2</v>
          </cell>
          <cell r="F108">
            <v>1</v>
          </cell>
          <cell r="G108">
            <v>1</v>
          </cell>
          <cell r="H108">
            <v>1</v>
          </cell>
          <cell r="I108">
            <v>1</v>
          </cell>
          <cell r="J108">
            <v>1</v>
          </cell>
          <cell r="K108">
            <v>2</v>
          </cell>
          <cell r="L108">
            <v>1</v>
          </cell>
          <cell r="M108">
            <v>2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2</v>
          </cell>
          <cell r="U108">
            <v>2</v>
          </cell>
          <cell r="V108">
            <v>2</v>
          </cell>
          <cell r="W108">
            <v>1</v>
          </cell>
          <cell r="X108">
            <v>2</v>
          </cell>
        </row>
        <row r="109">
          <cell r="E109">
            <v>1</v>
          </cell>
          <cell r="F109">
            <v>1</v>
          </cell>
          <cell r="G109">
            <v>1</v>
          </cell>
          <cell r="H109">
            <v>2</v>
          </cell>
          <cell r="I109">
            <v>1</v>
          </cell>
          <cell r="J109">
            <v>2</v>
          </cell>
          <cell r="K109">
            <v>2</v>
          </cell>
          <cell r="L109">
            <v>2</v>
          </cell>
          <cell r="M109">
            <v>1</v>
          </cell>
          <cell r="N109">
            <v>2</v>
          </cell>
          <cell r="O109">
            <v>2</v>
          </cell>
          <cell r="P109">
            <v>2</v>
          </cell>
          <cell r="Q109">
            <v>2</v>
          </cell>
          <cell r="R109">
            <v>1</v>
          </cell>
          <cell r="S109">
            <v>1</v>
          </cell>
          <cell r="T109">
            <v>2</v>
          </cell>
          <cell r="U109">
            <v>2</v>
          </cell>
          <cell r="V109">
            <v>1</v>
          </cell>
          <cell r="W109">
            <v>2</v>
          </cell>
          <cell r="X109">
            <v>2</v>
          </cell>
        </row>
        <row r="110">
          <cell r="E110">
            <v>2</v>
          </cell>
          <cell r="F110">
            <v>2</v>
          </cell>
          <cell r="G110">
            <v>1</v>
          </cell>
          <cell r="H110">
            <v>1</v>
          </cell>
          <cell r="I110">
            <v>1</v>
          </cell>
          <cell r="J110">
            <v>2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2</v>
          </cell>
          <cell r="P110">
            <v>1</v>
          </cell>
          <cell r="Q110">
            <v>2</v>
          </cell>
          <cell r="R110">
            <v>2</v>
          </cell>
          <cell r="S110">
            <v>1</v>
          </cell>
          <cell r="T110">
            <v>2</v>
          </cell>
          <cell r="U110">
            <v>1</v>
          </cell>
          <cell r="V110">
            <v>1</v>
          </cell>
          <cell r="W110">
            <v>1</v>
          </cell>
          <cell r="X110">
            <v>2</v>
          </cell>
        </row>
        <row r="111">
          <cell r="E111">
            <v>1</v>
          </cell>
          <cell r="F111">
            <v>1</v>
          </cell>
          <cell r="G111">
            <v>2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2</v>
          </cell>
          <cell r="M111">
            <v>1</v>
          </cell>
          <cell r="N111">
            <v>2</v>
          </cell>
          <cell r="O111">
            <v>1</v>
          </cell>
          <cell r="P111">
            <v>2</v>
          </cell>
          <cell r="Q111">
            <v>1</v>
          </cell>
          <cell r="R111">
            <v>1</v>
          </cell>
          <cell r="S111">
            <v>2</v>
          </cell>
          <cell r="T111">
            <v>1</v>
          </cell>
          <cell r="U111">
            <v>1</v>
          </cell>
          <cell r="V111">
            <v>1</v>
          </cell>
          <cell r="W111">
            <v>2</v>
          </cell>
          <cell r="X111">
            <v>2</v>
          </cell>
        </row>
        <row r="112">
          <cell r="E112">
            <v>1</v>
          </cell>
          <cell r="F112">
            <v>1</v>
          </cell>
          <cell r="G112">
            <v>1</v>
          </cell>
          <cell r="H112">
            <v>1</v>
          </cell>
          <cell r="I112">
            <v>2</v>
          </cell>
          <cell r="J112">
            <v>1</v>
          </cell>
          <cell r="K112">
            <v>2</v>
          </cell>
          <cell r="L112">
            <v>2</v>
          </cell>
          <cell r="M112">
            <v>2</v>
          </cell>
          <cell r="N112">
            <v>1</v>
          </cell>
          <cell r="O112">
            <v>2</v>
          </cell>
          <cell r="P112">
            <v>2</v>
          </cell>
          <cell r="Q112">
            <v>2</v>
          </cell>
          <cell r="R112">
            <v>1</v>
          </cell>
          <cell r="S112">
            <v>2</v>
          </cell>
          <cell r="T112">
            <v>2</v>
          </cell>
          <cell r="U112">
            <v>1</v>
          </cell>
          <cell r="V112">
            <v>1</v>
          </cell>
          <cell r="W112">
            <v>2</v>
          </cell>
          <cell r="X112">
            <v>2</v>
          </cell>
        </row>
        <row r="113">
          <cell r="E113">
            <v>2</v>
          </cell>
          <cell r="F113">
            <v>1</v>
          </cell>
          <cell r="G113">
            <v>2</v>
          </cell>
          <cell r="H113">
            <v>1</v>
          </cell>
          <cell r="I113">
            <v>1</v>
          </cell>
          <cell r="J113">
            <v>1</v>
          </cell>
          <cell r="K113">
            <v>1</v>
          </cell>
          <cell r="L113">
            <v>2</v>
          </cell>
          <cell r="M113">
            <v>2</v>
          </cell>
          <cell r="N113">
            <v>1</v>
          </cell>
          <cell r="O113">
            <v>2</v>
          </cell>
          <cell r="P113">
            <v>1</v>
          </cell>
          <cell r="Q113">
            <v>1</v>
          </cell>
          <cell r="R113">
            <v>2</v>
          </cell>
          <cell r="S113">
            <v>1</v>
          </cell>
          <cell r="T113">
            <v>1</v>
          </cell>
          <cell r="U113">
            <v>2</v>
          </cell>
          <cell r="V113">
            <v>1</v>
          </cell>
          <cell r="W113">
            <v>1</v>
          </cell>
          <cell r="X113">
            <v>2</v>
          </cell>
        </row>
        <row r="114">
          <cell r="E114">
            <v>2</v>
          </cell>
          <cell r="F114">
            <v>1</v>
          </cell>
          <cell r="G114">
            <v>1</v>
          </cell>
          <cell r="H114">
            <v>2</v>
          </cell>
          <cell r="I114">
            <v>2</v>
          </cell>
          <cell r="J114">
            <v>2</v>
          </cell>
          <cell r="K114">
            <v>1</v>
          </cell>
          <cell r="L114">
            <v>1</v>
          </cell>
          <cell r="M114">
            <v>1</v>
          </cell>
          <cell r="N114">
            <v>2</v>
          </cell>
          <cell r="O114">
            <v>1</v>
          </cell>
          <cell r="P114">
            <v>2</v>
          </cell>
          <cell r="Q114">
            <v>2</v>
          </cell>
          <cell r="R114">
            <v>2</v>
          </cell>
          <cell r="S114">
            <v>2</v>
          </cell>
          <cell r="T114">
            <v>2</v>
          </cell>
          <cell r="U114">
            <v>2</v>
          </cell>
          <cell r="V114">
            <v>2</v>
          </cell>
          <cell r="W114">
            <v>1</v>
          </cell>
          <cell r="X114">
            <v>2</v>
          </cell>
        </row>
        <row r="115">
          <cell r="E115">
            <v>1</v>
          </cell>
          <cell r="F115">
            <v>2</v>
          </cell>
          <cell r="G115">
            <v>1</v>
          </cell>
          <cell r="H115">
            <v>2</v>
          </cell>
          <cell r="I115">
            <v>2</v>
          </cell>
          <cell r="J115">
            <v>1</v>
          </cell>
          <cell r="K115">
            <v>2</v>
          </cell>
          <cell r="L115">
            <v>1</v>
          </cell>
          <cell r="M115">
            <v>2</v>
          </cell>
          <cell r="N115">
            <v>1</v>
          </cell>
          <cell r="O115">
            <v>1</v>
          </cell>
          <cell r="P115">
            <v>2</v>
          </cell>
          <cell r="Q115">
            <v>2</v>
          </cell>
          <cell r="R115">
            <v>1</v>
          </cell>
          <cell r="S115">
            <v>1</v>
          </cell>
          <cell r="T115">
            <v>1</v>
          </cell>
          <cell r="U115">
            <v>1</v>
          </cell>
          <cell r="V115">
            <v>2</v>
          </cell>
          <cell r="W115">
            <v>2</v>
          </cell>
          <cell r="X115">
            <v>1</v>
          </cell>
        </row>
        <row r="116">
          <cell r="E116">
            <v>2</v>
          </cell>
          <cell r="F116">
            <v>2</v>
          </cell>
          <cell r="G116">
            <v>2</v>
          </cell>
          <cell r="H116">
            <v>2</v>
          </cell>
          <cell r="I116">
            <v>2</v>
          </cell>
          <cell r="J116">
            <v>2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2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2</v>
          </cell>
          <cell r="V116">
            <v>2</v>
          </cell>
          <cell r="W116">
            <v>1</v>
          </cell>
          <cell r="X116">
            <v>1</v>
          </cell>
        </row>
        <row r="117">
          <cell r="E117">
            <v>1</v>
          </cell>
          <cell r="F117">
            <v>2</v>
          </cell>
          <cell r="G117">
            <v>2</v>
          </cell>
          <cell r="H117">
            <v>1</v>
          </cell>
          <cell r="I117">
            <v>2</v>
          </cell>
          <cell r="J117">
            <v>1</v>
          </cell>
          <cell r="K117">
            <v>2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Q117">
            <v>1</v>
          </cell>
          <cell r="R117">
            <v>1</v>
          </cell>
          <cell r="S117">
            <v>2</v>
          </cell>
          <cell r="T117">
            <v>1</v>
          </cell>
          <cell r="U117">
            <v>1</v>
          </cell>
          <cell r="V117">
            <v>2</v>
          </cell>
          <cell r="W117">
            <v>2</v>
          </cell>
          <cell r="X117">
            <v>1</v>
          </cell>
        </row>
        <row r="118">
          <cell r="E118">
            <v>1</v>
          </cell>
          <cell r="F118">
            <v>1</v>
          </cell>
          <cell r="G118">
            <v>1</v>
          </cell>
          <cell r="H118">
            <v>2</v>
          </cell>
          <cell r="I118">
            <v>2</v>
          </cell>
          <cell r="J118">
            <v>2</v>
          </cell>
          <cell r="K118">
            <v>1</v>
          </cell>
          <cell r="L118">
            <v>2</v>
          </cell>
          <cell r="M118">
            <v>2</v>
          </cell>
          <cell r="N118">
            <v>2</v>
          </cell>
          <cell r="O118">
            <v>2</v>
          </cell>
          <cell r="P118">
            <v>2</v>
          </cell>
          <cell r="Q118">
            <v>2</v>
          </cell>
          <cell r="R118">
            <v>1</v>
          </cell>
          <cell r="S118">
            <v>1</v>
          </cell>
          <cell r="T118">
            <v>1</v>
          </cell>
          <cell r="U118">
            <v>2</v>
          </cell>
          <cell r="V118">
            <v>1</v>
          </cell>
          <cell r="W118">
            <v>2</v>
          </cell>
          <cell r="X118">
            <v>1</v>
          </cell>
        </row>
        <row r="119">
          <cell r="E119">
            <v>1</v>
          </cell>
          <cell r="F119">
            <v>2</v>
          </cell>
          <cell r="G119">
            <v>1</v>
          </cell>
          <cell r="H119">
            <v>2</v>
          </cell>
          <cell r="I119">
            <v>1</v>
          </cell>
          <cell r="J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2</v>
          </cell>
          <cell r="Q119">
            <v>2</v>
          </cell>
          <cell r="R119">
            <v>1</v>
          </cell>
          <cell r="S119">
            <v>2</v>
          </cell>
          <cell r="T119">
            <v>2</v>
          </cell>
          <cell r="U119">
            <v>2</v>
          </cell>
          <cell r="V119">
            <v>2</v>
          </cell>
          <cell r="W119">
            <v>1</v>
          </cell>
          <cell r="X119">
            <v>2</v>
          </cell>
        </row>
        <row r="120">
          <cell r="E120">
            <v>2</v>
          </cell>
          <cell r="F120">
            <v>2</v>
          </cell>
          <cell r="G120">
            <v>2</v>
          </cell>
          <cell r="H120">
            <v>1</v>
          </cell>
          <cell r="I120">
            <v>2</v>
          </cell>
          <cell r="J120">
            <v>1</v>
          </cell>
          <cell r="K120">
            <v>2</v>
          </cell>
          <cell r="L120">
            <v>1</v>
          </cell>
          <cell r="M120">
            <v>1</v>
          </cell>
          <cell r="N120">
            <v>1</v>
          </cell>
          <cell r="O120">
            <v>1</v>
          </cell>
          <cell r="P120">
            <v>2</v>
          </cell>
          <cell r="Q120">
            <v>2</v>
          </cell>
          <cell r="R120">
            <v>1</v>
          </cell>
          <cell r="S120">
            <v>1</v>
          </cell>
          <cell r="T120">
            <v>2</v>
          </cell>
          <cell r="U120">
            <v>1</v>
          </cell>
          <cell r="V120">
            <v>1</v>
          </cell>
          <cell r="W120">
            <v>2</v>
          </cell>
          <cell r="X120">
            <v>2</v>
          </cell>
        </row>
        <row r="121">
          <cell r="E121">
            <v>2</v>
          </cell>
          <cell r="F121">
            <v>1</v>
          </cell>
          <cell r="G121">
            <v>2</v>
          </cell>
          <cell r="H121">
            <v>2</v>
          </cell>
          <cell r="I121">
            <v>1</v>
          </cell>
          <cell r="J121">
            <v>2</v>
          </cell>
          <cell r="K121">
            <v>1</v>
          </cell>
          <cell r="L121">
            <v>2</v>
          </cell>
          <cell r="M121">
            <v>2</v>
          </cell>
          <cell r="N121">
            <v>1</v>
          </cell>
          <cell r="O121">
            <v>2</v>
          </cell>
          <cell r="P121">
            <v>1</v>
          </cell>
          <cell r="Q121">
            <v>2</v>
          </cell>
          <cell r="R121">
            <v>1</v>
          </cell>
          <cell r="S121">
            <v>1</v>
          </cell>
          <cell r="T121">
            <v>2</v>
          </cell>
          <cell r="U121">
            <v>1</v>
          </cell>
          <cell r="V121">
            <v>2</v>
          </cell>
          <cell r="W121">
            <v>1</v>
          </cell>
          <cell r="X121">
            <v>2</v>
          </cell>
        </row>
        <row r="122">
          <cell r="E122">
            <v>1</v>
          </cell>
          <cell r="F122">
            <v>1</v>
          </cell>
          <cell r="G122">
            <v>2</v>
          </cell>
          <cell r="H122">
            <v>2</v>
          </cell>
          <cell r="I122">
            <v>2</v>
          </cell>
          <cell r="J122">
            <v>2</v>
          </cell>
          <cell r="K122">
            <v>2</v>
          </cell>
          <cell r="L122">
            <v>1</v>
          </cell>
          <cell r="M122">
            <v>2</v>
          </cell>
          <cell r="N122">
            <v>1</v>
          </cell>
          <cell r="O122">
            <v>1</v>
          </cell>
          <cell r="P122">
            <v>2</v>
          </cell>
          <cell r="Q122">
            <v>2</v>
          </cell>
          <cell r="R122">
            <v>1</v>
          </cell>
          <cell r="S122">
            <v>2</v>
          </cell>
          <cell r="T122">
            <v>2</v>
          </cell>
          <cell r="U122">
            <v>1</v>
          </cell>
          <cell r="V122">
            <v>2</v>
          </cell>
          <cell r="W122">
            <v>1</v>
          </cell>
          <cell r="X122">
            <v>1</v>
          </cell>
        </row>
        <row r="123">
          <cell r="E123">
            <v>1</v>
          </cell>
          <cell r="F123">
            <v>2</v>
          </cell>
          <cell r="G123">
            <v>2</v>
          </cell>
          <cell r="H123">
            <v>1</v>
          </cell>
          <cell r="I123">
            <v>1</v>
          </cell>
          <cell r="J123">
            <v>1</v>
          </cell>
          <cell r="K123">
            <v>1</v>
          </cell>
          <cell r="L123">
            <v>2</v>
          </cell>
          <cell r="M123">
            <v>2</v>
          </cell>
          <cell r="N123">
            <v>1</v>
          </cell>
          <cell r="O123">
            <v>2</v>
          </cell>
          <cell r="P123">
            <v>1</v>
          </cell>
          <cell r="Q123">
            <v>1</v>
          </cell>
          <cell r="R123">
            <v>2</v>
          </cell>
          <cell r="S123">
            <v>2</v>
          </cell>
          <cell r="T123">
            <v>2</v>
          </cell>
          <cell r="U123">
            <v>2</v>
          </cell>
          <cell r="V123">
            <v>1</v>
          </cell>
          <cell r="W123">
            <v>2</v>
          </cell>
          <cell r="X123">
            <v>2</v>
          </cell>
        </row>
        <row r="124">
          <cell r="E124">
            <v>1</v>
          </cell>
          <cell r="F124">
            <v>1</v>
          </cell>
          <cell r="G124">
            <v>2</v>
          </cell>
          <cell r="H124">
            <v>2</v>
          </cell>
          <cell r="I124">
            <v>1</v>
          </cell>
          <cell r="J124">
            <v>1</v>
          </cell>
          <cell r="K124">
            <v>2</v>
          </cell>
          <cell r="L124">
            <v>2</v>
          </cell>
          <cell r="M124">
            <v>2</v>
          </cell>
          <cell r="N124">
            <v>1</v>
          </cell>
          <cell r="O124">
            <v>2</v>
          </cell>
          <cell r="P124">
            <v>2</v>
          </cell>
          <cell r="Q124">
            <v>1</v>
          </cell>
          <cell r="R124">
            <v>1</v>
          </cell>
          <cell r="S124">
            <v>1</v>
          </cell>
          <cell r="T124">
            <v>2</v>
          </cell>
          <cell r="U124">
            <v>1</v>
          </cell>
          <cell r="V124">
            <v>1</v>
          </cell>
          <cell r="W124">
            <v>1</v>
          </cell>
          <cell r="X124">
            <v>1</v>
          </cell>
        </row>
        <row r="125">
          <cell r="E125">
            <v>1</v>
          </cell>
          <cell r="F125">
            <v>1</v>
          </cell>
          <cell r="G125">
            <v>2</v>
          </cell>
          <cell r="H125">
            <v>2</v>
          </cell>
          <cell r="I125">
            <v>2</v>
          </cell>
          <cell r="J125">
            <v>2</v>
          </cell>
          <cell r="K125">
            <v>2</v>
          </cell>
          <cell r="L125">
            <v>1</v>
          </cell>
          <cell r="M125">
            <v>2</v>
          </cell>
          <cell r="N125">
            <v>1</v>
          </cell>
          <cell r="O125">
            <v>1</v>
          </cell>
          <cell r="P125">
            <v>2</v>
          </cell>
          <cell r="Q125">
            <v>1</v>
          </cell>
          <cell r="R125">
            <v>2</v>
          </cell>
          <cell r="S125">
            <v>1</v>
          </cell>
          <cell r="T125">
            <v>1</v>
          </cell>
          <cell r="U125">
            <v>2</v>
          </cell>
          <cell r="V125">
            <v>2</v>
          </cell>
          <cell r="W125">
            <v>1</v>
          </cell>
          <cell r="X125">
            <v>1</v>
          </cell>
        </row>
        <row r="126">
          <cell r="E126">
            <v>2</v>
          </cell>
          <cell r="F126">
            <v>2</v>
          </cell>
          <cell r="G126">
            <v>2</v>
          </cell>
          <cell r="H126">
            <v>2</v>
          </cell>
          <cell r="I126">
            <v>1</v>
          </cell>
          <cell r="J126">
            <v>2</v>
          </cell>
          <cell r="K126">
            <v>2</v>
          </cell>
          <cell r="L126">
            <v>2</v>
          </cell>
          <cell r="M126">
            <v>2</v>
          </cell>
          <cell r="N126">
            <v>2</v>
          </cell>
          <cell r="O126">
            <v>1</v>
          </cell>
          <cell r="P126">
            <v>1</v>
          </cell>
          <cell r="Q126">
            <v>2</v>
          </cell>
          <cell r="R126">
            <v>1</v>
          </cell>
          <cell r="S126">
            <v>1</v>
          </cell>
          <cell r="T126">
            <v>2</v>
          </cell>
          <cell r="U126">
            <v>1</v>
          </cell>
          <cell r="V126">
            <v>1</v>
          </cell>
          <cell r="W126">
            <v>2</v>
          </cell>
          <cell r="X126">
            <v>1</v>
          </cell>
        </row>
        <row r="127">
          <cell r="E127">
            <v>1</v>
          </cell>
          <cell r="F127">
            <v>1</v>
          </cell>
          <cell r="G127">
            <v>1</v>
          </cell>
          <cell r="H127">
            <v>2</v>
          </cell>
          <cell r="I127">
            <v>1</v>
          </cell>
          <cell r="J127">
            <v>2</v>
          </cell>
          <cell r="K127">
            <v>2</v>
          </cell>
          <cell r="L127">
            <v>2</v>
          </cell>
          <cell r="M127">
            <v>2</v>
          </cell>
          <cell r="N127">
            <v>2</v>
          </cell>
          <cell r="O127">
            <v>1</v>
          </cell>
          <cell r="P127">
            <v>2</v>
          </cell>
          <cell r="Q127">
            <v>1</v>
          </cell>
          <cell r="R127">
            <v>2</v>
          </cell>
          <cell r="S127">
            <v>2</v>
          </cell>
          <cell r="T127">
            <v>2</v>
          </cell>
          <cell r="U127">
            <v>2</v>
          </cell>
          <cell r="V127">
            <v>1</v>
          </cell>
          <cell r="W127">
            <v>2</v>
          </cell>
          <cell r="X127">
            <v>2</v>
          </cell>
        </row>
        <row r="128">
          <cell r="E128">
            <v>2</v>
          </cell>
          <cell r="F128">
            <v>1</v>
          </cell>
          <cell r="G128">
            <v>1</v>
          </cell>
          <cell r="H128">
            <v>1</v>
          </cell>
          <cell r="I128">
            <v>2</v>
          </cell>
          <cell r="J128">
            <v>1</v>
          </cell>
          <cell r="K128">
            <v>1</v>
          </cell>
          <cell r="L128">
            <v>2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1</v>
          </cell>
          <cell r="U128">
            <v>1</v>
          </cell>
          <cell r="V128">
            <v>1</v>
          </cell>
          <cell r="W128">
            <v>2</v>
          </cell>
          <cell r="X128">
            <v>2</v>
          </cell>
        </row>
        <row r="129">
          <cell r="E129">
            <v>1</v>
          </cell>
          <cell r="F129">
            <v>2</v>
          </cell>
          <cell r="G129">
            <v>1</v>
          </cell>
          <cell r="H129">
            <v>1</v>
          </cell>
          <cell r="I129">
            <v>1</v>
          </cell>
          <cell r="J129">
            <v>2</v>
          </cell>
          <cell r="K129">
            <v>2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1</v>
          </cell>
          <cell r="Q129">
            <v>1</v>
          </cell>
          <cell r="R129">
            <v>2</v>
          </cell>
          <cell r="S129">
            <v>2</v>
          </cell>
          <cell r="T129">
            <v>2</v>
          </cell>
          <cell r="U129">
            <v>1</v>
          </cell>
          <cell r="V129">
            <v>1</v>
          </cell>
          <cell r="W129">
            <v>1</v>
          </cell>
          <cell r="X129">
            <v>2</v>
          </cell>
        </row>
        <row r="130">
          <cell r="E130">
            <v>2</v>
          </cell>
          <cell r="F130">
            <v>2</v>
          </cell>
          <cell r="G130">
            <v>2</v>
          </cell>
          <cell r="H130">
            <v>2</v>
          </cell>
          <cell r="I130">
            <v>1</v>
          </cell>
          <cell r="J130">
            <v>2</v>
          </cell>
          <cell r="K130">
            <v>1</v>
          </cell>
          <cell r="L130">
            <v>2</v>
          </cell>
          <cell r="M130">
            <v>1</v>
          </cell>
          <cell r="N130">
            <v>2</v>
          </cell>
          <cell r="O130">
            <v>1</v>
          </cell>
          <cell r="P130">
            <v>2</v>
          </cell>
          <cell r="Q130">
            <v>1</v>
          </cell>
          <cell r="R130">
            <v>2</v>
          </cell>
          <cell r="S130">
            <v>2</v>
          </cell>
          <cell r="T130">
            <v>1</v>
          </cell>
          <cell r="U130">
            <v>2</v>
          </cell>
          <cell r="V130">
            <v>2</v>
          </cell>
          <cell r="W130">
            <v>1</v>
          </cell>
          <cell r="X130">
            <v>1</v>
          </cell>
        </row>
        <row r="131">
          <cell r="E131">
            <v>2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J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2</v>
          </cell>
          <cell r="P131">
            <v>1</v>
          </cell>
          <cell r="Q131">
            <v>2</v>
          </cell>
          <cell r="R131">
            <v>2</v>
          </cell>
          <cell r="S131">
            <v>2</v>
          </cell>
          <cell r="T131">
            <v>2</v>
          </cell>
          <cell r="U131">
            <v>1</v>
          </cell>
          <cell r="V131">
            <v>1</v>
          </cell>
          <cell r="W131">
            <v>2</v>
          </cell>
          <cell r="X131">
            <v>1</v>
          </cell>
        </row>
        <row r="132">
          <cell r="E132">
            <v>1</v>
          </cell>
          <cell r="F132">
            <v>2</v>
          </cell>
          <cell r="G132">
            <v>2</v>
          </cell>
          <cell r="H132">
            <v>1</v>
          </cell>
          <cell r="I132">
            <v>1</v>
          </cell>
          <cell r="J132">
            <v>2</v>
          </cell>
          <cell r="K132">
            <v>2</v>
          </cell>
          <cell r="L132">
            <v>2</v>
          </cell>
          <cell r="M132">
            <v>2</v>
          </cell>
          <cell r="N132">
            <v>1</v>
          </cell>
          <cell r="O132">
            <v>2</v>
          </cell>
          <cell r="P132">
            <v>2</v>
          </cell>
          <cell r="Q132">
            <v>1</v>
          </cell>
          <cell r="R132">
            <v>2</v>
          </cell>
          <cell r="S132">
            <v>2</v>
          </cell>
          <cell r="T132">
            <v>1</v>
          </cell>
          <cell r="U132">
            <v>1</v>
          </cell>
          <cell r="V132">
            <v>2</v>
          </cell>
          <cell r="W132">
            <v>1</v>
          </cell>
          <cell r="X132">
            <v>2</v>
          </cell>
        </row>
        <row r="133">
          <cell r="E133">
            <v>2</v>
          </cell>
          <cell r="F133">
            <v>2</v>
          </cell>
          <cell r="G133">
            <v>2</v>
          </cell>
          <cell r="H133">
            <v>1</v>
          </cell>
          <cell r="I133">
            <v>1</v>
          </cell>
          <cell r="J133">
            <v>2</v>
          </cell>
          <cell r="K133">
            <v>2</v>
          </cell>
          <cell r="L133">
            <v>1</v>
          </cell>
          <cell r="M133">
            <v>1</v>
          </cell>
          <cell r="N133">
            <v>1</v>
          </cell>
          <cell r="O133">
            <v>2</v>
          </cell>
          <cell r="P133">
            <v>2</v>
          </cell>
          <cell r="Q133">
            <v>1</v>
          </cell>
          <cell r="R133">
            <v>2</v>
          </cell>
          <cell r="S133">
            <v>2</v>
          </cell>
          <cell r="T133">
            <v>1</v>
          </cell>
          <cell r="U133">
            <v>1</v>
          </cell>
          <cell r="V133">
            <v>2</v>
          </cell>
          <cell r="W133">
            <v>2</v>
          </cell>
          <cell r="X133">
            <v>1</v>
          </cell>
        </row>
        <row r="134">
          <cell r="E134">
            <v>1</v>
          </cell>
          <cell r="F134">
            <v>1</v>
          </cell>
          <cell r="G134">
            <v>2</v>
          </cell>
          <cell r="H134">
            <v>1</v>
          </cell>
          <cell r="I134">
            <v>2</v>
          </cell>
          <cell r="J134">
            <v>2</v>
          </cell>
          <cell r="K134">
            <v>1</v>
          </cell>
          <cell r="L134">
            <v>1</v>
          </cell>
          <cell r="M134">
            <v>2</v>
          </cell>
          <cell r="N134">
            <v>1</v>
          </cell>
          <cell r="O134">
            <v>1</v>
          </cell>
          <cell r="P134">
            <v>2</v>
          </cell>
          <cell r="Q134">
            <v>1</v>
          </cell>
          <cell r="R134">
            <v>2</v>
          </cell>
          <cell r="S134">
            <v>1</v>
          </cell>
          <cell r="T134">
            <v>1</v>
          </cell>
          <cell r="U134">
            <v>1</v>
          </cell>
          <cell r="V134">
            <v>1</v>
          </cell>
          <cell r="W134">
            <v>1</v>
          </cell>
          <cell r="X134">
            <v>2</v>
          </cell>
        </row>
        <row r="135">
          <cell r="E135">
            <v>1</v>
          </cell>
          <cell r="F135">
            <v>1</v>
          </cell>
          <cell r="G135">
            <v>2</v>
          </cell>
          <cell r="H135">
            <v>1</v>
          </cell>
          <cell r="I135">
            <v>1</v>
          </cell>
          <cell r="J135">
            <v>1</v>
          </cell>
          <cell r="K135">
            <v>1</v>
          </cell>
          <cell r="L135">
            <v>2</v>
          </cell>
          <cell r="M135">
            <v>1</v>
          </cell>
          <cell r="N135">
            <v>2</v>
          </cell>
          <cell r="O135">
            <v>1</v>
          </cell>
          <cell r="P135">
            <v>2</v>
          </cell>
          <cell r="Q135">
            <v>1</v>
          </cell>
          <cell r="R135">
            <v>1</v>
          </cell>
          <cell r="S135">
            <v>2</v>
          </cell>
          <cell r="T135">
            <v>2</v>
          </cell>
          <cell r="U135">
            <v>2</v>
          </cell>
          <cell r="V135">
            <v>1</v>
          </cell>
          <cell r="W135">
            <v>1</v>
          </cell>
          <cell r="X135">
            <v>2</v>
          </cell>
        </row>
        <row r="136">
          <cell r="E136">
            <v>1</v>
          </cell>
          <cell r="F136">
            <v>1</v>
          </cell>
          <cell r="G136">
            <v>2</v>
          </cell>
          <cell r="H136">
            <v>2</v>
          </cell>
          <cell r="I136">
            <v>1</v>
          </cell>
          <cell r="J136">
            <v>2</v>
          </cell>
          <cell r="K136">
            <v>2</v>
          </cell>
          <cell r="L136">
            <v>2</v>
          </cell>
          <cell r="M136">
            <v>1</v>
          </cell>
          <cell r="N136">
            <v>1</v>
          </cell>
          <cell r="O136">
            <v>2</v>
          </cell>
          <cell r="P136">
            <v>2</v>
          </cell>
          <cell r="Q136">
            <v>1</v>
          </cell>
          <cell r="R136">
            <v>1</v>
          </cell>
          <cell r="S136">
            <v>1</v>
          </cell>
          <cell r="T136">
            <v>2</v>
          </cell>
          <cell r="U136">
            <v>2</v>
          </cell>
          <cell r="V136">
            <v>2</v>
          </cell>
          <cell r="W136">
            <v>2</v>
          </cell>
          <cell r="X136">
            <v>1</v>
          </cell>
        </row>
        <row r="137">
          <cell r="E137">
            <v>1</v>
          </cell>
          <cell r="F137">
            <v>2</v>
          </cell>
          <cell r="G137">
            <v>1</v>
          </cell>
          <cell r="H137">
            <v>2</v>
          </cell>
          <cell r="I137">
            <v>1</v>
          </cell>
          <cell r="J137">
            <v>1</v>
          </cell>
          <cell r="K137">
            <v>2</v>
          </cell>
          <cell r="L137">
            <v>1</v>
          </cell>
          <cell r="M137">
            <v>1</v>
          </cell>
          <cell r="N137">
            <v>2</v>
          </cell>
          <cell r="O137">
            <v>2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2</v>
          </cell>
          <cell r="V137">
            <v>1</v>
          </cell>
          <cell r="W137">
            <v>2</v>
          </cell>
          <cell r="X137">
            <v>1</v>
          </cell>
        </row>
        <row r="138">
          <cell r="E138">
            <v>2</v>
          </cell>
          <cell r="F138">
            <v>1</v>
          </cell>
          <cell r="G138">
            <v>1</v>
          </cell>
          <cell r="H138">
            <v>2</v>
          </cell>
          <cell r="I138">
            <v>1</v>
          </cell>
          <cell r="J138">
            <v>1</v>
          </cell>
          <cell r="K138">
            <v>1</v>
          </cell>
          <cell r="L138">
            <v>2</v>
          </cell>
          <cell r="M138">
            <v>1</v>
          </cell>
          <cell r="N138">
            <v>1</v>
          </cell>
          <cell r="O138">
            <v>2</v>
          </cell>
          <cell r="P138">
            <v>2</v>
          </cell>
          <cell r="Q138">
            <v>1</v>
          </cell>
          <cell r="R138">
            <v>1</v>
          </cell>
          <cell r="S138">
            <v>1</v>
          </cell>
          <cell r="T138">
            <v>2</v>
          </cell>
          <cell r="U138">
            <v>2</v>
          </cell>
          <cell r="V138">
            <v>1</v>
          </cell>
          <cell r="W138">
            <v>1</v>
          </cell>
          <cell r="X138">
            <v>2</v>
          </cell>
        </row>
        <row r="139">
          <cell r="E139">
            <v>1</v>
          </cell>
          <cell r="F139">
            <v>1</v>
          </cell>
          <cell r="G139">
            <v>2</v>
          </cell>
          <cell r="H139">
            <v>1</v>
          </cell>
          <cell r="I139">
            <v>2</v>
          </cell>
          <cell r="J139">
            <v>1</v>
          </cell>
          <cell r="K139">
            <v>2</v>
          </cell>
          <cell r="L139">
            <v>2</v>
          </cell>
          <cell r="M139">
            <v>2</v>
          </cell>
          <cell r="N139">
            <v>1</v>
          </cell>
          <cell r="O139">
            <v>2</v>
          </cell>
          <cell r="P139">
            <v>1</v>
          </cell>
          <cell r="Q139">
            <v>2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V139">
            <v>1</v>
          </cell>
          <cell r="W139">
            <v>1</v>
          </cell>
          <cell r="X139">
            <v>2</v>
          </cell>
        </row>
        <row r="140">
          <cell r="E140">
            <v>1</v>
          </cell>
          <cell r="F140">
            <v>1</v>
          </cell>
          <cell r="G140">
            <v>2</v>
          </cell>
          <cell r="H140">
            <v>1</v>
          </cell>
          <cell r="I140">
            <v>1</v>
          </cell>
          <cell r="J140">
            <v>1</v>
          </cell>
          <cell r="K140">
            <v>2</v>
          </cell>
          <cell r="L140">
            <v>1</v>
          </cell>
          <cell r="M140">
            <v>1</v>
          </cell>
          <cell r="N140">
            <v>2</v>
          </cell>
          <cell r="O140">
            <v>1</v>
          </cell>
          <cell r="P140">
            <v>2</v>
          </cell>
          <cell r="Q140">
            <v>2</v>
          </cell>
          <cell r="R140">
            <v>2</v>
          </cell>
          <cell r="S140">
            <v>2</v>
          </cell>
          <cell r="T140">
            <v>1</v>
          </cell>
          <cell r="U140">
            <v>2</v>
          </cell>
          <cell r="V140">
            <v>2</v>
          </cell>
          <cell r="W140">
            <v>1</v>
          </cell>
          <cell r="X140">
            <v>1</v>
          </cell>
        </row>
        <row r="141">
          <cell r="E141">
            <v>2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J141">
            <v>1</v>
          </cell>
          <cell r="K141">
            <v>1</v>
          </cell>
          <cell r="L141">
            <v>1</v>
          </cell>
          <cell r="M141">
            <v>2</v>
          </cell>
          <cell r="N141">
            <v>1</v>
          </cell>
          <cell r="O141">
            <v>2</v>
          </cell>
          <cell r="P141">
            <v>1</v>
          </cell>
          <cell r="Q141">
            <v>1</v>
          </cell>
          <cell r="R141">
            <v>1</v>
          </cell>
          <cell r="S141">
            <v>2</v>
          </cell>
          <cell r="T141">
            <v>1</v>
          </cell>
          <cell r="U141">
            <v>2</v>
          </cell>
          <cell r="V141">
            <v>1</v>
          </cell>
          <cell r="W141">
            <v>1</v>
          </cell>
          <cell r="X141">
            <v>2</v>
          </cell>
        </row>
        <row r="142">
          <cell r="E142">
            <v>2</v>
          </cell>
          <cell r="F142">
            <v>1</v>
          </cell>
          <cell r="G142">
            <v>1</v>
          </cell>
          <cell r="H142">
            <v>2</v>
          </cell>
          <cell r="I142">
            <v>1</v>
          </cell>
          <cell r="J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2</v>
          </cell>
          <cell r="P142">
            <v>2</v>
          </cell>
          <cell r="Q142">
            <v>2</v>
          </cell>
          <cell r="R142">
            <v>1</v>
          </cell>
          <cell r="S142">
            <v>1</v>
          </cell>
          <cell r="T142">
            <v>1</v>
          </cell>
          <cell r="U142">
            <v>2</v>
          </cell>
          <cell r="V142">
            <v>2</v>
          </cell>
          <cell r="W142">
            <v>2</v>
          </cell>
          <cell r="X142">
            <v>2</v>
          </cell>
        </row>
        <row r="143">
          <cell r="E143">
            <v>1</v>
          </cell>
          <cell r="F143">
            <v>2</v>
          </cell>
          <cell r="G143">
            <v>2</v>
          </cell>
          <cell r="H143">
            <v>1</v>
          </cell>
          <cell r="I143">
            <v>2</v>
          </cell>
          <cell r="J143">
            <v>2</v>
          </cell>
          <cell r="K143">
            <v>2</v>
          </cell>
          <cell r="L143">
            <v>2</v>
          </cell>
          <cell r="M143">
            <v>2</v>
          </cell>
          <cell r="N143">
            <v>2</v>
          </cell>
          <cell r="O143">
            <v>1</v>
          </cell>
          <cell r="P143">
            <v>1</v>
          </cell>
          <cell r="Q143">
            <v>1</v>
          </cell>
          <cell r="R143">
            <v>2</v>
          </cell>
          <cell r="S143">
            <v>2</v>
          </cell>
          <cell r="T143">
            <v>2</v>
          </cell>
          <cell r="U143">
            <v>1</v>
          </cell>
          <cell r="V143">
            <v>1</v>
          </cell>
          <cell r="W143">
            <v>1</v>
          </cell>
          <cell r="X143">
            <v>1</v>
          </cell>
        </row>
        <row r="144">
          <cell r="E144">
            <v>2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J144">
            <v>1</v>
          </cell>
          <cell r="K144">
            <v>2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2</v>
          </cell>
          <cell r="Q144">
            <v>1</v>
          </cell>
          <cell r="R144">
            <v>2</v>
          </cell>
          <cell r="S144">
            <v>1</v>
          </cell>
          <cell r="T144">
            <v>2</v>
          </cell>
          <cell r="U144">
            <v>2</v>
          </cell>
          <cell r="V144">
            <v>1</v>
          </cell>
          <cell r="W144">
            <v>2</v>
          </cell>
          <cell r="X144">
            <v>1</v>
          </cell>
        </row>
        <row r="145">
          <cell r="E145">
            <v>1</v>
          </cell>
          <cell r="F145">
            <v>1</v>
          </cell>
          <cell r="G145">
            <v>2</v>
          </cell>
          <cell r="H145">
            <v>1</v>
          </cell>
          <cell r="I145">
            <v>1</v>
          </cell>
          <cell r="J145">
            <v>2</v>
          </cell>
          <cell r="K145">
            <v>2</v>
          </cell>
          <cell r="L145">
            <v>2</v>
          </cell>
          <cell r="M145">
            <v>2</v>
          </cell>
          <cell r="N145">
            <v>1</v>
          </cell>
          <cell r="O145">
            <v>2</v>
          </cell>
          <cell r="P145">
            <v>2</v>
          </cell>
          <cell r="Q145">
            <v>2</v>
          </cell>
          <cell r="R145">
            <v>2</v>
          </cell>
          <cell r="S145">
            <v>2</v>
          </cell>
          <cell r="T145">
            <v>2</v>
          </cell>
          <cell r="U145">
            <v>1</v>
          </cell>
          <cell r="V145">
            <v>2</v>
          </cell>
          <cell r="W145">
            <v>2</v>
          </cell>
          <cell r="X145">
            <v>1</v>
          </cell>
        </row>
        <row r="146"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2</v>
          </cell>
          <cell r="J146">
            <v>1</v>
          </cell>
          <cell r="K146">
            <v>2</v>
          </cell>
          <cell r="L146">
            <v>1</v>
          </cell>
          <cell r="M146">
            <v>1</v>
          </cell>
          <cell r="N146">
            <v>2</v>
          </cell>
          <cell r="O146">
            <v>1</v>
          </cell>
          <cell r="P146">
            <v>2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2</v>
          </cell>
          <cell r="V146">
            <v>1</v>
          </cell>
          <cell r="W146">
            <v>1</v>
          </cell>
          <cell r="X146">
            <v>1</v>
          </cell>
        </row>
        <row r="147">
          <cell r="E147">
            <v>1</v>
          </cell>
          <cell r="F147">
            <v>2</v>
          </cell>
          <cell r="G147">
            <v>1</v>
          </cell>
          <cell r="H147">
            <v>1</v>
          </cell>
          <cell r="I147">
            <v>1</v>
          </cell>
          <cell r="J147">
            <v>2</v>
          </cell>
          <cell r="K147">
            <v>1</v>
          </cell>
          <cell r="L147">
            <v>1</v>
          </cell>
          <cell r="M147">
            <v>2</v>
          </cell>
          <cell r="N147">
            <v>2</v>
          </cell>
          <cell r="O147">
            <v>1</v>
          </cell>
          <cell r="P147">
            <v>1</v>
          </cell>
          <cell r="Q147">
            <v>1</v>
          </cell>
          <cell r="R147">
            <v>1</v>
          </cell>
          <cell r="S147">
            <v>2</v>
          </cell>
          <cell r="T147">
            <v>2</v>
          </cell>
          <cell r="U147">
            <v>1</v>
          </cell>
          <cell r="V147">
            <v>1</v>
          </cell>
          <cell r="W147">
            <v>1</v>
          </cell>
          <cell r="X147">
            <v>1</v>
          </cell>
        </row>
        <row r="148">
          <cell r="E148">
            <v>1</v>
          </cell>
          <cell r="F148">
            <v>2</v>
          </cell>
          <cell r="G148">
            <v>2</v>
          </cell>
          <cell r="H148">
            <v>1</v>
          </cell>
          <cell r="I148">
            <v>2</v>
          </cell>
          <cell r="J148">
            <v>2</v>
          </cell>
          <cell r="K148">
            <v>2</v>
          </cell>
          <cell r="L148">
            <v>1</v>
          </cell>
          <cell r="M148">
            <v>2</v>
          </cell>
          <cell r="N148">
            <v>1</v>
          </cell>
          <cell r="O148">
            <v>2</v>
          </cell>
          <cell r="P148">
            <v>2</v>
          </cell>
          <cell r="Q148">
            <v>2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V148">
            <v>2</v>
          </cell>
          <cell r="W148">
            <v>1</v>
          </cell>
          <cell r="X148">
            <v>1</v>
          </cell>
        </row>
        <row r="149">
          <cell r="E149">
            <v>2</v>
          </cell>
          <cell r="F149">
            <v>1</v>
          </cell>
          <cell r="G149">
            <v>1</v>
          </cell>
          <cell r="H149">
            <v>2</v>
          </cell>
          <cell r="I149">
            <v>2</v>
          </cell>
          <cell r="J149">
            <v>1</v>
          </cell>
          <cell r="K149">
            <v>2</v>
          </cell>
          <cell r="L149">
            <v>1</v>
          </cell>
          <cell r="M149">
            <v>1</v>
          </cell>
          <cell r="N149">
            <v>2</v>
          </cell>
          <cell r="O149">
            <v>1</v>
          </cell>
          <cell r="P149">
            <v>1</v>
          </cell>
          <cell r="Q149">
            <v>1</v>
          </cell>
          <cell r="R149">
            <v>2</v>
          </cell>
          <cell r="S149">
            <v>1</v>
          </cell>
          <cell r="T149">
            <v>2</v>
          </cell>
          <cell r="U149">
            <v>2</v>
          </cell>
          <cell r="V149">
            <v>1</v>
          </cell>
          <cell r="W149">
            <v>2</v>
          </cell>
          <cell r="X149">
            <v>1</v>
          </cell>
        </row>
        <row r="150">
          <cell r="E150">
            <v>1</v>
          </cell>
          <cell r="F150">
            <v>1</v>
          </cell>
          <cell r="G150">
            <v>1</v>
          </cell>
          <cell r="H150">
            <v>2</v>
          </cell>
          <cell r="I150">
            <v>1</v>
          </cell>
          <cell r="J150">
            <v>1</v>
          </cell>
          <cell r="K150">
            <v>2</v>
          </cell>
          <cell r="L150">
            <v>1</v>
          </cell>
          <cell r="M150">
            <v>2</v>
          </cell>
          <cell r="N150">
            <v>1</v>
          </cell>
          <cell r="O150">
            <v>1</v>
          </cell>
          <cell r="P150">
            <v>1</v>
          </cell>
          <cell r="Q150">
            <v>1</v>
          </cell>
          <cell r="R150">
            <v>2</v>
          </cell>
          <cell r="S150">
            <v>2</v>
          </cell>
          <cell r="T150">
            <v>2</v>
          </cell>
          <cell r="U150">
            <v>2</v>
          </cell>
          <cell r="V150">
            <v>2</v>
          </cell>
          <cell r="W150">
            <v>2</v>
          </cell>
          <cell r="X150">
            <v>1</v>
          </cell>
        </row>
        <row r="151">
          <cell r="E151">
            <v>1</v>
          </cell>
          <cell r="F151">
            <v>1</v>
          </cell>
          <cell r="G151">
            <v>2</v>
          </cell>
          <cell r="H151">
            <v>1</v>
          </cell>
          <cell r="I151">
            <v>1</v>
          </cell>
          <cell r="J151">
            <v>1</v>
          </cell>
          <cell r="K151">
            <v>2</v>
          </cell>
          <cell r="L151">
            <v>2</v>
          </cell>
          <cell r="M151">
            <v>2</v>
          </cell>
          <cell r="N151">
            <v>2</v>
          </cell>
          <cell r="O151">
            <v>2</v>
          </cell>
          <cell r="P151">
            <v>1</v>
          </cell>
          <cell r="Q151">
            <v>2</v>
          </cell>
          <cell r="R151">
            <v>2</v>
          </cell>
          <cell r="S151">
            <v>2</v>
          </cell>
          <cell r="T151">
            <v>1</v>
          </cell>
          <cell r="U151">
            <v>1</v>
          </cell>
          <cell r="V151">
            <v>1</v>
          </cell>
          <cell r="W151">
            <v>1</v>
          </cell>
          <cell r="X151">
            <v>1</v>
          </cell>
        </row>
        <row r="152">
          <cell r="E152">
            <v>1</v>
          </cell>
          <cell r="F152">
            <v>1</v>
          </cell>
          <cell r="G152">
            <v>1</v>
          </cell>
          <cell r="H152">
            <v>2</v>
          </cell>
          <cell r="I152">
            <v>1</v>
          </cell>
          <cell r="J152">
            <v>1</v>
          </cell>
          <cell r="K152">
            <v>2</v>
          </cell>
          <cell r="L152">
            <v>1</v>
          </cell>
          <cell r="M152">
            <v>1</v>
          </cell>
          <cell r="N152">
            <v>2</v>
          </cell>
          <cell r="O152">
            <v>1</v>
          </cell>
          <cell r="P152">
            <v>1</v>
          </cell>
          <cell r="Q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2</v>
          </cell>
          <cell r="V152">
            <v>1</v>
          </cell>
          <cell r="W152">
            <v>1</v>
          </cell>
          <cell r="X152">
            <v>2</v>
          </cell>
        </row>
        <row r="153">
          <cell r="E153">
            <v>2</v>
          </cell>
          <cell r="F153">
            <v>2</v>
          </cell>
          <cell r="G153">
            <v>1</v>
          </cell>
          <cell r="H153">
            <v>2</v>
          </cell>
          <cell r="I153">
            <v>1</v>
          </cell>
          <cell r="J153">
            <v>1</v>
          </cell>
          <cell r="K153">
            <v>1</v>
          </cell>
          <cell r="L153">
            <v>2</v>
          </cell>
          <cell r="M153">
            <v>1</v>
          </cell>
          <cell r="N153">
            <v>1</v>
          </cell>
          <cell r="O153">
            <v>2</v>
          </cell>
          <cell r="P153">
            <v>2</v>
          </cell>
          <cell r="Q153">
            <v>1</v>
          </cell>
          <cell r="R153">
            <v>1</v>
          </cell>
          <cell r="S153">
            <v>2</v>
          </cell>
          <cell r="T153">
            <v>2</v>
          </cell>
          <cell r="U153">
            <v>2</v>
          </cell>
          <cell r="V153">
            <v>2</v>
          </cell>
          <cell r="W153">
            <v>1</v>
          </cell>
          <cell r="X153">
            <v>2</v>
          </cell>
        </row>
        <row r="154"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J154">
            <v>1</v>
          </cell>
          <cell r="K154">
            <v>1</v>
          </cell>
          <cell r="L154">
            <v>2</v>
          </cell>
          <cell r="M154">
            <v>1</v>
          </cell>
          <cell r="N154">
            <v>1</v>
          </cell>
          <cell r="O154">
            <v>1</v>
          </cell>
          <cell r="P154">
            <v>1</v>
          </cell>
          <cell r="Q154">
            <v>1</v>
          </cell>
          <cell r="R154">
            <v>2</v>
          </cell>
          <cell r="S154">
            <v>2</v>
          </cell>
          <cell r="T154">
            <v>1</v>
          </cell>
          <cell r="U154">
            <v>1</v>
          </cell>
          <cell r="V154">
            <v>1</v>
          </cell>
          <cell r="W154">
            <v>1</v>
          </cell>
          <cell r="X154">
            <v>2</v>
          </cell>
        </row>
        <row r="155">
          <cell r="E155">
            <v>2</v>
          </cell>
          <cell r="F155">
            <v>1</v>
          </cell>
          <cell r="G155">
            <v>1</v>
          </cell>
          <cell r="H155">
            <v>2</v>
          </cell>
          <cell r="I155">
            <v>1</v>
          </cell>
          <cell r="J155">
            <v>2</v>
          </cell>
          <cell r="K155">
            <v>1</v>
          </cell>
          <cell r="L155">
            <v>1</v>
          </cell>
          <cell r="M155">
            <v>1</v>
          </cell>
          <cell r="N155">
            <v>2</v>
          </cell>
          <cell r="O155">
            <v>1</v>
          </cell>
          <cell r="P155">
            <v>2</v>
          </cell>
          <cell r="Q155">
            <v>2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2</v>
          </cell>
        </row>
        <row r="156">
          <cell r="E156">
            <v>1</v>
          </cell>
          <cell r="F156">
            <v>2</v>
          </cell>
          <cell r="G156">
            <v>2</v>
          </cell>
          <cell r="H156">
            <v>2</v>
          </cell>
          <cell r="I156">
            <v>2</v>
          </cell>
          <cell r="J156">
            <v>1</v>
          </cell>
          <cell r="K156">
            <v>1</v>
          </cell>
          <cell r="L156">
            <v>1</v>
          </cell>
          <cell r="M156">
            <v>2</v>
          </cell>
          <cell r="N156">
            <v>2</v>
          </cell>
          <cell r="O156">
            <v>1</v>
          </cell>
          <cell r="P156">
            <v>1</v>
          </cell>
          <cell r="Q156">
            <v>1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V156">
            <v>2</v>
          </cell>
          <cell r="W156">
            <v>2</v>
          </cell>
          <cell r="X156">
            <v>2</v>
          </cell>
        </row>
        <row r="157">
          <cell r="E157">
            <v>1</v>
          </cell>
          <cell r="F157">
            <v>2</v>
          </cell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2</v>
          </cell>
          <cell r="L157">
            <v>1</v>
          </cell>
          <cell r="M157">
            <v>2</v>
          </cell>
          <cell r="N157">
            <v>2</v>
          </cell>
          <cell r="O157">
            <v>2</v>
          </cell>
          <cell r="P157">
            <v>2</v>
          </cell>
          <cell r="Q157">
            <v>1</v>
          </cell>
          <cell r="R157">
            <v>2</v>
          </cell>
          <cell r="S157">
            <v>2</v>
          </cell>
          <cell r="T157">
            <v>2</v>
          </cell>
          <cell r="U157">
            <v>2</v>
          </cell>
          <cell r="V157">
            <v>1</v>
          </cell>
          <cell r="W157">
            <v>2</v>
          </cell>
          <cell r="X157">
            <v>1</v>
          </cell>
        </row>
        <row r="158">
          <cell r="E158">
            <v>2</v>
          </cell>
          <cell r="F158">
            <v>2</v>
          </cell>
          <cell r="G158">
            <v>1</v>
          </cell>
          <cell r="H158">
            <v>2</v>
          </cell>
          <cell r="I158">
            <v>2</v>
          </cell>
          <cell r="J158">
            <v>1</v>
          </cell>
          <cell r="K158">
            <v>1</v>
          </cell>
          <cell r="L158">
            <v>2</v>
          </cell>
          <cell r="M158">
            <v>1</v>
          </cell>
          <cell r="N158">
            <v>2</v>
          </cell>
          <cell r="O158">
            <v>1</v>
          </cell>
          <cell r="P158">
            <v>2</v>
          </cell>
          <cell r="Q158">
            <v>2</v>
          </cell>
          <cell r="R158">
            <v>2</v>
          </cell>
          <cell r="S158">
            <v>1</v>
          </cell>
          <cell r="T158">
            <v>1</v>
          </cell>
          <cell r="U158">
            <v>1</v>
          </cell>
          <cell r="V158">
            <v>2</v>
          </cell>
          <cell r="W158">
            <v>1</v>
          </cell>
          <cell r="X158">
            <v>1</v>
          </cell>
        </row>
        <row r="159"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J159">
            <v>2</v>
          </cell>
          <cell r="K159">
            <v>2</v>
          </cell>
          <cell r="L159">
            <v>1</v>
          </cell>
          <cell r="M159">
            <v>2</v>
          </cell>
          <cell r="N159">
            <v>1</v>
          </cell>
          <cell r="O159">
            <v>2</v>
          </cell>
          <cell r="P159">
            <v>1</v>
          </cell>
          <cell r="Q159">
            <v>2</v>
          </cell>
          <cell r="R159">
            <v>1</v>
          </cell>
          <cell r="S159">
            <v>1</v>
          </cell>
          <cell r="T159">
            <v>2</v>
          </cell>
          <cell r="U159">
            <v>2</v>
          </cell>
          <cell r="V159">
            <v>1</v>
          </cell>
          <cell r="W159">
            <v>1</v>
          </cell>
          <cell r="X159">
            <v>1</v>
          </cell>
        </row>
        <row r="160">
          <cell r="E160">
            <v>2</v>
          </cell>
          <cell r="F160">
            <v>2</v>
          </cell>
          <cell r="G160">
            <v>2</v>
          </cell>
          <cell r="H160">
            <v>2</v>
          </cell>
          <cell r="I160">
            <v>2</v>
          </cell>
          <cell r="J160">
            <v>2</v>
          </cell>
          <cell r="K160">
            <v>1</v>
          </cell>
          <cell r="L160">
            <v>2</v>
          </cell>
          <cell r="M160">
            <v>1</v>
          </cell>
          <cell r="N160">
            <v>1</v>
          </cell>
          <cell r="O160">
            <v>2</v>
          </cell>
          <cell r="P160">
            <v>2</v>
          </cell>
          <cell r="Q160">
            <v>1</v>
          </cell>
          <cell r="R160">
            <v>2</v>
          </cell>
          <cell r="S160">
            <v>1</v>
          </cell>
          <cell r="T160">
            <v>2</v>
          </cell>
          <cell r="U160">
            <v>2</v>
          </cell>
          <cell r="V160">
            <v>2</v>
          </cell>
          <cell r="W160">
            <v>2</v>
          </cell>
          <cell r="X160">
            <v>2</v>
          </cell>
        </row>
        <row r="161">
          <cell r="E161">
            <v>1</v>
          </cell>
          <cell r="F161">
            <v>2</v>
          </cell>
          <cell r="G161">
            <v>2</v>
          </cell>
          <cell r="H161">
            <v>1</v>
          </cell>
          <cell r="I161">
            <v>1</v>
          </cell>
          <cell r="J161">
            <v>1</v>
          </cell>
          <cell r="K161">
            <v>2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Q161">
            <v>1</v>
          </cell>
          <cell r="R161">
            <v>2</v>
          </cell>
          <cell r="S161">
            <v>2</v>
          </cell>
          <cell r="T161">
            <v>1</v>
          </cell>
          <cell r="U161">
            <v>2</v>
          </cell>
          <cell r="V161">
            <v>1</v>
          </cell>
          <cell r="W161">
            <v>1</v>
          </cell>
          <cell r="X161">
            <v>1</v>
          </cell>
        </row>
        <row r="162">
          <cell r="E162">
            <v>1</v>
          </cell>
          <cell r="F162">
            <v>2</v>
          </cell>
          <cell r="G162">
            <v>2</v>
          </cell>
          <cell r="H162">
            <v>2</v>
          </cell>
          <cell r="I162">
            <v>2</v>
          </cell>
          <cell r="J162">
            <v>2</v>
          </cell>
          <cell r="K162">
            <v>1</v>
          </cell>
          <cell r="L162">
            <v>2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Q162">
            <v>2</v>
          </cell>
          <cell r="R162">
            <v>1</v>
          </cell>
          <cell r="S162">
            <v>2</v>
          </cell>
          <cell r="T162">
            <v>1</v>
          </cell>
          <cell r="U162">
            <v>1</v>
          </cell>
          <cell r="V162">
            <v>2</v>
          </cell>
          <cell r="W162">
            <v>1</v>
          </cell>
          <cell r="X162">
            <v>2</v>
          </cell>
        </row>
        <row r="163"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1</v>
          </cell>
          <cell r="N163">
            <v>1</v>
          </cell>
          <cell r="O163">
            <v>2</v>
          </cell>
          <cell r="P163">
            <v>1</v>
          </cell>
          <cell r="Q163">
            <v>2</v>
          </cell>
          <cell r="R163">
            <v>2</v>
          </cell>
          <cell r="S163">
            <v>1</v>
          </cell>
          <cell r="T163">
            <v>1</v>
          </cell>
          <cell r="U163">
            <v>1</v>
          </cell>
          <cell r="V163">
            <v>1</v>
          </cell>
          <cell r="W163">
            <v>1</v>
          </cell>
          <cell r="X163">
            <v>2</v>
          </cell>
        </row>
        <row r="164">
          <cell r="E164">
            <v>2</v>
          </cell>
          <cell r="F164">
            <v>2</v>
          </cell>
          <cell r="G164">
            <v>2</v>
          </cell>
          <cell r="H164">
            <v>2</v>
          </cell>
          <cell r="I164">
            <v>1</v>
          </cell>
          <cell r="J164">
            <v>2</v>
          </cell>
          <cell r="K164">
            <v>1</v>
          </cell>
          <cell r="L164">
            <v>2</v>
          </cell>
          <cell r="M164">
            <v>2</v>
          </cell>
          <cell r="N164">
            <v>1</v>
          </cell>
          <cell r="O164">
            <v>1</v>
          </cell>
          <cell r="P164">
            <v>1</v>
          </cell>
          <cell r="Q164">
            <v>1</v>
          </cell>
          <cell r="R164">
            <v>2</v>
          </cell>
          <cell r="S164">
            <v>2</v>
          </cell>
          <cell r="T164">
            <v>1</v>
          </cell>
          <cell r="U164">
            <v>2</v>
          </cell>
          <cell r="V164">
            <v>1</v>
          </cell>
          <cell r="W164">
            <v>1</v>
          </cell>
          <cell r="X164">
            <v>1</v>
          </cell>
        </row>
        <row r="165">
          <cell r="E165">
            <v>1</v>
          </cell>
          <cell r="F165">
            <v>2</v>
          </cell>
          <cell r="G165">
            <v>2</v>
          </cell>
          <cell r="H165">
            <v>2</v>
          </cell>
          <cell r="I165">
            <v>1</v>
          </cell>
          <cell r="J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2</v>
          </cell>
          <cell r="P165">
            <v>2</v>
          </cell>
          <cell r="Q165">
            <v>1</v>
          </cell>
          <cell r="R165">
            <v>2</v>
          </cell>
          <cell r="S165">
            <v>1</v>
          </cell>
          <cell r="T165">
            <v>1</v>
          </cell>
          <cell r="U165">
            <v>2</v>
          </cell>
          <cell r="V165">
            <v>2</v>
          </cell>
          <cell r="W165">
            <v>1</v>
          </cell>
          <cell r="X165">
            <v>1</v>
          </cell>
        </row>
        <row r="166"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2</v>
          </cell>
          <cell r="J166">
            <v>1</v>
          </cell>
          <cell r="K166">
            <v>2</v>
          </cell>
          <cell r="L166">
            <v>2</v>
          </cell>
          <cell r="M166">
            <v>2</v>
          </cell>
          <cell r="N166">
            <v>1</v>
          </cell>
          <cell r="O166">
            <v>2</v>
          </cell>
          <cell r="P166">
            <v>2</v>
          </cell>
          <cell r="Q166">
            <v>1</v>
          </cell>
          <cell r="R166">
            <v>1</v>
          </cell>
          <cell r="S166">
            <v>2</v>
          </cell>
          <cell r="T166">
            <v>1</v>
          </cell>
          <cell r="U166">
            <v>2</v>
          </cell>
          <cell r="V166">
            <v>2</v>
          </cell>
          <cell r="W166">
            <v>2</v>
          </cell>
          <cell r="X166">
            <v>2</v>
          </cell>
        </row>
        <row r="167">
          <cell r="E167">
            <v>1</v>
          </cell>
          <cell r="F167">
            <v>2</v>
          </cell>
          <cell r="G167">
            <v>1</v>
          </cell>
          <cell r="H167">
            <v>2</v>
          </cell>
          <cell r="I167">
            <v>2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O167">
            <v>1</v>
          </cell>
          <cell r="P167">
            <v>1</v>
          </cell>
          <cell r="Q167">
            <v>2</v>
          </cell>
          <cell r="R167">
            <v>1</v>
          </cell>
          <cell r="S167">
            <v>2</v>
          </cell>
          <cell r="T167">
            <v>2</v>
          </cell>
          <cell r="U167">
            <v>1</v>
          </cell>
          <cell r="V167">
            <v>2</v>
          </cell>
          <cell r="W167">
            <v>1</v>
          </cell>
          <cell r="X167">
            <v>2</v>
          </cell>
        </row>
        <row r="168">
          <cell r="E168">
            <v>2</v>
          </cell>
          <cell r="F168">
            <v>1</v>
          </cell>
          <cell r="G168">
            <v>2</v>
          </cell>
          <cell r="H168">
            <v>2</v>
          </cell>
          <cell r="I168">
            <v>2</v>
          </cell>
          <cell r="J168">
            <v>1</v>
          </cell>
          <cell r="K168">
            <v>2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2</v>
          </cell>
          <cell r="Q168">
            <v>2</v>
          </cell>
          <cell r="R168">
            <v>2</v>
          </cell>
          <cell r="S168">
            <v>1</v>
          </cell>
          <cell r="T168">
            <v>2</v>
          </cell>
          <cell r="U168">
            <v>1</v>
          </cell>
          <cell r="V168">
            <v>2</v>
          </cell>
          <cell r="W168">
            <v>1</v>
          </cell>
          <cell r="X168">
            <v>2</v>
          </cell>
        </row>
        <row r="169">
          <cell r="E169">
            <v>1</v>
          </cell>
          <cell r="F169">
            <v>2</v>
          </cell>
          <cell r="G169">
            <v>1</v>
          </cell>
          <cell r="H169">
            <v>2</v>
          </cell>
          <cell r="I169">
            <v>2</v>
          </cell>
          <cell r="J169">
            <v>1</v>
          </cell>
          <cell r="K169">
            <v>1</v>
          </cell>
          <cell r="L169">
            <v>2</v>
          </cell>
          <cell r="M169">
            <v>1</v>
          </cell>
          <cell r="N169">
            <v>2</v>
          </cell>
          <cell r="O169">
            <v>1</v>
          </cell>
          <cell r="P169">
            <v>1</v>
          </cell>
          <cell r="Q169">
            <v>1</v>
          </cell>
          <cell r="R169">
            <v>2</v>
          </cell>
          <cell r="S169">
            <v>2</v>
          </cell>
          <cell r="T169">
            <v>1</v>
          </cell>
          <cell r="U169">
            <v>1</v>
          </cell>
          <cell r="V169">
            <v>1</v>
          </cell>
          <cell r="W169">
            <v>1</v>
          </cell>
          <cell r="X169">
            <v>1</v>
          </cell>
        </row>
        <row r="170">
          <cell r="E170">
            <v>2</v>
          </cell>
          <cell r="F170">
            <v>2</v>
          </cell>
          <cell r="G170">
            <v>2</v>
          </cell>
          <cell r="H170">
            <v>1</v>
          </cell>
          <cell r="I170">
            <v>2</v>
          </cell>
          <cell r="J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2</v>
          </cell>
          <cell r="Q170">
            <v>1</v>
          </cell>
          <cell r="R170">
            <v>1</v>
          </cell>
          <cell r="S170">
            <v>2</v>
          </cell>
          <cell r="T170">
            <v>2</v>
          </cell>
          <cell r="U170">
            <v>2</v>
          </cell>
          <cell r="V170">
            <v>2</v>
          </cell>
          <cell r="W170">
            <v>2</v>
          </cell>
          <cell r="X170">
            <v>1</v>
          </cell>
        </row>
        <row r="171">
          <cell r="E171">
            <v>1</v>
          </cell>
          <cell r="F171">
            <v>1</v>
          </cell>
          <cell r="G171">
            <v>1</v>
          </cell>
          <cell r="H171">
            <v>1</v>
          </cell>
          <cell r="I171">
            <v>2</v>
          </cell>
          <cell r="J171">
            <v>1</v>
          </cell>
          <cell r="K171">
            <v>1</v>
          </cell>
          <cell r="L171">
            <v>1</v>
          </cell>
          <cell r="M171">
            <v>1</v>
          </cell>
          <cell r="N171">
            <v>2</v>
          </cell>
          <cell r="O171">
            <v>1</v>
          </cell>
          <cell r="P171">
            <v>2</v>
          </cell>
          <cell r="Q171">
            <v>1</v>
          </cell>
          <cell r="R171">
            <v>2</v>
          </cell>
          <cell r="S171">
            <v>2</v>
          </cell>
          <cell r="T171">
            <v>1</v>
          </cell>
          <cell r="U171">
            <v>2</v>
          </cell>
          <cell r="V171">
            <v>2</v>
          </cell>
          <cell r="W171">
            <v>1</v>
          </cell>
          <cell r="X171">
            <v>1</v>
          </cell>
        </row>
        <row r="172">
          <cell r="E172">
            <v>2</v>
          </cell>
          <cell r="F172">
            <v>2</v>
          </cell>
          <cell r="G172">
            <v>1</v>
          </cell>
          <cell r="H172">
            <v>2</v>
          </cell>
          <cell r="I172">
            <v>1</v>
          </cell>
          <cell r="J172">
            <v>1</v>
          </cell>
          <cell r="K172">
            <v>2</v>
          </cell>
          <cell r="L172">
            <v>1</v>
          </cell>
          <cell r="M172">
            <v>1</v>
          </cell>
          <cell r="N172">
            <v>1</v>
          </cell>
          <cell r="O172">
            <v>2</v>
          </cell>
          <cell r="P172">
            <v>2</v>
          </cell>
          <cell r="Q172">
            <v>2</v>
          </cell>
          <cell r="R172">
            <v>1</v>
          </cell>
          <cell r="S172">
            <v>2</v>
          </cell>
          <cell r="T172">
            <v>1</v>
          </cell>
          <cell r="U172">
            <v>2</v>
          </cell>
          <cell r="V172">
            <v>2</v>
          </cell>
          <cell r="W172">
            <v>1</v>
          </cell>
          <cell r="X172">
            <v>1</v>
          </cell>
        </row>
        <row r="173">
          <cell r="E173">
            <v>2</v>
          </cell>
          <cell r="F173">
            <v>2</v>
          </cell>
          <cell r="G173">
            <v>1</v>
          </cell>
          <cell r="H173">
            <v>2</v>
          </cell>
          <cell r="I173">
            <v>1</v>
          </cell>
          <cell r="J173">
            <v>1</v>
          </cell>
          <cell r="K173">
            <v>1</v>
          </cell>
          <cell r="L173">
            <v>2</v>
          </cell>
          <cell r="M173">
            <v>1</v>
          </cell>
          <cell r="N173">
            <v>2</v>
          </cell>
          <cell r="O173">
            <v>2</v>
          </cell>
          <cell r="P173">
            <v>1</v>
          </cell>
          <cell r="Q173">
            <v>2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V173">
            <v>2</v>
          </cell>
          <cell r="W173">
            <v>1</v>
          </cell>
          <cell r="X173">
            <v>1</v>
          </cell>
        </row>
        <row r="174">
          <cell r="E174">
            <v>2</v>
          </cell>
          <cell r="F174">
            <v>1</v>
          </cell>
          <cell r="G174">
            <v>1</v>
          </cell>
          <cell r="H174">
            <v>2</v>
          </cell>
          <cell r="I174">
            <v>1</v>
          </cell>
          <cell r="J174">
            <v>2</v>
          </cell>
          <cell r="K174">
            <v>1</v>
          </cell>
          <cell r="L174">
            <v>1</v>
          </cell>
          <cell r="M174">
            <v>1</v>
          </cell>
          <cell r="N174">
            <v>1</v>
          </cell>
          <cell r="O174">
            <v>2</v>
          </cell>
          <cell r="P174">
            <v>1</v>
          </cell>
          <cell r="Q174">
            <v>2</v>
          </cell>
          <cell r="R174">
            <v>2</v>
          </cell>
          <cell r="S174">
            <v>2</v>
          </cell>
          <cell r="T174">
            <v>2</v>
          </cell>
          <cell r="U174">
            <v>1</v>
          </cell>
          <cell r="V174">
            <v>2</v>
          </cell>
          <cell r="W174">
            <v>2</v>
          </cell>
          <cell r="X174">
            <v>1</v>
          </cell>
        </row>
        <row r="175">
          <cell r="E175">
            <v>2</v>
          </cell>
          <cell r="F175">
            <v>1</v>
          </cell>
          <cell r="G175">
            <v>1</v>
          </cell>
          <cell r="H175">
            <v>2</v>
          </cell>
          <cell r="I175">
            <v>2</v>
          </cell>
          <cell r="J175">
            <v>1</v>
          </cell>
          <cell r="K175">
            <v>2</v>
          </cell>
          <cell r="L175">
            <v>2</v>
          </cell>
          <cell r="M175">
            <v>1</v>
          </cell>
          <cell r="N175">
            <v>1</v>
          </cell>
          <cell r="O175">
            <v>1</v>
          </cell>
          <cell r="P175">
            <v>2</v>
          </cell>
          <cell r="Q175">
            <v>1</v>
          </cell>
          <cell r="R175">
            <v>1</v>
          </cell>
          <cell r="S175">
            <v>2</v>
          </cell>
          <cell r="T175">
            <v>2</v>
          </cell>
          <cell r="U175">
            <v>1</v>
          </cell>
          <cell r="V175">
            <v>2</v>
          </cell>
          <cell r="W175">
            <v>1</v>
          </cell>
          <cell r="X175">
            <v>2</v>
          </cell>
        </row>
        <row r="176">
          <cell r="E176">
            <v>2</v>
          </cell>
          <cell r="F176">
            <v>1</v>
          </cell>
          <cell r="G176">
            <v>2</v>
          </cell>
          <cell r="H176">
            <v>1</v>
          </cell>
          <cell r="I176">
            <v>1</v>
          </cell>
          <cell r="J176">
            <v>1</v>
          </cell>
          <cell r="K176">
            <v>1</v>
          </cell>
          <cell r="L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Q176">
            <v>1</v>
          </cell>
          <cell r="R176">
            <v>2</v>
          </cell>
          <cell r="S176">
            <v>1</v>
          </cell>
          <cell r="T176">
            <v>1</v>
          </cell>
          <cell r="U176">
            <v>2</v>
          </cell>
          <cell r="V176">
            <v>1</v>
          </cell>
          <cell r="W176">
            <v>1</v>
          </cell>
          <cell r="X176">
            <v>2</v>
          </cell>
        </row>
        <row r="177">
          <cell r="E177">
            <v>2</v>
          </cell>
          <cell r="F177">
            <v>1</v>
          </cell>
          <cell r="G177">
            <v>2</v>
          </cell>
          <cell r="H177">
            <v>1</v>
          </cell>
          <cell r="I177">
            <v>2</v>
          </cell>
          <cell r="J177">
            <v>1</v>
          </cell>
          <cell r="K177">
            <v>1</v>
          </cell>
          <cell r="L177">
            <v>1</v>
          </cell>
          <cell r="M177">
            <v>1</v>
          </cell>
          <cell r="N177">
            <v>2</v>
          </cell>
          <cell r="O177">
            <v>2</v>
          </cell>
          <cell r="P177">
            <v>2</v>
          </cell>
          <cell r="Q177">
            <v>1</v>
          </cell>
          <cell r="R177">
            <v>2</v>
          </cell>
          <cell r="S177">
            <v>2</v>
          </cell>
          <cell r="T177">
            <v>2</v>
          </cell>
          <cell r="U177">
            <v>1</v>
          </cell>
          <cell r="V177">
            <v>2</v>
          </cell>
          <cell r="W177">
            <v>2</v>
          </cell>
          <cell r="X177">
            <v>2</v>
          </cell>
        </row>
        <row r="178">
          <cell r="E178">
            <v>1</v>
          </cell>
          <cell r="F178">
            <v>2</v>
          </cell>
          <cell r="G178">
            <v>1</v>
          </cell>
          <cell r="H178">
            <v>2</v>
          </cell>
          <cell r="I178">
            <v>2</v>
          </cell>
          <cell r="J178">
            <v>2</v>
          </cell>
          <cell r="K178">
            <v>2</v>
          </cell>
          <cell r="L178">
            <v>2</v>
          </cell>
          <cell r="M178">
            <v>2</v>
          </cell>
          <cell r="N178">
            <v>1</v>
          </cell>
          <cell r="O178">
            <v>1</v>
          </cell>
          <cell r="P178">
            <v>2</v>
          </cell>
          <cell r="Q178">
            <v>2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V178">
            <v>2</v>
          </cell>
          <cell r="W178">
            <v>1</v>
          </cell>
          <cell r="X178">
            <v>1</v>
          </cell>
        </row>
        <row r="179">
          <cell r="E179">
            <v>1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J179">
            <v>2</v>
          </cell>
          <cell r="K179">
            <v>1</v>
          </cell>
          <cell r="L179">
            <v>1</v>
          </cell>
          <cell r="M179">
            <v>1</v>
          </cell>
          <cell r="N179">
            <v>2</v>
          </cell>
          <cell r="O179">
            <v>1</v>
          </cell>
          <cell r="P179">
            <v>1</v>
          </cell>
          <cell r="Q179">
            <v>1</v>
          </cell>
          <cell r="R179">
            <v>2</v>
          </cell>
          <cell r="S179">
            <v>1</v>
          </cell>
          <cell r="T179">
            <v>1</v>
          </cell>
          <cell r="U179">
            <v>1</v>
          </cell>
          <cell r="V179">
            <v>1</v>
          </cell>
          <cell r="W179">
            <v>1</v>
          </cell>
          <cell r="X179">
            <v>1</v>
          </cell>
        </row>
      </sheetData>
      <sheetData sheetId="10">
        <row r="3">
          <cell r="A3" t="str">
            <v>Data split-1;Reg-1</v>
          </cell>
          <cell r="B3">
            <v>6.2E-2</v>
          </cell>
          <cell r="C3">
            <v>0.62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0.68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-1.4E-2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 t="b">
            <v>0</v>
          </cell>
        </row>
        <row r="4">
          <cell r="A4" t="str">
            <v>Data split-1;Reg-2</v>
          </cell>
          <cell r="B4">
            <v>-0.9</v>
          </cell>
          <cell r="C4">
            <v>0.2</v>
          </cell>
          <cell r="D4">
            <v>0</v>
          </cell>
          <cell r="E4">
            <v>0</v>
          </cell>
          <cell r="F4">
            <v>-3.7999999999999999E-2</v>
          </cell>
          <cell r="G4">
            <v>1.8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-1.0999999999999999E-2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 t="b">
            <v>0</v>
          </cell>
        </row>
        <row r="5">
          <cell r="A5" t="str">
            <v>Data split-1;Reg-3</v>
          </cell>
          <cell r="B5">
            <v>-4</v>
          </cell>
          <cell r="C5">
            <v>0.3</v>
          </cell>
          <cell r="D5">
            <v>0</v>
          </cell>
          <cell r="E5">
            <v>0</v>
          </cell>
          <cell r="F5">
            <v>-3.7999999999999999E-2</v>
          </cell>
          <cell r="G5">
            <v>0</v>
          </cell>
          <cell r="H5">
            <v>1.8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-4.7E-2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 t="b">
            <v>0</v>
          </cell>
        </row>
        <row r="6">
          <cell r="A6" t="str">
            <v>Data split-1;Reg-4</v>
          </cell>
          <cell r="B6">
            <v>-1.5</v>
          </cell>
          <cell r="C6">
            <v>0.39</v>
          </cell>
          <cell r="D6">
            <v>0</v>
          </cell>
          <cell r="E6">
            <v>0</v>
          </cell>
          <cell r="F6">
            <v>-4.1000000000000002E-2</v>
          </cell>
          <cell r="G6">
            <v>0</v>
          </cell>
          <cell r="H6">
            <v>1.8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-1.0999999999999999E-2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b">
            <v>0</v>
          </cell>
        </row>
        <row r="7">
          <cell r="A7" t="str">
            <v>Data split-1;Reg-5</v>
          </cell>
          <cell r="B7">
            <v>-0.62</v>
          </cell>
          <cell r="C7">
            <v>0</v>
          </cell>
          <cell r="D7">
            <v>0.28000000000000003</v>
          </cell>
          <cell r="E7">
            <v>0</v>
          </cell>
          <cell r="F7">
            <v>-1.2E-2</v>
          </cell>
          <cell r="G7">
            <v>1.7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-1.2E-2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b">
            <v>0</v>
          </cell>
        </row>
        <row r="8">
          <cell r="A8" t="str">
            <v>Data split-1;Reg-6</v>
          </cell>
          <cell r="B8">
            <v>-1.9</v>
          </cell>
          <cell r="C8">
            <v>0</v>
          </cell>
          <cell r="D8">
            <v>0.33</v>
          </cell>
          <cell r="E8">
            <v>0</v>
          </cell>
          <cell r="F8">
            <v>-1.4E-2</v>
          </cell>
          <cell r="G8">
            <v>0</v>
          </cell>
          <cell r="H8">
            <v>1.9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-1.4E-2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b">
            <v>0</v>
          </cell>
        </row>
        <row r="9">
          <cell r="A9" t="str">
            <v>Data split-1;Reg-7</v>
          </cell>
          <cell r="B9">
            <v>-1.1000000000000001</v>
          </cell>
          <cell r="C9">
            <v>0.41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0.47</v>
          </cell>
          <cell r="I9">
            <v>1.4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-2.5999999999999999E-2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 t="b">
            <v>0</v>
          </cell>
        </row>
        <row r="10">
          <cell r="A10" t="str">
            <v>Data split-1;Reg-8</v>
          </cell>
          <cell r="B10">
            <v>-0.57999999999999996</v>
          </cell>
          <cell r="C10">
            <v>0.48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0.42</v>
          </cell>
          <cell r="I10">
            <v>1.3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-5.4000000000000003E-3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 t="b">
            <v>0</v>
          </cell>
        </row>
        <row r="11">
          <cell r="A11" t="str">
            <v>Data split-1;Reg-9</v>
          </cell>
          <cell r="B11">
            <v>3.8</v>
          </cell>
          <cell r="C11">
            <v>0.73</v>
          </cell>
          <cell r="D11">
            <v>0</v>
          </cell>
          <cell r="E11">
            <v>0</v>
          </cell>
          <cell r="F11">
            <v>0</v>
          </cell>
          <cell r="G11">
            <v>-0.76</v>
          </cell>
          <cell r="H11">
            <v>0</v>
          </cell>
          <cell r="I11">
            <v>0.49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1.2E-2</v>
          </cell>
          <cell r="S11">
            <v>0</v>
          </cell>
          <cell r="T11">
            <v>0</v>
          </cell>
          <cell r="U11" t="b">
            <v>0</v>
          </cell>
        </row>
        <row r="12">
          <cell r="A12" t="str">
            <v>Data split-1;Reg-10</v>
          </cell>
          <cell r="B12">
            <v>5.7000000000000002E-2</v>
          </cell>
          <cell r="C12">
            <v>0.48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0.67</v>
          </cell>
          <cell r="I12">
            <v>0</v>
          </cell>
          <cell r="J12">
            <v>0</v>
          </cell>
          <cell r="K12">
            <v>0.26</v>
          </cell>
          <cell r="L12">
            <v>0</v>
          </cell>
          <cell r="M12">
            <v>0</v>
          </cell>
          <cell r="N12">
            <v>0</v>
          </cell>
          <cell r="O12">
            <v>-1.4999999999999999E-2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 t="b">
            <v>0</v>
          </cell>
        </row>
        <row r="13">
          <cell r="A13" t="str">
            <v>Data split-1;Reg-11</v>
          </cell>
          <cell r="B13">
            <v>4.3</v>
          </cell>
          <cell r="C13">
            <v>0.78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0.82</v>
          </cell>
          <cell r="J13">
            <v>0</v>
          </cell>
          <cell r="K13">
            <v>0.12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b">
            <v>0</v>
          </cell>
        </row>
        <row r="14">
          <cell r="A14" t="str">
            <v>Data split-1;Reg-12</v>
          </cell>
          <cell r="B14">
            <v>4.2</v>
          </cell>
          <cell r="C14">
            <v>0.77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0.87</v>
          </cell>
          <cell r="J14">
            <v>0</v>
          </cell>
          <cell r="K14">
            <v>0</v>
          </cell>
          <cell r="L14">
            <v>0.96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 t="b">
            <v>0</v>
          </cell>
        </row>
        <row r="15">
          <cell r="A15" t="str">
            <v>Data split-1;Reg-13</v>
          </cell>
          <cell r="B15">
            <v>-2.2000000000000002</v>
          </cell>
          <cell r="C15">
            <v>0.41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38.299999999999997</v>
          </cell>
          <cell r="K15">
            <v>-0.92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b">
            <v>0</v>
          </cell>
        </row>
        <row r="16">
          <cell r="A16" t="str">
            <v>Data split-1;Reg-14</v>
          </cell>
          <cell r="B16">
            <v>-0.85</v>
          </cell>
          <cell r="C16">
            <v>0.35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31.3</v>
          </cell>
          <cell r="K16">
            <v>0</v>
          </cell>
          <cell r="L16">
            <v>-3.9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 t="b">
            <v>0</v>
          </cell>
        </row>
        <row r="17">
          <cell r="A17" t="str">
            <v>Data split-1;Reg-15</v>
          </cell>
          <cell r="B17">
            <v>3.9</v>
          </cell>
          <cell r="C17">
            <v>0.71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0.52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1.2999999999999999E-2</v>
          </cell>
          <cell r="R17">
            <v>0</v>
          </cell>
          <cell r="S17">
            <v>0</v>
          </cell>
          <cell r="T17">
            <v>0</v>
          </cell>
          <cell r="U17" t="b">
            <v>0</v>
          </cell>
        </row>
        <row r="18">
          <cell r="A18" t="str">
            <v>Data split-1;Reg-16</v>
          </cell>
          <cell r="B18">
            <v>2.6</v>
          </cell>
          <cell r="C18">
            <v>0.6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0.26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5.4000000000000003E-3</v>
          </cell>
          <cell r="S18">
            <v>0</v>
          </cell>
          <cell r="T18">
            <v>0</v>
          </cell>
          <cell r="U18" t="b">
            <v>0</v>
          </cell>
        </row>
        <row r="19">
          <cell r="A19" t="str">
            <v>Data split-1;Reg-17</v>
          </cell>
          <cell r="B19">
            <v>2.1</v>
          </cell>
          <cell r="C19">
            <v>0.5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13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1.2E-2</v>
          </cell>
          <cell r="R19">
            <v>0</v>
          </cell>
          <cell r="S19">
            <v>0</v>
          </cell>
          <cell r="T19">
            <v>0</v>
          </cell>
          <cell r="U19" t="b">
            <v>0</v>
          </cell>
        </row>
        <row r="20">
          <cell r="A20" t="str">
            <v>Data split-1;Reg-18</v>
          </cell>
          <cell r="B20">
            <v>1</v>
          </cell>
          <cell r="C20">
            <v>0.38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11.8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4.4999999999999997E-3</v>
          </cell>
          <cell r="S20">
            <v>0</v>
          </cell>
          <cell r="T20">
            <v>0</v>
          </cell>
          <cell r="U20" t="b">
            <v>0</v>
          </cell>
        </row>
        <row r="21">
          <cell r="A21" t="str">
            <v>Data split-1;Reg-19</v>
          </cell>
          <cell r="B21">
            <v>4.5999999999999996</v>
          </cell>
          <cell r="C21">
            <v>0.76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0.2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1.4999999999999999E-2</v>
          </cell>
          <cell r="T21">
            <v>0</v>
          </cell>
          <cell r="U21" t="b">
            <v>0</v>
          </cell>
        </row>
        <row r="22">
          <cell r="A22" t="str">
            <v>Data split-1;Reg-20</v>
          </cell>
          <cell r="B22">
            <v>3.1</v>
          </cell>
          <cell r="C22">
            <v>0.59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0.19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5.1999999999999998E-3</v>
          </cell>
          <cell r="U22" t="b">
            <v>0</v>
          </cell>
        </row>
        <row r="23">
          <cell r="A23" t="str">
            <v>Data split-1;Reg-21</v>
          </cell>
          <cell r="B23">
            <v>4.5</v>
          </cell>
          <cell r="C23">
            <v>0.76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1.3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1.6E-2</v>
          </cell>
          <cell r="T23">
            <v>0</v>
          </cell>
          <cell r="U23" t="b">
            <v>0</v>
          </cell>
        </row>
        <row r="24">
          <cell r="A24" t="str">
            <v>Data split-1;Reg-22</v>
          </cell>
          <cell r="B24">
            <v>2.9</v>
          </cell>
          <cell r="C24">
            <v>0.56999999999999995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1.4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5.7000000000000002E-3</v>
          </cell>
          <cell r="U24" t="b">
            <v>0</v>
          </cell>
        </row>
        <row r="25">
          <cell r="A25" t="str">
            <v>Data split-1;Reg-23</v>
          </cell>
          <cell r="B25">
            <v>1.8</v>
          </cell>
          <cell r="C25">
            <v>0</v>
          </cell>
          <cell r="D25">
            <v>0.55000000000000004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0.95</v>
          </cell>
          <cell r="J25">
            <v>0</v>
          </cell>
          <cell r="K25">
            <v>0.21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 t="b">
            <v>0</v>
          </cell>
        </row>
        <row r="26">
          <cell r="A26" t="str">
            <v>Data split-1;Reg-24</v>
          </cell>
          <cell r="B26">
            <v>1.7</v>
          </cell>
          <cell r="C26">
            <v>0</v>
          </cell>
          <cell r="D26">
            <v>0.55000000000000004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1.1000000000000001</v>
          </cell>
          <cell r="J26">
            <v>0</v>
          </cell>
          <cell r="K26">
            <v>0</v>
          </cell>
          <cell r="L26">
            <v>1.3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 t="b">
            <v>0</v>
          </cell>
        </row>
        <row r="27">
          <cell r="A27" t="str">
            <v>Data split-1;Reg-25</v>
          </cell>
          <cell r="B27">
            <v>-3.4</v>
          </cell>
          <cell r="C27">
            <v>0</v>
          </cell>
          <cell r="D27">
            <v>0.28999999999999998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38.1</v>
          </cell>
          <cell r="K27">
            <v>-0.84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b">
            <v>0</v>
          </cell>
        </row>
        <row r="28">
          <cell r="A28" t="str">
            <v>Data split-1;Reg-26</v>
          </cell>
          <cell r="B28">
            <v>-2</v>
          </cell>
          <cell r="C28">
            <v>0</v>
          </cell>
          <cell r="D28">
            <v>0.28000000000000003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31</v>
          </cell>
          <cell r="K28">
            <v>0</v>
          </cell>
          <cell r="L28">
            <v>-3.6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 t="b">
            <v>0</v>
          </cell>
        </row>
        <row r="29">
          <cell r="A29" t="str">
            <v>Data split-1;Reg-27</v>
          </cell>
          <cell r="B29">
            <v>1.5</v>
          </cell>
          <cell r="C29">
            <v>0</v>
          </cell>
          <cell r="D29">
            <v>0.54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1.2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2E-3</v>
          </cell>
          <cell r="R29">
            <v>0</v>
          </cell>
          <cell r="S29">
            <v>0</v>
          </cell>
          <cell r="T29">
            <v>0</v>
          </cell>
          <cell r="U29" t="b">
            <v>0</v>
          </cell>
        </row>
        <row r="30">
          <cell r="A30" t="str">
            <v>Data split-1;Reg-28</v>
          </cell>
          <cell r="B30">
            <v>1</v>
          </cell>
          <cell r="C30">
            <v>0</v>
          </cell>
          <cell r="D30">
            <v>0.42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0.79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3.7000000000000002E-3</v>
          </cell>
          <cell r="S30">
            <v>0</v>
          </cell>
          <cell r="T30">
            <v>0</v>
          </cell>
          <cell r="U30" t="b">
            <v>0</v>
          </cell>
        </row>
        <row r="31">
          <cell r="A31" t="str">
            <v>Data split-1;Reg-29</v>
          </cell>
          <cell r="B31">
            <v>0.19</v>
          </cell>
          <cell r="C31">
            <v>0</v>
          </cell>
          <cell r="D31">
            <v>0.39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15.9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7.6E-3</v>
          </cell>
          <cell r="R31">
            <v>0</v>
          </cell>
          <cell r="S31">
            <v>0</v>
          </cell>
          <cell r="T31">
            <v>0</v>
          </cell>
          <cell r="U31" t="b">
            <v>0</v>
          </cell>
        </row>
        <row r="32">
          <cell r="A32" t="str">
            <v>Data split-1;Reg-30</v>
          </cell>
          <cell r="B32">
            <v>-0.26</v>
          </cell>
          <cell r="C32">
            <v>0</v>
          </cell>
          <cell r="D32">
            <v>0.28000000000000003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14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3.8999999999999998E-3</v>
          </cell>
          <cell r="S32">
            <v>0</v>
          </cell>
          <cell r="T32">
            <v>0</v>
          </cell>
          <cell r="U32" t="b">
            <v>0</v>
          </cell>
        </row>
        <row r="33">
          <cell r="A33" t="str">
            <v>Data split-1;Reg-31</v>
          </cell>
          <cell r="B33">
            <v>2.5</v>
          </cell>
          <cell r="C33">
            <v>0</v>
          </cell>
          <cell r="D33">
            <v>0.56999999999999995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0.37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1.0999999999999999E-2</v>
          </cell>
          <cell r="T33">
            <v>0</v>
          </cell>
          <cell r="U33" t="b">
            <v>0</v>
          </cell>
        </row>
        <row r="34">
          <cell r="A34" t="str">
            <v>Data split-1;Reg-32</v>
          </cell>
          <cell r="B34">
            <v>1.6</v>
          </cell>
          <cell r="C34">
            <v>0</v>
          </cell>
          <cell r="D34">
            <v>0.42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0.32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5.0000000000000001E-3</v>
          </cell>
          <cell r="U34" t="b">
            <v>0</v>
          </cell>
        </row>
        <row r="35">
          <cell r="A35" t="str">
            <v>Data split-1;Reg-33</v>
          </cell>
          <cell r="B35">
            <v>2.2999999999999998</v>
          </cell>
          <cell r="C35">
            <v>0</v>
          </cell>
          <cell r="D35">
            <v>0.56000000000000005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1.6E-2</v>
          </cell>
          <cell r="T35">
            <v>0</v>
          </cell>
          <cell r="U35" t="b">
            <v>0</v>
          </cell>
        </row>
        <row r="36">
          <cell r="A36" t="str">
            <v>Data split-1;Reg-34</v>
          </cell>
          <cell r="B36">
            <v>1.3</v>
          </cell>
          <cell r="C36">
            <v>0</v>
          </cell>
          <cell r="D36">
            <v>0.4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1.9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5.8999999999999999E-3</v>
          </cell>
          <cell r="U36" t="b">
            <v>0</v>
          </cell>
        </row>
        <row r="37">
          <cell r="A37" t="str">
            <v>Data split-1;Reg-35</v>
          </cell>
          <cell r="B37">
            <v>4.0999999999999996</v>
          </cell>
          <cell r="C37">
            <v>0.69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0.36</v>
          </cell>
          <cell r="J37">
            <v>0</v>
          </cell>
          <cell r="K37">
            <v>0.14000000000000001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1.4E-2</v>
          </cell>
          <cell r="R37">
            <v>0</v>
          </cell>
          <cell r="S37">
            <v>0</v>
          </cell>
          <cell r="T37">
            <v>0</v>
          </cell>
          <cell r="U37" t="b">
            <v>0</v>
          </cell>
        </row>
        <row r="38">
          <cell r="A38" t="str">
            <v>Data split-1;Reg-36</v>
          </cell>
          <cell r="B38">
            <v>2.8</v>
          </cell>
          <cell r="C38">
            <v>0.55000000000000004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3.2000000000000001E-2</v>
          </cell>
          <cell r="J38">
            <v>0</v>
          </cell>
          <cell r="K38">
            <v>0.18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5.7000000000000002E-3</v>
          </cell>
          <cell r="S38">
            <v>0</v>
          </cell>
          <cell r="T38">
            <v>0</v>
          </cell>
          <cell r="U38" t="b">
            <v>0</v>
          </cell>
        </row>
        <row r="39">
          <cell r="A39" t="str">
            <v>Data split-1;Reg-37</v>
          </cell>
          <cell r="B39">
            <v>4</v>
          </cell>
          <cell r="C39">
            <v>0.67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0.39</v>
          </cell>
          <cell r="J39">
            <v>0</v>
          </cell>
          <cell r="K39">
            <v>0</v>
          </cell>
          <cell r="L39">
            <v>1.1000000000000001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1.4E-2</v>
          </cell>
          <cell r="R39">
            <v>0</v>
          </cell>
          <cell r="S39">
            <v>0</v>
          </cell>
          <cell r="T39">
            <v>0</v>
          </cell>
          <cell r="U39" t="b">
            <v>0</v>
          </cell>
        </row>
        <row r="40">
          <cell r="A40" t="str">
            <v>Data split-1;Reg-38</v>
          </cell>
          <cell r="B40">
            <v>2.6</v>
          </cell>
          <cell r="C40">
            <v>0.53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8.7999999999999995E-2</v>
          </cell>
          <cell r="J40">
            <v>0</v>
          </cell>
          <cell r="K40">
            <v>0</v>
          </cell>
          <cell r="L40">
            <v>1.3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5.8999999999999999E-3</v>
          </cell>
          <cell r="S40">
            <v>0</v>
          </cell>
          <cell r="T40">
            <v>0</v>
          </cell>
          <cell r="U40" t="b">
            <v>0</v>
          </cell>
        </row>
        <row r="41">
          <cell r="A41" t="str">
            <v>Data split-1;Reg-39</v>
          </cell>
          <cell r="B41">
            <v>-2</v>
          </cell>
          <cell r="C41">
            <v>0.32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34.9</v>
          </cell>
          <cell r="K41">
            <v>-0.85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8.0999999999999996E-3</v>
          </cell>
          <cell r="R41">
            <v>0</v>
          </cell>
          <cell r="S41">
            <v>0</v>
          </cell>
          <cell r="T41">
            <v>0</v>
          </cell>
          <cell r="U41" t="b">
            <v>0</v>
          </cell>
        </row>
        <row r="42">
          <cell r="A42" t="str">
            <v>Data split-1;Reg-40</v>
          </cell>
          <cell r="B42">
            <v>-2.4</v>
          </cell>
          <cell r="C42">
            <v>0.26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32</v>
          </cell>
          <cell r="K42">
            <v>-0.77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3.2000000000000002E-3</v>
          </cell>
          <cell r="S42">
            <v>0</v>
          </cell>
          <cell r="T42">
            <v>0</v>
          </cell>
          <cell r="U42" t="b">
            <v>0</v>
          </cell>
        </row>
        <row r="43">
          <cell r="A43" t="str">
            <v>Data split-1;Reg-41</v>
          </cell>
          <cell r="B43">
            <v>-0.59</v>
          </cell>
          <cell r="C43">
            <v>0.33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28.7</v>
          </cell>
          <cell r="K43">
            <v>0</v>
          </cell>
          <cell r="L43">
            <v>-3.5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4.3E-3</v>
          </cell>
          <cell r="R43">
            <v>0</v>
          </cell>
          <cell r="S43">
            <v>0</v>
          </cell>
          <cell r="T43">
            <v>0</v>
          </cell>
          <cell r="U43" t="b">
            <v>0</v>
          </cell>
        </row>
        <row r="44">
          <cell r="A44" t="str">
            <v>Data split-1;Reg-42</v>
          </cell>
          <cell r="B44">
            <v>-0.66</v>
          </cell>
          <cell r="C44">
            <v>0.28000000000000003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24.4</v>
          </cell>
          <cell r="K44">
            <v>0</v>
          </cell>
          <cell r="L44">
            <v>-2.7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2.7000000000000001E-3</v>
          </cell>
          <cell r="S44">
            <v>0</v>
          </cell>
          <cell r="T44">
            <v>0</v>
          </cell>
          <cell r="U44" t="b">
            <v>0</v>
          </cell>
        </row>
        <row r="45">
          <cell r="A45" t="str">
            <v>Data split-1;Reg-43</v>
          </cell>
          <cell r="B45">
            <v>4.2</v>
          </cell>
          <cell r="C45">
            <v>0.71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0.46</v>
          </cell>
          <cell r="J45">
            <v>0</v>
          </cell>
          <cell r="K45">
            <v>0.14000000000000001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0.01</v>
          </cell>
          <cell r="T45">
            <v>0</v>
          </cell>
          <cell r="U45" t="b">
            <v>0</v>
          </cell>
        </row>
        <row r="46">
          <cell r="A46" t="str">
            <v>Data split-1;Reg-44</v>
          </cell>
          <cell r="B46">
            <v>3.1</v>
          </cell>
          <cell r="C46">
            <v>0.59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9.1999999999999998E-2</v>
          </cell>
          <cell r="J46">
            <v>0</v>
          </cell>
          <cell r="K46">
            <v>0.18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5.0000000000000001E-3</v>
          </cell>
          <cell r="U46" t="b">
            <v>0</v>
          </cell>
        </row>
        <row r="47">
          <cell r="A47" t="str">
            <v>Data split-1;Reg-45</v>
          </cell>
          <cell r="B47">
            <v>4.0999999999999996</v>
          </cell>
          <cell r="C47">
            <v>0.69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0.49</v>
          </cell>
          <cell r="J47">
            <v>0</v>
          </cell>
          <cell r="K47">
            <v>0</v>
          </cell>
          <cell r="L47">
            <v>1.1000000000000001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1.0999999999999999E-2</v>
          </cell>
          <cell r="T47">
            <v>0</v>
          </cell>
          <cell r="U47" t="b">
            <v>0</v>
          </cell>
        </row>
        <row r="48">
          <cell r="A48" t="str">
            <v>Data split-1;Reg-46</v>
          </cell>
          <cell r="B48">
            <v>2.9</v>
          </cell>
          <cell r="C48">
            <v>0.56000000000000005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0.14000000000000001</v>
          </cell>
          <cell r="J48">
            <v>0</v>
          </cell>
          <cell r="K48">
            <v>0</v>
          </cell>
          <cell r="L48">
            <v>1.3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5.1999999999999998E-3</v>
          </cell>
          <cell r="U48" t="b">
            <v>0</v>
          </cell>
        </row>
        <row r="49">
          <cell r="A49" t="str">
            <v>Data split-1;Reg-47</v>
          </cell>
          <cell r="B49">
            <v>-2.1</v>
          </cell>
          <cell r="C49">
            <v>0.34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35.9</v>
          </cell>
          <cell r="K49">
            <v>-0.87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6.1999999999999998E-3</v>
          </cell>
          <cell r="T49">
            <v>0</v>
          </cell>
          <cell r="U49" t="b">
            <v>0</v>
          </cell>
        </row>
        <row r="50">
          <cell r="A50" t="str">
            <v>Data split-1;Reg-48</v>
          </cell>
          <cell r="B50">
            <v>-2.2999999999999998</v>
          </cell>
          <cell r="C50">
            <v>0.27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33.299999999999997</v>
          </cell>
          <cell r="K50">
            <v>-0.8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2.5999999999999999E-3</v>
          </cell>
          <cell r="U50" t="b">
            <v>0</v>
          </cell>
        </row>
        <row r="51">
          <cell r="A51" t="str">
            <v>Data split-1;Reg-49</v>
          </cell>
          <cell r="B51">
            <v>-0.76</v>
          </cell>
          <cell r="C51">
            <v>0.35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30.4</v>
          </cell>
          <cell r="K51">
            <v>0</v>
          </cell>
          <cell r="L51">
            <v>-3.7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1.4E-3</v>
          </cell>
          <cell r="T51">
            <v>0</v>
          </cell>
          <cell r="U51" t="b">
            <v>0</v>
          </cell>
        </row>
        <row r="52">
          <cell r="A52" t="str">
            <v>Data split-1;Reg-50</v>
          </cell>
          <cell r="B52">
            <v>-0.69</v>
          </cell>
          <cell r="C52">
            <v>0.3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26.5</v>
          </cell>
          <cell r="K52">
            <v>0</v>
          </cell>
          <cell r="L52">
            <v>-3.1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1.8E-3</v>
          </cell>
          <cell r="U52" t="b">
            <v>0</v>
          </cell>
        </row>
        <row r="53">
          <cell r="A53" t="str">
            <v>Data split-1;Reg-51</v>
          </cell>
          <cell r="B53">
            <v>1.8</v>
          </cell>
          <cell r="C53">
            <v>0</v>
          </cell>
          <cell r="D53">
            <v>0.53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0.87</v>
          </cell>
          <cell r="J53">
            <v>0</v>
          </cell>
          <cell r="K53">
            <v>0.21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2.5999999999999999E-3</v>
          </cell>
          <cell r="R53">
            <v>0</v>
          </cell>
          <cell r="S53">
            <v>0</v>
          </cell>
          <cell r="T53">
            <v>0</v>
          </cell>
          <cell r="U53" t="b">
            <v>0</v>
          </cell>
        </row>
        <row r="54">
          <cell r="A54" t="str">
            <v>Data split-1;Reg-52</v>
          </cell>
          <cell r="B54">
            <v>1.4</v>
          </cell>
          <cell r="C54">
            <v>0</v>
          </cell>
          <cell r="D54">
            <v>0.4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0.44</v>
          </cell>
          <cell r="J54">
            <v>0</v>
          </cell>
          <cell r="K54">
            <v>0.23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4.1000000000000003E-3</v>
          </cell>
          <cell r="S54">
            <v>0</v>
          </cell>
          <cell r="T54">
            <v>0</v>
          </cell>
          <cell r="U54" t="b">
            <v>0</v>
          </cell>
        </row>
        <row r="55">
          <cell r="A55" t="str">
            <v>Data split-1;Reg-53</v>
          </cell>
          <cell r="B55">
            <v>1.7</v>
          </cell>
          <cell r="C55">
            <v>0</v>
          </cell>
          <cell r="D55">
            <v>0.52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0.95</v>
          </cell>
          <cell r="J55">
            <v>0</v>
          </cell>
          <cell r="K55">
            <v>0</v>
          </cell>
          <cell r="L55">
            <v>1.4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3.3999999999999998E-3</v>
          </cell>
          <cell r="R55">
            <v>0</v>
          </cell>
          <cell r="S55">
            <v>0</v>
          </cell>
          <cell r="T55">
            <v>0</v>
          </cell>
          <cell r="U55" t="b">
            <v>0</v>
          </cell>
        </row>
        <row r="56">
          <cell r="A56" t="str">
            <v>Data split-1;Reg-54</v>
          </cell>
          <cell r="B56">
            <v>1.2</v>
          </cell>
          <cell r="C56">
            <v>0</v>
          </cell>
          <cell r="D56">
            <v>0.38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0.52</v>
          </cell>
          <cell r="J56">
            <v>0</v>
          </cell>
          <cell r="K56">
            <v>0</v>
          </cell>
          <cell r="L56">
            <v>1.5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4.4000000000000003E-3</v>
          </cell>
          <cell r="S56">
            <v>0</v>
          </cell>
          <cell r="T56">
            <v>0</v>
          </cell>
          <cell r="U56" t="b">
            <v>0</v>
          </cell>
        </row>
        <row r="57">
          <cell r="A57" t="str">
            <v>Data split-1;Reg-55</v>
          </cell>
          <cell r="B57">
            <v>-3.1</v>
          </cell>
          <cell r="C57">
            <v>0</v>
          </cell>
          <cell r="D57">
            <v>0.22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36.5</v>
          </cell>
          <cell r="K57">
            <v>-0.83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6.7000000000000002E-3</v>
          </cell>
          <cell r="R57">
            <v>0</v>
          </cell>
          <cell r="S57">
            <v>0</v>
          </cell>
          <cell r="T57">
            <v>0</v>
          </cell>
          <cell r="U57" t="b">
            <v>0</v>
          </cell>
        </row>
        <row r="58">
          <cell r="A58" t="str">
            <v>Data split-1;Reg-56</v>
          </cell>
          <cell r="B58">
            <v>-3.2</v>
          </cell>
          <cell r="C58">
            <v>0</v>
          </cell>
          <cell r="D58">
            <v>0.15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33.5</v>
          </cell>
          <cell r="K58">
            <v>-0.76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3.0999999999999999E-3</v>
          </cell>
          <cell r="S58">
            <v>0</v>
          </cell>
          <cell r="T58">
            <v>0</v>
          </cell>
          <cell r="U58" t="b">
            <v>0</v>
          </cell>
        </row>
        <row r="59">
          <cell r="A59" t="str">
            <v>Data split-1;Reg-57</v>
          </cell>
          <cell r="B59">
            <v>-2</v>
          </cell>
          <cell r="C59">
            <v>0</v>
          </cell>
          <cell r="D59">
            <v>0.28000000000000003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30.8</v>
          </cell>
          <cell r="K59">
            <v>0</v>
          </cell>
          <cell r="L59">
            <v>-3.6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3.3E-4</v>
          </cell>
          <cell r="R59">
            <v>0</v>
          </cell>
          <cell r="S59">
            <v>0</v>
          </cell>
          <cell r="T59">
            <v>0</v>
          </cell>
          <cell r="U59" t="b">
            <v>0</v>
          </cell>
        </row>
        <row r="60">
          <cell r="A60" t="str">
            <v>Data split-1;Reg-58</v>
          </cell>
          <cell r="B60">
            <v>-1.7</v>
          </cell>
          <cell r="C60">
            <v>0</v>
          </cell>
          <cell r="D60">
            <v>0.23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26.7</v>
          </cell>
          <cell r="K60">
            <v>0</v>
          </cell>
          <cell r="L60">
            <v>-2.9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1.9E-3</v>
          </cell>
          <cell r="S60">
            <v>0</v>
          </cell>
          <cell r="T60">
            <v>0</v>
          </cell>
          <cell r="U60" t="b">
            <v>0</v>
          </cell>
        </row>
        <row r="61">
          <cell r="A61" t="str">
            <v>Data split-1;Reg-59</v>
          </cell>
          <cell r="B61">
            <v>1.7</v>
          </cell>
          <cell r="C61">
            <v>0</v>
          </cell>
          <cell r="D61">
            <v>0.56999999999999995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1</v>
          </cell>
          <cell r="J61">
            <v>0</v>
          </cell>
          <cell r="K61">
            <v>0.2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-1.8E-3</v>
          </cell>
          <cell r="T61">
            <v>0</v>
          </cell>
          <cell r="U61" t="b">
            <v>0</v>
          </cell>
        </row>
        <row r="62">
          <cell r="A62" t="str">
            <v>Data split-1;Reg-60</v>
          </cell>
          <cell r="B62">
            <v>1.5</v>
          </cell>
          <cell r="C62">
            <v>0</v>
          </cell>
          <cell r="D62">
            <v>0.44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0.55000000000000004</v>
          </cell>
          <cell r="J62">
            <v>0</v>
          </cell>
          <cell r="K62">
            <v>0.23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3.0000000000000001E-3</v>
          </cell>
          <cell r="U62" t="b">
            <v>0</v>
          </cell>
        </row>
        <row r="63">
          <cell r="A63" t="str">
            <v>Data split-1;Reg-61</v>
          </cell>
          <cell r="B63">
            <v>1.7</v>
          </cell>
          <cell r="C63">
            <v>0</v>
          </cell>
          <cell r="D63">
            <v>0.55000000000000004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1.1000000000000001</v>
          </cell>
          <cell r="J63">
            <v>0</v>
          </cell>
          <cell r="K63">
            <v>0</v>
          </cell>
          <cell r="L63">
            <v>1.3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-8.1999999999999998E-4</v>
          </cell>
          <cell r="T63">
            <v>0</v>
          </cell>
          <cell r="U63" t="b">
            <v>0</v>
          </cell>
        </row>
        <row r="64">
          <cell r="A64" t="str">
            <v>Data split-1;Reg-62</v>
          </cell>
          <cell r="B64">
            <v>1.4</v>
          </cell>
          <cell r="C64">
            <v>0</v>
          </cell>
          <cell r="D64">
            <v>0.42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0.62</v>
          </cell>
          <cell r="J64">
            <v>0</v>
          </cell>
          <cell r="K64">
            <v>0</v>
          </cell>
          <cell r="L64">
            <v>1.5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3.3E-3</v>
          </cell>
          <cell r="U64" t="b">
            <v>0</v>
          </cell>
        </row>
        <row r="65">
          <cell r="A65" t="str">
            <v>Data split-1;Reg-63</v>
          </cell>
          <cell r="B65">
            <v>-3.2</v>
          </cell>
          <cell r="C65">
            <v>0</v>
          </cell>
          <cell r="D65">
            <v>0.24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37</v>
          </cell>
          <cell r="K65">
            <v>-0.83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4.7000000000000002E-3</v>
          </cell>
          <cell r="T65">
            <v>0</v>
          </cell>
          <cell r="U65" t="b">
            <v>0</v>
          </cell>
        </row>
        <row r="66">
          <cell r="A66" t="str">
            <v>Data split-1;Reg-64</v>
          </cell>
          <cell r="B66">
            <v>-3.2</v>
          </cell>
          <cell r="C66">
            <v>0</v>
          </cell>
          <cell r="D66">
            <v>0.18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34.4</v>
          </cell>
          <cell r="K66">
            <v>-0.78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2.5000000000000001E-3</v>
          </cell>
          <cell r="U66" t="b">
            <v>0</v>
          </cell>
        </row>
        <row r="67">
          <cell r="A67" t="str">
            <v>Data split-1;Reg-65</v>
          </cell>
          <cell r="B67">
            <v>-2.2000000000000002</v>
          </cell>
          <cell r="C67">
            <v>0</v>
          </cell>
          <cell r="D67">
            <v>0.3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32.200000000000003</v>
          </cell>
          <cell r="K67">
            <v>0</v>
          </cell>
          <cell r="L67">
            <v>-3.8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-2.3999999999999998E-3</v>
          </cell>
          <cell r="T67">
            <v>0</v>
          </cell>
          <cell r="U67" t="b">
            <v>0</v>
          </cell>
        </row>
        <row r="68">
          <cell r="A68" t="str">
            <v>Data split-1;Reg-66</v>
          </cell>
          <cell r="B68">
            <v>-1.8</v>
          </cell>
          <cell r="C68">
            <v>0</v>
          </cell>
          <cell r="D68">
            <v>0.25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28.6</v>
          </cell>
          <cell r="K68">
            <v>0</v>
          </cell>
          <cell r="L68">
            <v>-3.2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1E-3</v>
          </cell>
          <cell r="U68" t="b">
            <v>0</v>
          </cell>
        </row>
        <row r="69">
          <cell r="A69" t="str">
            <v>Data split-1;Reg-67</v>
          </cell>
          <cell r="B69">
            <v>2.6</v>
          </cell>
          <cell r="C69">
            <v>0.68</v>
          </cell>
          <cell r="D69">
            <v>0</v>
          </cell>
          <cell r="E69">
            <v>0</v>
          </cell>
          <cell r="F69">
            <v>0</v>
          </cell>
          <cell r="G69">
            <v>0.45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 t="b">
            <v>0</v>
          </cell>
        </row>
        <row r="70">
          <cell r="A70" t="str">
            <v>Data split-1;Reg-68</v>
          </cell>
          <cell r="B70">
            <v>-0.42</v>
          </cell>
          <cell r="C70">
            <v>0.49</v>
          </cell>
          <cell r="D70">
            <v>0</v>
          </cell>
          <cell r="E70">
            <v>0</v>
          </cell>
          <cell r="F70">
            <v>-6.4000000000000001E-2</v>
          </cell>
          <cell r="G70">
            <v>0.86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 t="b">
            <v>0</v>
          </cell>
        </row>
        <row r="71">
          <cell r="A71" t="str">
            <v>Data split-1;Reg-69</v>
          </cell>
          <cell r="B71">
            <v>0.49</v>
          </cell>
          <cell r="C71">
            <v>0.31</v>
          </cell>
          <cell r="D71">
            <v>0</v>
          </cell>
          <cell r="E71">
            <v>0</v>
          </cell>
          <cell r="F71">
            <v>0</v>
          </cell>
          <cell r="G71">
            <v>0.35</v>
          </cell>
          <cell r="H71">
            <v>0</v>
          </cell>
          <cell r="I71">
            <v>0</v>
          </cell>
          <cell r="J71">
            <v>13.8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 t="b">
            <v>0</v>
          </cell>
        </row>
        <row r="72">
          <cell r="A72" t="str">
            <v>Data split-1;Reg-70</v>
          </cell>
          <cell r="B72">
            <v>-1.4</v>
          </cell>
          <cell r="C72">
            <v>0.18</v>
          </cell>
          <cell r="D72">
            <v>0</v>
          </cell>
          <cell r="E72">
            <v>0</v>
          </cell>
          <cell r="F72">
            <v>0</v>
          </cell>
          <cell r="G72">
            <v>0.76</v>
          </cell>
          <cell r="H72">
            <v>0</v>
          </cell>
          <cell r="I72">
            <v>0</v>
          </cell>
          <cell r="J72">
            <v>16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-0.02</v>
          </cell>
          <cell r="T72">
            <v>0</v>
          </cell>
          <cell r="U72" t="b">
            <v>0</v>
          </cell>
        </row>
        <row r="73">
          <cell r="A73" t="str">
            <v>Data split-1;Reg-71</v>
          </cell>
          <cell r="B73">
            <v>-4.5999999999999996</v>
          </cell>
          <cell r="C73">
            <v>0.25</v>
          </cell>
          <cell r="D73">
            <v>0</v>
          </cell>
          <cell r="E73">
            <v>0</v>
          </cell>
          <cell r="F73">
            <v>-6.7000000000000004E-2</v>
          </cell>
          <cell r="G73">
            <v>0</v>
          </cell>
          <cell r="H73">
            <v>1.5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-2.5000000000000001E-2</v>
          </cell>
          <cell r="T73">
            <v>0</v>
          </cell>
          <cell r="U73" t="b">
            <v>0</v>
          </cell>
        </row>
        <row r="74">
          <cell r="A74" t="str">
            <v>Data split-1;Reg-72</v>
          </cell>
          <cell r="B74">
            <v>4.3</v>
          </cell>
          <cell r="C74">
            <v>0.86</v>
          </cell>
          <cell r="D74">
            <v>0</v>
          </cell>
          <cell r="E74">
            <v>0.2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 t="b">
            <v>0</v>
          </cell>
        </row>
        <row r="75">
          <cell r="A75" t="str">
            <v>Data split-1;Reg-73</v>
          </cell>
          <cell r="B75">
            <v>5.4</v>
          </cell>
          <cell r="C75">
            <v>1.1000000000000001</v>
          </cell>
          <cell r="D75">
            <v>0</v>
          </cell>
          <cell r="E75">
            <v>0</v>
          </cell>
          <cell r="F75">
            <v>8.3999999999999995E-3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 t="b">
            <v>0</v>
          </cell>
        </row>
        <row r="76">
          <cell r="A76" t="str">
            <v>Data split-1;Reg-74</v>
          </cell>
          <cell r="B76">
            <v>1.9</v>
          </cell>
          <cell r="C76">
            <v>0</v>
          </cell>
          <cell r="D76">
            <v>0.62</v>
          </cell>
          <cell r="E76">
            <v>0.23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 t="b">
            <v>0</v>
          </cell>
        </row>
        <row r="77">
          <cell r="A77" t="str">
            <v>Data split-1;Reg-75</v>
          </cell>
          <cell r="B77">
            <v>2.4</v>
          </cell>
          <cell r="C77">
            <v>0</v>
          </cell>
          <cell r="D77">
            <v>0.82</v>
          </cell>
          <cell r="E77">
            <v>0</v>
          </cell>
          <cell r="F77">
            <v>3.2000000000000001E-2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 t="b">
            <v>0</v>
          </cell>
        </row>
        <row r="78">
          <cell r="A78" t="str">
            <v>Data split-1;Reg-76</v>
          </cell>
          <cell r="B78">
            <v>2.6</v>
          </cell>
          <cell r="C78">
            <v>0.68</v>
          </cell>
          <cell r="D78">
            <v>0</v>
          </cell>
          <cell r="E78">
            <v>0</v>
          </cell>
          <cell r="F78">
            <v>0</v>
          </cell>
          <cell r="G78">
            <v>0.45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 t="b">
            <v>0</v>
          </cell>
        </row>
        <row r="79">
          <cell r="A79" t="str">
            <v>Data split-1;Reg-77</v>
          </cell>
          <cell r="B79">
            <v>2.4</v>
          </cell>
          <cell r="C79">
            <v>0.71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0.44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 t="b">
            <v>0</v>
          </cell>
        </row>
        <row r="80">
          <cell r="A80" t="str">
            <v>Data split-1;Reg-78</v>
          </cell>
          <cell r="B80">
            <v>0.4</v>
          </cell>
          <cell r="C80">
            <v>0</v>
          </cell>
          <cell r="D80">
            <v>0.45</v>
          </cell>
          <cell r="E80">
            <v>0</v>
          </cell>
          <cell r="F80">
            <v>0</v>
          </cell>
          <cell r="G80">
            <v>0.53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 t="b">
            <v>0</v>
          </cell>
        </row>
        <row r="81">
          <cell r="A81" t="str">
            <v>Data split-1;Reg-79</v>
          </cell>
          <cell r="B81">
            <v>0.15</v>
          </cell>
          <cell r="C81">
            <v>0</v>
          </cell>
          <cell r="D81">
            <v>0.48</v>
          </cell>
          <cell r="E81">
            <v>0</v>
          </cell>
          <cell r="F81">
            <v>0</v>
          </cell>
          <cell r="G81">
            <v>0</v>
          </cell>
          <cell r="H81">
            <v>0.52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b">
            <v>0</v>
          </cell>
        </row>
        <row r="82">
          <cell r="A82" t="str">
            <v>Data split-1;Reg-80</v>
          </cell>
          <cell r="B82">
            <v>4.0999999999999996</v>
          </cell>
          <cell r="C82">
            <v>0.8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0.95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 t="b">
            <v>0</v>
          </cell>
        </row>
        <row r="83">
          <cell r="A83" t="str">
            <v>Data split-1;Reg-81</v>
          </cell>
          <cell r="B83">
            <v>2.2999999999999998</v>
          </cell>
          <cell r="C83">
            <v>0.64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15.5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 t="b">
            <v>0</v>
          </cell>
        </row>
        <row r="84">
          <cell r="A84" t="str">
            <v>Data split-1;Reg-82</v>
          </cell>
          <cell r="B84">
            <v>1.4</v>
          </cell>
          <cell r="C84">
            <v>0</v>
          </cell>
          <cell r="D84">
            <v>0.56000000000000005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1.2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 t="b">
            <v>0</v>
          </cell>
        </row>
        <row r="85">
          <cell r="A85" t="str">
            <v>Data split-1;Reg-83</v>
          </cell>
          <cell r="B85">
            <v>-4.9000000000000002E-2</v>
          </cell>
          <cell r="C85">
            <v>0</v>
          </cell>
          <cell r="D85">
            <v>0.47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17.399999999999999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 t="b">
            <v>0</v>
          </cell>
        </row>
        <row r="86">
          <cell r="A86" t="str">
            <v>Data split-1;Reg-84</v>
          </cell>
          <cell r="B86">
            <v>5.4</v>
          </cell>
          <cell r="C86">
            <v>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0.27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 t="b">
            <v>0</v>
          </cell>
        </row>
        <row r="87">
          <cell r="A87" t="str">
            <v>Data split-1;Reg-85</v>
          </cell>
          <cell r="B87">
            <v>5.4</v>
          </cell>
          <cell r="C87">
            <v>1.1000000000000001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1.4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 t="b">
            <v>0</v>
          </cell>
        </row>
        <row r="88">
          <cell r="A88" t="str">
            <v>Data split-1;Reg-86</v>
          </cell>
          <cell r="B88">
            <v>2.4</v>
          </cell>
          <cell r="C88">
            <v>0</v>
          </cell>
          <cell r="D88">
            <v>0.73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0.44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 t="b">
            <v>0</v>
          </cell>
        </row>
        <row r="89">
          <cell r="A89" t="str">
            <v>Data split-1;Reg-87</v>
          </cell>
          <cell r="B89">
            <v>2.1</v>
          </cell>
          <cell r="C89">
            <v>0</v>
          </cell>
          <cell r="D89">
            <v>0.81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2.2999999999999998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 t="b">
            <v>0</v>
          </cell>
        </row>
        <row r="90">
          <cell r="A90" t="str">
            <v>Data split-1;Reg-88</v>
          </cell>
          <cell r="B90">
            <v>5.0999999999999996</v>
          </cell>
          <cell r="C90">
            <v>1.1000000000000001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4.5999999999999999E-3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 t="b">
            <v>0</v>
          </cell>
        </row>
        <row r="91">
          <cell r="A91" t="str">
            <v>Data split-1;Reg-89</v>
          </cell>
          <cell r="B91">
            <v>4.7</v>
          </cell>
          <cell r="C91">
            <v>1.1000000000000001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1.4E-3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 t="b">
            <v>0</v>
          </cell>
        </row>
        <row r="92">
          <cell r="A92" t="str">
            <v>Data split-1;Reg-90</v>
          </cell>
          <cell r="B92">
            <v>1.8</v>
          </cell>
          <cell r="C92">
            <v>0</v>
          </cell>
          <cell r="D92">
            <v>0.87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2.7000000000000001E-3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 t="b">
            <v>0</v>
          </cell>
        </row>
        <row r="93">
          <cell r="A93" t="str">
            <v>Data split-1;Reg-91</v>
          </cell>
          <cell r="B93">
            <v>1.6</v>
          </cell>
          <cell r="C93">
            <v>0</v>
          </cell>
          <cell r="D93">
            <v>0.83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1.1999999999999999E-3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 t="b">
            <v>0</v>
          </cell>
        </row>
        <row r="94">
          <cell r="A94" t="str">
            <v>Data split-1;Reg-92</v>
          </cell>
          <cell r="B94">
            <v>5.5</v>
          </cell>
          <cell r="C94">
            <v>1.2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1.6000000000000001E-3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 t="b">
            <v>0</v>
          </cell>
        </row>
        <row r="95">
          <cell r="A95" t="str">
            <v>Data split-1;Reg-93</v>
          </cell>
          <cell r="B95">
            <v>5.5</v>
          </cell>
          <cell r="C95">
            <v>1.1000000000000001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6.3000000000000003E-4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 t="b">
            <v>0</v>
          </cell>
        </row>
        <row r="96">
          <cell r="A96" t="str">
            <v>Data split-1;Reg-94</v>
          </cell>
          <cell r="B96">
            <v>2.7</v>
          </cell>
          <cell r="C96">
            <v>0</v>
          </cell>
          <cell r="D96">
            <v>0.83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1.0999999999999999E-2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 t="b">
            <v>0</v>
          </cell>
        </row>
        <row r="97">
          <cell r="A97" t="str">
            <v>Data split-1;Reg-95</v>
          </cell>
          <cell r="B97">
            <v>2.9</v>
          </cell>
          <cell r="C97">
            <v>0</v>
          </cell>
          <cell r="D97">
            <v>0.82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3.0999999999999999E-3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 t="b">
            <v>0</v>
          </cell>
        </row>
        <row r="98">
          <cell r="A98" t="str">
            <v>Data split-1;Reg-96</v>
          </cell>
          <cell r="B98">
            <v>3.8</v>
          </cell>
          <cell r="C98">
            <v>0.7</v>
          </cell>
          <cell r="D98">
            <v>0</v>
          </cell>
          <cell r="E98">
            <v>8.6999999999999994E-2</v>
          </cell>
          <cell r="F98">
            <v>0</v>
          </cell>
          <cell r="G98">
            <v>0</v>
          </cell>
          <cell r="H98">
            <v>0</v>
          </cell>
          <cell r="I98">
            <v>0.85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 t="b">
            <v>0</v>
          </cell>
        </row>
        <row r="99">
          <cell r="A99" t="str">
            <v>Data split-1;Reg-97</v>
          </cell>
          <cell r="B99">
            <v>0.93</v>
          </cell>
          <cell r="C99">
            <v>0.26</v>
          </cell>
          <cell r="D99">
            <v>0</v>
          </cell>
          <cell r="E99">
            <v>0.23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16.100000000000001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 t="b">
            <v>0</v>
          </cell>
        </row>
        <row r="100">
          <cell r="A100" t="str">
            <v>Data split-1;Reg-98</v>
          </cell>
          <cell r="B100">
            <v>1.6</v>
          </cell>
          <cell r="C100">
            <v>0.62</v>
          </cell>
          <cell r="D100">
            <v>0</v>
          </cell>
          <cell r="E100">
            <v>0</v>
          </cell>
          <cell r="F100">
            <v>-8.5999999999999993E-2</v>
          </cell>
          <cell r="G100">
            <v>0</v>
          </cell>
          <cell r="H100">
            <v>0</v>
          </cell>
          <cell r="I100">
            <v>2.2999999999999998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 t="b">
            <v>0</v>
          </cell>
        </row>
        <row r="101">
          <cell r="A101" t="str">
            <v>Data split-1;Reg-99</v>
          </cell>
          <cell r="B101">
            <v>2.2000000000000002</v>
          </cell>
          <cell r="C101">
            <v>0.65</v>
          </cell>
          <cell r="D101">
            <v>0</v>
          </cell>
          <cell r="E101">
            <v>0</v>
          </cell>
          <cell r="F101">
            <v>-2.8999999999999998E-3</v>
          </cell>
          <cell r="G101">
            <v>0</v>
          </cell>
          <cell r="H101">
            <v>0</v>
          </cell>
          <cell r="I101">
            <v>0</v>
          </cell>
          <cell r="J101">
            <v>15.6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 t="b">
            <v>0</v>
          </cell>
        </row>
        <row r="102">
          <cell r="A102" t="str">
            <v>Data split-1;Reg-100</v>
          </cell>
          <cell r="B102">
            <v>1.4</v>
          </cell>
          <cell r="C102">
            <v>0</v>
          </cell>
          <cell r="D102">
            <v>0.71</v>
          </cell>
          <cell r="E102">
            <v>-0.17</v>
          </cell>
          <cell r="F102">
            <v>0</v>
          </cell>
          <cell r="G102">
            <v>0</v>
          </cell>
          <cell r="H102">
            <v>0</v>
          </cell>
          <cell r="I102">
            <v>1.4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 t="b">
            <v>0</v>
          </cell>
        </row>
        <row r="103">
          <cell r="A103" t="str">
            <v>Data split-1;Reg-101</v>
          </cell>
          <cell r="B103">
            <v>1.9E-3</v>
          </cell>
          <cell r="C103">
            <v>0</v>
          </cell>
          <cell r="D103">
            <v>0.23</v>
          </cell>
          <cell r="E103">
            <v>0.19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17.100000000000001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 t="b">
            <v>0</v>
          </cell>
        </row>
        <row r="104">
          <cell r="A104" t="str">
            <v>Data split-1;Reg-102</v>
          </cell>
          <cell r="B104">
            <v>-0.39</v>
          </cell>
          <cell r="C104">
            <v>0</v>
          </cell>
          <cell r="D104">
            <v>0.44</v>
          </cell>
          <cell r="E104">
            <v>0</v>
          </cell>
          <cell r="F104">
            <v>-8.2000000000000003E-2</v>
          </cell>
          <cell r="G104">
            <v>0</v>
          </cell>
          <cell r="H104">
            <v>0</v>
          </cell>
          <cell r="I104">
            <v>2.4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 t="b">
            <v>0</v>
          </cell>
        </row>
        <row r="105">
          <cell r="A105" t="str">
            <v>Data split-1;Reg-103</v>
          </cell>
          <cell r="B105">
            <v>9.8000000000000004E-2</v>
          </cell>
          <cell r="C105">
            <v>0</v>
          </cell>
          <cell r="D105">
            <v>0.46</v>
          </cell>
          <cell r="E105">
            <v>0</v>
          </cell>
          <cell r="F105">
            <v>5.7999999999999996E-3</v>
          </cell>
          <cell r="G105">
            <v>0</v>
          </cell>
          <cell r="H105">
            <v>0</v>
          </cell>
          <cell r="I105">
            <v>0</v>
          </cell>
          <cell r="J105">
            <v>17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b">
            <v>0</v>
          </cell>
        </row>
        <row r="106">
          <cell r="A106" t="str">
            <v>Data split-1;Reg-104</v>
          </cell>
          <cell r="B106">
            <v>4</v>
          </cell>
          <cell r="C106">
            <v>0.56999999999999995</v>
          </cell>
          <cell r="D106">
            <v>0</v>
          </cell>
          <cell r="E106">
            <v>0.26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0.33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 t="b">
            <v>0</v>
          </cell>
        </row>
        <row r="107">
          <cell r="A107" t="str">
            <v>Data split-1;Reg-105</v>
          </cell>
          <cell r="B107">
            <v>3.7</v>
          </cell>
          <cell r="C107">
            <v>0.54</v>
          </cell>
          <cell r="D107">
            <v>0</v>
          </cell>
          <cell r="E107">
            <v>0.31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2.1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 t="b">
            <v>0</v>
          </cell>
        </row>
        <row r="108">
          <cell r="A108" t="str">
            <v>Data split-1;Reg-106</v>
          </cell>
          <cell r="B108">
            <v>5.4</v>
          </cell>
          <cell r="C108">
            <v>0.99</v>
          </cell>
          <cell r="D108">
            <v>0</v>
          </cell>
          <cell r="E108">
            <v>0</v>
          </cell>
          <cell r="F108">
            <v>5.7000000000000002E-3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0.26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 t="b">
            <v>0</v>
          </cell>
        </row>
        <row r="109">
          <cell r="A109" t="str">
            <v>Data split-1;Reg-107</v>
          </cell>
          <cell r="B109">
            <v>5.5</v>
          </cell>
          <cell r="C109">
            <v>1</v>
          </cell>
          <cell r="D109">
            <v>0</v>
          </cell>
          <cell r="E109">
            <v>0</v>
          </cell>
          <cell r="F109">
            <v>1.4999999999999999E-2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1.5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 t="b">
            <v>0</v>
          </cell>
        </row>
        <row r="110">
          <cell r="A110" t="str">
            <v>Data split-1;Reg-108</v>
          </cell>
          <cell r="B110">
            <v>2.4</v>
          </cell>
          <cell r="C110">
            <v>0</v>
          </cell>
          <cell r="D110">
            <v>0.43</v>
          </cell>
          <cell r="E110">
            <v>0.23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0.45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 t="b">
            <v>0</v>
          </cell>
        </row>
        <row r="111">
          <cell r="A111" t="str">
            <v>Data split-1;Reg-109</v>
          </cell>
          <cell r="B111">
            <v>2.2000000000000002</v>
          </cell>
          <cell r="C111">
            <v>0</v>
          </cell>
          <cell r="D111">
            <v>0.34</v>
          </cell>
          <cell r="E111">
            <v>0.35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2.7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 t="b">
            <v>0</v>
          </cell>
        </row>
        <row r="112">
          <cell r="A112" t="str">
            <v>Data split-1;Reg-110</v>
          </cell>
          <cell r="B112">
            <v>2.7</v>
          </cell>
          <cell r="C112">
            <v>0</v>
          </cell>
          <cell r="D112">
            <v>0.68</v>
          </cell>
          <cell r="E112">
            <v>0</v>
          </cell>
          <cell r="F112">
            <v>0.02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0.41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 t="b">
            <v>0</v>
          </cell>
        </row>
        <row r="113">
          <cell r="A113" t="str">
            <v>Data split-1;Reg-111</v>
          </cell>
          <cell r="B113">
            <v>2.8</v>
          </cell>
          <cell r="C113">
            <v>0</v>
          </cell>
          <cell r="D113">
            <v>0.7</v>
          </cell>
          <cell r="E113">
            <v>0</v>
          </cell>
          <cell r="F113">
            <v>3.5000000000000003E-2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2.2999999999999998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 t="b">
            <v>0</v>
          </cell>
        </row>
        <row r="114">
          <cell r="A114" t="str">
            <v>Data split-1;Reg-112</v>
          </cell>
          <cell r="B114">
            <v>2.9</v>
          </cell>
          <cell r="C114">
            <v>0.64</v>
          </cell>
          <cell r="D114">
            <v>0</v>
          </cell>
          <cell r="E114">
            <v>0</v>
          </cell>
          <cell r="F114">
            <v>0</v>
          </cell>
          <cell r="G114">
            <v>0.3</v>
          </cell>
          <cell r="H114">
            <v>0</v>
          </cell>
          <cell r="I114">
            <v>0.51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 t="b">
            <v>0</v>
          </cell>
        </row>
        <row r="115">
          <cell r="A115" t="str">
            <v>Data split-1;Reg-113</v>
          </cell>
          <cell r="B115">
            <v>0.49</v>
          </cell>
          <cell r="C115">
            <v>0.31</v>
          </cell>
          <cell r="D115">
            <v>0</v>
          </cell>
          <cell r="E115">
            <v>0</v>
          </cell>
          <cell r="F115">
            <v>0</v>
          </cell>
          <cell r="G115">
            <v>0.35</v>
          </cell>
          <cell r="H115">
            <v>0</v>
          </cell>
          <cell r="I115">
            <v>0</v>
          </cell>
          <cell r="J115">
            <v>13.8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 t="b">
            <v>0</v>
          </cell>
        </row>
        <row r="116">
          <cell r="A116" t="str">
            <v>Data split-1;Reg-114</v>
          </cell>
          <cell r="B116">
            <v>2.7</v>
          </cell>
          <cell r="C116">
            <v>0.67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0.32</v>
          </cell>
          <cell r="I116">
            <v>0.43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 t="b">
            <v>0</v>
          </cell>
        </row>
        <row r="117">
          <cell r="A117" t="str">
            <v>Data split-1;Reg-115</v>
          </cell>
          <cell r="B117">
            <v>0.56000000000000005</v>
          </cell>
          <cell r="C117">
            <v>0.38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0.33</v>
          </cell>
          <cell r="I117">
            <v>0</v>
          </cell>
          <cell r="J117">
            <v>13.3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 t="b">
            <v>0</v>
          </cell>
        </row>
        <row r="118">
          <cell r="A118" t="str">
            <v>Data split-1;Reg-116</v>
          </cell>
          <cell r="B118">
            <v>1.1000000000000001</v>
          </cell>
          <cell r="C118">
            <v>0</v>
          </cell>
          <cell r="D118">
            <v>0.49</v>
          </cell>
          <cell r="E118">
            <v>0</v>
          </cell>
          <cell r="F118">
            <v>0</v>
          </cell>
          <cell r="G118">
            <v>0.16</v>
          </cell>
          <cell r="H118">
            <v>0</v>
          </cell>
          <cell r="I118">
            <v>0.97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 t="b">
            <v>0</v>
          </cell>
        </row>
        <row r="119">
          <cell r="A119" t="str">
            <v>Data split-1;Reg-117</v>
          </cell>
          <cell r="B119">
            <v>-0.59</v>
          </cell>
          <cell r="C119">
            <v>0</v>
          </cell>
          <cell r="D119">
            <v>0.27</v>
          </cell>
          <cell r="E119">
            <v>0</v>
          </cell>
          <cell r="F119">
            <v>0</v>
          </cell>
          <cell r="G119">
            <v>0.31</v>
          </cell>
          <cell r="H119">
            <v>0</v>
          </cell>
          <cell r="I119">
            <v>0</v>
          </cell>
          <cell r="J119">
            <v>14.7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 t="b">
            <v>0</v>
          </cell>
        </row>
        <row r="120">
          <cell r="A120" t="str">
            <v>Data split-1;Reg-118</v>
          </cell>
          <cell r="B120">
            <v>1.1000000000000001</v>
          </cell>
          <cell r="C120">
            <v>0</v>
          </cell>
          <cell r="D120">
            <v>0.51</v>
          </cell>
          <cell r="E120">
            <v>0</v>
          </cell>
          <cell r="F120">
            <v>0</v>
          </cell>
          <cell r="G120">
            <v>0</v>
          </cell>
          <cell r="H120">
            <v>0.12</v>
          </cell>
          <cell r="I120">
            <v>1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 t="b">
            <v>0</v>
          </cell>
        </row>
        <row r="121">
          <cell r="A121" t="str">
            <v>Data split-1;Reg-119</v>
          </cell>
          <cell r="B121">
            <v>-0.7</v>
          </cell>
          <cell r="C121">
            <v>0</v>
          </cell>
          <cell r="D121">
            <v>0.3</v>
          </cell>
          <cell r="E121">
            <v>0</v>
          </cell>
          <cell r="F121">
            <v>0</v>
          </cell>
          <cell r="G121">
            <v>0</v>
          </cell>
          <cell r="H121">
            <v>0.28000000000000003</v>
          </cell>
          <cell r="I121">
            <v>0</v>
          </cell>
          <cell r="J121">
            <v>14.9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 t="b">
            <v>0</v>
          </cell>
        </row>
        <row r="122">
          <cell r="A122" t="str">
            <v>Data split-1;Reg-120</v>
          </cell>
          <cell r="B122">
            <v>2.7</v>
          </cell>
          <cell r="C122">
            <v>0.54</v>
          </cell>
          <cell r="D122">
            <v>0</v>
          </cell>
          <cell r="E122">
            <v>0</v>
          </cell>
          <cell r="F122">
            <v>0</v>
          </cell>
          <cell r="G122">
            <v>0.44</v>
          </cell>
          <cell r="H122">
            <v>0</v>
          </cell>
          <cell r="I122">
            <v>0</v>
          </cell>
          <cell r="J122">
            <v>0</v>
          </cell>
          <cell r="K122">
            <v>0.25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 t="b">
            <v>0</v>
          </cell>
        </row>
        <row r="123">
          <cell r="A123" t="str">
            <v>Data split-1;Reg-121</v>
          </cell>
          <cell r="B123">
            <v>2.2999999999999998</v>
          </cell>
          <cell r="C123">
            <v>0.49</v>
          </cell>
          <cell r="D123">
            <v>0</v>
          </cell>
          <cell r="E123">
            <v>0</v>
          </cell>
          <cell r="F123">
            <v>0</v>
          </cell>
          <cell r="G123">
            <v>0.51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1.8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 t="b">
            <v>0</v>
          </cell>
        </row>
        <row r="124">
          <cell r="A124" t="str">
            <v>Data split-1;Reg-122</v>
          </cell>
          <cell r="B124">
            <v>2.5</v>
          </cell>
          <cell r="C124">
            <v>0.59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0.43</v>
          </cell>
          <cell r="I124">
            <v>0</v>
          </cell>
          <cell r="J124">
            <v>0</v>
          </cell>
          <cell r="K124">
            <v>0.24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 t="b">
            <v>0</v>
          </cell>
        </row>
        <row r="125">
          <cell r="A125" t="str">
            <v>Data split-1;Reg-123</v>
          </cell>
          <cell r="B125">
            <v>2.2000000000000002</v>
          </cell>
          <cell r="C125">
            <v>0.55000000000000004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0.49</v>
          </cell>
          <cell r="I125">
            <v>0</v>
          </cell>
          <cell r="J125">
            <v>0</v>
          </cell>
          <cell r="K125">
            <v>0</v>
          </cell>
          <cell r="L125">
            <v>1.7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 t="b">
            <v>0</v>
          </cell>
        </row>
        <row r="126">
          <cell r="A126" t="str">
            <v>Data split-1;Reg-124</v>
          </cell>
          <cell r="B126">
            <v>1.1000000000000001</v>
          </cell>
          <cell r="C126">
            <v>0</v>
          </cell>
          <cell r="D126">
            <v>0.4</v>
          </cell>
          <cell r="E126">
            <v>0</v>
          </cell>
          <cell r="F126">
            <v>0</v>
          </cell>
          <cell r="G126">
            <v>0.43</v>
          </cell>
          <cell r="H126">
            <v>0</v>
          </cell>
          <cell r="I126">
            <v>0</v>
          </cell>
          <cell r="J126">
            <v>0</v>
          </cell>
          <cell r="K126">
            <v>0.34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 t="b">
            <v>0</v>
          </cell>
        </row>
        <row r="127">
          <cell r="A127" t="str">
            <v>Data split-1;Reg-125</v>
          </cell>
          <cell r="B127">
            <v>0.71</v>
          </cell>
          <cell r="C127">
            <v>0</v>
          </cell>
          <cell r="D127">
            <v>0.35</v>
          </cell>
          <cell r="E127">
            <v>0</v>
          </cell>
          <cell r="F127">
            <v>0</v>
          </cell>
          <cell r="G127">
            <v>0.53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2.2000000000000002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 t="b">
            <v>0</v>
          </cell>
        </row>
        <row r="128">
          <cell r="A128" t="str">
            <v>Data split-1;Reg-126</v>
          </cell>
          <cell r="B128">
            <v>0.93</v>
          </cell>
          <cell r="C128">
            <v>0</v>
          </cell>
          <cell r="D128">
            <v>0.42</v>
          </cell>
          <cell r="E128">
            <v>0</v>
          </cell>
          <cell r="F128">
            <v>0</v>
          </cell>
          <cell r="G128">
            <v>0</v>
          </cell>
          <cell r="H128">
            <v>0.41</v>
          </cell>
          <cell r="I128">
            <v>0</v>
          </cell>
          <cell r="J128">
            <v>0</v>
          </cell>
          <cell r="K128">
            <v>0.35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 t="b">
            <v>0</v>
          </cell>
        </row>
        <row r="129">
          <cell r="A129" t="str">
            <v>Data split-1;Reg-127</v>
          </cell>
          <cell r="B129">
            <v>0.46</v>
          </cell>
          <cell r="C129">
            <v>0</v>
          </cell>
          <cell r="D129">
            <v>0.39</v>
          </cell>
          <cell r="E129">
            <v>0</v>
          </cell>
          <cell r="F129">
            <v>0</v>
          </cell>
          <cell r="G129">
            <v>0</v>
          </cell>
          <cell r="H129">
            <v>0.51</v>
          </cell>
          <cell r="I129">
            <v>0</v>
          </cell>
          <cell r="J129">
            <v>0</v>
          </cell>
          <cell r="K129">
            <v>0</v>
          </cell>
          <cell r="L129">
            <v>2.2000000000000002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 t="b">
            <v>0</v>
          </cell>
        </row>
        <row r="130">
          <cell r="A130" t="str">
            <v>Data split-2;Reg-1</v>
          </cell>
          <cell r="B130">
            <v>-2.2000000000000002</v>
          </cell>
          <cell r="C130">
            <v>0.48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0.78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-1.0999999999999999E-2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 t="b">
            <v>1</v>
          </cell>
        </row>
        <row r="131">
          <cell r="A131" t="str">
            <v>Data split-2;Reg-2</v>
          </cell>
          <cell r="B131">
            <v>-3.2</v>
          </cell>
          <cell r="C131">
            <v>0.17</v>
          </cell>
          <cell r="D131">
            <v>0</v>
          </cell>
          <cell r="E131">
            <v>0</v>
          </cell>
          <cell r="F131">
            <v>-3.5000000000000003E-2</v>
          </cell>
          <cell r="G131">
            <v>1.9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-1.0999999999999999E-2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 t="b">
            <v>0</v>
          </cell>
        </row>
        <row r="132">
          <cell r="A132" t="str">
            <v>Data split-2;Reg-3</v>
          </cell>
          <cell r="B132">
            <v>-5.0999999999999996</v>
          </cell>
          <cell r="C132">
            <v>0.18</v>
          </cell>
          <cell r="D132">
            <v>0</v>
          </cell>
          <cell r="E132">
            <v>0</v>
          </cell>
          <cell r="F132">
            <v>-2.3E-2</v>
          </cell>
          <cell r="G132">
            <v>0</v>
          </cell>
          <cell r="H132">
            <v>1.8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-4.3999999999999997E-2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 t="b">
            <v>0</v>
          </cell>
        </row>
        <row r="133">
          <cell r="A133" t="str">
            <v>Data split-2;Reg-4</v>
          </cell>
          <cell r="B133">
            <v>-3.2</v>
          </cell>
          <cell r="C133">
            <v>0.27</v>
          </cell>
          <cell r="D133">
            <v>0</v>
          </cell>
          <cell r="E133">
            <v>0</v>
          </cell>
          <cell r="F133">
            <v>-2.5000000000000001E-2</v>
          </cell>
          <cell r="G133">
            <v>0</v>
          </cell>
          <cell r="H133">
            <v>1.8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-1.0999999999999999E-2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 t="b">
            <v>0</v>
          </cell>
        </row>
        <row r="134">
          <cell r="A134" t="str">
            <v>Data split-2;Reg-5</v>
          </cell>
          <cell r="B134">
            <v>-2.5</v>
          </cell>
          <cell r="C134">
            <v>0</v>
          </cell>
          <cell r="D134">
            <v>0.31</v>
          </cell>
          <cell r="E134">
            <v>0</v>
          </cell>
          <cell r="F134">
            <v>2.8999999999999998E-3</v>
          </cell>
          <cell r="G134">
            <v>1.7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-1.2E-2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 t="b">
            <v>1</v>
          </cell>
        </row>
        <row r="135">
          <cell r="A135" t="str">
            <v>Data split-2;Reg-6</v>
          </cell>
          <cell r="B135">
            <v>-2.7</v>
          </cell>
          <cell r="C135">
            <v>0</v>
          </cell>
          <cell r="D135">
            <v>0.33</v>
          </cell>
          <cell r="E135">
            <v>0</v>
          </cell>
          <cell r="F135">
            <v>1.2E-2</v>
          </cell>
          <cell r="G135">
            <v>0</v>
          </cell>
          <cell r="H135">
            <v>1.7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-1.2999999999999999E-2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 t="b">
            <v>1</v>
          </cell>
        </row>
        <row r="136">
          <cell r="A136" t="str">
            <v>Data split-2;Reg-7</v>
          </cell>
          <cell r="B136">
            <v>-3.3</v>
          </cell>
          <cell r="C136">
            <v>0.32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0.53</v>
          </cell>
          <cell r="I136">
            <v>1.5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-2.3E-2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 t="b">
            <v>0</v>
          </cell>
        </row>
        <row r="137">
          <cell r="A137" t="str">
            <v>Data split-2;Reg-8</v>
          </cell>
          <cell r="B137">
            <v>-3</v>
          </cell>
          <cell r="C137">
            <v>0.37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0.51</v>
          </cell>
          <cell r="I137">
            <v>1.4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-5.0000000000000001E-3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 t="b">
            <v>0</v>
          </cell>
        </row>
        <row r="138">
          <cell r="A138" t="str">
            <v>Data split-2;Reg-9</v>
          </cell>
          <cell r="B138">
            <v>0.44</v>
          </cell>
          <cell r="C138">
            <v>0.62</v>
          </cell>
          <cell r="D138">
            <v>0</v>
          </cell>
          <cell r="E138">
            <v>0</v>
          </cell>
          <cell r="F138">
            <v>0</v>
          </cell>
          <cell r="G138">
            <v>-0.67</v>
          </cell>
          <cell r="H138">
            <v>0</v>
          </cell>
          <cell r="I138">
            <v>0.6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1.2E-2</v>
          </cell>
          <cell r="S138">
            <v>0</v>
          </cell>
          <cell r="T138">
            <v>0</v>
          </cell>
          <cell r="U138" t="b">
            <v>0</v>
          </cell>
        </row>
        <row r="139">
          <cell r="A139" t="str">
            <v>Data split-2;Reg-10</v>
          </cell>
          <cell r="B139">
            <v>-2.2999999999999998</v>
          </cell>
          <cell r="C139">
            <v>0.34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0.78</v>
          </cell>
          <cell r="I139">
            <v>0</v>
          </cell>
          <cell r="J139">
            <v>0</v>
          </cell>
          <cell r="K139">
            <v>0.25</v>
          </cell>
          <cell r="L139">
            <v>0</v>
          </cell>
          <cell r="M139">
            <v>0</v>
          </cell>
          <cell r="N139">
            <v>0</v>
          </cell>
          <cell r="O139">
            <v>-1.2E-2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 t="b">
            <v>0</v>
          </cell>
        </row>
        <row r="140">
          <cell r="A140" t="str">
            <v>Data split-2;Reg-11</v>
          </cell>
          <cell r="B140">
            <v>0.67</v>
          </cell>
          <cell r="C140">
            <v>0.73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1.3</v>
          </cell>
          <cell r="J140">
            <v>0</v>
          </cell>
          <cell r="K140">
            <v>-5.4000000000000003E-3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 t="b">
            <v>0</v>
          </cell>
        </row>
        <row r="141">
          <cell r="A141" t="str">
            <v>Data split-2;Reg-12</v>
          </cell>
          <cell r="B141">
            <v>0.74</v>
          </cell>
          <cell r="C141">
            <v>0.72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1.3</v>
          </cell>
          <cell r="J141">
            <v>0</v>
          </cell>
          <cell r="K141">
            <v>0</v>
          </cell>
          <cell r="L141">
            <v>0.38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 t="b">
            <v>0</v>
          </cell>
        </row>
        <row r="142">
          <cell r="A142" t="str">
            <v>Data split-2;Reg-13</v>
          </cell>
          <cell r="B142">
            <v>-4.9000000000000004</v>
          </cell>
          <cell r="C142">
            <v>0.41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43.4</v>
          </cell>
          <cell r="K142">
            <v>-1.1000000000000001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 t="b">
            <v>0</v>
          </cell>
        </row>
        <row r="143">
          <cell r="A143" t="str">
            <v>Data split-2;Reg-14</v>
          </cell>
          <cell r="B143">
            <v>-4</v>
          </cell>
          <cell r="C143">
            <v>0.34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37.1</v>
          </cell>
          <cell r="K143">
            <v>0</v>
          </cell>
          <cell r="L143">
            <v>-5.2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 t="b">
            <v>0</v>
          </cell>
        </row>
        <row r="144">
          <cell r="A144" t="str">
            <v>Data split-2;Reg-15</v>
          </cell>
          <cell r="B144">
            <v>0.61</v>
          </cell>
          <cell r="C144">
            <v>0.62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0.66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1.7999999999999999E-2</v>
          </cell>
          <cell r="R144">
            <v>0</v>
          </cell>
          <cell r="S144">
            <v>0</v>
          </cell>
          <cell r="T144">
            <v>0</v>
          </cell>
          <cell r="U144" t="b">
            <v>0</v>
          </cell>
        </row>
        <row r="145">
          <cell r="A145" t="str">
            <v>Data split-2;Reg-16</v>
          </cell>
          <cell r="B145">
            <v>-0.51</v>
          </cell>
          <cell r="C145">
            <v>0.51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0.39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6.3E-3</v>
          </cell>
          <cell r="S145">
            <v>0</v>
          </cell>
          <cell r="T145">
            <v>0</v>
          </cell>
          <cell r="U145" t="b">
            <v>0</v>
          </cell>
        </row>
        <row r="146">
          <cell r="A146" t="str">
            <v>Data split-2;Reg-17</v>
          </cell>
          <cell r="B146">
            <v>-0.54</v>
          </cell>
          <cell r="C146">
            <v>0.47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11.4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1.7999999999999999E-2</v>
          </cell>
          <cell r="R146">
            <v>0</v>
          </cell>
          <cell r="S146">
            <v>0</v>
          </cell>
          <cell r="T146">
            <v>0</v>
          </cell>
          <cell r="U146" t="b">
            <v>0</v>
          </cell>
        </row>
        <row r="147">
          <cell r="A147" t="str">
            <v>Data split-2;Reg-18</v>
          </cell>
          <cell r="B147">
            <v>-1.6</v>
          </cell>
          <cell r="C147">
            <v>0.34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10.3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5.8999999999999999E-3</v>
          </cell>
          <cell r="S147">
            <v>0</v>
          </cell>
          <cell r="T147">
            <v>0</v>
          </cell>
          <cell r="U147" t="b">
            <v>0</v>
          </cell>
        </row>
        <row r="148">
          <cell r="A148" t="str">
            <v>Data split-2;Reg-19</v>
          </cell>
          <cell r="B148">
            <v>1.2</v>
          </cell>
          <cell r="C148">
            <v>0.63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0.16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2.4E-2</v>
          </cell>
          <cell r="T148">
            <v>0</v>
          </cell>
          <cell r="U148" t="b">
            <v>0</v>
          </cell>
        </row>
        <row r="149">
          <cell r="A149" t="str">
            <v>Data split-2;Reg-20</v>
          </cell>
          <cell r="B149">
            <v>-0.27</v>
          </cell>
          <cell r="C149">
            <v>0.45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0.17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7.1999999999999998E-3</v>
          </cell>
          <cell r="U149" t="b">
            <v>0</v>
          </cell>
        </row>
        <row r="150">
          <cell r="A150" t="str">
            <v>Data split-2;Reg-21</v>
          </cell>
          <cell r="B150">
            <v>1.2</v>
          </cell>
          <cell r="C150">
            <v>0.62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1.1000000000000001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2.5000000000000001E-2</v>
          </cell>
          <cell r="T150">
            <v>0</v>
          </cell>
          <cell r="U150" t="b">
            <v>0</v>
          </cell>
        </row>
        <row r="151">
          <cell r="A151" t="str">
            <v>Data split-2;Reg-22</v>
          </cell>
          <cell r="B151">
            <v>-0.37</v>
          </cell>
          <cell r="C151">
            <v>0.42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1.3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7.6E-3</v>
          </cell>
          <cell r="U151" t="b">
            <v>0</v>
          </cell>
        </row>
        <row r="152">
          <cell r="A152" t="str">
            <v>Data split-2;Reg-23</v>
          </cell>
          <cell r="B152">
            <v>-1</v>
          </cell>
          <cell r="C152">
            <v>0</v>
          </cell>
          <cell r="D152">
            <v>0.52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1.3</v>
          </cell>
          <cell r="J152">
            <v>0</v>
          </cell>
          <cell r="K152">
            <v>0.11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 t="b">
            <v>0</v>
          </cell>
        </row>
        <row r="153">
          <cell r="A153" t="str">
            <v>Data split-2;Reg-24</v>
          </cell>
          <cell r="B153">
            <v>-1</v>
          </cell>
          <cell r="C153">
            <v>0</v>
          </cell>
          <cell r="D153">
            <v>0.52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1.4</v>
          </cell>
          <cell r="J153">
            <v>0</v>
          </cell>
          <cell r="K153">
            <v>0</v>
          </cell>
          <cell r="L153">
            <v>0.86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 t="b">
            <v>0</v>
          </cell>
        </row>
        <row r="154">
          <cell r="A154" t="str">
            <v>Data split-2;Reg-25</v>
          </cell>
          <cell r="B154">
            <v>-5.6</v>
          </cell>
          <cell r="C154">
            <v>0</v>
          </cell>
          <cell r="D154">
            <v>0.3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41.6</v>
          </cell>
          <cell r="K154">
            <v>-0.97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 t="b">
            <v>0</v>
          </cell>
        </row>
        <row r="155">
          <cell r="A155" t="str">
            <v>Data split-2;Reg-26</v>
          </cell>
          <cell r="B155">
            <v>-4.5999999999999996</v>
          </cell>
          <cell r="C155">
            <v>0</v>
          </cell>
          <cell r="D155">
            <v>0.28000000000000003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35.4</v>
          </cell>
          <cell r="K155">
            <v>0</v>
          </cell>
          <cell r="L155">
            <v>-4.7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 t="b">
            <v>0</v>
          </cell>
        </row>
        <row r="156">
          <cell r="A156" t="str">
            <v>Data split-2;Reg-27</v>
          </cell>
          <cell r="B156">
            <v>-1.1000000000000001</v>
          </cell>
          <cell r="C156">
            <v>0</v>
          </cell>
          <cell r="D156">
            <v>0.48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1.3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5.1000000000000004E-3</v>
          </cell>
          <cell r="R156">
            <v>0</v>
          </cell>
          <cell r="S156">
            <v>0</v>
          </cell>
          <cell r="T156">
            <v>0</v>
          </cell>
          <cell r="U156" t="b">
            <v>0</v>
          </cell>
        </row>
        <row r="157">
          <cell r="A157" t="str">
            <v>Data split-2;Reg-28</v>
          </cell>
          <cell r="B157">
            <v>-1.5</v>
          </cell>
          <cell r="C157">
            <v>0</v>
          </cell>
          <cell r="D157">
            <v>0.37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0.93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4.3E-3</v>
          </cell>
          <cell r="S157">
            <v>0</v>
          </cell>
          <cell r="T157">
            <v>0</v>
          </cell>
          <cell r="U157" t="b">
            <v>0</v>
          </cell>
        </row>
        <row r="158">
          <cell r="A158" t="str">
            <v>Data split-2;Reg-29</v>
          </cell>
          <cell r="B158">
            <v>-1.9</v>
          </cell>
          <cell r="C158">
            <v>0</v>
          </cell>
          <cell r="D158">
            <v>0.35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14.4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1.4E-2</v>
          </cell>
          <cell r="R158">
            <v>0</v>
          </cell>
          <cell r="S158">
            <v>0</v>
          </cell>
          <cell r="T158">
            <v>0</v>
          </cell>
          <cell r="U158" t="b">
            <v>0</v>
          </cell>
        </row>
        <row r="159">
          <cell r="A159" t="str">
            <v>Data split-2;Reg-30</v>
          </cell>
          <cell r="B159">
            <v>-2.5</v>
          </cell>
          <cell r="C159">
            <v>0</v>
          </cell>
          <cell r="D159">
            <v>0.25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12.6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5.1999999999999998E-3</v>
          </cell>
          <cell r="S159">
            <v>0</v>
          </cell>
          <cell r="T159">
            <v>0</v>
          </cell>
          <cell r="U159" t="b">
            <v>0</v>
          </cell>
        </row>
        <row r="160">
          <cell r="A160" t="str">
            <v>Data split-2;Reg-31</v>
          </cell>
          <cell r="B160">
            <v>5.3999999999999999E-2</v>
          </cell>
          <cell r="C160">
            <v>0</v>
          </cell>
          <cell r="D160">
            <v>0.45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0.31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0.02</v>
          </cell>
          <cell r="T160">
            <v>0</v>
          </cell>
          <cell r="U160" t="b">
            <v>0</v>
          </cell>
        </row>
        <row r="161">
          <cell r="A161" t="str">
            <v>Data split-2;Reg-32</v>
          </cell>
          <cell r="B161">
            <v>-1</v>
          </cell>
          <cell r="C161">
            <v>0</v>
          </cell>
          <cell r="D161">
            <v>0.31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0.27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6.8999999999999999E-3</v>
          </cell>
          <cell r="U161" t="b">
            <v>0</v>
          </cell>
        </row>
        <row r="162">
          <cell r="A162" t="str">
            <v>Data split-2;Reg-33</v>
          </cell>
          <cell r="B162">
            <v>4.1000000000000003E-3</v>
          </cell>
          <cell r="C162">
            <v>0</v>
          </cell>
          <cell r="D162">
            <v>0.43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1.8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2.4E-2</v>
          </cell>
          <cell r="T162">
            <v>0</v>
          </cell>
          <cell r="U162" t="b">
            <v>0</v>
          </cell>
        </row>
        <row r="163">
          <cell r="A163" t="str">
            <v>Data split-2;Reg-34</v>
          </cell>
          <cell r="B163">
            <v>-1.2</v>
          </cell>
          <cell r="C163">
            <v>0</v>
          </cell>
          <cell r="D163">
            <v>0.28000000000000003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1.7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7.6E-3</v>
          </cell>
          <cell r="U163" t="b">
            <v>0</v>
          </cell>
        </row>
        <row r="164">
          <cell r="A164" t="str">
            <v>Data split-2;Reg-35</v>
          </cell>
          <cell r="B164">
            <v>0.72</v>
          </cell>
          <cell r="C164">
            <v>0.61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0.54</v>
          </cell>
          <cell r="J164">
            <v>0</v>
          </cell>
          <cell r="K164">
            <v>7.2999999999999995E-2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1.7999999999999999E-2</v>
          </cell>
          <cell r="R164">
            <v>0</v>
          </cell>
          <cell r="S164">
            <v>0</v>
          </cell>
          <cell r="T164">
            <v>0</v>
          </cell>
          <cell r="U164" t="b">
            <v>0</v>
          </cell>
        </row>
        <row r="165">
          <cell r="A165" t="str">
            <v>Data split-2;Reg-36</v>
          </cell>
          <cell r="B165">
            <v>-0.38</v>
          </cell>
          <cell r="C165">
            <v>0.47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0.12</v>
          </cell>
          <cell r="J165">
            <v>0</v>
          </cell>
          <cell r="K165">
            <v>0.14000000000000001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6.7999999999999996E-3</v>
          </cell>
          <cell r="S165">
            <v>0</v>
          </cell>
          <cell r="T165">
            <v>0</v>
          </cell>
          <cell r="U165" t="b">
            <v>0</v>
          </cell>
        </row>
        <row r="166">
          <cell r="A166" t="str">
            <v>Data split-2;Reg-37</v>
          </cell>
          <cell r="B166">
            <v>0.74</v>
          </cell>
          <cell r="C166">
            <v>0.59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0.5</v>
          </cell>
          <cell r="J166">
            <v>0</v>
          </cell>
          <cell r="K166">
            <v>0</v>
          </cell>
          <cell r="L166">
            <v>0.79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1.9E-2</v>
          </cell>
          <cell r="R166">
            <v>0</v>
          </cell>
          <cell r="S166">
            <v>0</v>
          </cell>
          <cell r="T166">
            <v>0</v>
          </cell>
          <cell r="U166" t="b">
            <v>0</v>
          </cell>
        </row>
        <row r="167">
          <cell r="A167" t="str">
            <v>Data split-2;Reg-38</v>
          </cell>
          <cell r="B167">
            <v>-0.46</v>
          </cell>
          <cell r="C167">
            <v>0.46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0.13</v>
          </cell>
          <cell r="J167">
            <v>0</v>
          </cell>
          <cell r="K167">
            <v>0</v>
          </cell>
          <cell r="L167">
            <v>1.1000000000000001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7.1000000000000004E-3</v>
          </cell>
          <cell r="S167">
            <v>0</v>
          </cell>
          <cell r="T167">
            <v>0</v>
          </cell>
          <cell r="U167" t="b">
            <v>0</v>
          </cell>
        </row>
        <row r="168">
          <cell r="A168" t="str">
            <v>Data split-2;Reg-39</v>
          </cell>
          <cell r="B168">
            <v>-4.4000000000000004</v>
          </cell>
          <cell r="C168">
            <v>0.32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36.1</v>
          </cell>
          <cell r="K168">
            <v>-0.93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1.2E-2</v>
          </cell>
          <cell r="R168">
            <v>0</v>
          </cell>
          <cell r="S168">
            <v>0</v>
          </cell>
          <cell r="T168">
            <v>0</v>
          </cell>
          <cell r="U168" t="b">
            <v>0</v>
          </cell>
        </row>
        <row r="169">
          <cell r="A169" t="str">
            <v>Data split-2;Reg-40</v>
          </cell>
          <cell r="B169">
            <v>-4.5999999999999996</v>
          </cell>
          <cell r="C169">
            <v>0.25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32.200000000000003</v>
          </cell>
          <cell r="K169">
            <v>-0.81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4.1000000000000003E-3</v>
          </cell>
          <cell r="S169">
            <v>0</v>
          </cell>
          <cell r="T169">
            <v>0</v>
          </cell>
          <cell r="U169" t="b">
            <v>0</v>
          </cell>
        </row>
        <row r="170">
          <cell r="A170" t="str">
            <v>Data split-2;Reg-41</v>
          </cell>
          <cell r="B170">
            <v>-3.4</v>
          </cell>
          <cell r="C170">
            <v>0.31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30.9</v>
          </cell>
          <cell r="K170">
            <v>0</v>
          </cell>
          <cell r="L170">
            <v>-4.2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8.2000000000000007E-3</v>
          </cell>
          <cell r="R170">
            <v>0</v>
          </cell>
          <cell r="S170">
            <v>0</v>
          </cell>
          <cell r="T170">
            <v>0</v>
          </cell>
          <cell r="U170" t="b">
            <v>0</v>
          </cell>
        </row>
        <row r="171">
          <cell r="A171" t="str">
            <v>Data split-2;Reg-42</v>
          </cell>
          <cell r="B171">
            <v>-3.4</v>
          </cell>
          <cell r="C171">
            <v>0.26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25.4</v>
          </cell>
          <cell r="K171">
            <v>0</v>
          </cell>
          <cell r="L171">
            <v>-3.2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3.7000000000000002E-3</v>
          </cell>
          <cell r="S171">
            <v>0</v>
          </cell>
          <cell r="T171">
            <v>0</v>
          </cell>
          <cell r="U171" t="b">
            <v>0</v>
          </cell>
        </row>
        <row r="172">
          <cell r="A172" t="str">
            <v>Data split-2;Reg-43</v>
          </cell>
          <cell r="B172">
            <v>0.77</v>
          </cell>
          <cell r="C172">
            <v>0.6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0.56000000000000005</v>
          </cell>
          <cell r="J172">
            <v>0</v>
          </cell>
          <cell r="K172">
            <v>7.1999999999999995E-2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1.7999999999999999E-2</v>
          </cell>
          <cell r="T172">
            <v>0</v>
          </cell>
          <cell r="U172" t="b">
            <v>0</v>
          </cell>
        </row>
        <row r="173">
          <cell r="A173" t="str">
            <v>Data split-2;Reg-44</v>
          </cell>
          <cell r="B173">
            <v>-0.3</v>
          </cell>
          <cell r="C173">
            <v>0.45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0.13</v>
          </cell>
          <cell r="J173">
            <v>0</v>
          </cell>
          <cell r="K173">
            <v>0.15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6.8999999999999999E-3</v>
          </cell>
          <cell r="U173" t="b">
            <v>0</v>
          </cell>
        </row>
        <row r="174">
          <cell r="A174" t="str">
            <v>Data split-2;Reg-45</v>
          </cell>
          <cell r="B174">
            <v>0.79</v>
          </cell>
          <cell r="C174">
            <v>0.57999999999999996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0.52</v>
          </cell>
          <cell r="J174">
            <v>0</v>
          </cell>
          <cell r="K174">
            <v>0</v>
          </cell>
          <cell r="L174">
            <v>0.81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1.9E-2</v>
          </cell>
          <cell r="T174">
            <v>0</v>
          </cell>
          <cell r="U174" t="b">
            <v>0</v>
          </cell>
        </row>
        <row r="175">
          <cell r="A175" t="str">
            <v>Data split-2;Reg-46</v>
          </cell>
          <cell r="B175">
            <v>-0.39</v>
          </cell>
          <cell r="C175">
            <v>0.42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0.12</v>
          </cell>
          <cell r="J175">
            <v>0</v>
          </cell>
          <cell r="K175">
            <v>0</v>
          </cell>
          <cell r="L175">
            <v>1.2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7.1999999999999998E-3</v>
          </cell>
          <cell r="U175" t="b">
            <v>0</v>
          </cell>
        </row>
        <row r="176">
          <cell r="A176" t="str">
            <v>Data split-2;Reg-47</v>
          </cell>
          <cell r="B176">
            <v>-4.4000000000000004</v>
          </cell>
          <cell r="C176">
            <v>0.3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36.700000000000003</v>
          </cell>
          <cell r="K176">
            <v>-0.94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1.2E-2</v>
          </cell>
          <cell r="T176">
            <v>0</v>
          </cell>
          <cell r="U176" t="b">
            <v>0</v>
          </cell>
        </row>
        <row r="177">
          <cell r="A177" t="str">
            <v>Data split-2;Reg-48</v>
          </cell>
          <cell r="B177">
            <v>-4.7</v>
          </cell>
          <cell r="C177">
            <v>0.22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33.200000000000003</v>
          </cell>
          <cell r="K177">
            <v>-0.84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4.1000000000000003E-3</v>
          </cell>
          <cell r="U177" t="b">
            <v>0</v>
          </cell>
        </row>
        <row r="178">
          <cell r="A178" t="str">
            <v>Data split-2;Reg-49</v>
          </cell>
          <cell r="B178">
            <v>-3.5</v>
          </cell>
          <cell r="C178">
            <v>0.31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31.9</v>
          </cell>
          <cell r="K178">
            <v>0</v>
          </cell>
          <cell r="L178">
            <v>-4.3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7.1000000000000004E-3</v>
          </cell>
          <cell r="T178">
            <v>0</v>
          </cell>
          <cell r="U178" t="b">
            <v>0</v>
          </cell>
        </row>
        <row r="179">
          <cell r="A179" t="str">
            <v>Data split-2;Reg-50</v>
          </cell>
          <cell r="B179">
            <v>-3.5</v>
          </cell>
          <cell r="C179">
            <v>0.25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26.7</v>
          </cell>
          <cell r="K179">
            <v>0</v>
          </cell>
          <cell r="L179">
            <v>-3.4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3.3999999999999998E-3</v>
          </cell>
          <cell r="U179" t="b">
            <v>0</v>
          </cell>
        </row>
        <row r="180">
          <cell r="A180" t="str">
            <v>Data split-2;Reg-51</v>
          </cell>
          <cell r="B180">
            <v>-0.85</v>
          </cell>
          <cell r="C180">
            <v>0</v>
          </cell>
          <cell r="D180">
            <v>0.47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1.1000000000000001</v>
          </cell>
          <cell r="J180">
            <v>0</v>
          </cell>
          <cell r="K180">
            <v>0.13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6.6E-3</v>
          </cell>
          <cell r="R180">
            <v>0</v>
          </cell>
          <cell r="S180">
            <v>0</v>
          </cell>
          <cell r="T180">
            <v>0</v>
          </cell>
          <cell r="U180" t="b">
            <v>0</v>
          </cell>
        </row>
        <row r="181">
          <cell r="A181" t="str">
            <v>Data split-2;Reg-52</v>
          </cell>
          <cell r="B181">
            <v>-1.3</v>
          </cell>
          <cell r="C181">
            <v>0</v>
          </cell>
          <cell r="D181">
            <v>0.34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0.54</v>
          </cell>
          <cell r="J181">
            <v>0</v>
          </cell>
          <cell r="K181">
            <v>0.19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5.0000000000000001E-3</v>
          </cell>
          <cell r="S181">
            <v>0</v>
          </cell>
          <cell r="T181">
            <v>0</v>
          </cell>
          <cell r="U181" t="b">
            <v>0</v>
          </cell>
        </row>
        <row r="182">
          <cell r="A182" t="str">
            <v>Data split-2;Reg-53</v>
          </cell>
          <cell r="B182">
            <v>-0.86</v>
          </cell>
          <cell r="C182">
            <v>0</v>
          </cell>
          <cell r="D182">
            <v>0.46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1.1000000000000001</v>
          </cell>
          <cell r="J182">
            <v>0</v>
          </cell>
          <cell r="K182">
            <v>0</v>
          </cell>
          <cell r="L182">
            <v>0.99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7.4000000000000003E-3</v>
          </cell>
          <cell r="R182">
            <v>0</v>
          </cell>
          <cell r="S182">
            <v>0</v>
          </cell>
          <cell r="T182">
            <v>0</v>
          </cell>
          <cell r="U182" t="b">
            <v>0</v>
          </cell>
        </row>
        <row r="183">
          <cell r="A183" t="str">
            <v>Data split-2;Reg-54</v>
          </cell>
          <cell r="B183">
            <v>-1.3</v>
          </cell>
          <cell r="C183">
            <v>0</v>
          </cell>
          <cell r="D183">
            <v>0.33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0.57999999999999996</v>
          </cell>
          <cell r="J183">
            <v>0</v>
          </cell>
          <cell r="K183">
            <v>0</v>
          </cell>
          <cell r="L183">
            <v>1.3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5.3E-3</v>
          </cell>
          <cell r="S183">
            <v>0</v>
          </cell>
          <cell r="T183">
            <v>0</v>
          </cell>
          <cell r="U183" t="b">
            <v>0</v>
          </cell>
        </row>
        <row r="184">
          <cell r="A184" t="str">
            <v>Data split-2;Reg-55</v>
          </cell>
          <cell r="B184">
            <v>-5.0999999999999996</v>
          </cell>
          <cell r="C184">
            <v>0</v>
          </cell>
          <cell r="D184">
            <v>0.21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37.5</v>
          </cell>
          <cell r="K184">
            <v>-0.89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9.9000000000000008E-3</v>
          </cell>
          <cell r="R184">
            <v>0</v>
          </cell>
          <cell r="S184">
            <v>0</v>
          </cell>
          <cell r="T184">
            <v>0</v>
          </cell>
          <cell r="U184" t="b">
            <v>0</v>
          </cell>
        </row>
        <row r="185">
          <cell r="A185" t="str">
            <v>Data split-2;Reg-56</v>
          </cell>
          <cell r="B185">
            <v>-5.2</v>
          </cell>
          <cell r="C185">
            <v>0</v>
          </cell>
          <cell r="D185">
            <v>0.15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33.5</v>
          </cell>
          <cell r="K185">
            <v>-0.79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3.8999999999999998E-3</v>
          </cell>
          <cell r="S185">
            <v>0</v>
          </cell>
          <cell r="T185">
            <v>0</v>
          </cell>
          <cell r="U185" t="b">
            <v>0</v>
          </cell>
        </row>
        <row r="186">
          <cell r="A186" t="str">
            <v>Data split-2;Reg-57</v>
          </cell>
          <cell r="B186">
            <v>-4.4000000000000004</v>
          </cell>
          <cell r="C186">
            <v>0</v>
          </cell>
          <cell r="D186">
            <v>0.26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33.200000000000003</v>
          </cell>
          <cell r="K186">
            <v>0</v>
          </cell>
          <cell r="L186">
            <v>-4.3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3.5999999999999999E-3</v>
          </cell>
          <cell r="R186">
            <v>0</v>
          </cell>
          <cell r="S186">
            <v>0</v>
          </cell>
          <cell r="T186">
            <v>0</v>
          </cell>
          <cell r="U186" t="b">
            <v>0</v>
          </cell>
        </row>
        <row r="187">
          <cell r="A187" t="str">
            <v>Data split-2;Reg-58</v>
          </cell>
          <cell r="B187">
            <v>-4.2</v>
          </cell>
          <cell r="C187">
            <v>0</v>
          </cell>
          <cell r="D187">
            <v>0.21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28</v>
          </cell>
          <cell r="K187">
            <v>0</v>
          </cell>
          <cell r="L187">
            <v>-3.4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2.8E-3</v>
          </cell>
          <cell r="S187">
            <v>0</v>
          </cell>
          <cell r="T187">
            <v>0</v>
          </cell>
          <cell r="U187" t="b">
            <v>0</v>
          </cell>
        </row>
        <row r="188">
          <cell r="A188" t="str">
            <v>Data split-2;Reg-59</v>
          </cell>
          <cell r="B188">
            <v>-0.88</v>
          </cell>
          <cell r="C188">
            <v>0</v>
          </cell>
          <cell r="D188">
            <v>0.48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1.2</v>
          </cell>
          <cell r="J188">
            <v>0</v>
          </cell>
          <cell r="K188">
            <v>0.12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4.5999999999999999E-3</v>
          </cell>
          <cell r="T188">
            <v>0</v>
          </cell>
          <cell r="U188" t="b">
            <v>0</v>
          </cell>
        </row>
        <row r="189">
          <cell r="A189" t="str">
            <v>Data split-2;Reg-60</v>
          </cell>
          <cell r="B189">
            <v>-1.2</v>
          </cell>
          <cell r="C189">
            <v>0</v>
          </cell>
          <cell r="D189">
            <v>0.34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0.55000000000000004</v>
          </cell>
          <cell r="J189">
            <v>0</v>
          </cell>
          <cell r="K189">
            <v>0.18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4.8999999999999998E-3</v>
          </cell>
          <cell r="U189" t="b">
            <v>0</v>
          </cell>
        </row>
        <row r="190">
          <cell r="A190" t="str">
            <v>Data split-2;Reg-61</v>
          </cell>
          <cell r="B190">
            <v>-0.87</v>
          </cell>
          <cell r="C190">
            <v>0</v>
          </cell>
          <cell r="D190">
            <v>0.47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1.2</v>
          </cell>
          <cell r="J190">
            <v>0</v>
          </cell>
          <cell r="K190">
            <v>0</v>
          </cell>
          <cell r="L190">
            <v>0.96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5.7000000000000002E-3</v>
          </cell>
          <cell r="T190">
            <v>0</v>
          </cell>
          <cell r="U190" t="b">
            <v>0</v>
          </cell>
        </row>
        <row r="191">
          <cell r="A191" t="str">
            <v>Data split-2;Reg-62</v>
          </cell>
          <cell r="B191">
            <v>-1.2</v>
          </cell>
          <cell r="C191">
            <v>0</v>
          </cell>
          <cell r="D191">
            <v>0.33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0.55000000000000004</v>
          </cell>
          <cell r="J191">
            <v>0</v>
          </cell>
          <cell r="K191">
            <v>0</v>
          </cell>
          <cell r="L191">
            <v>1.3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5.3E-3</v>
          </cell>
          <cell r="U191" t="b">
            <v>0</v>
          </cell>
        </row>
        <row r="192">
          <cell r="A192" t="str">
            <v>Data split-2;Reg-63</v>
          </cell>
          <cell r="B192">
            <v>-5.0999999999999996</v>
          </cell>
          <cell r="C192">
            <v>0</v>
          </cell>
          <cell r="D192">
            <v>0.21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37.799999999999997</v>
          </cell>
          <cell r="K192">
            <v>-0.9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9.9000000000000008E-3</v>
          </cell>
          <cell r="T192">
            <v>0</v>
          </cell>
          <cell r="U192" t="b">
            <v>0</v>
          </cell>
        </row>
        <row r="193">
          <cell r="A193" t="str">
            <v>Data split-2;Reg-64</v>
          </cell>
          <cell r="B193">
            <v>-5.2</v>
          </cell>
          <cell r="C193">
            <v>0</v>
          </cell>
          <cell r="D193">
            <v>0.14000000000000001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34</v>
          </cell>
          <cell r="K193">
            <v>-0.81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3.8999999999999998E-3</v>
          </cell>
          <cell r="U193" t="b">
            <v>0</v>
          </cell>
        </row>
        <row r="194">
          <cell r="A194" t="str">
            <v>Data split-2;Reg-65</v>
          </cell>
          <cell r="B194">
            <v>-4.5</v>
          </cell>
          <cell r="C194">
            <v>0</v>
          </cell>
          <cell r="D194">
            <v>0.27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33.9</v>
          </cell>
          <cell r="K194">
            <v>0</v>
          </cell>
          <cell r="L194">
            <v>-4.4000000000000004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2.3999999999999998E-3</v>
          </cell>
          <cell r="T194">
            <v>0</v>
          </cell>
          <cell r="U194" t="b">
            <v>0</v>
          </cell>
        </row>
        <row r="195">
          <cell r="A195" t="str">
            <v>Data split-2;Reg-66</v>
          </cell>
          <cell r="B195">
            <v>-4.2</v>
          </cell>
          <cell r="C195">
            <v>0</v>
          </cell>
          <cell r="D195">
            <v>0.21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28.7</v>
          </cell>
          <cell r="K195">
            <v>0</v>
          </cell>
          <cell r="L195">
            <v>-3.5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2.5000000000000001E-3</v>
          </cell>
          <cell r="U195" t="b">
            <v>0</v>
          </cell>
        </row>
        <row r="196">
          <cell r="A196" t="str">
            <v>Data split-2;Reg-67</v>
          </cell>
          <cell r="B196">
            <v>-0.82</v>
          </cell>
          <cell r="C196">
            <v>0.54</v>
          </cell>
          <cell r="D196">
            <v>0</v>
          </cell>
          <cell r="E196">
            <v>0</v>
          </cell>
          <cell r="F196">
            <v>0</v>
          </cell>
          <cell r="G196">
            <v>0.62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 t="b">
            <v>1</v>
          </cell>
        </row>
        <row r="197">
          <cell r="A197" t="str">
            <v>Data split-2;Reg-68</v>
          </cell>
          <cell r="B197">
            <v>-2.4</v>
          </cell>
          <cell r="C197">
            <v>0.42</v>
          </cell>
          <cell r="D197">
            <v>0</v>
          </cell>
          <cell r="E197">
            <v>0</v>
          </cell>
          <cell r="F197">
            <v>-4.7E-2</v>
          </cell>
          <cell r="G197">
            <v>0.88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 t="b">
            <v>0</v>
          </cell>
        </row>
        <row r="198">
          <cell r="A198" t="str">
            <v>Data split-2;Reg-69</v>
          </cell>
          <cell r="B198">
            <v>-2.4</v>
          </cell>
          <cell r="C198">
            <v>0.25</v>
          </cell>
          <cell r="D198">
            <v>0</v>
          </cell>
          <cell r="E198">
            <v>0</v>
          </cell>
          <cell r="F198">
            <v>0</v>
          </cell>
          <cell r="G198">
            <v>0.5</v>
          </cell>
          <cell r="H198">
            <v>0</v>
          </cell>
          <cell r="I198">
            <v>0</v>
          </cell>
          <cell r="J198">
            <v>12.7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 t="b">
            <v>0</v>
          </cell>
        </row>
        <row r="199">
          <cell r="A199" t="str">
            <v>Data split-2;Reg-70</v>
          </cell>
          <cell r="B199">
            <v>-3.8</v>
          </cell>
          <cell r="C199">
            <v>0.16</v>
          </cell>
          <cell r="D199">
            <v>0</v>
          </cell>
          <cell r="E199">
            <v>0</v>
          </cell>
          <cell r="F199">
            <v>0</v>
          </cell>
          <cell r="G199">
            <v>0.88</v>
          </cell>
          <cell r="H199">
            <v>0</v>
          </cell>
          <cell r="I199">
            <v>0</v>
          </cell>
          <cell r="J199">
            <v>14.5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-1.7999999999999999E-2</v>
          </cell>
          <cell r="T199">
            <v>0</v>
          </cell>
          <cell r="U199" t="b">
            <v>0</v>
          </cell>
        </row>
        <row r="200">
          <cell r="A200" t="str">
            <v>Data split-2;Reg-71</v>
          </cell>
          <cell r="B200">
            <v>-4.0999999999999996</v>
          </cell>
          <cell r="C200">
            <v>0.23</v>
          </cell>
          <cell r="D200">
            <v>0</v>
          </cell>
          <cell r="E200">
            <v>0</v>
          </cell>
          <cell r="F200">
            <v>-3.7999999999999999E-2</v>
          </cell>
          <cell r="G200">
            <v>0</v>
          </cell>
          <cell r="H200">
            <v>1.2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-1.2E-2</v>
          </cell>
          <cell r="T200">
            <v>0</v>
          </cell>
          <cell r="U200" t="b">
            <v>0</v>
          </cell>
        </row>
        <row r="201">
          <cell r="A201" t="str">
            <v>Data split-2;Reg-72</v>
          </cell>
          <cell r="B201">
            <v>1.2</v>
          </cell>
          <cell r="C201">
            <v>0.71</v>
          </cell>
          <cell r="D201">
            <v>0</v>
          </cell>
          <cell r="E201">
            <v>0.31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 t="b">
            <v>0</v>
          </cell>
        </row>
        <row r="202">
          <cell r="A202" t="str">
            <v>Data split-2;Reg-73</v>
          </cell>
          <cell r="B202">
            <v>2.6</v>
          </cell>
          <cell r="C202">
            <v>1.1000000000000001</v>
          </cell>
          <cell r="D202">
            <v>0</v>
          </cell>
          <cell r="E202">
            <v>0</v>
          </cell>
          <cell r="F202">
            <v>4.2999999999999997E-2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 t="b">
            <v>0</v>
          </cell>
        </row>
        <row r="203">
          <cell r="A203" t="str">
            <v>Data split-2;Reg-74</v>
          </cell>
          <cell r="B203">
            <v>-0.13</v>
          </cell>
          <cell r="C203">
            <v>0</v>
          </cell>
          <cell r="D203">
            <v>0.47</v>
          </cell>
          <cell r="E203">
            <v>0.33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 t="b">
            <v>1</v>
          </cell>
        </row>
        <row r="204">
          <cell r="A204" t="str">
            <v>Data split-2;Reg-75</v>
          </cell>
          <cell r="B204">
            <v>0.46</v>
          </cell>
          <cell r="C204">
            <v>0</v>
          </cell>
          <cell r="D204">
            <v>0.74</v>
          </cell>
          <cell r="E204">
            <v>0</v>
          </cell>
          <cell r="F204">
            <v>6.3E-2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 t="b">
            <v>0</v>
          </cell>
        </row>
        <row r="205">
          <cell r="A205" t="str">
            <v>Data split-2;Reg-76</v>
          </cell>
          <cell r="B205">
            <v>-0.82</v>
          </cell>
          <cell r="C205">
            <v>0.54</v>
          </cell>
          <cell r="D205">
            <v>0</v>
          </cell>
          <cell r="E205">
            <v>0</v>
          </cell>
          <cell r="F205">
            <v>0</v>
          </cell>
          <cell r="G205">
            <v>0.62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 t="b">
            <v>1</v>
          </cell>
        </row>
        <row r="206">
          <cell r="A206" t="str">
            <v>Data split-2;Reg-77</v>
          </cell>
          <cell r="B206">
            <v>-1</v>
          </cell>
          <cell r="C206">
            <v>0.55000000000000004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0.62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 t="b">
            <v>1</v>
          </cell>
        </row>
        <row r="207">
          <cell r="A207" t="str">
            <v>Data split-2;Reg-78</v>
          </cell>
          <cell r="B207">
            <v>-2</v>
          </cell>
          <cell r="C207">
            <v>0</v>
          </cell>
          <cell r="D207">
            <v>0.35</v>
          </cell>
          <cell r="E207">
            <v>0</v>
          </cell>
          <cell r="F207">
            <v>0</v>
          </cell>
          <cell r="G207">
            <v>0.66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 t="b">
            <v>1</v>
          </cell>
        </row>
        <row r="208">
          <cell r="A208" t="str">
            <v>Data split-2;Reg-79</v>
          </cell>
          <cell r="B208">
            <v>-2.2000000000000002</v>
          </cell>
          <cell r="C208">
            <v>0</v>
          </cell>
          <cell r="D208">
            <v>0.35</v>
          </cell>
          <cell r="E208">
            <v>0</v>
          </cell>
          <cell r="F208">
            <v>0</v>
          </cell>
          <cell r="G208">
            <v>0</v>
          </cell>
          <cell r="H208">
            <v>0.67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 t="b">
            <v>1</v>
          </cell>
        </row>
        <row r="209">
          <cell r="A209" t="str">
            <v>Data split-2;Reg-80</v>
          </cell>
          <cell r="B209">
            <v>0.68</v>
          </cell>
          <cell r="C209">
            <v>0.73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1.3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 t="b">
            <v>0</v>
          </cell>
        </row>
        <row r="210">
          <cell r="A210" t="str">
            <v>Data split-2;Reg-81</v>
          </cell>
          <cell r="B210">
            <v>-0.28999999999999998</v>
          </cell>
          <cell r="C210">
            <v>0.68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15.8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 t="b">
            <v>0</v>
          </cell>
        </row>
        <row r="211">
          <cell r="A211" t="str">
            <v>Data split-2;Reg-82</v>
          </cell>
          <cell r="B211">
            <v>-1.2</v>
          </cell>
          <cell r="C211">
            <v>0</v>
          </cell>
          <cell r="D211">
            <v>0.52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1.5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 t="b">
            <v>0</v>
          </cell>
        </row>
        <row r="212">
          <cell r="A212" t="str">
            <v>Data split-2;Reg-83</v>
          </cell>
          <cell r="B212">
            <v>-2.1</v>
          </cell>
          <cell r="C212">
            <v>0</v>
          </cell>
          <cell r="D212">
            <v>0.49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17.3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 t="b">
            <v>0</v>
          </cell>
        </row>
        <row r="213">
          <cell r="A213" t="str">
            <v>Data split-2;Reg-84</v>
          </cell>
          <cell r="B213">
            <v>2.4</v>
          </cell>
          <cell r="C213">
            <v>1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0.26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 t="b">
            <v>0</v>
          </cell>
        </row>
        <row r="214">
          <cell r="A214" t="str">
            <v>Data split-2;Reg-85</v>
          </cell>
          <cell r="B214">
            <v>2.5</v>
          </cell>
          <cell r="C214">
            <v>1.1000000000000001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1.2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 t="b">
            <v>0</v>
          </cell>
        </row>
        <row r="215">
          <cell r="A215" t="str">
            <v>Data split-2;Reg-86</v>
          </cell>
          <cell r="B215">
            <v>0.22</v>
          </cell>
          <cell r="C215">
            <v>0</v>
          </cell>
          <cell r="D215">
            <v>0.71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0.44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 t="b">
            <v>0</v>
          </cell>
        </row>
        <row r="216">
          <cell r="A216" t="str">
            <v>Data split-2;Reg-87</v>
          </cell>
          <cell r="B216">
            <v>0.15</v>
          </cell>
          <cell r="C216">
            <v>0</v>
          </cell>
          <cell r="D216">
            <v>0.78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2.2000000000000002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 t="b">
            <v>0</v>
          </cell>
        </row>
        <row r="217">
          <cell r="A217" t="str">
            <v>Data split-2;Reg-88</v>
          </cell>
          <cell r="B217">
            <v>1.7</v>
          </cell>
          <cell r="C217">
            <v>0.98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1.2E-2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 t="b">
            <v>0</v>
          </cell>
        </row>
        <row r="218">
          <cell r="A218" t="str">
            <v>Data split-2;Reg-89</v>
          </cell>
          <cell r="B218">
            <v>1.2</v>
          </cell>
          <cell r="C218">
            <v>0.95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3.0000000000000001E-3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 t="b">
            <v>0</v>
          </cell>
        </row>
        <row r="219">
          <cell r="A219" t="str">
            <v>Data split-2;Reg-90</v>
          </cell>
          <cell r="B219">
            <v>-0.13</v>
          </cell>
          <cell r="C219">
            <v>0</v>
          </cell>
          <cell r="D219">
            <v>0.75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8.3000000000000001E-3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 t="b">
            <v>0</v>
          </cell>
        </row>
        <row r="220">
          <cell r="A220" t="str">
            <v>Data split-2;Reg-91</v>
          </cell>
          <cell r="B220">
            <v>-0.53</v>
          </cell>
          <cell r="C220">
            <v>0</v>
          </cell>
          <cell r="D220">
            <v>0.72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2.3999999999999998E-3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 t="b">
            <v>0</v>
          </cell>
        </row>
        <row r="221">
          <cell r="A221" t="str">
            <v>Data split-2;Reg-92</v>
          </cell>
          <cell r="B221">
            <v>2.7</v>
          </cell>
          <cell r="C221">
            <v>1.1000000000000001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7.1000000000000004E-3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 t="b">
            <v>0</v>
          </cell>
        </row>
        <row r="222">
          <cell r="A222" t="str">
            <v>Data split-2;Reg-93</v>
          </cell>
          <cell r="B222">
            <v>2.8</v>
          </cell>
          <cell r="C222">
            <v>1.1000000000000001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1.9E-3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 t="b">
            <v>0</v>
          </cell>
        </row>
        <row r="223">
          <cell r="A223" t="str">
            <v>Data split-2;Reg-94</v>
          </cell>
          <cell r="B223">
            <v>0.64</v>
          </cell>
          <cell r="C223">
            <v>0</v>
          </cell>
          <cell r="D223">
            <v>0.8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1.7000000000000001E-2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 t="b">
            <v>0</v>
          </cell>
        </row>
        <row r="224">
          <cell r="A224" t="str">
            <v>Data split-2;Reg-95</v>
          </cell>
          <cell r="B224">
            <v>0.75</v>
          </cell>
          <cell r="C224">
            <v>0</v>
          </cell>
          <cell r="D224">
            <v>0.79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4.4000000000000003E-3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 t="b">
            <v>0</v>
          </cell>
        </row>
        <row r="225">
          <cell r="A225" t="str">
            <v>Data split-2;Reg-96</v>
          </cell>
          <cell r="B225">
            <v>0.27</v>
          </cell>
          <cell r="C225">
            <v>0.55000000000000004</v>
          </cell>
          <cell r="D225">
            <v>0</v>
          </cell>
          <cell r="E225">
            <v>0.16</v>
          </cell>
          <cell r="F225">
            <v>0</v>
          </cell>
          <cell r="G225">
            <v>0</v>
          </cell>
          <cell r="H225">
            <v>0</v>
          </cell>
          <cell r="I225">
            <v>1.1000000000000001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 t="b">
            <v>0</v>
          </cell>
        </row>
        <row r="226">
          <cell r="A226" t="str">
            <v>Data split-2;Reg-97</v>
          </cell>
          <cell r="B226">
            <v>-1.8</v>
          </cell>
          <cell r="C226">
            <v>0.13</v>
          </cell>
          <cell r="D226">
            <v>0</v>
          </cell>
          <cell r="E226">
            <v>0.33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16.5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 t="b">
            <v>0</v>
          </cell>
        </row>
        <row r="227">
          <cell r="A227" t="str">
            <v>Data split-2;Reg-98</v>
          </cell>
          <cell r="B227">
            <v>-0.88</v>
          </cell>
          <cell r="C227">
            <v>0.61</v>
          </cell>
          <cell r="D227">
            <v>0</v>
          </cell>
          <cell r="E227">
            <v>0</v>
          </cell>
          <cell r="F227">
            <v>-6.9000000000000006E-2</v>
          </cell>
          <cell r="G227">
            <v>0</v>
          </cell>
          <cell r="H227">
            <v>0</v>
          </cell>
          <cell r="I227">
            <v>2.2999999999999998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 t="b">
            <v>0</v>
          </cell>
        </row>
        <row r="228">
          <cell r="A228" t="str">
            <v>Data split-2;Reg-99</v>
          </cell>
          <cell r="B228">
            <v>-1.7000000000000001E-2</v>
          </cell>
          <cell r="C228">
            <v>0.64</v>
          </cell>
          <cell r="D228">
            <v>0</v>
          </cell>
          <cell r="E228">
            <v>0</v>
          </cell>
          <cell r="F228">
            <v>2.5000000000000001E-2</v>
          </cell>
          <cell r="G228">
            <v>0</v>
          </cell>
          <cell r="H228">
            <v>0</v>
          </cell>
          <cell r="I228">
            <v>0</v>
          </cell>
          <cell r="J228">
            <v>14.7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 t="b">
            <v>0</v>
          </cell>
        </row>
        <row r="229">
          <cell r="A229" t="str">
            <v>Data split-2;Reg-100</v>
          </cell>
          <cell r="B229">
            <v>-1.3</v>
          </cell>
          <cell r="C229">
            <v>0</v>
          </cell>
          <cell r="D229">
            <v>0.63</v>
          </cell>
          <cell r="E229">
            <v>-0.12</v>
          </cell>
          <cell r="F229">
            <v>0</v>
          </cell>
          <cell r="G229">
            <v>0</v>
          </cell>
          <cell r="H229">
            <v>0</v>
          </cell>
          <cell r="I229">
            <v>1.7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 t="b">
            <v>0</v>
          </cell>
        </row>
        <row r="230">
          <cell r="A230" t="str">
            <v>Data split-2;Reg-101</v>
          </cell>
          <cell r="B230">
            <v>-2.2000000000000002</v>
          </cell>
          <cell r="C230">
            <v>0</v>
          </cell>
          <cell r="D230">
            <v>0.15</v>
          </cell>
          <cell r="E230">
            <v>0.28000000000000003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16.899999999999999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 t="b">
            <v>0</v>
          </cell>
        </row>
        <row r="231">
          <cell r="A231" t="str">
            <v>Data split-2;Reg-102</v>
          </cell>
          <cell r="B231">
            <v>-2.2999999999999998</v>
          </cell>
          <cell r="C231">
            <v>0</v>
          </cell>
          <cell r="D231">
            <v>0.45</v>
          </cell>
          <cell r="E231">
            <v>0</v>
          </cell>
          <cell r="F231">
            <v>-0.06</v>
          </cell>
          <cell r="G231">
            <v>0</v>
          </cell>
          <cell r="H231">
            <v>0</v>
          </cell>
          <cell r="I231">
            <v>2.2999999999999998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 t="b">
            <v>0</v>
          </cell>
        </row>
        <row r="232">
          <cell r="A232" t="str">
            <v>Data split-2;Reg-103</v>
          </cell>
          <cell r="B232">
            <v>-1.6</v>
          </cell>
          <cell r="C232">
            <v>0</v>
          </cell>
          <cell r="D232">
            <v>0.47</v>
          </cell>
          <cell r="E232">
            <v>0</v>
          </cell>
          <cell r="F232">
            <v>3.2000000000000001E-2</v>
          </cell>
          <cell r="G232">
            <v>0</v>
          </cell>
          <cell r="H232">
            <v>0</v>
          </cell>
          <cell r="I232">
            <v>0</v>
          </cell>
          <cell r="J232">
            <v>15.3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 t="b">
            <v>0</v>
          </cell>
        </row>
        <row r="233">
          <cell r="A233" t="str">
            <v>Data split-2;Reg-104</v>
          </cell>
          <cell r="B233">
            <v>0.84</v>
          </cell>
          <cell r="C233">
            <v>0.4</v>
          </cell>
          <cell r="D233">
            <v>0</v>
          </cell>
          <cell r="E233">
            <v>0.37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0.36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 t="b">
            <v>0</v>
          </cell>
        </row>
        <row r="234">
          <cell r="A234" t="str">
            <v>Data split-2;Reg-105</v>
          </cell>
          <cell r="B234">
            <v>0.67</v>
          </cell>
          <cell r="C234">
            <v>0.37</v>
          </cell>
          <cell r="D234">
            <v>0</v>
          </cell>
          <cell r="E234">
            <v>0.42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2.2999999999999998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 t="b">
            <v>0</v>
          </cell>
        </row>
        <row r="235">
          <cell r="A235" t="str">
            <v>Data split-2;Reg-106</v>
          </cell>
          <cell r="B235">
            <v>2.6</v>
          </cell>
          <cell r="C235">
            <v>0.94</v>
          </cell>
          <cell r="D235">
            <v>0</v>
          </cell>
          <cell r="E235">
            <v>0</v>
          </cell>
          <cell r="F235">
            <v>3.9E-2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0.23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 t="b">
            <v>0</v>
          </cell>
        </row>
        <row r="236">
          <cell r="A236" t="str">
            <v>Data split-2;Reg-107</v>
          </cell>
          <cell r="B236">
            <v>2.6</v>
          </cell>
          <cell r="C236">
            <v>0.94</v>
          </cell>
          <cell r="D236">
            <v>0</v>
          </cell>
          <cell r="E236">
            <v>0</v>
          </cell>
          <cell r="F236">
            <v>4.8000000000000001E-2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1.5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 t="b">
            <v>0</v>
          </cell>
        </row>
        <row r="237">
          <cell r="A237" t="str">
            <v>Data split-2;Reg-108</v>
          </cell>
          <cell r="B237">
            <v>8.5000000000000006E-2</v>
          </cell>
          <cell r="C237">
            <v>0</v>
          </cell>
          <cell r="D237">
            <v>0.31</v>
          </cell>
          <cell r="E237">
            <v>0.33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0.44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 t="b">
            <v>0</v>
          </cell>
        </row>
        <row r="238">
          <cell r="A238" t="str">
            <v>Data split-2;Reg-109</v>
          </cell>
          <cell r="B238">
            <v>5.5999999999999999E-3</v>
          </cell>
          <cell r="C238">
            <v>0</v>
          </cell>
          <cell r="D238">
            <v>0.21</v>
          </cell>
          <cell r="E238">
            <v>0.45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2.8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 t="b">
            <v>0</v>
          </cell>
        </row>
        <row r="239">
          <cell r="A239" t="str">
            <v>Data split-2;Reg-110</v>
          </cell>
          <cell r="B239">
            <v>0.54</v>
          </cell>
          <cell r="C239">
            <v>0</v>
          </cell>
          <cell r="D239">
            <v>0.64</v>
          </cell>
          <cell r="E239">
            <v>0</v>
          </cell>
          <cell r="F239">
            <v>4.9000000000000002E-2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0.36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 t="b">
            <v>0</v>
          </cell>
        </row>
        <row r="240">
          <cell r="A240" t="str">
            <v>Data split-2;Reg-111</v>
          </cell>
          <cell r="B240">
            <v>0.62</v>
          </cell>
          <cell r="C240">
            <v>0</v>
          </cell>
          <cell r="D240">
            <v>0.65</v>
          </cell>
          <cell r="E240">
            <v>0</v>
          </cell>
          <cell r="F240">
            <v>6.4000000000000001E-2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2.2999999999999998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 t="b">
            <v>0</v>
          </cell>
        </row>
        <row r="241">
          <cell r="A241" t="str">
            <v>Data split-2;Reg-112</v>
          </cell>
          <cell r="B241">
            <v>-0.68</v>
          </cell>
          <cell r="C241">
            <v>0.52</v>
          </cell>
          <cell r="D241">
            <v>0</v>
          </cell>
          <cell r="E241">
            <v>0</v>
          </cell>
          <cell r="F241">
            <v>0</v>
          </cell>
          <cell r="G241">
            <v>0.44</v>
          </cell>
          <cell r="H241">
            <v>0</v>
          </cell>
          <cell r="I241">
            <v>0.61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 t="b">
            <v>0</v>
          </cell>
        </row>
        <row r="242">
          <cell r="A242" t="str">
            <v>Data split-2;Reg-113</v>
          </cell>
          <cell r="B242">
            <v>-2.4</v>
          </cell>
          <cell r="C242">
            <v>0.25</v>
          </cell>
          <cell r="D242">
            <v>0</v>
          </cell>
          <cell r="E242">
            <v>0</v>
          </cell>
          <cell r="F242">
            <v>0</v>
          </cell>
          <cell r="G242">
            <v>0.5</v>
          </cell>
          <cell r="H242">
            <v>0</v>
          </cell>
          <cell r="I242">
            <v>0</v>
          </cell>
          <cell r="J242">
            <v>12.7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 t="b">
            <v>0</v>
          </cell>
        </row>
        <row r="243">
          <cell r="A243" t="str">
            <v>Data split-2;Reg-114</v>
          </cell>
          <cell r="B243">
            <v>-0.86</v>
          </cell>
          <cell r="C243">
            <v>0.52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0.46</v>
          </cell>
          <cell r="I243">
            <v>0.56999999999999995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 t="b">
            <v>0</v>
          </cell>
        </row>
        <row r="244">
          <cell r="A244" t="str">
            <v>Data split-2;Reg-115</v>
          </cell>
          <cell r="B244">
            <v>-2.5</v>
          </cell>
          <cell r="C244">
            <v>0.27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0.51</v>
          </cell>
          <cell r="I244">
            <v>0</v>
          </cell>
          <cell r="J244">
            <v>12.5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 t="b">
            <v>0</v>
          </cell>
        </row>
        <row r="245">
          <cell r="A245" t="str">
            <v>Data split-2;Reg-116</v>
          </cell>
          <cell r="B245">
            <v>-1.6</v>
          </cell>
          <cell r="C245">
            <v>0</v>
          </cell>
          <cell r="D245">
            <v>0.43</v>
          </cell>
          <cell r="E245">
            <v>0</v>
          </cell>
          <cell r="F245">
            <v>0</v>
          </cell>
          <cell r="G245">
            <v>0.23</v>
          </cell>
          <cell r="H245">
            <v>0</v>
          </cell>
          <cell r="I245">
            <v>1.1000000000000001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 t="b">
            <v>0</v>
          </cell>
        </row>
        <row r="246">
          <cell r="A246" t="str">
            <v>Data split-2;Reg-117</v>
          </cell>
          <cell r="B246">
            <v>-3</v>
          </cell>
          <cell r="C246">
            <v>0</v>
          </cell>
          <cell r="D246">
            <v>0.24</v>
          </cell>
          <cell r="E246">
            <v>0</v>
          </cell>
          <cell r="F246">
            <v>0</v>
          </cell>
          <cell r="G246">
            <v>0.43</v>
          </cell>
          <cell r="H246">
            <v>0</v>
          </cell>
          <cell r="I246">
            <v>0</v>
          </cell>
          <cell r="J246">
            <v>13.6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 t="b">
            <v>0</v>
          </cell>
        </row>
        <row r="247">
          <cell r="A247" t="str">
            <v>Data split-2;Reg-118</v>
          </cell>
          <cell r="B247">
            <v>-1.7</v>
          </cell>
          <cell r="C247">
            <v>0</v>
          </cell>
          <cell r="D247">
            <v>0.42</v>
          </cell>
          <cell r="E247">
            <v>0</v>
          </cell>
          <cell r="F247">
            <v>0</v>
          </cell>
          <cell r="G247">
            <v>0</v>
          </cell>
          <cell r="H247">
            <v>0.24</v>
          </cell>
          <cell r="I247">
            <v>1.1000000000000001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 t="b">
            <v>0</v>
          </cell>
        </row>
        <row r="248">
          <cell r="A248" t="str">
            <v>Data split-2;Reg-119</v>
          </cell>
          <cell r="B248">
            <v>-3.1</v>
          </cell>
          <cell r="C248">
            <v>0</v>
          </cell>
          <cell r="D248">
            <v>0.23</v>
          </cell>
          <cell r="E248">
            <v>0</v>
          </cell>
          <cell r="F248">
            <v>0</v>
          </cell>
          <cell r="G248">
            <v>0</v>
          </cell>
          <cell r="H248">
            <v>0.44</v>
          </cell>
          <cell r="I248">
            <v>0</v>
          </cell>
          <cell r="J248">
            <v>13.6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 t="b">
            <v>0</v>
          </cell>
        </row>
        <row r="249">
          <cell r="A249" t="str">
            <v>Data split-2;Reg-120</v>
          </cell>
          <cell r="B249">
            <v>-0.79</v>
          </cell>
          <cell r="C249">
            <v>0.43</v>
          </cell>
          <cell r="D249">
            <v>0</v>
          </cell>
          <cell r="E249">
            <v>0</v>
          </cell>
          <cell r="F249">
            <v>0</v>
          </cell>
          <cell r="G249">
            <v>0.6</v>
          </cell>
          <cell r="H249">
            <v>0</v>
          </cell>
          <cell r="I249">
            <v>0</v>
          </cell>
          <cell r="J249">
            <v>0</v>
          </cell>
          <cell r="K249">
            <v>0.23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 t="b">
            <v>0</v>
          </cell>
        </row>
        <row r="250">
          <cell r="A250" t="str">
            <v>Data split-2;Reg-121</v>
          </cell>
          <cell r="B250">
            <v>-1.1000000000000001</v>
          </cell>
          <cell r="C250">
            <v>0.38</v>
          </cell>
          <cell r="D250">
            <v>0</v>
          </cell>
          <cell r="E250">
            <v>0</v>
          </cell>
          <cell r="F250">
            <v>0</v>
          </cell>
          <cell r="G250">
            <v>0.67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1.8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 t="b">
            <v>0</v>
          </cell>
        </row>
        <row r="251">
          <cell r="A251" t="str">
            <v>Data split-2;Reg-122</v>
          </cell>
          <cell r="B251">
            <v>-0.96</v>
          </cell>
          <cell r="C251">
            <v>0.44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0.61</v>
          </cell>
          <cell r="I251">
            <v>0</v>
          </cell>
          <cell r="J251">
            <v>0</v>
          </cell>
          <cell r="K251">
            <v>0.23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 t="b">
            <v>0</v>
          </cell>
        </row>
        <row r="252">
          <cell r="A252" t="str">
            <v>Data split-2;Reg-123</v>
          </cell>
          <cell r="B252">
            <v>-1.2</v>
          </cell>
          <cell r="C252">
            <v>0.4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0.67</v>
          </cell>
          <cell r="I252">
            <v>0</v>
          </cell>
          <cell r="J252">
            <v>0</v>
          </cell>
          <cell r="K252">
            <v>0</v>
          </cell>
          <cell r="L252">
            <v>1.7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 t="b">
            <v>0</v>
          </cell>
        </row>
        <row r="253">
          <cell r="A253" t="str">
            <v>Data split-2;Reg-124</v>
          </cell>
          <cell r="B253">
            <v>-1.6</v>
          </cell>
          <cell r="C253">
            <v>0</v>
          </cell>
          <cell r="D253">
            <v>0.32</v>
          </cell>
          <cell r="E253">
            <v>0</v>
          </cell>
          <cell r="F253">
            <v>0</v>
          </cell>
          <cell r="G253">
            <v>0.56000000000000005</v>
          </cell>
          <cell r="H253">
            <v>0</v>
          </cell>
          <cell r="I253">
            <v>0</v>
          </cell>
          <cell r="J253">
            <v>0</v>
          </cell>
          <cell r="K253">
            <v>0.32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 t="b">
            <v>0</v>
          </cell>
        </row>
        <row r="254">
          <cell r="A254" t="str">
            <v>Data split-2;Reg-125</v>
          </cell>
          <cell r="B254">
            <v>-1.8</v>
          </cell>
          <cell r="C254">
            <v>0</v>
          </cell>
          <cell r="D254">
            <v>0.28000000000000003</v>
          </cell>
          <cell r="E254">
            <v>0</v>
          </cell>
          <cell r="F254">
            <v>0</v>
          </cell>
          <cell r="G254">
            <v>0.64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2.1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 t="b">
            <v>0</v>
          </cell>
        </row>
        <row r="255">
          <cell r="A255" t="str">
            <v>Data split-2;Reg-126</v>
          </cell>
          <cell r="B255">
            <v>-1.7</v>
          </cell>
          <cell r="C255">
            <v>0</v>
          </cell>
          <cell r="D255">
            <v>0.32</v>
          </cell>
          <cell r="E255">
            <v>0</v>
          </cell>
          <cell r="F255">
            <v>0</v>
          </cell>
          <cell r="G255">
            <v>0</v>
          </cell>
          <cell r="H255">
            <v>0.56999999999999995</v>
          </cell>
          <cell r="I255">
            <v>0</v>
          </cell>
          <cell r="J255">
            <v>0</v>
          </cell>
          <cell r="K255">
            <v>0.32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 t="b">
            <v>0</v>
          </cell>
        </row>
        <row r="256">
          <cell r="A256" t="str">
            <v>Data split-2;Reg-127</v>
          </cell>
          <cell r="B256">
            <v>-2</v>
          </cell>
          <cell r="C256">
            <v>0</v>
          </cell>
          <cell r="D256">
            <v>0.28000000000000003</v>
          </cell>
          <cell r="E256">
            <v>0</v>
          </cell>
          <cell r="F256">
            <v>0</v>
          </cell>
          <cell r="G256">
            <v>0</v>
          </cell>
          <cell r="H256">
            <v>0.66</v>
          </cell>
          <cell r="I256">
            <v>0</v>
          </cell>
          <cell r="J256">
            <v>0</v>
          </cell>
          <cell r="K256">
            <v>0</v>
          </cell>
          <cell r="L256">
            <v>2.1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 t="b">
            <v>0</v>
          </cell>
        </row>
        <row r="257">
          <cell r="A257" t="str">
            <v>Data split-3;Reg-1</v>
          </cell>
          <cell r="B257">
            <v>-0.77</v>
          </cell>
          <cell r="C257">
            <v>0.64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0.72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-1.7999999999999999E-2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 t="b">
            <v>1</v>
          </cell>
        </row>
        <row r="258">
          <cell r="A258" t="str">
            <v>Data split-3;Reg-2</v>
          </cell>
          <cell r="B258">
            <v>-3.5</v>
          </cell>
          <cell r="C258">
            <v>0.16</v>
          </cell>
          <cell r="D258">
            <v>0</v>
          </cell>
          <cell r="E258">
            <v>0</v>
          </cell>
          <cell r="F258">
            <v>-4.7E-2</v>
          </cell>
          <cell r="G258">
            <v>1.9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-0.01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 t="b">
            <v>0</v>
          </cell>
        </row>
        <row r="259">
          <cell r="A259" t="str">
            <v>Data split-3;Reg-3</v>
          </cell>
          <cell r="B259">
            <v>-2.5</v>
          </cell>
          <cell r="C259">
            <v>0.37</v>
          </cell>
          <cell r="D259">
            <v>0</v>
          </cell>
          <cell r="E259">
            <v>0</v>
          </cell>
          <cell r="F259">
            <v>-2.5999999999999999E-2</v>
          </cell>
          <cell r="G259">
            <v>0</v>
          </cell>
          <cell r="H259">
            <v>1.7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-4.7E-2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 t="b">
            <v>0</v>
          </cell>
        </row>
        <row r="260">
          <cell r="A260" t="str">
            <v>Data split-3;Reg-4</v>
          </cell>
          <cell r="B260">
            <v>-1.9</v>
          </cell>
          <cell r="C260">
            <v>0.41</v>
          </cell>
          <cell r="D260">
            <v>0</v>
          </cell>
          <cell r="E260">
            <v>0</v>
          </cell>
          <cell r="F260">
            <v>-4.5999999999999999E-2</v>
          </cell>
          <cell r="G260">
            <v>0</v>
          </cell>
          <cell r="H260">
            <v>1.8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-1.0999999999999999E-2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 t="b">
            <v>0</v>
          </cell>
        </row>
        <row r="261">
          <cell r="A261" t="str">
            <v>Data split-3;Reg-5</v>
          </cell>
          <cell r="B261">
            <v>-3.6</v>
          </cell>
          <cell r="C261">
            <v>0</v>
          </cell>
          <cell r="D261">
            <v>0.28000000000000003</v>
          </cell>
          <cell r="E261">
            <v>0</v>
          </cell>
          <cell r="F261">
            <v>-2.5999999999999999E-2</v>
          </cell>
          <cell r="G261">
            <v>1.7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-1.0999999999999999E-2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 t="b">
            <v>0</v>
          </cell>
        </row>
        <row r="262">
          <cell r="A262" t="str">
            <v>Data split-3;Reg-6</v>
          </cell>
          <cell r="B262">
            <v>-2.1</v>
          </cell>
          <cell r="C262">
            <v>0</v>
          </cell>
          <cell r="D262">
            <v>0.39</v>
          </cell>
          <cell r="E262">
            <v>0</v>
          </cell>
          <cell r="F262">
            <v>-1.6E-2</v>
          </cell>
          <cell r="G262">
            <v>0</v>
          </cell>
          <cell r="H262">
            <v>1.8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-1.4E-2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 t="b">
            <v>0</v>
          </cell>
        </row>
        <row r="263">
          <cell r="A263" t="str">
            <v>Data split-3;Reg-7</v>
          </cell>
          <cell r="B263">
            <v>-2.4</v>
          </cell>
          <cell r="C263">
            <v>0.48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0.59</v>
          </cell>
          <cell r="I263">
            <v>1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-2.7E-2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 t="b">
            <v>0</v>
          </cell>
        </row>
        <row r="264">
          <cell r="A264" t="str">
            <v>Data split-3;Reg-8</v>
          </cell>
          <cell r="B264">
            <v>-1.9</v>
          </cell>
          <cell r="C264">
            <v>0.56999999999999995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0.55000000000000004</v>
          </cell>
          <cell r="I264">
            <v>0.83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-5.7000000000000002E-3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 t="b">
            <v>0</v>
          </cell>
        </row>
        <row r="265">
          <cell r="A265" t="str">
            <v>Data split-3;Reg-9</v>
          </cell>
          <cell r="B265">
            <v>2.7</v>
          </cell>
          <cell r="C265">
            <v>0.8</v>
          </cell>
          <cell r="D265">
            <v>0</v>
          </cell>
          <cell r="E265">
            <v>0</v>
          </cell>
          <cell r="F265">
            <v>0</v>
          </cell>
          <cell r="G265">
            <v>-0.51</v>
          </cell>
          <cell r="H265">
            <v>0</v>
          </cell>
          <cell r="I265">
            <v>-9.8000000000000004E-2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1.0999999999999999E-2</v>
          </cell>
          <cell r="S265">
            <v>0</v>
          </cell>
          <cell r="T265">
            <v>0</v>
          </cell>
          <cell r="U265" t="b">
            <v>0</v>
          </cell>
        </row>
        <row r="266">
          <cell r="A266" t="str">
            <v>Data split-3;Reg-10</v>
          </cell>
          <cell r="B266">
            <v>-0.54</v>
          </cell>
          <cell r="C266">
            <v>0.54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0.71</v>
          </cell>
          <cell r="I266">
            <v>0</v>
          </cell>
          <cell r="J266">
            <v>0</v>
          </cell>
          <cell r="K266">
            <v>0.2</v>
          </cell>
          <cell r="L266">
            <v>0</v>
          </cell>
          <cell r="M266">
            <v>0</v>
          </cell>
          <cell r="N266">
            <v>0</v>
          </cell>
          <cell r="O266">
            <v>-1.7999999999999999E-2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 t="b">
            <v>0</v>
          </cell>
        </row>
        <row r="267">
          <cell r="A267" t="str">
            <v>Data split-3;Reg-11</v>
          </cell>
          <cell r="B267">
            <v>-0.27</v>
          </cell>
          <cell r="C267">
            <v>0.88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0.46</v>
          </cell>
          <cell r="J267">
            <v>0</v>
          </cell>
          <cell r="K267">
            <v>0.14000000000000001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 t="b">
            <v>0</v>
          </cell>
        </row>
        <row r="268">
          <cell r="A268" t="str">
            <v>Data split-3;Reg-12</v>
          </cell>
          <cell r="B268">
            <v>-0.43</v>
          </cell>
          <cell r="C268">
            <v>0.87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0.52</v>
          </cell>
          <cell r="J268">
            <v>0</v>
          </cell>
          <cell r="K268">
            <v>0</v>
          </cell>
          <cell r="L268">
            <v>1.1000000000000001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 t="b">
            <v>0</v>
          </cell>
        </row>
        <row r="269">
          <cell r="A269" t="str">
            <v>Data split-3;Reg-13</v>
          </cell>
          <cell r="B269">
            <v>-8.1</v>
          </cell>
          <cell r="C269">
            <v>0.59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25.6</v>
          </cell>
          <cell r="K269">
            <v>-0.54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 t="b">
            <v>0</v>
          </cell>
        </row>
        <row r="270">
          <cell r="A270" t="str">
            <v>Data split-3;Reg-14</v>
          </cell>
          <cell r="B270">
            <v>-6.6</v>
          </cell>
          <cell r="C270">
            <v>0.54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22.3</v>
          </cell>
          <cell r="K270">
            <v>0</v>
          </cell>
          <cell r="L270">
            <v>-2.4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 t="b">
            <v>0</v>
          </cell>
        </row>
        <row r="271">
          <cell r="A271" t="str">
            <v>Data split-3;Reg-15</v>
          </cell>
          <cell r="B271">
            <v>1.3</v>
          </cell>
          <cell r="C271">
            <v>0.82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-8.4000000000000005E-2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1.9E-2</v>
          </cell>
          <cell r="R271">
            <v>0</v>
          </cell>
          <cell r="S271">
            <v>0</v>
          </cell>
          <cell r="T271">
            <v>0</v>
          </cell>
          <cell r="U271" t="b">
            <v>0</v>
          </cell>
        </row>
        <row r="272">
          <cell r="A272" t="str">
            <v>Data split-3;Reg-16</v>
          </cell>
          <cell r="B272">
            <v>1.5</v>
          </cell>
          <cell r="C272">
            <v>0.7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-0.25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6.4999999999999997E-3</v>
          </cell>
          <cell r="S272">
            <v>0</v>
          </cell>
          <cell r="T272">
            <v>0</v>
          </cell>
          <cell r="U272" t="b">
            <v>0</v>
          </cell>
        </row>
        <row r="273">
          <cell r="A273" t="str">
            <v>Data split-3;Reg-17</v>
          </cell>
          <cell r="B273">
            <v>-2.2999999999999998</v>
          </cell>
          <cell r="C273">
            <v>0.54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10.6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1.2999999999999999E-2</v>
          </cell>
          <cell r="R273">
            <v>0</v>
          </cell>
          <cell r="S273">
            <v>0</v>
          </cell>
          <cell r="T273">
            <v>0</v>
          </cell>
          <cell r="U273" t="b">
            <v>0</v>
          </cell>
        </row>
        <row r="274">
          <cell r="A274" t="str">
            <v>Data split-3;Reg-18</v>
          </cell>
          <cell r="B274">
            <v>-2</v>
          </cell>
          <cell r="C274">
            <v>0.42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9.8000000000000007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4.7000000000000002E-3</v>
          </cell>
          <cell r="S274">
            <v>0</v>
          </cell>
          <cell r="T274">
            <v>0</v>
          </cell>
          <cell r="U274" t="b">
            <v>0</v>
          </cell>
        </row>
        <row r="275">
          <cell r="A275" t="str">
            <v>Data split-3;Reg-19</v>
          </cell>
          <cell r="B275">
            <v>1.2</v>
          </cell>
          <cell r="C275">
            <v>0.77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0.14000000000000001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1.4999999999999999E-2</v>
          </cell>
          <cell r="T275">
            <v>0</v>
          </cell>
          <cell r="U275" t="b">
            <v>0</v>
          </cell>
        </row>
        <row r="276">
          <cell r="A276" t="str">
            <v>Data split-3;Reg-20</v>
          </cell>
          <cell r="B276">
            <v>1.2</v>
          </cell>
          <cell r="C276">
            <v>0.63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0.14000000000000001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5.1000000000000004E-3</v>
          </cell>
          <cell r="U276" t="b">
            <v>0</v>
          </cell>
        </row>
        <row r="277">
          <cell r="A277" t="str">
            <v>Data split-3;Reg-21</v>
          </cell>
          <cell r="B277">
            <v>1.2</v>
          </cell>
          <cell r="C277">
            <v>0.75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1.3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1.6E-2</v>
          </cell>
          <cell r="T277">
            <v>0</v>
          </cell>
          <cell r="U277" t="b">
            <v>0</v>
          </cell>
        </row>
        <row r="278">
          <cell r="A278" t="str">
            <v>Data split-3;Reg-22</v>
          </cell>
          <cell r="B278">
            <v>1.2</v>
          </cell>
          <cell r="C278">
            <v>0.59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1.4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5.3E-3</v>
          </cell>
          <cell r="U278" t="b">
            <v>0</v>
          </cell>
        </row>
        <row r="279">
          <cell r="A279" t="str">
            <v>Data split-3;Reg-23</v>
          </cell>
          <cell r="B279">
            <v>-1</v>
          </cell>
          <cell r="C279">
            <v>0</v>
          </cell>
          <cell r="D279">
            <v>0.7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0.48</v>
          </cell>
          <cell r="J279">
            <v>0</v>
          </cell>
          <cell r="K279">
            <v>0.24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 t="b">
            <v>0</v>
          </cell>
        </row>
        <row r="280">
          <cell r="A280" t="str">
            <v>Data split-3;Reg-24</v>
          </cell>
          <cell r="B280">
            <v>-1.4</v>
          </cell>
          <cell r="C280">
            <v>0</v>
          </cell>
          <cell r="D280">
            <v>0.69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0.61</v>
          </cell>
          <cell r="J280">
            <v>0</v>
          </cell>
          <cell r="K280">
            <v>0</v>
          </cell>
          <cell r="L280">
            <v>1.5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 t="b">
            <v>0</v>
          </cell>
        </row>
        <row r="281">
          <cell r="A281" t="str">
            <v>Data split-3;Reg-25</v>
          </cell>
          <cell r="B281">
            <v>-7.6</v>
          </cell>
          <cell r="C281">
            <v>0</v>
          </cell>
          <cell r="D281">
            <v>0.5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22.5</v>
          </cell>
          <cell r="K281">
            <v>-0.37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 t="b">
            <v>0</v>
          </cell>
        </row>
        <row r="282">
          <cell r="A282" t="str">
            <v>Data split-3;Reg-26</v>
          </cell>
          <cell r="B282">
            <v>-6.5</v>
          </cell>
          <cell r="C282">
            <v>0</v>
          </cell>
          <cell r="D282">
            <v>0.49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20</v>
          </cell>
          <cell r="K282">
            <v>0</v>
          </cell>
          <cell r="L282">
            <v>-1.7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 t="b">
            <v>0</v>
          </cell>
        </row>
        <row r="283">
          <cell r="A283" t="str">
            <v>Data split-3;Reg-27</v>
          </cell>
          <cell r="B283">
            <v>-1.1000000000000001</v>
          </cell>
          <cell r="C283">
            <v>0</v>
          </cell>
          <cell r="D283">
            <v>0.66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0.64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5.7999999999999996E-3</v>
          </cell>
          <cell r="R283">
            <v>0</v>
          </cell>
          <cell r="S283">
            <v>0</v>
          </cell>
          <cell r="T283">
            <v>0</v>
          </cell>
          <cell r="U283" t="b">
            <v>0</v>
          </cell>
        </row>
        <row r="284">
          <cell r="A284" t="str">
            <v>Data split-3;Reg-28</v>
          </cell>
          <cell r="B284">
            <v>-0.1</v>
          </cell>
          <cell r="C284">
            <v>0</v>
          </cell>
          <cell r="D284">
            <v>0.54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0.34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4.1999999999999997E-3</v>
          </cell>
          <cell r="S284">
            <v>0</v>
          </cell>
          <cell r="T284">
            <v>0</v>
          </cell>
          <cell r="U284" t="b">
            <v>0</v>
          </cell>
        </row>
        <row r="285">
          <cell r="A285" t="str">
            <v>Data split-3;Reg-29</v>
          </cell>
          <cell r="B285">
            <v>-3.7</v>
          </cell>
          <cell r="C285">
            <v>0</v>
          </cell>
          <cell r="D285">
            <v>0.5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12.3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7.3000000000000001E-3</v>
          </cell>
          <cell r="R285">
            <v>0</v>
          </cell>
          <cell r="S285">
            <v>0</v>
          </cell>
          <cell r="T285">
            <v>0</v>
          </cell>
          <cell r="U285" t="b">
            <v>0</v>
          </cell>
        </row>
        <row r="286">
          <cell r="A286" t="str">
            <v>Data split-3;Reg-30</v>
          </cell>
          <cell r="B286">
            <v>-3.1</v>
          </cell>
          <cell r="C286">
            <v>0</v>
          </cell>
          <cell r="D286">
            <v>0.38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11.3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3.5999999999999999E-3</v>
          </cell>
          <cell r="S286">
            <v>0</v>
          </cell>
          <cell r="T286">
            <v>0</v>
          </cell>
          <cell r="U286" t="b">
            <v>0</v>
          </cell>
        </row>
        <row r="287">
          <cell r="A287" t="str">
            <v>Data split-3;Reg-31</v>
          </cell>
          <cell r="B287">
            <v>0.22</v>
          </cell>
          <cell r="C287">
            <v>0</v>
          </cell>
          <cell r="D287">
            <v>0.68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0.3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8.2000000000000007E-3</v>
          </cell>
          <cell r="T287">
            <v>0</v>
          </cell>
          <cell r="U287" t="b">
            <v>0</v>
          </cell>
        </row>
        <row r="288">
          <cell r="A288" t="str">
            <v>Data split-3;Reg-32</v>
          </cell>
          <cell r="B288">
            <v>0.55000000000000004</v>
          </cell>
          <cell r="C288">
            <v>0</v>
          </cell>
          <cell r="D288">
            <v>0.55000000000000004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0.26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3.8E-3</v>
          </cell>
          <cell r="U288" t="b">
            <v>0</v>
          </cell>
        </row>
        <row r="289">
          <cell r="A289" t="str">
            <v>Data split-3;Reg-33</v>
          </cell>
          <cell r="B289">
            <v>0.27</v>
          </cell>
          <cell r="C289">
            <v>0</v>
          </cell>
          <cell r="D289">
            <v>0.66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1.9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1.2E-2</v>
          </cell>
          <cell r="T289">
            <v>0</v>
          </cell>
          <cell r="U289" t="b">
            <v>0</v>
          </cell>
        </row>
        <row r="290">
          <cell r="A290" t="str">
            <v>Data split-3;Reg-34</v>
          </cell>
          <cell r="B290">
            <v>0.56000000000000005</v>
          </cell>
          <cell r="C290">
            <v>0</v>
          </cell>
          <cell r="D290">
            <v>0.52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1.8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4.4999999999999997E-3</v>
          </cell>
          <cell r="U290" t="b">
            <v>0</v>
          </cell>
        </row>
        <row r="291">
          <cell r="A291" t="str">
            <v>Data split-3;Reg-35</v>
          </cell>
          <cell r="B291">
            <v>1.9</v>
          </cell>
          <cell r="C291">
            <v>0.79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-0.34</v>
          </cell>
          <cell r="J291">
            <v>0</v>
          </cell>
          <cell r="K291">
            <v>0.18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0.02</v>
          </cell>
          <cell r="R291">
            <v>0</v>
          </cell>
          <cell r="S291">
            <v>0</v>
          </cell>
          <cell r="T291">
            <v>0</v>
          </cell>
          <cell r="U291" t="b">
            <v>0</v>
          </cell>
        </row>
        <row r="292">
          <cell r="A292" t="str">
            <v>Data split-3;Reg-36</v>
          </cell>
          <cell r="B292">
            <v>2.2000000000000002</v>
          </cell>
          <cell r="C292">
            <v>0.66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-0.56000000000000005</v>
          </cell>
          <cell r="J292">
            <v>0</v>
          </cell>
          <cell r="K292">
            <v>0.21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6.7999999999999996E-3</v>
          </cell>
          <cell r="S292">
            <v>0</v>
          </cell>
          <cell r="T292">
            <v>0</v>
          </cell>
          <cell r="U292" t="b">
            <v>0</v>
          </cell>
        </row>
        <row r="293">
          <cell r="A293" t="str">
            <v>Data split-3;Reg-37</v>
          </cell>
          <cell r="B293">
            <v>1.8</v>
          </cell>
          <cell r="C293">
            <v>0.77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-0.28999999999999998</v>
          </cell>
          <cell r="J293">
            <v>0</v>
          </cell>
          <cell r="K293">
            <v>0</v>
          </cell>
          <cell r="L293">
            <v>1.4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2.1000000000000001E-2</v>
          </cell>
          <cell r="R293">
            <v>0</v>
          </cell>
          <cell r="S293">
            <v>0</v>
          </cell>
          <cell r="T293">
            <v>0</v>
          </cell>
          <cell r="U293" t="b">
            <v>0</v>
          </cell>
        </row>
        <row r="294">
          <cell r="A294" t="str">
            <v>Data split-3;Reg-38</v>
          </cell>
          <cell r="B294">
            <v>2</v>
          </cell>
          <cell r="C294">
            <v>0.63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-0.48</v>
          </cell>
          <cell r="J294">
            <v>0</v>
          </cell>
          <cell r="K294">
            <v>0</v>
          </cell>
          <cell r="L294">
            <v>1.6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7.0000000000000001E-3</v>
          </cell>
          <cell r="S294">
            <v>0</v>
          </cell>
          <cell r="T294">
            <v>0</v>
          </cell>
          <cell r="U294" t="b">
            <v>0</v>
          </cell>
        </row>
        <row r="295">
          <cell r="A295" t="str">
            <v>Data split-3;Reg-39</v>
          </cell>
          <cell r="B295">
            <v>-6.6</v>
          </cell>
          <cell r="C295">
            <v>0.44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23</v>
          </cell>
          <cell r="K295">
            <v>-0.53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1.2E-2</v>
          </cell>
          <cell r="R295">
            <v>0</v>
          </cell>
          <cell r="S295">
            <v>0</v>
          </cell>
          <cell r="T295">
            <v>0</v>
          </cell>
          <cell r="U295" t="b">
            <v>0</v>
          </cell>
        </row>
        <row r="296">
          <cell r="A296" t="str">
            <v>Data split-3;Reg-40</v>
          </cell>
          <cell r="B296">
            <v>-6.1</v>
          </cell>
          <cell r="C296">
            <v>0.33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21.6</v>
          </cell>
          <cell r="K296">
            <v>-0.5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4.4999999999999997E-3</v>
          </cell>
          <cell r="S296">
            <v>0</v>
          </cell>
          <cell r="T296">
            <v>0</v>
          </cell>
          <cell r="U296" t="b">
            <v>0</v>
          </cell>
        </row>
        <row r="297">
          <cell r="A297" t="str">
            <v>Data split-3;Reg-41</v>
          </cell>
          <cell r="B297">
            <v>-4.5999999999999996</v>
          </cell>
          <cell r="C297">
            <v>0.47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17.5</v>
          </cell>
          <cell r="K297">
            <v>0</v>
          </cell>
          <cell r="L297">
            <v>-1.6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0.01</v>
          </cell>
          <cell r="R297">
            <v>0</v>
          </cell>
          <cell r="S297">
            <v>0</v>
          </cell>
          <cell r="T297">
            <v>0</v>
          </cell>
          <cell r="U297" t="b">
            <v>0</v>
          </cell>
        </row>
        <row r="298">
          <cell r="A298" t="str">
            <v>Data split-3;Reg-42</v>
          </cell>
          <cell r="B298">
            <v>-3.5</v>
          </cell>
          <cell r="C298">
            <v>0.37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14.4</v>
          </cell>
          <cell r="K298">
            <v>0</v>
          </cell>
          <cell r="L298">
            <v>-1.1000000000000001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4.1999999999999997E-3</v>
          </cell>
          <cell r="S298">
            <v>0</v>
          </cell>
          <cell r="T298">
            <v>0</v>
          </cell>
          <cell r="U298" t="b">
            <v>0</v>
          </cell>
        </row>
        <row r="299">
          <cell r="A299" t="str">
            <v>Data split-3;Reg-43</v>
          </cell>
          <cell r="B299">
            <v>1.8</v>
          </cell>
          <cell r="C299">
            <v>0.81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-0.33</v>
          </cell>
          <cell r="J299">
            <v>0</v>
          </cell>
          <cell r="K299">
            <v>0.19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1.7999999999999999E-2</v>
          </cell>
          <cell r="T299">
            <v>0</v>
          </cell>
          <cell r="U299" t="b">
            <v>0</v>
          </cell>
        </row>
        <row r="300">
          <cell r="A300" t="str">
            <v>Data split-3;Reg-44</v>
          </cell>
          <cell r="B300">
            <v>2.4</v>
          </cell>
          <cell r="C300">
            <v>0.67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-0.62</v>
          </cell>
          <cell r="J300">
            <v>0</v>
          </cell>
          <cell r="K300">
            <v>0.23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6.7000000000000002E-3</v>
          </cell>
          <cell r="U300" t="b">
            <v>0</v>
          </cell>
        </row>
        <row r="301">
          <cell r="A301" t="str">
            <v>Data split-3;Reg-45</v>
          </cell>
          <cell r="B301">
            <v>1.7</v>
          </cell>
          <cell r="C301">
            <v>0.78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-0.28999999999999998</v>
          </cell>
          <cell r="J301">
            <v>0</v>
          </cell>
          <cell r="K301">
            <v>0</v>
          </cell>
          <cell r="L301">
            <v>1.4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1.9E-2</v>
          </cell>
          <cell r="T301">
            <v>0</v>
          </cell>
          <cell r="U301" t="b">
            <v>0</v>
          </cell>
        </row>
        <row r="302">
          <cell r="A302" t="str">
            <v>Data split-3;Reg-46</v>
          </cell>
          <cell r="B302">
            <v>2.2000000000000002</v>
          </cell>
          <cell r="C302">
            <v>0.65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-0.55000000000000004</v>
          </cell>
          <cell r="J302">
            <v>0</v>
          </cell>
          <cell r="K302">
            <v>0</v>
          </cell>
          <cell r="L302">
            <v>1.6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6.8999999999999999E-3</v>
          </cell>
          <cell r="U302" t="b">
            <v>0</v>
          </cell>
        </row>
        <row r="303">
          <cell r="A303" t="str">
            <v>Data split-3;Reg-47</v>
          </cell>
          <cell r="B303">
            <v>-6.9</v>
          </cell>
          <cell r="C303">
            <v>0.45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23.5</v>
          </cell>
          <cell r="K303">
            <v>-0.54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1.0999999999999999E-2</v>
          </cell>
          <cell r="T303">
            <v>0</v>
          </cell>
          <cell r="U303" t="b">
            <v>0</v>
          </cell>
        </row>
        <row r="304">
          <cell r="A304" t="str">
            <v>Data split-3;Reg-48</v>
          </cell>
          <cell r="B304">
            <v>-6.3</v>
          </cell>
          <cell r="C304">
            <v>0.34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22.2</v>
          </cell>
          <cell r="K304">
            <v>-0.52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4.1000000000000003E-3</v>
          </cell>
          <cell r="U304" t="b">
            <v>0</v>
          </cell>
        </row>
        <row r="305">
          <cell r="A305" t="str">
            <v>Data split-3;Reg-49</v>
          </cell>
          <cell r="B305">
            <v>-5</v>
          </cell>
          <cell r="C305">
            <v>0.48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18.3</v>
          </cell>
          <cell r="K305">
            <v>0</v>
          </cell>
          <cell r="L305">
            <v>-1.7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8.0000000000000002E-3</v>
          </cell>
          <cell r="T305">
            <v>0</v>
          </cell>
          <cell r="U305" t="b">
            <v>0</v>
          </cell>
        </row>
        <row r="306">
          <cell r="A306" t="str">
            <v>Data split-3;Reg-50</v>
          </cell>
          <cell r="B306">
            <v>-3.8</v>
          </cell>
          <cell r="C306">
            <v>0.39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15.1</v>
          </cell>
          <cell r="K306">
            <v>0</v>
          </cell>
          <cell r="L306">
            <v>-1.2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3.7000000000000002E-3</v>
          </cell>
          <cell r="U306" t="b">
            <v>0</v>
          </cell>
        </row>
        <row r="307">
          <cell r="A307" t="str">
            <v>Data split-3;Reg-51</v>
          </cell>
          <cell r="B307">
            <v>-0.24</v>
          </cell>
          <cell r="C307">
            <v>0</v>
          </cell>
          <cell r="D307">
            <v>0.65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0.24</v>
          </cell>
          <cell r="J307">
            <v>0</v>
          </cell>
          <cell r="K307">
            <v>0.25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7.1000000000000004E-3</v>
          </cell>
          <cell r="R307">
            <v>0</v>
          </cell>
          <cell r="S307">
            <v>0</v>
          </cell>
          <cell r="T307">
            <v>0</v>
          </cell>
          <cell r="U307" t="b">
            <v>0</v>
          </cell>
        </row>
        <row r="308">
          <cell r="A308" t="str">
            <v>Data split-3;Reg-52</v>
          </cell>
          <cell r="B308">
            <v>0.83</v>
          </cell>
          <cell r="C308">
            <v>0</v>
          </cell>
          <cell r="D308">
            <v>0.53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-0.1</v>
          </cell>
          <cell r="J308">
            <v>0</v>
          </cell>
          <cell r="K308">
            <v>0.27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4.5999999999999999E-3</v>
          </cell>
          <cell r="S308">
            <v>0</v>
          </cell>
          <cell r="T308">
            <v>0</v>
          </cell>
          <cell r="U308" t="b">
            <v>0</v>
          </cell>
        </row>
        <row r="309">
          <cell r="A309" t="str">
            <v>Data split-3;Reg-53</v>
          </cell>
          <cell r="B309">
            <v>-0.46</v>
          </cell>
          <cell r="C309">
            <v>0</v>
          </cell>
          <cell r="D309">
            <v>0.63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0.35</v>
          </cell>
          <cell r="J309">
            <v>0</v>
          </cell>
          <cell r="K309">
            <v>0</v>
          </cell>
          <cell r="L309">
            <v>1.6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8.0999999999999996E-3</v>
          </cell>
          <cell r="R309">
            <v>0</v>
          </cell>
          <cell r="S309">
            <v>0</v>
          </cell>
          <cell r="T309">
            <v>0</v>
          </cell>
          <cell r="U309" t="b">
            <v>0</v>
          </cell>
        </row>
        <row r="310">
          <cell r="A310" t="str">
            <v>Data split-3;Reg-54</v>
          </cell>
          <cell r="B310">
            <v>0.57999999999999996</v>
          </cell>
          <cell r="C310">
            <v>0</v>
          </cell>
          <cell r="D310">
            <v>0.5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1.2999999999999999E-2</v>
          </cell>
          <cell r="J310">
            <v>0</v>
          </cell>
          <cell r="K310">
            <v>0</v>
          </cell>
          <cell r="L310">
            <v>1.8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4.8999999999999998E-3</v>
          </cell>
          <cell r="S310">
            <v>0</v>
          </cell>
          <cell r="T310">
            <v>0</v>
          </cell>
          <cell r="U310" t="b">
            <v>0</v>
          </cell>
        </row>
        <row r="311">
          <cell r="A311" t="str">
            <v>Data split-3;Reg-55</v>
          </cell>
          <cell r="B311">
            <v>-6.8</v>
          </cell>
          <cell r="C311">
            <v>0</v>
          </cell>
          <cell r="D311">
            <v>0.4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22</v>
          </cell>
          <cell r="K311">
            <v>-0.41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8.6999999999999994E-3</v>
          </cell>
          <cell r="R311">
            <v>0</v>
          </cell>
          <cell r="S311">
            <v>0</v>
          </cell>
          <cell r="T311">
            <v>0</v>
          </cell>
          <cell r="U311" t="b">
            <v>0</v>
          </cell>
        </row>
        <row r="312">
          <cell r="A312" t="str">
            <v>Data split-3;Reg-56</v>
          </cell>
          <cell r="B312">
            <v>-6.3</v>
          </cell>
          <cell r="C312">
            <v>0</v>
          </cell>
          <cell r="D312">
            <v>0.28000000000000003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21.4</v>
          </cell>
          <cell r="K312">
            <v>-0.43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3.8999999999999998E-3</v>
          </cell>
          <cell r="S312">
            <v>0</v>
          </cell>
          <cell r="T312">
            <v>0</v>
          </cell>
          <cell r="U312" t="b">
            <v>0</v>
          </cell>
        </row>
        <row r="313">
          <cell r="A313" t="str">
            <v>Data split-3;Reg-57</v>
          </cell>
          <cell r="B313">
            <v>-5.6</v>
          </cell>
          <cell r="C313">
            <v>0</v>
          </cell>
          <cell r="D313">
            <v>0.45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18</v>
          </cell>
          <cell r="K313">
            <v>0</v>
          </cell>
          <cell r="L313">
            <v>-1.4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5.4000000000000003E-3</v>
          </cell>
          <cell r="R313">
            <v>0</v>
          </cell>
          <cell r="S313">
            <v>0</v>
          </cell>
          <cell r="T313">
            <v>0</v>
          </cell>
          <cell r="U313" t="b">
            <v>0</v>
          </cell>
        </row>
        <row r="314">
          <cell r="A314" t="str">
            <v>Data split-3;Reg-58</v>
          </cell>
          <cell r="B314">
            <v>-4.4000000000000004</v>
          </cell>
          <cell r="C314">
            <v>0</v>
          </cell>
          <cell r="D314">
            <v>0.35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15.3</v>
          </cell>
          <cell r="K314">
            <v>0</v>
          </cell>
          <cell r="L314">
            <v>-0.99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3.3E-3</v>
          </cell>
          <cell r="S314">
            <v>0</v>
          </cell>
          <cell r="T314">
            <v>0</v>
          </cell>
          <cell r="U314" t="b">
            <v>0</v>
          </cell>
        </row>
        <row r="315">
          <cell r="A315" t="str">
            <v>Data split-3;Reg-59</v>
          </cell>
          <cell r="B315">
            <v>-0.56999999999999995</v>
          </cell>
          <cell r="C315">
            <v>0</v>
          </cell>
          <cell r="D315">
            <v>0.67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0.34</v>
          </cell>
          <cell r="J315">
            <v>0</v>
          </cell>
          <cell r="K315">
            <v>0.25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3.8999999999999998E-3</v>
          </cell>
          <cell r="T315">
            <v>0</v>
          </cell>
          <cell r="U315" t="b">
            <v>0</v>
          </cell>
        </row>
        <row r="316">
          <cell r="A316" t="str">
            <v>Data split-3;Reg-60</v>
          </cell>
          <cell r="B316">
            <v>0.76</v>
          </cell>
          <cell r="C316">
            <v>0</v>
          </cell>
          <cell r="D316">
            <v>0.55000000000000004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-9.6000000000000002E-2</v>
          </cell>
          <cell r="J316">
            <v>0</v>
          </cell>
          <cell r="K316">
            <v>0.28000000000000003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4.1000000000000003E-3</v>
          </cell>
          <cell r="U316" t="b">
            <v>0</v>
          </cell>
        </row>
        <row r="317">
          <cell r="A317" t="str">
            <v>Data split-3;Reg-61</v>
          </cell>
          <cell r="B317">
            <v>-0.74</v>
          </cell>
          <cell r="C317">
            <v>0</v>
          </cell>
          <cell r="D317">
            <v>0.65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0.42</v>
          </cell>
          <cell r="J317">
            <v>0</v>
          </cell>
          <cell r="K317">
            <v>0</v>
          </cell>
          <cell r="L317">
            <v>1.6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5.1999999999999998E-3</v>
          </cell>
          <cell r="T317">
            <v>0</v>
          </cell>
          <cell r="U317" t="b">
            <v>0</v>
          </cell>
        </row>
        <row r="318">
          <cell r="A318" t="str">
            <v>Data split-3;Reg-62</v>
          </cell>
          <cell r="B318">
            <v>0.55000000000000004</v>
          </cell>
          <cell r="C318">
            <v>0</v>
          </cell>
          <cell r="D318">
            <v>0.52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3.3E-3</v>
          </cell>
          <cell r="J318">
            <v>0</v>
          </cell>
          <cell r="K318">
            <v>0</v>
          </cell>
          <cell r="L318">
            <v>1.8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4.4999999999999997E-3</v>
          </cell>
          <cell r="U318" t="b">
            <v>0</v>
          </cell>
        </row>
        <row r="319">
          <cell r="A319" t="str">
            <v>Data split-3;Reg-63</v>
          </cell>
          <cell r="B319">
            <v>-7</v>
          </cell>
          <cell r="C319">
            <v>0</v>
          </cell>
          <cell r="D319">
            <v>0.41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22.1</v>
          </cell>
          <cell r="K319">
            <v>-0.41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7.1999999999999998E-3</v>
          </cell>
          <cell r="T319">
            <v>0</v>
          </cell>
          <cell r="U319" t="b">
            <v>0</v>
          </cell>
        </row>
        <row r="320">
          <cell r="A320" t="str">
            <v>Data split-3;Reg-64</v>
          </cell>
          <cell r="B320">
            <v>-6.5</v>
          </cell>
          <cell r="C320">
            <v>0</v>
          </cell>
          <cell r="D320">
            <v>0.3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21.7</v>
          </cell>
          <cell r="K320">
            <v>-0.43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3.5000000000000001E-3</v>
          </cell>
          <cell r="U320" t="b">
            <v>0</v>
          </cell>
        </row>
        <row r="321">
          <cell r="A321" t="str">
            <v>Data split-3;Reg-65</v>
          </cell>
          <cell r="B321">
            <v>-5.9</v>
          </cell>
          <cell r="C321">
            <v>0</v>
          </cell>
          <cell r="D321">
            <v>0.46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18.600000000000001</v>
          </cell>
          <cell r="K321">
            <v>0</v>
          </cell>
          <cell r="L321">
            <v>-1.5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3.5000000000000001E-3</v>
          </cell>
          <cell r="T321">
            <v>0</v>
          </cell>
          <cell r="U321" t="b">
            <v>0</v>
          </cell>
        </row>
        <row r="322">
          <cell r="A322" t="str">
            <v>Data split-3;Reg-66</v>
          </cell>
          <cell r="B322">
            <v>-4.5999999999999996</v>
          </cell>
          <cell r="C322">
            <v>0</v>
          </cell>
          <cell r="D322">
            <v>0.37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15.8</v>
          </cell>
          <cell r="K322">
            <v>0</v>
          </cell>
          <cell r="L322">
            <v>-1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2.8E-3</v>
          </cell>
          <cell r="U322" t="b">
            <v>0</v>
          </cell>
        </row>
        <row r="323">
          <cell r="A323" t="str">
            <v>Data split-3;Reg-67</v>
          </cell>
          <cell r="B323">
            <v>-0.39</v>
          </cell>
          <cell r="C323">
            <v>0.66</v>
          </cell>
          <cell r="D323">
            <v>0</v>
          </cell>
          <cell r="E323">
            <v>0</v>
          </cell>
          <cell r="F323">
            <v>0</v>
          </cell>
          <cell r="G323">
            <v>0.46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 t="b">
            <v>1</v>
          </cell>
        </row>
        <row r="324">
          <cell r="A324" t="str">
            <v>Data split-3;Reg-68</v>
          </cell>
          <cell r="B324">
            <v>-2.1</v>
          </cell>
          <cell r="C324">
            <v>0.49</v>
          </cell>
          <cell r="D324">
            <v>0</v>
          </cell>
          <cell r="E324">
            <v>0</v>
          </cell>
          <cell r="F324">
            <v>-7.5999999999999998E-2</v>
          </cell>
          <cell r="G324">
            <v>0.91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 t="b">
            <v>0</v>
          </cell>
        </row>
        <row r="325">
          <cell r="A325" t="str">
            <v>Data split-3;Reg-69</v>
          </cell>
          <cell r="B325">
            <v>-3.7</v>
          </cell>
          <cell r="C325">
            <v>0.34</v>
          </cell>
          <cell r="D325">
            <v>0</v>
          </cell>
          <cell r="E325">
            <v>0</v>
          </cell>
          <cell r="F325">
            <v>0</v>
          </cell>
          <cell r="G325">
            <v>0.39</v>
          </cell>
          <cell r="H325">
            <v>0</v>
          </cell>
          <cell r="I325">
            <v>0</v>
          </cell>
          <cell r="J325">
            <v>11.5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 t="b">
            <v>0</v>
          </cell>
        </row>
        <row r="326">
          <cell r="A326" t="str">
            <v>Data split-3;Reg-70</v>
          </cell>
          <cell r="B326">
            <v>-6.2</v>
          </cell>
          <cell r="C326">
            <v>0.18</v>
          </cell>
          <cell r="D326">
            <v>0</v>
          </cell>
          <cell r="E326">
            <v>0</v>
          </cell>
          <cell r="F326">
            <v>0</v>
          </cell>
          <cell r="G326">
            <v>0.87</v>
          </cell>
          <cell r="H326">
            <v>0</v>
          </cell>
          <cell r="I326">
            <v>0</v>
          </cell>
          <cell r="J326">
            <v>13.8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-2.1999999999999999E-2</v>
          </cell>
          <cell r="T326">
            <v>0</v>
          </cell>
          <cell r="U326" t="b">
            <v>0</v>
          </cell>
        </row>
        <row r="327">
          <cell r="A327" t="str">
            <v>Data split-3;Reg-71</v>
          </cell>
          <cell r="B327">
            <v>-1.9</v>
          </cell>
          <cell r="C327">
            <v>0.42</v>
          </cell>
          <cell r="D327">
            <v>0</v>
          </cell>
          <cell r="E327">
            <v>0</v>
          </cell>
          <cell r="F327">
            <v>-5.5E-2</v>
          </cell>
          <cell r="G327">
            <v>0</v>
          </cell>
          <cell r="H327">
            <v>1.1000000000000001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-1.2999999999999999E-2</v>
          </cell>
          <cell r="T327">
            <v>0</v>
          </cell>
          <cell r="U327" t="b">
            <v>0</v>
          </cell>
        </row>
        <row r="328">
          <cell r="A328" t="str">
            <v>Data split-3;Reg-72</v>
          </cell>
          <cell r="B328">
            <v>-0.27</v>
          </cell>
          <cell r="C328">
            <v>0.81</v>
          </cell>
          <cell r="D328">
            <v>0</v>
          </cell>
          <cell r="E328">
            <v>0.23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 t="b">
            <v>1</v>
          </cell>
        </row>
        <row r="329">
          <cell r="A329" t="str">
            <v>Data split-3;Reg-73</v>
          </cell>
          <cell r="B329">
            <v>6.0999999999999999E-2</v>
          </cell>
          <cell r="C329">
            <v>1.2</v>
          </cell>
          <cell r="D329">
            <v>0</v>
          </cell>
          <cell r="E329">
            <v>0</v>
          </cell>
          <cell r="F329">
            <v>-6.7000000000000002E-3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 t="b">
            <v>0</v>
          </cell>
        </row>
        <row r="330">
          <cell r="A330" t="str">
            <v>Data split-3;Reg-74</v>
          </cell>
          <cell r="B330">
            <v>-0.79</v>
          </cell>
          <cell r="C330">
            <v>0</v>
          </cell>
          <cell r="D330">
            <v>0.78</v>
          </cell>
          <cell r="E330">
            <v>0.13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 t="b">
            <v>1</v>
          </cell>
        </row>
        <row r="331">
          <cell r="A331" t="str">
            <v>Data split-3;Reg-75</v>
          </cell>
          <cell r="B331">
            <v>-0.55000000000000004</v>
          </cell>
          <cell r="C331">
            <v>0</v>
          </cell>
          <cell r="D331">
            <v>0.91</v>
          </cell>
          <cell r="E331">
            <v>0</v>
          </cell>
          <cell r="F331">
            <v>1.2E-2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 t="b">
            <v>1</v>
          </cell>
        </row>
        <row r="332">
          <cell r="A332" t="str">
            <v>Data split-3;Reg-76</v>
          </cell>
          <cell r="B332">
            <v>-0.39</v>
          </cell>
          <cell r="C332">
            <v>0.66</v>
          </cell>
          <cell r="D332">
            <v>0</v>
          </cell>
          <cell r="E332">
            <v>0</v>
          </cell>
          <cell r="F332">
            <v>0</v>
          </cell>
          <cell r="G332">
            <v>0.46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 t="b">
            <v>1</v>
          </cell>
        </row>
        <row r="333">
          <cell r="A333" t="str">
            <v>Data split-3;Reg-77</v>
          </cell>
          <cell r="B333">
            <v>2.1999999999999999E-2</v>
          </cell>
          <cell r="C333">
            <v>0.7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0.45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 t="b">
            <v>0</v>
          </cell>
        </row>
        <row r="334">
          <cell r="A334" t="str">
            <v>Data split-3;Reg-78</v>
          </cell>
          <cell r="B334">
            <v>-0.91</v>
          </cell>
          <cell r="C334">
            <v>0</v>
          </cell>
          <cell r="D334">
            <v>0.56000000000000005</v>
          </cell>
          <cell r="E334">
            <v>0</v>
          </cell>
          <cell r="F334">
            <v>0</v>
          </cell>
          <cell r="G334">
            <v>0.44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 t="b">
            <v>1</v>
          </cell>
        </row>
        <row r="335">
          <cell r="A335" t="str">
            <v>Data split-3;Reg-79</v>
          </cell>
          <cell r="B335">
            <v>-0.48</v>
          </cell>
          <cell r="C335">
            <v>0</v>
          </cell>
          <cell r="D335">
            <v>0.6</v>
          </cell>
          <cell r="E335">
            <v>0</v>
          </cell>
          <cell r="F335">
            <v>0</v>
          </cell>
          <cell r="G335">
            <v>0</v>
          </cell>
          <cell r="H335">
            <v>0.42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 t="b">
            <v>1</v>
          </cell>
        </row>
        <row r="336">
          <cell r="A336" t="str">
            <v>Data split-3;Reg-80</v>
          </cell>
          <cell r="B336">
            <v>-0.67</v>
          </cell>
          <cell r="C336">
            <v>0.9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0.64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 t="b">
            <v>0</v>
          </cell>
        </row>
        <row r="337">
          <cell r="A337" t="str">
            <v>Data split-3;Reg-81</v>
          </cell>
          <cell r="B337">
            <v>-3.7</v>
          </cell>
          <cell r="C337">
            <v>0.7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13.1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 t="b">
            <v>0</v>
          </cell>
        </row>
        <row r="338">
          <cell r="A338" t="str">
            <v>Data split-3;Reg-82</v>
          </cell>
          <cell r="B338">
            <v>-1.7</v>
          </cell>
          <cell r="C338">
            <v>0</v>
          </cell>
          <cell r="D338">
            <v>0.7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0.82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 t="b">
            <v>0</v>
          </cell>
        </row>
        <row r="339">
          <cell r="A339" t="str">
            <v>Data split-3;Reg-83</v>
          </cell>
          <cell r="B339">
            <v>-4.5999999999999996</v>
          </cell>
          <cell r="C339">
            <v>0</v>
          </cell>
          <cell r="D339">
            <v>0.57999999999999996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13.6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 t="b">
            <v>0</v>
          </cell>
        </row>
        <row r="340">
          <cell r="A340" t="str">
            <v>Data split-3;Reg-84</v>
          </cell>
          <cell r="B340">
            <v>0.44</v>
          </cell>
          <cell r="C340">
            <v>1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0.23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 t="b">
            <v>0</v>
          </cell>
        </row>
        <row r="341">
          <cell r="A341" t="str">
            <v>Data split-3;Reg-85</v>
          </cell>
          <cell r="B341">
            <v>0.28000000000000003</v>
          </cell>
          <cell r="C341">
            <v>1.1000000000000001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1.4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 t="b">
            <v>0</v>
          </cell>
        </row>
        <row r="342">
          <cell r="A342" t="str">
            <v>Data split-3;Reg-86</v>
          </cell>
          <cell r="B342">
            <v>-0.34</v>
          </cell>
          <cell r="C342">
            <v>0</v>
          </cell>
          <cell r="D342">
            <v>0.79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0.36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 t="b">
            <v>0</v>
          </cell>
        </row>
        <row r="343">
          <cell r="A343" t="str">
            <v>Data split-3;Reg-87</v>
          </cell>
          <cell r="B343">
            <v>-0.6</v>
          </cell>
          <cell r="C343">
            <v>0</v>
          </cell>
          <cell r="D343">
            <v>0.84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2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 t="b">
            <v>0</v>
          </cell>
        </row>
        <row r="344">
          <cell r="A344" t="str">
            <v>Data split-3;Reg-88</v>
          </cell>
          <cell r="B344">
            <v>0.33</v>
          </cell>
          <cell r="C344">
            <v>1.1000000000000001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4.5999999999999999E-3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 t="b">
            <v>0</v>
          </cell>
        </row>
        <row r="345">
          <cell r="A345" t="str">
            <v>Data split-3;Reg-89</v>
          </cell>
          <cell r="B345">
            <v>0.27</v>
          </cell>
          <cell r="C345">
            <v>1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1.5E-3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 t="b">
            <v>0</v>
          </cell>
        </row>
        <row r="346">
          <cell r="A346" t="str">
            <v>Data split-3;Reg-90</v>
          </cell>
          <cell r="B346">
            <v>-0.73</v>
          </cell>
          <cell r="C346">
            <v>0</v>
          </cell>
          <cell r="D346">
            <v>0.94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1.7000000000000001E-4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 t="b">
            <v>0</v>
          </cell>
        </row>
        <row r="347">
          <cell r="A347" t="str">
            <v>Data split-3;Reg-91</v>
          </cell>
          <cell r="B347">
            <v>-0.69</v>
          </cell>
          <cell r="C347">
            <v>0</v>
          </cell>
          <cell r="D347">
            <v>0.92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2.9999999999999997E-4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 t="b">
            <v>0</v>
          </cell>
        </row>
        <row r="348">
          <cell r="A348" t="str">
            <v>Data split-3;Reg-92</v>
          </cell>
          <cell r="B348">
            <v>8.4000000000000005E-2</v>
          </cell>
          <cell r="C348">
            <v>1.2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-2.0999999999999999E-3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 t="b">
            <v>0</v>
          </cell>
        </row>
        <row r="349">
          <cell r="A349" t="str">
            <v>Data split-3;Reg-93</v>
          </cell>
          <cell r="B349">
            <v>0.1</v>
          </cell>
          <cell r="C349">
            <v>1.2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-4.8999999999999998E-4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 t="b">
            <v>0</v>
          </cell>
        </row>
        <row r="350">
          <cell r="A350" t="str">
            <v>Data split-3;Reg-94</v>
          </cell>
          <cell r="B350">
            <v>-0.54</v>
          </cell>
          <cell r="C350">
            <v>0</v>
          </cell>
          <cell r="D350">
            <v>0.89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6.4000000000000003E-3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 t="b">
            <v>0</v>
          </cell>
        </row>
        <row r="351">
          <cell r="A351" t="str">
            <v>Data split-3;Reg-95</v>
          </cell>
          <cell r="B351">
            <v>-0.56000000000000005</v>
          </cell>
          <cell r="C351">
            <v>0</v>
          </cell>
          <cell r="D351">
            <v>0.88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1.8E-3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 t="b">
            <v>0</v>
          </cell>
        </row>
        <row r="352">
          <cell r="A352" t="str">
            <v>Data split-3;Reg-96</v>
          </cell>
          <cell r="B352">
            <v>-0.72</v>
          </cell>
          <cell r="C352">
            <v>0.74</v>
          </cell>
          <cell r="D352">
            <v>0</v>
          </cell>
          <cell r="E352">
            <v>0.16</v>
          </cell>
          <cell r="F352">
            <v>0</v>
          </cell>
          <cell r="G352">
            <v>0</v>
          </cell>
          <cell r="H352">
            <v>0</v>
          </cell>
          <cell r="I352">
            <v>0.44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 t="b">
            <v>0</v>
          </cell>
        </row>
        <row r="353">
          <cell r="A353" t="str">
            <v>Data split-3;Reg-97</v>
          </cell>
          <cell r="B353">
            <v>-4.3</v>
          </cell>
          <cell r="C353">
            <v>0.33</v>
          </cell>
          <cell r="D353">
            <v>0</v>
          </cell>
          <cell r="E353">
            <v>0.25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13.3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 t="b">
            <v>0</v>
          </cell>
        </row>
        <row r="354">
          <cell r="A354" t="str">
            <v>Data split-3;Reg-98</v>
          </cell>
          <cell r="B354">
            <v>-4.8</v>
          </cell>
          <cell r="C354">
            <v>0.65</v>
          </cell>
          <cell r="D354">
            <v>0</v>
          </cell>
          <cell r="E354">
            <v>0</v>
          </cell>
          <cell r="F354">
            <v>-0.11</v>
          </cell>
          <cell r="G354">
            <v>0</v>
          </cell>
          <cell r="H354">
            <v>0</v>
          </cell>
          <cell r="I354">
            <v>2.5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 t="b">
            <v>0</v>
          </cell>
        </row>
        <row r="355">
          <cell r="A355" t="str">
            <v>Data split-3;Reg-99</v>
          </cell>
          <cell r="B355">
            <v>-4</v>
          </cell>
          <cell r="C355">
            <v>0.74</v>
          </cell>
          <cell r="D355">
            <v>0</v>
          </cell>
          <cell r="E355">
            <v>0</v>
          </cell>
          <cell r="F355">
            <v>-1.2999999999999999E-2</v>
          </cell>
          <cell r="G355">
            <v>0</v>
          </cell>
          <cell r="H355">
            <v>0</v>
          </cell>
          <cell r="I355">
            <v>0</v>
          </cell>
          <cell r="J355">
            <v>13.4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 t="b">
            <v>0</v>
          </cell>
        </row>
        <row r="356">
          <cell r="A356" t="str">
            <v>Data split-3;Reg-100</v>
          </cell>
          <cell r="B356">
            <v>-1.9</v>
          </cell>
          <cell r="C356">
            <v>0</v>
          </cell>
          <cell r="D356">
            <v>0.85</v>
          </cell>
          <cell r="E356">
            <v>-0.16</v>
          </cell>
          <cell r="F356">
            <v>0</v>
          </cell>
          <cell r="G356">
            <v>0</v>
          </cell>
          <cell r="H356">
            <v>0</v>
          </cell>
          <cell r="I356">
            <v>1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 t="b">
            <v>0</v>
          </cell>
        </row>
        <row r="357">
          <cell r="A357" t="str">
            <v>Data split-3;Reg-101</v>
          </cell>
          <cell r="B357">
            <v>-4.5999999999999996</v>
          </cell>
          <cell r="C357">
            <v>0</v>
          </cell>
          <cell r="D357">
            <v>0.44</v>
          </cell>
          <cell r="E357">
            <v>0.11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13.5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 t="b">
            <v>0</v>
          </cell>
        </row>
        <row r="358">
          <cell r="A358" t="str">
            <v>Data split-3;Reg-102</v>
          </cell>
          <cell r="B358">
            <v>-5.2</v>
          </cell>
          <cell r="C358">
            <v>0</v>
          </cell>
          <cell r="D358">
            <v>0.52</v>
          </cell>
          <cell r="E358">
            <v>0</v>
          </cell>
          <cell r="F358">
            <v>-9.9000000000000005E-2</v>
          </cell>
          <cell r="G358">
            <v>0</v>
          </cell>
          <cell r="H358">
            <v>0</v>
          </cell>
          <cell r="I358">
            <v>2.4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 t="b">
            <v>0</v>
          </cell>
        </row>
        <row r="359">
          <cell r="A359" t="str">
            <v>Data split-3;Reg-103</v>
          </cell>
          <cell r="B359">
            <v>-4.8</v>
          </cell>
          <cell r="C359">
            <v>0</v>
          </cell>
          <cell r="D359">
            <v>0.59</v>
          </cell>
          <cell r="E359">
            <v>0</v>
          </cell>
          <cell r="F359">
            <v>-4.7000000000000002E-3</v>
          </cell>
          <cell r="G359">
            <v>0</v>
          </cell>
          <cell r="H359">
            <v>0</v>
          </cell>
          <cell r="I359">
            <v>0</v>
          </cell>
          <cell r="J359">
            <v>13.9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 t="b">
            <v>0</v>
          </cell>
        </row>
        <row r="360">
          <cell r="A360" t="str">
            <v>Data split-3;Reg-104</v>
          </cell>
          <cell r="B360">
            <v>-2.1000000000000001E-2</v>
          </cell>
          <cell r="C360">
            <v>0.56999999999999995</v>
          </cell>
          <cell r="D360">
            <v>0</v>
          </cell>
          <cell r="E360">
            <v>0.28000000000000003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0.28999999999999998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 t="b">
            <v>0</v>
          </cell>
        </row>
        <row r="361">
          <cell r="A361" t="str">
            <v>Data split-3;Reg-105</v>
          </cell>
          <cell r="B361">
            <v>-0.32</v>
          </cell>
          <cell r="C361">
            <v>0.48</v>
          </cell>
          <cell r="D361">
            <v>0</v>
          </cell>
          <cell r="E361">
            <v>0.35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2.2000000000000002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 t="b">
            <v>0</v>
          </cell>
        </row>
        <row r="362">
          <cell r="A362" t="str">
            <v>Data split-3;Reg-106</v>
          </cell>
          <cell r="B362">
            <v>0.3</v>
          </cell>
          <cell r="C362">
            <v>1</v>
          </cell>
          <cell r="D362">
            <v>0</v>
          </cell>
          <cell r="E362">
            <v>0</v>
          </cell>
          <cell r="F362">
            <v>-9.5999999999999992E-3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0.24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 t="b">
            <v>0</v>
          </cell>
        </row>
        <row r="363">
          <cell r="A363" t="str">
            <v>Data split-3;Reg-107</v>
          </cell>
          <cell r="B363">
            <v>0.27</v>
          </cell>
          <cell r="C363">
            <v>1.1000000000000001</v>
          </cell>
          <cell r="D363">
            <v>0</v>
          </cell>
          <cell r="E363">
            <v>0</v>
          </cell>
          <cell r="F363">
            <v>-8.1999999999999998E-4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1.4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 t="b">
            <v>0</v>
          </cell>
        </row>
        <row r="364">
          <cell r="A364" t="str">
            <v>Data split-3;Reg-108</v>
          </cell>
          <cell r="B364">
            <v>-0.39</v>
          </cell>
          <cell r="C364">
            <v>0</v>
          </cell>
          <cell r="D364">
            <v>0.62</v>
          </cell>
          <cell r="E364">
            <v>0.14000000000000001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0.36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 t="b">
            <v>0</v>
          </cell>
        </row>
        <row r="365">
          <cell r="A365" t="str">
            <v>Data split-3;Reg-109</v>
          </cell>
          <cell r="B365">
            <v>-0.68</v>
          </cell>
          <cell r="C365">
            <v>0</v>
          </cell>
          <cell r="D365">
            <v>0.51</v>
          </cell>
          <cell r="E365">
            <v>0.25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2.4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 t="b">
            <v>0</v>
          </cell>
        </row>
        <row r="366">
          <cell r="A366" t="str">
            <v>Data split-3;Reg-110</v>
          </cell>
          <cell r="B366">
            <v>-0.31</v>
          </cell>
          <cell r="C366">
            <v>0</v>
          </cell>
          <cell r="D366">
            <v>0.78</v>
          </cell>
          <cell r="E366">
            <v>0</v>
          </cell>
          <cell r="F366">
            <v>1.8E-3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0.35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 t="b">
            <v>0</v>
          </cell>
        </row>
        <row r="367">
          <cell r="A367" t="str">
            <v>Data split-3;Reg-111</v>
          </cell>
          <cell r="B367">
            <v>-0.36</v>
          </cell>
          <cell r="C367">
            <v>0</v>
          </cell>
          <cell r="D367">
            <v>0.8</v>
          </cell>
          <cell r="E367">
            <v>0</v>
          </cell>
          <cell r="F367">
            <v>1.4999999999999999E-2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2.1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 t="b">
            <v>0</v>
          </cell>
        </row>
        <row r="368">
          <cell r="A368" t="str">
            <v>Data split-3;Reg-112</v>
          </cell>
          <cell r="B368">
            <v>-0.3</v>
          </cell>
          <cell r="C368">
            <v>0.66</v>
          </cell>
          <cell r="D368">
            <v>0</v>
          </cell>
          <cell r="E368">
            <v>0</v>
          </cell>
          <cell r="F368">
            <v>0</v>
          </cell>
          <cell r="G368">
            <v>0.49</v>
          </cell>
          <cell r="H368">
            <v>0</v>
          </cell>
          <cell r="I368">
            <v>-9.1999999999999998E-2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 t="b">
            <v>1</v>
          </cell>
        </row>
        <row r="369">
          <cell r="A369" t="str">
            <v>Data split-3;Reg-113</v>
          </cell>
          <cell r="B369">
            <v>-3.7</v>
          </cell>
          <cell r="C369">
            <v>0.34</v>
          </cell>
          <cell r="D369">
            <v>0</v>
          </cell>
          <cell r="E369">
            <v>0</v>
          </cell>
          <cell r="F369">
            <v>0</v>
          </cell>
          <cell r="G369">
            <v>0.39</v>
          </cell>
          <cell r="H369">
            <v>0</v>
          </cell>
          <cell r="I369">
            <v>0</v>
          </cell>
          <cell r="J369">
            <v>11.5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 t="b">
            <v>0</v>
          </cell>
        </row>
        <row r="370">
          <cell r="A370" t="str">
            <v>Data split-3;Reg-114</v>
          </cell>
          <cell r="B370">
            <v>0.25</v>
          </cell>
          <cell r="C370">
            <v>0.73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0.5</v>
          </cell>
          <cell r="I370">
            <v>-0.19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 t="b">
            <v>0</v>
          </cell>
        </row>
        <row r="371">
          <cell r="A371" t="str">
            <v>Data split-3;Reg-115</v>
          </cell>
          <cell r="B371">
            <v>-3.2</v>
          </cell>
          <cell r="C371">
            <v>0.4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0.37</v>
          </cell>
          <cell r="I371">
            <v>0</v>
          </cell>
          <cell r="J371">
            <v>11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 t="b">
            <v>0</v>
          </cell>
        </row>
        <row r="372">
          <cell r="A372" t="str">
            <v>Data split-3;Reg-116</v>
          </cell>
          <cell r="B372">
            <v>-1.3</v>
          </cell>
          <cell r="C372">
            <v>0</v>
          </cell>
          <cell r="D372">
            <v>0.56999999999999995</v>
          </cell>
          <cell r="E372">
            <v>0</v>
          </cell>
          <cell r="F372">
            <v>0</v>
          </cell>
          <cell r="G372">
            <v>0.31</v>
          </cell>
          <cell r="H372">
            <v>0</v>
          </cell>
          <cell r="I372">
            <v>0.37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 t="b">
            <v>0</v>
          </cell>
        </row>
        <row r="373">
          <cell r="A373" t="str">
            <v>Data split-3;Reg-117</v>
          </cell>
          <cell r="B373">
            <v>-4.2</v>
          </cell>
          <cell r="C373">
            <v>0</v>
          </cell>
          <cell r="D373">
            <v>0.37</v>
          </cell>
          <cell r="E373">
            <v>0</v>
          </cell>
          <cell r="F373">
            <v>0</v>
          </cell>
          <cell r="G373">
            <v>0.3</v>
          </cell>
          <cell r="H373">
            <v>0</v>
          </cell>
          <cell r="I373">
            <v>0</v>
          </cell>
          <cell r="J373">
            <v>11.7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 t="b">
            <v>0</v>
          </cell>
        </row>
        <row r="374">
          <cell r="A374" t="str">
            <v>Data split-3;Reg-118</v>
          </cell>
          <cell r="B374">
            <v>-1.1000000000000001</v>
          </cell>
          <cell r="C374">
            <v>0</v>
          </cell>
          <cell r="D374">
            <v>0.59</v>
          </cell>
          <cell r="E374">
            <v>0</v>
          </cell>
          <cell r="F374">
            <v>0</v>
          </cell>
          <cell r="G374">
            <v>0</v>
          </cell>
          <cell r="H374">
            <v>0.27</v>
          </cell>
          <cell r="I374">
            <v>0.43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 t="b">
            <v>0</v>
          </cell>
        </row>
        <row r="375">
          <cell r="A375" t="str">
            <v>Data split-3;Reg-119</v>
          </cell>
          <cell r="B375">
            <v>-4</v>
          </cell>
          <cell r="C375">
            <v>0</v>
          </cell>
          <cell r="D375">
            <v>0.39</v>
          </cell>
          <cell r="E375">
            <v>0</v>
          </cell>
          <cell r="F375">
            <v>0</v>
          </cell>
          <cell r="G375">
            <v>0</v>
          </cell>
          <cell r="H375">
            <v>0.28000000000000003</v>
          </cell>
          <cell r="I375">
            <v>0</v>
          </cell>
          <cell r="J375">
            <v>11.9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 t="b">
            <v>0</v>
          </cell>
        </row>
        <row r="376">
          <cell r="A376" t="str">
            <v>Data split-3;Reg-120</v>
          </cell>
          <cell r="B376">
            <v>-0.14000000000000001</v>
          </cell>
          <cell r="C376">
            <v>0.55000000000000004</v>
          </cell>
          <cell r="D376">
            <v>0</v>
          </cell>
          <cell r="E376">
            <v>0</v>
          </cell>
          <cell r="F376">
            <v>0</v>
          </cell>
          <cell r="G376">
            <v>0.45</v>
          </cell>
          <cell r="H376">
            <v>0</v>
          </cell>
          <cell r="I376">
            <v>0</v>
          </cell>
          <cell r="J376">
            <v>0</v>
          </cell>
          <cell r="K376">
            <v>0.2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 t="b">
            <v>0</v>
          </cell>
        </row>
        <row r="377">
          <cell r="A377" t="str">
            <v>Data split-3;Reg-121</v>
          </cell>
          <cell r="B377">
            <v>-0.31</v>
          </cell>
          <cell r="C377">
            <v>0.48</v>
          </cell>
          <cell r="D377">
            <v>0</v>
          </cell>
          <cell r="E377">
            <v>0</v>
          </cell>
          <cell r="F377">
            <v>0</v>
          </cell>
          <cell r="G377">
            <v>0.51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1.8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 t="b">
            <v>0</v>
          </cell>
        </row>
        <row r="378">
          <cell r="A378" t="str">
            <v>Data split-3;Reg-122</v>
          </cell>
          <cell r="B378">
            <v>0.25</v>
          </cell>
          <cell r="C378">
            <v>0.61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0.43</v>
          </cell>
          <cell r="I378">
            <v>0</v>
          </cell>
          <cell r="J378">
            <v>0</v>
          </cell>
          <cell r="K378">
            <v>0.18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 t="b">
            <v>0</v>
          </cell>
        </row>
        <row r="379">
          <cell r="A379" t="str">
            <v>Data split-3;Reg-123</v>
          </cell>
          <cell r="B379">
            <v>0.15</v>
          </cell>
          <cell r="C379">
            <v>0.56000000000000005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0.48</v>
          </cell>
          <cell r="I379">
            <v>0</v>
          </cell>
          <cell r="J379">
            <v>0</v>
          </cell>
          <cell r="K379">
            <v>0</v>
          </cell>
          <cell r="L379">
            <v>1.7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 t="b">
            <v>0</v>
          </cell>
        </row>
        <row r="380">
          <cell r="A380" t="str">
            <v>Data split-3;Reg-124</v>
          </cell>
          <cell r="B380">
            <v>-0.56000000000000005</v>
          </cell>
          <cell r="C380">
            <v>0</v>
          </cell>
          <cell r="D380">
            <v>0.51</v>
          </cell>
          <cell r="E380">
            <v>0</v>
          </cell>
          <cell r="F380">
            <v>0</v>
          </cell>
          <cell r="G380">
            <v>0.36</v>
          </cell>
          <cell r="H380">
            <v>0</v>
          </cell>
          <cell r="I380">
            <v>0</v>
          </cell>
          <cell r="J380">
            <v>0</v>
          </cell>
          <cell r="K380">
            <v>0.28000000000000003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 t="b">
            <v>0</v>
          </cell>
        </row>
        <row r="381">
          <cell r="A381" t="str">
            <v>Data split-3;Reg-125</v>
          </cell>
          <cell r="B381">
            <v>-0.77</v>
          </cell>
          <cell r="C381">
            <v>0</v>
          </cell>
          <cell r="D381">
            <v>0.46</v>
          </cell>
          <cell r="E381">
            <v>0</v>
          </cell>
          <cell r="F381">
            <v>0</v>
          </cell>
          <cell r="G381">
            <v>0.44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2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 t="b">
            <v>0</v>
          </cell>
        </row>
        <row r="382">
          <cell r="A382" t="str">
            <v>Data split-3;Reg-126</v>
          </cell>
          <cell r="B382">
            <v>-0.21</v>
          </cell>
          <cell r="C382">
            <v>0</v>
          </cell>
          <cell r="D382">
            <v>0.54</v>
          </cell>
          <cell r="E382">
            <v>0</v>
          </cell>
          <cell r="F382">
            <v>0</v>
          </cell>
          <cell r="G382">
            <v>0</v>
          </cell>
          <cell r="H382">
            <v>0.34</v>
          </cell>
          <cell r="I382">
            <v>0</v>
          </cell>
          <cell r="J382">
            <v>0</v>
          </cell>
          <cell r="K382">
            <v>0.28999999999999998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 t="b">
            <v>0</v>
          </cell>
        </row>
        <row r="383">
          <cell r="A383" t="str">
            <v>Data split-3;Reg-127</v>
          </cell>
          <cell r="B383">
            <v>-0.35</v>
          </cell>
          <cell r="C383">
            <v>0</v>
          </cell>
          <cell r="D383">
            <v>0.5</v>
          </cell>
          <cell r="E383">
            <v>0</v>
          </cell>
          <cell r="F383">
            <v>0</v>
          </cell>
          <cell r="G383">
            <v>0</v>
          </cell>
          <cell r="H383">
            <v>0.42</v>
          </cell>
          <cell r="I383">
            <v>0</v>
          </cell>
          <cell r="J383">
            <v>0</v>
          </cell>
          <cell r="K383">
            <v>0</v>
          </cell>
          <cell r="L383">
            <v>2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 t="b">
            <v>0</v>
          </cell>
        </row>
        <row r="384">
          <cell r="A384" t="str">
            <v>Data split-4;Reg-1</v>
          </cell>
          <cell r="B384">
            <v>-0.69</v>
          </cell>
          <cell r="C384">
            <v>0.53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0.67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-1.0999999999999999E-2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 t="b">
            <v>1</v>
          </cell>
        </row>
        <row r="385">
          <cell r="A385" t="str">
            <v>Data split-4;Reg-2</v>
          </cell>
          <cell r="B385">
            <v>-3</v>
          </cell>
          <cell r="C385">
            <v>0.37</v>
          </cell>
          <cell r="D385">
            <v>0</v>
          </cell>
          <cell r="E385">
            <v>0</v>
          </cell>
          <cell r="F385">
            <v>-5.1999999999999998E-2</v>
          </cell>
          <cell r="G385">
            <v>1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-2.2000000000000001E-3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 t="b">
            <v>0</v>
          </cell>
        </row>
        <row r="386">
          <cell r="A386" t="str">
            <v>Data split-4;Reg-3</v>
          </cell>
          <cell r="B386">
            <v>-1.8</v>
          </cell>
          <cell r="C386">
            <v>0.44</v>
          </cell>
          <cell r="D386">
            <v>0</v>
          </cell>
          <cell r="E386">
            <v>0</v>
          </cell>
          <cell r="F386">
            <v>-3.2000000000000001E-2</v>
          </cell>
          <cell r="G386">
            <v>0</v>
          </cell>
          <cell r="H386">
            <v>1.2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-2.1000000000000001E-2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 t="b">
            <v>0</v>
          </cell>
        </row>
        <row r="387">
          <cell r="A387" t="str">
            <v>Data split-4;Reg-4</v>
          </cell>
          <cell r="B387">
            <v>-1.7</v>
          </cell>
          <cell r="C387">
            <v>0.49</v>
          </cell>
          <cell r="D387">
            <v>0</v>
          </cell>
          <cell r="E387">
            <v>0</v>
          </cell>
          <cell r="F387">
            <v>-3.2000000000000001E-2</v>
          </cell>
          <cell r="G387">
            <v>0</v>
          </cell>
          <cell r="H387">
            <v>1.2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-5.4999999999999997E-3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 t="b">
            <v>0</v>
          </cell>
        </row>
        <row r="388">
          <cell r="A388" t="str">
            <v>Data split-4;Reg-5</v>
          </cell>
          <cell r="B388">
            <v>-2.7</v>
          </cell>
          <cell r="C388">
            <v>0</v>
          </cell>
          <cell r="D388">
            <v>0.35</v>
          </cell>
          <cell r="E388">
            <v>0</v>
          </cell>
          <cell r="F388">
            <v>-2.1999999999999999E-2</v>
          </cell>
          <cell r="G388">
            <v>1.1000000000000001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-4.8999999999999998E-3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 t="b">
            <v>0</v>
          </cell>
        </row>
        <row r="389">
          <cell r="A389" t="str">
            <v>Data split-4;Reg-6</v>
          </cell>
          <cell r="B389">
            <v>-1.3</v>
          </cell>
          <cell r="C389">
            <v>0</v>
          </cell>
          <cell r="D389">
            <v>0.43</v>
          </cell>
          <cell r="E389">
            <v>0</v>
          </cell>
          <cell r="F389">
            <v>6.1000000000000004E-3</v>
          </cell>
          <cell r="G389">
            <v>0</v>
          </cell>
          <cell r="H389">
            <v>1.3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-8.8000000000000005E-3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 t="b">
            <v>1</v>
          </cell>
        </row>
        <row r="390">
          <cell r="A390" t="str">
            <v>Data split-4;Reg-7</v>
          </cell>
          <cell r="B390">
            <v>-1.6</v>
          </cell>
          <cell r="C390">
            <v>0.28000000000000003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0.51</v>
          </cell>
          <cell r="I390">
            <v>1.4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-2.4E-2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 t="b">
            <v>0</v>
          </cell>
        </row>
        <row r="391">
          <cell r="A391" t="str">
            <v>Data split-4;Reg-8</v>
          </cell>
          <cell r="B391">
            <v>-1.4</v>
          </cell>
          <cell r="C391">
            <v>0.35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0.48</v>
          </cell>
          <cell r="I391">
            <v>1.2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-4.7999999999999996E-3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 t="b">
            <v>0</v>
          </cell>
        </row>
        <row r="392">
          <cell r="A392" t="str">
            <v>Data split-4;Reg-9</v>
          </cell>
          <cell r="B392">
            <v>-0.35</v>
          </cell>
          <cell r="C392">
            <v>0.51</v>
          </cell>
          <cell r="D392">
            <v>0</v>
          </cell>
          <cell r="E392">
            <v>0</v>
          </cell>
          <cell r="F392">
            <v>0</v>
          </cell>
          <cell r="G392">
            <v>-7.3999999999999996E-2</v>
          </cell>
          <cell r="H392">
            <v>0</v>
          </cell>
          <cell r="I392">
            <v>0.55000000000000004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5.7000000000000002E-3</v>
          </cell>
          <cell r="S392">
            <v>0</v>
          </cell>
          <cell r="T392">
            <v>0</v>
          </cell>
          <cell r="U392" t="b">
            <v>0</v>
          </cell>
        </row>
        <row r="393">
          <cell r="A393" t="str">
            <v>Data split-4;Reg-10</v>
          </cell>
          <cell r="B393">
            <v>-0.68</v>
          </cell>
          <cell r="C393">
            <v>0.64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0.7</v>
          </cell>
          <cell r="I393">
            <v>0</v>
          </cell>
          <cell r="J393">
            <v>0</v>
          </cell>
          <cell r="K393">
            <v>-0.44</v>
          </cell>
          <cell r="L393">
            <v>0</v>
          </cell>
          <cell r="M393">
            <v>0</v>
          </cell>
          <cell r="N393">
            <v>0</v>
          </cell>
          <cell r="O393">
            <v>-6.0000000000000001E-3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 t="b">
            <v>1</v>
          </cell>
        </row>
        <row r="394">
          <cell r="A394" t="str">
            <v>Data split-4;Reg-11</v>
          </cell>
          <cell r="B394">
            <v>-2</v>
          </cell>
          <cell r="C394">
            <v>0.9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1.8</v>
          </cell>
          <cell r="J394">
            <v>0</v>
          </cell>
          <cell r="K394">
            <v>-1.1000000000000001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 t="b">
            <v>0</v>
          </cell>
        </row>
        <row r="395">
          <cell r="A395" t="str">
            <v>Data split-4;Reg-12</v>
          </cell>
          <cell r="B395">
            <v>-1</v>
          </cell>
          <cell r="C395">
            <v>0.86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1.2</v>
          </cell>
          <cell r="J395">
            <v>0</v>
          </cell>
          <cell r="K395">
            <v>0</v>
          </cell>
          <cell r="L395">
            <v>-5.9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 t="b">
            <v>0</v>
          </cell>
        </row>
        <row r="396">
          <cell r="A396" t="str">
            <v>Data split-4;Reg-13</v>
          </cell>
          <cell r="B396">
            <v>-3.4</v>
          </cell>
          <cell r="C396">
            <v>0.68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13</v>
          </cell>
          <cell r="K396">
            <v>0.13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 t="b">
            <v>0</v>
          </cell>
        </row>
        <row r="397">
          <cell r="A397" t="str">
            <v>Data split-4;Reg-14</v>
          </cell>
          <cell r="B397">
            <v>-3</v>
          </cell>
          <cell r="C397">
            <v>0.97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16</v>
          </cell>
          <cell r="K397">
            <v>0</v>
          </cell>
          <cell r="L397">
            <v>-9.6999999999999993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 t="b">
            <v>0</v>
          </cell>
        </row>
        <row r="398">
          <cell r="A398" t="str">
            <v>Data split-4;Reg-15</v>
          </cell>
          <cell r="B398">
            <v>-0.49</v>
          </cell>
          <cell r="C398">
            <v>0.55000000000000004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0.59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1.7999999999999999E-2</v>
          </cell>
          <cell r="R398">
            <v>0</v>
          </cell>
          <cell r="S398">
            <v>0</v>
          </cell>
          <cell r="T398">
            <v>0</v>
          </cell>
          <cell r="U398" t="b">
            <v>0</v>
          </cell>
        </row>
        <row r="399">
          <cell r="A399" t="str">
            <v>Data split-4;Reg-16</v>
          </cell>
          <cell r="B399">
            <v>-0.48</v>
          </cell>
          <cell r="C399">
            <v>0.49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0.51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5.1000000000000004E-3</v>
          </cell>
          <cell r="S399">
            <v>0</v>
          </cell>
          <cell r="T399">
            <v>0</v>
          </cell>
          <cell r="U399" t="b">
            <v>0</v>
          </cell>
        </row>
        <row r="400">
          <cell r="A400" t="str">
            <v>Data split-4;Reg-17</v>
          </cell>
          <cell r="B400">
            <v>-2.1</v>
          </cell>
          <cell r="C400">
            <v>0.41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10.8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0.02</v>
          </cell>
          <cell r="R400">
            <v>0</v>
          </cell>
          <cell r="S400">
            <v>0</v>
          </cell>
          <cell r="T400">
            <v>0</v>
          </cell>
          <cell r="U400" t="b">
            <v>0</v>
          </cell>
        </row>
        <row r="401">
          <cell r="A401" t="str">
            <v>Data split-4;Reg-18</v>
          </cell>
          <cell r="B401">
            <v>-2.1</v>
          </cell>
          <cell r="C401">
            <v>0.33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10.7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5.4999999999999997E-3</v>
          </cell>
          <cell r="S401">
            <v>0</v>
          </cell>
          <cell r="T401">
            <v>0</v>
          </cell>
          <cell r="U401" t="b">
            <v>0</v>
          </cell>
        </row>
        <row r="402">
          <cell r="A402" t="str">
            <v>Data split-4;Reg-19</v>
          </cell>
          <cell r="B402">
            <v>0.1</v>
          </cell>
          <cell r="C402">
            <v>0.82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-0.34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2.3E-2</v>
          </cell>
          <cell r="T402">
            <v>0</v>
          </cell>
          <cell r="U402" t="b">
            <v>0</v>
          </cell>
        </row>
        <row r="403">
          <cell r="A403" t="str">
            <v>Data split-4;Reg-20</v>
          </cell>
          <cell r="B403">
            <v>9.7000000000000003E-2</v>
          </cell>
          <cell r="C403">
            <v>0.75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-0.47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6.6E-3</v>
          </cell>
          <cell r="U403" t="b">
            <v>0</v>
          </cell>
        </row>
        <row r="404">
          <cell r="A404" t="str">
            <v>Data split-4;Reg-21</v>
          </cell>
          <cell r="B404">
            <v>0.12</v>
          </cell>
          <cell r="C404">
            <v>0.74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-0.79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2.1000000000000001E-2</v>
          </cell>
          <cell r="T404">
            <v>0</v>
          </cell>
          <cell r="U404" t="b">
            <v>0</v>
          </cell>
        </row>
        <row r="405">
          <cell r="A405" t="str">
            <v>Data split-4;Reg-22</v>
          </cell>
          <cell r="B405">
            <v>0.17</v>
          </cell>
          <cell r="C405">
            <v>0.66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-1.4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5.7999999999999996E-3</v>
          </cell>
          <cell r="U405" t="b">
            <v>0</v>
          </cell>
        </row>
        <row r="406">
          <cell r="A406" t="str">
            <v>Data split-4;Reg-23</v>
          </cell>
          <cell r="B406">
            <v>-1.5</v>
          </cell>
          <cell r="C406">
            <v>0</v>
          </cell>
          <cell r="D406">
            <v>0.54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1.6</v>
          </cell>
          <cell r="J406">
            <v>0</v>
          </cell>
          <cell r="K406">
            <v>-0.52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 t="b">
            <v>0</v>
          </cell>
        </row>
        <row r="407">
          <cell r="A407" t="str">
            <v>Data split-4;Reg-24</v>
          </cell>
          <cell r="B407">
            <v>-0.93</v>
          </cell>
          <cell r="C407">
            <v>0</v>
          </cell>
          <cell r="D407">
            <v>0.55000000000000004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1.3</v>
          </cell>
          <cell r="J407">
            <v>0</v>
          </cell>
          <cell r="K407">
            <v>0</v>
          </cell>
          <cell r="L407">
            <v>-3.4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 t="b">
            <v>0</v>
          </cell>
        </row>
        <row r="408">
          <cell r="A408" t="str">
            <v>Data split-4;Reg-25</v>
          </cell>
          <cell r="B408">
            <v>-2.6</v>
          </cell>
          <cell r="C408">
            <v>0</v>
          </cell>
          <cell r="D408">
            <v>0.47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10.5</v>
          </cell>
          <cell r="K408">
            <v>0.49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 t="b">
            <v>0</v>
          </cell>
        </row>
        <row r="409">
          <cell r="A409" t="str">
            <v>Data split-4;Reg-26</v>
          </cell>
          <cell r="B409">
            <v>-3.2</v>
          </cell>
          <cell r="C409">
            <v>0</v>
          </cell>
          <cell r="D409">
            <v>0.52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14.2</v>
          </cell>
          <cell r="K409">
            <v>0</v>
          </cell>
          <cell r="L409">
            <v>0.12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 t="b">
            <v>0</v>
          </cell>
        </row>
        <row r="410">
          <cell r="A410" t="str">
            <v>Data split-4;Reg-27</v>
          </cell>
          <cell r="B410">
            <v>-0.89</v>
          </cell>
          <cell r="C410">
            <v>0</v>
          </cell>
          <cell r="D410">
            <v>0.44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1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7.0000000000000001E-3</v>
          </cell>
          <cell r="R410">
            <v>0</v>
          </cell>
          <cell r="S410">
            <v>0</v>
          </cell>
          <cell r="T410">
            <v>0</v>
          </cell>
          <cell r="U410" t="b">
            <v>0</v>
          </cell>
        </row>
        <row r="411">
          <cell r="A411" t="str">
            <v>Data split-4;Reg-28</v>
          </cell>
          <cell r="B411">
            <v>-0.76</v>
          </cell>
          <cell r="C411">
            <v>0</v>
          </cell>
          <cell r="D411">
            <v>0.4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0.93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2.7000000000000001E-3</v>
          </cell>
          <cell r="S411">
            <v>0</v>
          </cell>
          <cell r="T411">
            <v>0</v>
          </cell>
          <cell r="U411" t="b">
            <v>0</v>
          </cell>
        </row>
        <row r="412">
          <cell r="A412" t="str">
            <v>Data split-4;Reg-29</v>
          </cell>
          <cell r="B412">
            <v>-2.2999999999999998</v>
          </cell>
          <cell r="C412">
            <v>0</v>
          </cell>
          <cell r="D412">
            <v>0.31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12.8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1.6E-2</v>
          </cell>
          <cell r="R412">
            <v>0</v>
          </cell>
          <cell r="S412">
            <v>0</v>
          </cell>
          <cell r="T412">
            <v>0</v>
          </cell>
          <cell r="U412" t="b">
            <v>0</v>
          </cell>
        </row>
        <row r="413">
          <cell r="A413" t="str">
            <v>Data split-4;Reg-30</v>
          </cell>
          <cell r="B413">
            <v>-2.2999999999999998</v>
          </cell>
          <cell r="C413">
            <v>0</v>
          </cell>
          <cell r="D413">
            <v>0.25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12.1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4.7999999999999996E-3</v>
          </cell>
          <cell r="S413">
            <v>0</v>
          </cell>
          <cell r="T413">
            <v>0</v>
          </cell>
          <cell r="U413" t="b">
            <v>0</v>
          </cell>
        </row>
        <row r="414">
          <cell r="A414" t="str">
            <v>Data split-4;Reg-31</v>
          </cell>
          <cell r="B414">
            <v>-2.7E-2</v>
          </cell>
          <cell r="C414">
            <v>0</v>
          </cell>
          <cell r="D414">
            <v>0.49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0.67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0.01</v>
          </cell>
          <cell r="T414">
            <v>0</v>
          </cell>
          <cell r="U414" t="b">
            <v>0</v>
          </cell>
        </row>
        <row r="415">
          <cell r="A415" t="str">
            <v>Data split-4;Reg-32</v>
          </cell>
          <cell r="B415">
            <v>0.1</v>
          </cell>
          <cell r="C415">
            <v>0</v>
          </cell>
          <cell r="D415">
            <v>0.44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0.5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3.7000000000000002E-3</v>
          </cell>
          <cell r="U415" t="b">
            <v>0</v>
          </cell>
        </row>
        <row r="416">
          <cell r="A416" t="str">
            <v>Data split-4;Reg-33</v>
          </cell>
          <cell r="B416">
            <v>-0.74</v>
          </cell>
          <cell r="C416">
            <v>0</v>
          </cell>
          <cell r="D416">
            <v>0.39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8.6999999999999993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1.6E-2</v>
          </cell>
          <cell r="T416">
            <v>0</v>
          </cell>
          <cell r="U416" t="b">
            <v>0</v>
          </cell>
        </row>
        <row r="417">
          <cell r="A417" t="str">
            <v>Data split-4;Reg-34</v>
          </cell>
          <cell r="B417">
            <v>-0.55000000000000004</v>
          </cell>
          <cell r="C417">
            <v>0</v>
          </cell>
          <cell r="D417">
            <v>0.35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7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4.7999999999999996E-3</v>
          </cell>
          <cell r="U417" t="b">
            <v>0</v>
          </cell>
        </row>
        <row r="418">
          <cell r="A418" t="str">
            <v>Data split-4;Reg-35</v>
          </cell>
          <cell r="B418">
            <v>-0.97</v>
          </cell>
          <cell r="C418">
            <v>0.8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1.4</v>
          </cell>
          <cell r="J418">
            <v>0</v>
          </cell>
          <cell r="K418">
            <v>-1.5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2.1000000000000001E-2</v>
          </cell>
          <cell r="R418">
            <v>0</v>
          </cell>
          <cell r="S418">
            <v>0</v>
          </cell>
          <cell r="T418">
            <v>0</v>
          </cell>
          <cell r="U418" t="b">
            <v>0</v>
          </cell>
        </row>
        <row r="419">
          <cell r="A419" t="str">
            <v>Data split-4;Reg-36</v>
          </cell>
          <cell r="B419">
            <v>-0.99</v>
          </cell>
          <cell r="C419">
            <v>0.75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1.4</v>
          </cell>
          <cell r="J419">
            <v>0</v>
          </cell>
          <cell r="K419">
            <v>-1.6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5.7999999999999996E-3</v>
          </cell>
          <cell r="S419">
            <v>0</v>
          </cell>
          <cell r="T419">
            <v>0</v>
          </cell>
          <cell r="U419" t="b">
            <v>0</v>
          </cell>
        </row>
        <row r="420">
          <cell r="A420" t="str">
            <v>Data split-4;Reg-37</v>
          </cell>
          <cell r="B420">
            <v>-5.2999999999999999E-2</v>
          </cell>
          <cell r="C420">
            <v>0.68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0.67</v>
          </cell>
          <cell r="J420">
            <v>0</v>
          </cell>
          <cell r="K420">
            <v>0</v>
          </cell>
          <cell r="L420">
            <v>-4.8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1.7999999999999999E-2</v>
          </cell>
          <cell r="R420">
            <v>0</v>
          </cell>
          <cell r="S420">
            <v>0</v>
          </cell>
          <cell r="T420">
            <v>0</v>
          </cell>
          <cell r="U420" t="b">
            <v>0</v>
          </cell>
        </row>
        <row r="421">
          <cell r="A421" t="str">
            <v>Data split-4;Reg-38</v>
          </cell>
          <cell r="B421">
            <v>-6.2E-2</v>
          </cell>
          <cell r="C421">
            <v>0.62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0.59</v>
          </cell>
          <cell r="J421">
            <v>0</v>
          </cell>
          <cell r="K421">
            <v>0</v>
          </cell>
          <cell r="L421">
            <v>-4.5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5.0000000000000001E-3</v>
          </cell>
          <cell r="S421">
            <v>0</v>
          </cell>
          <cell r="T421">
            <v>0</v>
          </cell>
          <cell r="U421" t="b">
            <v>0</v>
          </cell>
        </row>
        <row r="422">
          <cell r="A422" t="str">
            <v>Data split-4;Reg-39</v>
          </cell>
          <cell r="B422">
            <v>-2.2999999999999998</v>
          </cell>
          <cell r="C422">
            <v>0.56999999999999995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12.3</v>
          </cell>
          <cell r="K422">
            <v>-0.63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2.4E-2</v>
          </cell>
          <cell r="R422">
            <v>0</v>
          </cell>
          <cell r="S422">
            <v>0</v>
          </cell>
          <cell r="T422">
            <v>0</v>
          </cell>
          <cell r="U422" t="b">
            <v>0</v>
          </cell>
        </row>
        <row r="423">
          <cell r="A423" t="str">
            <v>Data split-4;Reg-40</v>
          </cell>
          <cell r="B423">
            <v>-2.4</v>
          </cell>
          <cell r="C423">
            <v>0.51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12.6</v>
          </cell>
          <cell r="K423">
            <v>-0.76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6.6E-3</v>
          </cell>
          <cell r="S423">
            <v>0</v>
          </cell>
          <cell r="T423">
            <v>0</v>
          </cell>
          <cell r="U423" t="b">
            <v>0</v>
          </cell>
        </row>
        <row r="424">
          <cell r="A424" t="str">
            <v>Data split-4;Reg-41</v>
          </cell>
          <cell r="B424">
            <v>-1.5</v>
          </cell>
          <cell r="C424">
            <v>0.68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13.7</v>
          </cell>
          <cell r="K424">
            <v>0</v>
          </cell>
          <cell r="L424">
            <v>-10.8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0.02</v>
          </cell>
          <cell r="R424">
            <v>0</v>
          </cell>
          <cell r="S424">
            <v>0</v>
          </cell>
          <cell r="T424">
            <v>0</v>
          </cell>
          <cell r="U424" t="b">
            <v>0</v>
          </cell>
        </row>
        <row r="425">
          <cell r="A425" t="str">
            <v>Data split-4;Reg-42</v>
          </cell>
          <cell r="B425">
            <v>-1.5</v>
          </cell>
          <cell r="C425">
            <v>0.6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13.7</v>
          </cell>
          <cell r="K425">
            <v>0</v>
          </cell>
          <cell r="L425">
            <v>-11.2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5.5999999999999999E-3</v>
          </cell>
          <cell r="S425">
            <v>0</v>
          </cell>
          <cell r="T425">
            <v>0</v>
          </cell>
          <cell r="U425" t="b">
            <v>0</v>
          </cell>
        </row>
        <row r="426">
          <cell r="A426" t="str">
            <v>Data split-4;Reg-43</v>
          </cell>
          <cell r="B426">
            <v>-0.93</v>
          </cell>
          <cell r="C426">
            <v>0.8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1.5</v>
          </cell>
          <cell r="J426">
            <v>0</v>
          </cell>
          <cell r="K426">
            <v>-1.6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0.02</v>
          </cell>
          <cell r="T426">
            <v>0</v>
          </cell>
          <cell r="U426" t="b">
            <v>0</v>
          </cell>
        </row>
        <row r="427">
          <cell r="A427" t="str">
            <v>Data split-4;Reg-44</v>
          </cell>
          <cell r="B427">
            <v>-0.9</v>
          </cell>
          <cell r="C427">
            <v>0.73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1.5</v>
          </cell>
          <cell r="J427">
            <v>0</v>
          </cell>
          <cell r="K427">
            <v>-1.7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5.8999999999999999E-3</v>
          </cell>
          <cell r="U427" t="b">
            <v>0</v>
          </cell>
        </row>
        <row r="428">
          <cell r="A428" t="str">
            <v>Data split-4;Reg-45</v>
          </cell>
          <cell r="B428">
            <v>-1.9E-2</v>
          </cell>
          <cell r="C428">
            <v>0.69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0.73</v>
          </cell>
          <cell r="J428">
            <v>0</v>
          </cell>
          <cell r="K428">
            <v>0</v>
          </cell>
          <cell r="L428">
            <v>-5.3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1.6E-2</v>
          </cell>
          <cell r="T428">
            <v>0</v>
          </cell>
          <cell r="U428" t="b">
            <v>0</v>
          </cell>
        </row>
        <row r="429">
          <cell r="A429" t="str">
            <v>Data split-4;Reg-46</v>
          </cell>
          <cell r="B429">
            <v>5.7000000000000002E-2</v>
          </cell>
          <cell r="C429">
            <v>0.62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0.67</v>
          </cell>
          <cell r="J429">
            <v>0</v>
          </cell>
          <cell r="K429">
            <v>0</v>
          </cell>
          <cell r="L429">
            <v>-5.5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4.5999999999999999E-3</v>
          </cell>
          <cell r="U429" t="b">
            <v>0</v>
          </cell>
        </row>
        <row r="430">
          <cell r="A430" t="str">
            <v>Data split-4;Reg-47</v>
          </cell>
          <cell r="B430">
            <v>-2.2999999999999998</v>
          </cell>
          <cell r="C430">
            <v>0.55000000000000004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13.1</v>
          </cell>
          <cell r="K430">
            <v>-0.69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2.4E-2</v>
          </cell>
          <cell r="T430">
            <v>0</v>
          </cell>
          <cell r="U430" t="b">
            <v>0</v>
          </cell>
        </row>
        <row r="431">
          <cell r="A431" t="str">
            <v>Data split-4;Reg-48</v>
          </cell>
          <cell r="B431">
            <v>-2.4</v>
          </cell>
          <cell r="C431">
            <v>0.46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13.7</v>
          </cell>
          <cell r="K431">
            <v>-0.86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6.7999999999999996E-3</v>
          </cell>
          <cell r="U431" t="b">
            <v>0</v>
          </cell>
        </row>
        <row r="432">
          <cell r="A432" t="str">
            <v>Data split-4;Reg-49</v>
          </cell>
          <cell r="B432">
            <v>-1.5</v>
          </cell>
          <cell r="C432">
            <v>0.68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14.5</v>
          </cell>
          <cell r="K432">
            <v>0</v>
          </cell>
          <cell r="L432">
            <v>-11.8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0.02</v>
          </cell>
          <cell r="T432">
            <v>0</v>
          </cell>
          <cell r="U432" t="b">
            <v>0</v>
          </cell>
        </row>
        <row r="433">
          <cell r="A433" t="str">
            <v>Data split-4;Reg-50</v>
          </cell>
          <cell r="B433">
            <v>-1.5</v>
          </cell>
          <cell r="C433">
            <v>0.59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14.9</v>
          </cell>
          <cell r="K433">
            <v>0</v>
          </cell>
          <cell r="L433">
            <v>-12.8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5.5999999999999999E-3</v>
          </cell>
          <cell r="U433" t="b">
            <v>0</v>
          </cell>
        </row>
        <row r="434">
          <cell r="A434" t="str">
            <v>Data split-4;Reg-51</v>
          </cell>
          <cell r="B434">
            <v>-1</v>
          </cell>
          <cell r="C434">
            <v>0</v>
          </cell>
          <cell r="D434">
            <v>0.47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1.5</v>
          </cell>
          <cell r="J434">
            <v>0</v>
          </cell>
          <cell r="K434">
            <v>-0.61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8.3000000000000001E-3</v>
          </cell>
          <cell r="R434">
            <v>0</v>
          </cell>
          <cell r="S434">
            <v>0</v>
          </cell>
          <cell r="T434">
            <v>0</v>
          </cell>
          <cell r="U434" t="b">
            <v>0</v>
          </cell>
        </row>
        <row r="435">
          <cell r="A435" t="str">
            <v>Data split-4;Reg-52</v>
          </cell>
          <cell r="B435">
            <v>-0.91</v>
          </cell>
          <cell r="C435">
            <v>0</v>
          </cell>
          <cell r="D435">
            <v>0.42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1.4</v>
          </cell>
          <cell r="J435">
            <v>0</v>
          </cell>
          <cell r="K435">
            <v>-0.7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3.0999999999999999E-3</v>
          </cell>
          <cell r="S435">
            <v>0</v>
          </cell>
          <cell r="T435">
            <v>0</v>
          </cell>
          <cell r="U435" t="b">
            <v>0</v>
          </cell>
        </row>
        <row r="436">
          <cell r="A436" t="str">
            <v>Data split-4;Reg-53</v>
          </cell>
          <cell r="B436">
            <v>-0.71</v>
          </cell>
          <cell r="C436">
            <v>0</v>
          </cell>
          <cell r="D436">
            <v>0.47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1.1000000000000001</v>
          </cell>
          <cell r="J436">
            <v>0</v>
          </cell>
          <cell r="K436">
            <v>0</v>
          </cell>
          <cell r="L436">
            <v>-2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6.4000000000000003E-3</v>
          </cell>
          <cell r="R436">
            <v>0</v>
          </cell>
          <cell r="S436">
            <v>0</v>
          </cell>
          <cell r="T436">
            <v>0</v>
          </cell>
          <cell r="U436" t="b">
            <v>0</v>
          </cell>
        </row>
        <row r="437">
          <cell r="A437" t="str">
            <v>Data split-4;Reg-54</v>
          </cell>
          <cell r="B437">
            <v>-0.61</v>
          </cell>
          <cell r="C437">
            <v>0</v>
          </cell>
          <cell r="D437">
            <v>0.42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1</v>
          </cell>
          <cell r="J437">
            <v>0</v>
          </cell>
          <cell r="K437">
            <v>0</v>
          </cell>
          <cell r="L437">
            <v>-1.6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2.5999999999999999E-3</v>
          </cell>
          <cell r="S437">
            <v>0</v>
          </cell>
          <cell r="T437">
            <v>0</v>
          </cell>
          <cell r="U437" t="b">
            <v>0</v>
          </cell>
        </row>
        <row r="438">
          <cell r="A438" t="str">
            <v>Data split-4;Reg-55</v>
          </cell>
          <cell r="B438">
            <v>-2.2999999999999998</v>
          </cell>
          <cell r="C438">
            <v>0</v>
          </cell>
          <cell r="D438">
            <v>0.31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12.3</v>
          </cell>
          <cell r="K438">
            <v>7.2999999999999995E-2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1.6E-2</v>
          </cell>
          <cell r="R438">
            <v>0</v>
          </cell>
          <cell r="S438">
            <v>0</v>
          </cell>
          <cell r="T438">
            <v>0</v>
          </cell>
          <cell r="U438" t="b">
            <v>0</v>
          </cell>
        </row>
        <row r="439">
          <cell r="A439" t="str">
            <v>Data split-4;Reg-56</v>
          </cell>
          <cell r="B439">
            <v>-2.4</v>
          </cell>
          <cell r="C439">
            <v>0</v>
          </cell>
          <cell r="D439">
            <v>0.25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13</v>
          </cell>
          <cell r="K439">
            <v>-0.13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5.1000000000000004E-3</v>
          </cell>
          <cell r="S439">
            <v>0</v>
          </cell>
          <cell r="T439">
            <v>0</v>
          </cell>
          <cell r="U439" t="b">
            <v>0</v>
          </cell>
        </row>
        <row r="440">
          <cell r="A440" t="str">
            <v>Data split-4;Reg-57</v>
          </cell>
          <cell r="B440">
            <v>-2.2999999999999998</v>
          </cell>
          <cell r="C440">
            <v>0</v>
          </cell>
          <cell r="D440">
            <v>0.32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13.3</v>
          </cell>
          <cell r="K440">
            <v>0</v>
          </cell>
          <cell r="L440">
            <v>-1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1.6E-2</v>
          </cell>
          <cell r="R440">
            <v>0</v>
          </cell>
          <cell r="S440">
            <v>0</v>
          </cell>
          <cell r="T440">
            <v>0</v>
          </cell>
          <cell r="U440" t="b">
            <v>0</v>
          </cell>
        </row>
        <row r="441">
          <cell r="A441" t="str">
            <v>Data split-4;Reg-58</v>
          </cell>
          <cell r="B441">
            <v>-2.2000000000000002</v>
          </cell>
          <cell r="C441">
            <v>0</v>
          </cell>
          <cell r="D441">
            <v>0.27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13.3</v>
          </cell>
          <cell r="K441">
            <v>0</v>
          </cell>
          <cell r="L441">
            <v>-2.4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4.8999999999999998E-3</v>
          </cell>
          <cell r="S441">
            <v>0</v>
          </cell>
          <cell r="T441">
            <v>0</v>
          </cell>
          <cell r="U441" t="b">
            <v>0</v>
          </cell>
        </row>
        <row r="442">
          <cell r="A442" t="str">
            <v>Data split-4;Reg-59</v>
          </cell>
          <cell r="B442">
            <v>-1.1000000000000001</v>
          </cell>
          <cell r="C442">
            <v>0</v>
          </cell>
          <cell r="D442">
            <v>0.48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1.5</v>
          </cell>
          <cell r="J442">
            <v>0</v>
          </cell>
          <cell r="K442">
            <v>-0.65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7.1000000000000004E-3</v>
          </cell>
          <cell r="T442">
            <v>0</v>
          </cell>
          <cell r="U442" t="b">
            <v>0</v>
          </cell>
        </row>
        <row r="443">
          <cell r="A443" t="str">
            <v>Data split-4;Reg-60</v>
          </cell>
          <cell r="B443">
            <v>-0.9</v>
          </cell>
          <cell r="C443">
            <v>0</v>
          </cell>
          <cell r="D443">
            <v>0.43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1.5</v>
          </cell>
          <cell r="J443">
            <v>0</v>
          </cell>
          <cell r="K443">
            <v>-0.8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3.0000000000000001E-3</v>
          </cell>
          <cell r="U443" t="b">
            <v>0</v>
          </cell>
        </row>
        <row r="444">
          <cell r="A444" t="str">
            <v>Data split-4;Reg-61</v>
          </cell>
          <cell r="B444">
            <v>-0.74</v>
          </cell>
          <cell r="C444">
            <v>0</v>
          </cell>
          <cell r="D444">
            <v>0.5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1.2</v>
          </cell>
          <cell r="J444">
            <v>0</v>
          </cell>
          <cell r="K444">
            <v>0</v>
          </cell>
          <cell r="L444">
            <v>-2.8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4.1999999999999997E-3</v>
          </cell>
          <cell r="T444">
            <v>0</v>
          </cell>
          <cell r="U444" t="b">
            <v>0</v>
          </cell>
        </row>
        <row r="445">
          <cell r="A445" t="str">
            <v>Data split-4;Reg-62</v>
          </cell>
          <cell r="B445">
            <v>-0.56000000000000005</v>
          </cell>
          <cell r="C445">
            <v>0</v>
          </cell>
          <cell r="D445">
            <v>0.45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1.1000000000000001</v>
          </cell>
          <cell r="J445">
            <v>0</v>
          </cell>
          <cell r="K445">
            <v>0</v>
          </cell>
          <cell r="L445">
            <v>-2.6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2E-3</v>
          </cell>
          <cell r="U445" t="b">
            <v>0</v>
          </cell>
        </row>
        <row r="446">
          <cell r="A446" t="str">
            <v>Data split-4;Reg-63</v>
          </cell>
          <cell r="B446">
            <v>-2.2999999999999998</v>
          </cell>
          <cell r="C446">
            <v>0</v>
          </cell>
          <cell r="D446">
            <v>0.32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12.5</v>
          </cell>
          <cell r="K446">
            <v>3.1E-2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1.4999999999999999E-2</v>
          </cell>
          <cell r="T446">
            <v>0</v>
          </cell>
          <cell r="U446" t="b">
            <v>0</v>
          </cell>
        </row>
        <row r="447">
          <cell r="A447" t="str">
            <v>Data split-4;Reg-64</v>
          </cell>
          <cell r="B447">
            <v>-2.4</v>
          </cell>
          <cell r="C447">
            <v>0</v>
          </cell>
          <cell r="D447">
            <v>0.24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13.7</v>
          </cell>
          <cell r="K447">
            <v>-0.25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5.3E-3</v>
          </cell>
          <cell r="U447" t="b">
            <v>0</v>
          </cell>
        </row>
        <row r="448">
          <cell r="A448" t="str">
            <v>Data split-4;Reg-65</v>
          </cell>
          <cell r="B448">
            <v>-2.2000000000000002</v>
          </cell>
          <cell r="C448">
            <v>0</v>
          </cell>
          <cell r="D448">
            <v>0.34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13.8</v>
          </cell>
          <cell r="K448">
            <v>0</v>
          </cell>
          <cell r="L448">
            <v>-2.1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1.6E-2</v>
          </cell>
          <cell r="T448">
            <v>0</v>
          </cell>
          <cell r="U448" t="b">
            <v>0</v>
          </cell>
        </row>
        <row r="449">
          <cell r="A449" t="str">
            <v>Data split-4;Reg-66</v>
          </cell>
          <cell r="B449">
            <v>-2.1</v>
          </cell>
          <cell r="C449">
            <v>0</v>
          </cell>
          <cell r="D449">
            <v>0.28999999999999998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14.3</v>
          </cell>
          <cell r="K449">
            <v>0</v>
          </cell>
          <cell r="L449">
            <v>-4.3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4.7999999999999996E-3</v>
          </cell>
          <cell r="U449" t="b">
            <v>0</v>
          </cell>
        </row>
        <row r="450">
          <cell r="A450" t="str">
            <v>Data split-4;Reg-67</v>
          </cell>
          <cell r="B450">
            <v>-1.4</v>
          </cell>
          <cell r="C450">
            <v>0.49</v>
          </cell>
          <cell r="D450">
            <v>0</v>
          </cell>
          <cell r="E450">
            <v>0</v>
          </cell>
          <cell r="F450">
            <v>0</v>
          </cell>
          <cell r="G450">
            <v>0.56000000000000005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 t="b">
            <v>1</v>
          </cell>
        </row>
        <row r="451">
          <cell r="A451" t="str">
            <v>Data split-4;Reg-68</v>
          </cell>
          <cell r="B451">
            <v>-2.4</v>
          </cell>
          <cell r="C451">
            <v>0.4</v>
          </cell>
          <cell r="D451">
            <v>0</v>
          </cell>
          <cell r="E451">
            <v>0</v>
          </cell>
          <cell r="F451">
            <v>-4.9000000000000002E-2</v>
          </cell>
          <cell r="G451">
            <v>0.83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 t="b">
            <v>0</v>
          </cell>
        </row>
        <row r="452">
          <cell r="A452" t="str">
            <v>Data split-4;Reg-69</v>
          </cell>
          <cell r="B452">
            <v>-3.2</v>
          </cell>
          <cell r="C452">
            <v>0.24</v>
          </cell>
          <cell r="D452">
            <v>0</v>
          </cell>
          <cell r="E452">
            <v>0</v>
          </cell>
          <cell r="F452">
            <v>0</v>
          </cell>
          <cell r="G452">
            <v>0.5</v>
          </cell>
          <cell r="H452">
            <v>0</v>
          </cell>
          <cell r="I452">
            <v>0</v>
          </cell>
          <cell r="J452">
            <v>10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 t="b">
            <v>0</v>
          </cell>
        </row>
        <row r="453">
          <cell r="A453" t="str">
            <v>Data split-4;Reg-70</v>
          </cell>
          <cell r="B453">
            <v>-3.2</v>
          </cell>
          <cell r="C453">
            <v>0.24</v>
          </cell>
          <cell r="D453">
            <v>0</v>
          </cell>
          <cell r="E453">
            <v>0</v>
          </cell>
          <cell r="F453">
            <v>0</v>
          </cell>
          <cell r="G453">
            <v>0.49</v>
          </cell>
          <cell r="H453">
            <v>0</v>
          </cell>
          <cell r="I453">
            <v>0</v>
          </cell>
          <cell r="J453">
            <v>10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6.0999999999999997E-4</v>
          </cell>
          <cell r="T453">
            <v>0</v>
          </cell>
          <cell r="U453" t="b">
            <v>0</v>
          </cell>
        </row>
        <row r="454">
          <cell r="A454" t="str">
            <v>Data split-4;Reg-71</v>
          </cell>
          <cell r="B454">
            <v>-1.4</v>
          </cell>
          <cell r="C454">
            <v>0.41</v>
          </cell>
          <cell r="D454">
            <v>0</v>
          </cell>
          <cell r="E454">
            <v>0</v>
          </cell>
          <cell r="F454">
            <v>-2.7000000000000001E-3</v>
          </cell>
          <cell r="G454">
            <v>0</v>
          </cell>
          <cell r="H454">
            <v>1.1000000000000001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-2.8000000000000001E-2</v>
          </cell>
          <cell r="T454">
            <v>0</v>
          </cell>
          <cell r="U454" t="b">
            <v>0</v>
          </cell>
        </row>
        <row r="455">
          <cell r="A455" t="str">
            <v>Data split-4;Reg-72</v>
          </cell>
          <cell r="B455">
            <v>-0.46</v>
          </cell>
          <cell r="C455">
            <v>0.25</v>
          </cell>
          <cell r="D455">
            <v>0</v>
          </cell>
          <cell r="E455">
            <v>0.51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 t="b">
            <v>1</v>
          </cell>
        </row>
        <row r="456">
          <cell r="A456" t="str">
            <v>Data split-4;Reg-73</v>
          </cell>
          <cell r="B456">
            <v>-0.66</v>
          </cell>
          <cell r="C456">
            <v>1</v>
          </cell>
          <cell r="D456">
            <v>0</v>
          </cell>
          <cell r="E456">
            <v>0</v>
          </cell>
          <cell r="F456">
            <v>2.7E-2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 t="b">
            <v>1</v>
          </cell>
        </row>
        <row r="457">
          <cell r="A457" t="str">
            <v>Data split-4;Reg-74</v>
          </cell>
          <cell r="B457">
            <v>-0.19</v>
          </cell>
          <cell r="C457">
            <v>0</v>
          </cell>
          <cell r="D457">
            <v>0.1</v>
          </cell>
          <cell r="E457">
            <v>0.56000000000000005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 t="b">
            <v>1</v>
          </cell>
        </row>
        <row r="458">
          <cell r="A458" t="str">
            <v>Data split-4;Reg-75</v>
          </cell>
          <cell r="B458">
            <v>0.3</v>
          </cell>
          <cell r="C458">
            <v>0</v>
          </cell>
          <cell r="D458">
            <v>0.69</v>
          </cell>
          <cell r="E458">
            <v>0</v>
          </cell>
          <cell r="F458">
            <v>5.0999999999999997E-2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 t="b">
            <v>0</v>
          </cell>
        </row>
        <row r="459">
          <cell r="A459" t="str">
            <v>Data split-4;Reg-76</v>
          </cell>
          <cell r="B459">
            <v>-1.4</v>
          </cell>
          <cell r="C459">
            <v>0.49</v>
          </cell>
          <cell r="D459">
            <v>0</v>
          </cell>
          <cell r="E459">
            <v>0</v>
          </cell>
          <cell r="F459">
            <v>0</v>
          </cell>
          <cell r="G459">
            <v>0.56000000000000005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 t="b">
            <v>1</v>
          </cell>
        </row>
        <row r="460">
          <cell r="A460" t="str">
            <v>Data split-4;Reg-77</v>
          </cell>
          <cell r="B460">
            <v>-0.65</v>
          </cell>
          <cell r="C460">
            <v>0.54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0.55000000000000004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 t="b">
            <v>1</v>
          </cell>
        </row>
        <row r="461">
          <cell r="A461" t="str">
            <v>Data split-4;Reg-78</v>
          </cell>
          <cell r="B461">
            <v>-1</v>
          </cell>
          <cell r="C461">
            <v>0</v>
          </cell>
          <cell r="D461">
            <v>0.39</v>
          </cell>
          <cell r="E461">
            <v>0</v>
          </cell>
          <cell r="F461">
            <v>0</v>
          </cell>
          <cell r="G461">
            <v>0.53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 t="b">
            <v>1</v>
          </cell>
        </row>
        <row r="462">
          <cell r="A462" t="str">
            <v>Data split-4;Reg-79</v>
          </cell>
          <cell r="B462">
            <v>-0.21</v>
          </cell>
          <cell r="C462">
            <v>0</v>
          </cell>
          <cell r="D462">
            <v>0.41</v>
          </cell>
          <cell r="E462">
            <v>0</v>
          </cell>
          <cell r="F462">
            <v>0</v>
          </cell>
          <cell r="G462">
            <v>0</v>
          </cell>
          <cell r="H462">
            <v>0.53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 t="b">
            <v>1</v>
          </cell>
        </row>
        <row r="463">
          <cell r="A463" t="str">
            <v>Data split-4;Reg-80</v>
          </cell>
          <cell r="B463">
            <v>-1.6</v>
          </cell>
          <cell r="C463">
            <v>0.7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1.1000000000000001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 t="b">
            <v>0</v>
          </cell>
        </row>
        <row r="464">
          <cell r="A464" t="str">
            <v>Data split-4;Reg-81</v>
          </cell>
          <cell r="B464">
            <v>-3.5</v>
          </cell>
          <cell r="C464">
            <v>0.73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13.4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 t="b">
            <v>0</v>
          </cell>
        </row>
        <row r="465">
          <cell r="A465" t="str">
            <v>Data split-4;Reg-82</v>
          </cell>
          <cell r="B465">
            <v>-1.3</v>
          </cell>
          <cell r="C465">
            <v>0</v>
          </cell>
          <cell r="D465">
            <v>0.51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1.2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 t="b">
            <v>0</v>
          </cell>
        </row>
        <row r="466">
          <cell r="A466" t="str">
            <v>Data split-4;Reg-83</v>
          </cell>
          <cell r="B466">
            <v>-3.2</v>
          </cell>
          <cell r="C466">
            <v>0</v>
          </cell>
          <cell r="D466">
            <v>0.52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14.2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 t="b">
            <v>0</v>
          </cell>
        </row>
        <row r="467">
          <cell r="A467" t="str">
            <v>Data split-4;Reg-84</v>
          </cell>
          <cell r="B467">
            <v>-1</v>
          </cell>
          <cell r="C467">
            <v>0.95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0.48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 t="b">
            <v>0</v>
          </cell>
        </row>
        <row r="468">
          <cell r="A468" t="str">
            <v>Data split-4;Reg-85</v>
          </cell>
          <cell r="B468">
            <v>-1.4</v>
          </cell>
          <cell r="C468">
            <v>1.1000000000000001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2.7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 t="b">
            <v>0</v>
          </cell>
        </row>
        <row r="469">
          <cell r="A469" t="str">
            <v>Data split-4;Reg-86</v>
          </cell>
          <cell r="B469">
            <v>-0.53</v>
          </cell>
          <cell r="C469">
            <v>0</v>
          </cell>
          <cell r="D469">
            <v>0.56999999999999995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0.93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 t="b">
            <v>0</v>
          </cell>
        </row>
        <row r="470">
          <cell r="A470" t="str">
            <v>Data split-4;Reg-87</v>
          </cell>
          <cell r="B470">
            <v>-1.7</v>
          </cell>
          <cell r="C470">
            <v>0</v>
          </cell>
          <cell r="D470">
            <v>0.57999999999999996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11.3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 t="b">
            <v>0</v>
          </cell>
        </row>
        <row r="471">
          <cell r="A471" t="str">
            <v>Data split-4;Reg-88</v>
          </cell>
          <cell r="B471">
            <v>-4.8000000000000001E-2</v>
          </cell>
          <cell r="C471">
            <v>0.74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1.9E-2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 t="b">
            <v>0</v>
          </cell>
        </row>
        <row r="472">
          <cell r="A472" t="str">
            <v>Data split-4;Reg-89</v>
          </cell>
          <cell r="B472">
            <v>-5.7000000000000002E-2</v>
          </cell>
          <cell r="C472">
            <v>0.63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5.4000000000000003E-3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 t="b">
            <v>0</v>
          </cell>
        </row>
        <row r="473">
          <cell r="A473" t="str">
            <v>Data split-4;Reg-90</v>
          </cell>
          <cell r="B473">
            <v>0.53</v>
          </cell>
          <cell r="C473">
            <v>0</v>
          </cell>
          <cell r="D473">
            <v>0.56000000000000005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1.7000000000000001E-2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 t="b">
            <v>0</v>
          </cell>
        </row>
        <row r="474">
          <cell r="A474" t="str">
            <v>Data split-4;Reg-91</v>
          </cell>
          <cell r="B474">
            <v>0.45</v>
          </cell>
          <cell r="C474">
            <v>0</v>
          </cell>
          <cell r="D474">
            <v>0.47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5.1000000000000004E-3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 t="b">
            <v>0</v>
          </cell>
        </row>
        <row r="475">
          <cell r="A475" t="str">
            <v>Data split-4;Reg-92</v>
          </cell>
          <cell r="B475">
            <v>-1</v>
          </cell>
          <cell r="C475">
            <v>1.1000000000000001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3.0999999999999999E-3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 t="b">
            <v>0</v>
          </cell>
        </row>
        <row r="476">
          <cell r="A476" t="str">
            <v>Data split-4;Reg-93</v>
          </cell>
          <cell r="B476">
            <v>-1.1000000000000001</v>
          </cell>
          <cell r="C476">
            <v>1.1000000000000001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9.3999999999999997E-4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 t="b">
            <v>0</v>
          </cell>
        </row>
        <row r="477">
          <cell r="A477" t="str">
            <v>Data split-4;Reg-94</v>
          </cell>
          <cell r="B477">
            <v>-0.31</v>
          </cell>
          <cell r="C477">
            <v>0</v>
          </cell>
          <cell r="D477">
            <v>0.74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1.6E-2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 t="b">
            <v>0</v>
          </cell>
        </row>
        <row r="478">
          <cell r="A478" t="str">
            <v>Data split-4;Reg-95</v>
          </cell>
          <cell r="B478">
            <v>-0.49</v>
          </cell>
          <cell r="C478">
            <v>0</v>
          </cell>
          <cell r="D478">
            <v>0.72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4.1999999999999997E-3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 t="b">
            <v>0</v>
          </cell>
        </row>
        <row r="479">
          <cell r="A479" t="str">
            <v>Data split-4;Reg-96</v>
          </cell>
          <cell r="B479">
            <v>-0.82</v>
          </cell>
          <cell r="C479">
            <v>0.14000000000000001</v>
          </cell>
          <cell r="D479">
            <v>0</v>
          </cell>
          <cell r="E479">
            <v>0.43</v>
          </cell>
          <cell r="F479">
            <v>0</v>
          </cell>
          <cell r="G479">
            <v>0</v>
          </cell>
          <cell r="H479">
            <v>0</v>
          </cell>
          <cell r="I479">
            <v>0.6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 t="b">
            <v>0</v>
          </cell>
        </row>
        <row r="480">
          <cell r="A480" t="str">
            <v>Data split-4;Reg-97</v>
          </cell>
          <cell r="B480">
            <v>-2.1</v>
          </cell>
          <cell r="C480">
            <v>0.1</v>
          </cell>
          <cell r="D480">
            <v>0</v>
          </cell>
          <cell r="E480">
            <v>0.44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8.4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 t="b">
            <v>0</v>
          </cell>
        </row>
        <row r="481">
          <cell r="A481" t="str">
            <v>Data split-4;Reg-98</v>
          </cell>
          <cell r="B481">
            <v>-2.6</v>
          </cell>
          <cell r="C481">
            <v>0.61</v>
          </cell>
          <cell r="D481">
            <v>0</v>
          </cell>
          <cell r="E481">
            <v>0</v>
          </cell>
          <cell r="F481">
            <v>-4.4999999999999998E-2</v>
          </cell>
          <cell r="G481">
            <v>0</v>
          </cell>
          <cell r="H481">
            <v>0</v>
          </cell>
          <cell r="I481">
            <v>1.8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 t="b">
            <v>0</v>
          </cell>
        </row>
        <row r="482">
          <cell r="A482" t="str">
            <v>Data split-4;Reg-99</v>
          </cell>
          <cell r="B482">
            <v>-3.2</v>
          </cell>
          <cell r="C482">
            <v>0.7</v>
          </cell>
          <cell r="D482">
            <v>0</v>
          </cell>
          <cell r="E482">
            <v>0</v>
          </cell>
          <cell r="F482">
            <v>1.2E-2</v>
          </cell>
          <cell r="G482">
            <v>0</v>
          </cell>
          <cell r="H482">
            <v>0</v>
          </cell>
          <cell r="I482">
            <v>0</v>
          </cell>
          <cell r="J482">
            <v>12.4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 t="b">
            <v>0</v>
          </cell>
        </row>
        <row r="483">
          <cell r="A483" t="str">
            <v>Data split-4;Reg-100</v>
          </cell>
          <cell r="B483">
            <v>-1</v>
          </cell>
          <cell r="C483">
            <v>0</v>
          </cell>
          <cell r="D483">
            <v>0.31</v>
          </cell>
          <cell r="E483">
            <v>0.21</v>
          </cell>
          <cell r="F483">
            <v>0</v>
          </cell>
          <cell r="G483">
            <v>0</v>
          </cell>
          <cell r="H483">
            <v>0</v>
          </cell>
          <cell r="I483">
            <v>0.9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 t="b">
            <v>0</v>
          </cell>
        </row>
        <row r="484">
          <cell r="A484" t="str">
            <v>Data split-4;Reg-101</v>
          </cell>
          <cell r="B484">
            <v>-2.2000000000000002</v>
          </cell>
          <cell r="C484">
            <v>0</v>
          </cell>
          <cell r="D484">
            <v>0.12</v>
          </cell>
          <cell r="E484">
            <v>0.4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9.1999999999999993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 t="b">
            <v>0</v>
          </cell>
        </row>
        <row r="485">
          <cell r="A485" t="str">
            <v>Data split-4;Reg-102</v>
          </cell>
          <cell r="B485">
            <v>-1.8</v>
          </cell>
          <cell r="C485">
            <v>0</v>
          </cell>
          <cell r="D485">
            <v>0.48</v>
          </cell>
          <cell r="E485">
            <v>0</v>
          </cell>
          <cell r="F485">
            <v>-0.02</v>
          </cell>
          <cell r="G485">
            <v>0</v>
          </cell>
          <cell r="H485">
            <v>0</v>
          </cell>
          <cell r="I485">
            <v>1.5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 t="b">
            <v>0</v>
          </cell>
        </row>
        <row r="486">
          <cell r="A486" t="str">
            <v>Data split-4;Reg-103</v>
          </cell>
          <cell r="B486">
            <v>-2.1</v>
          </cell>
          <cell r="C486">
            <v>0</v>
          </cell>
          <cell r="D486">
            <v>0.53</v>
          </cell>
          <cell r="E486">
            <v>0</v>
          </cell>
          <cell r="F486">
            <v>3.1E-2</v>
          </cell>
          <cell r="G486">
            <v>0</v>
          </cell>
          <cell r="H486">
            <v>0</v>
          </cell>
          <cell r="I486">
            <v>0</v>
          </cell>
          <cell r="J486">
            <v>10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 t="b">
            <v>0</v>
          </cell>
        </row>
        <row r="487">
          <cell r="A487" t="str">
            <v>Data split-4;Reg-104</v>
          </cell>
          <cell r="B487">
            <v>-0.46</v>
          </cell>
          <cell r="C487">
            <v>0.28000000000000003</v>
          </cell>
          <cell r="D487">
            <v>0</v>
          </cell>
          <cell r="E487">
            <v>0.51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-8.7999999999999995E-2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 t="b">
            <v>1</v>
          </cell>
        </row>
        <row r="488">
          <cell r="A488" t="str">
            <v>Data split-4;Reg-105</v>
          </cell>
          <cell r="B488">
            <v>-0.24</v>
          </cell>
          <cell r="C488">
            <v>0.32</v>
          </cell>
          <cell r="D488">
            <v>0</v>
          </cell>
          <cell r="E488">
            <v>0.51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-2.1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 t="b">
            <v>1</v>
          </cell>
        </row>
        <row r="489">
          <cell r="A489" t="str">
            <v>Data split-4;Reg-106</v>
          </cell>
          <cell r="B489">
            <v>-0.53</v>
          </cell>
          <cell r="C489">
            <v>1.1000000000000001</v>
          </cell>
          <cell r="D489">
            <v>0</v>
          </cell>
          <cell r="E489">
            <v>0</v>
          </cell>
          <cell r="F489">
            <v>3.7999999999999999E-2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-0.32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 t="b">
            <v>1</v>
          </cell>
        </row>
        <row r="490">
          <cell r="A490" t="str">
            <v>Data split-4;Reg-107</v>
          </cell>
          <cell r="B490">
            <v>-0.53</v>
          </cell>
          <cell r="C490">
            <v>1.1000000000000001</v>
          </cell>
          <cell r="D490">
            <v>0</v>
          </cell>
          <cell r="E490">
            <v>0</v>
          </cell>
          <cell r="F490">
            <v>2.8000000000000001E-2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-1.2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 t="b">
            <v>1</v>
          </cell>
        </row>
        <row r="491">
          <cell r="A491" t="str">
            <v>Data split-4;Reg-108</v>
          </cell>
          <cell r="B491">
            <v>-0.28999999999999998</v>
          </cell>
          <cell r="C491">
            <v>0</v>
          </cell>
          <cell r="D491">
            <v>0.15</v>
          </cell>
          <cell r="E491">
            <v>0.46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0.26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 t="b">
            <v>0</v>
          </cell>
        </row>
        <row r="492">
          <cell r="A492" t="str">
            <v>Data split-4;Reg-109</v>
          </cell>
          <cell r="B492">
            <v>-0.63</v>
          </cell>
          <cell r="C492">
            <v>0</v>
          </cell>
          <cell r="D492">
            <v>9.4E-2</v>
          </cell>
          <cell r="E492">
            <v>0.51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3.2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 t="b">
            <v>0</v>
          </cell>
        </row>
        <row r="493">
          <cell r="A493" t="str">
            <v>Data split-4;Reg-110</v>
          </cell>
          <cell r="B493">
            <v>6.4000000000000001E-2</v>
          </cell>
          <cell r="C493">
            <v>0</v>
          </cell>
          <cell r="D493">
            <v>0.64</v>
          </cell>
          <cell r="E493">
            <v>0</v>
          </cell>
          <cell r="F493">
            <v>3.7999999999999999E-2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0.28999999999999998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 t="b">
            <v>0</v>
          </cell>
        </row>
        <row r="494">
          <cell r="A494" t="str">
            <v>Data split-4;Reg-111</v>
          </cell>
          <cell r="B494">
            <v>-0.16</v>
          </cell>
          <cell r="C494">
            <v>0</v>
          </cell>
          <cell r="D494">
            <v>0.64</v>
          </cell>
          <cell r="E494">
            <v>0</v>
          </cell>
          <cell r="F494">
            <v>4.5999999999999999E-2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2.9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 t="b">
            <v>0</v>
          </cell>
        </row>
        <row r="495">
          <cell r="A495" t="str">
            <v>Data split-4;Reg-112</v>
          </cell>
          <cell r="B495">
            <v>-1.5</v>
          </cell>
          <cell r="C495">
            <v>0.43</v>
          </cell>
          <cell r="D495">
            <v>0</v>
          </cell>
          <cell r="E495">
            <v>0</v>
          </cell>
          <cell r="F495">
            <v>0</v>
          </cell>
          <cell r="G495">
            <v>0.48</v>
          </cell>
          <cell r="H495">
            <v>0</v>
          </cell>
          <cell r="I495">
            <v>0.37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 t="b">
            <v>0</v>
          </cell>
        </row>
        <row r="496">
          <cell r="A496" t="str">
            <v>Data split-4;Reg-113</v>
          </cell>
          <cell r="B496">
            <v>-3.2</v>
          </cell>
          <cell r="C496">
            <v>0.24</v>
          </cell>
          <cell r="D496">
            <v>0</v>
          </cell>
          <cell r="E496">
            <v>0</v>
          </cell>
          <cell r="F496">
            <v>0</v>
          </cell>
          <cell r="G496">
            <v>0.5</v>
          </cell>
          <cell r="H496">
            <v>0</v>
          </cell>
          <cell r="I496">
            <v>0</v>
          </cell>
          <cell r="J496">
            <v>10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 t="b">
            <v>0</v>
          </cell>
        </row>
        <row r="497">
          <cell r="A497" t="str">
            <v>Data split-4;Reg-114</v>
          </cell>
          <cell r="B497">
            <v>-0.89</v>
          </cell>
          <cell r="C497">
            <v>0.47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0.46</v>
          </cell>
          <cell r="I497">
            <v>0.4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 t="b">
            <v>0</v>
          </cell>
        </row>
        <row r="498">
          <cell r="A498" t="str">
            <v>Data split-4;Reg-115</v>
          </cell>
          <cell r="B498">
            <v>-2.5</v>
          </cell>
          <cell r="C498">
            <v>0.31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0.49</v>
          </cell>
          <cell r="I498">
            <v>0</v>
          </cell>
          <cell r="J498">
            <v>9.6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 t="b">
            <v>0</v>
          </cell>
        </row>
        <row r="499">
          <cell r="A499" t="str">
            <v>Data split-4;Reg-116</v>
          </cell>
          <cell r="B499">
            <v>-1.3</v>
          </cell>
          <cell r="C499">
            <v>0</v>
          </cell>
          <cell r="D499">
            <v>0.39</v>
          </cell>
          <cell r="E499">
            <v>0</v>
          </cell>
          <cell r="F499">
            <v>0</v>
          </cell>
          <cell r="G499">
            <v>0.28000000000000003</v>
          </cell>
          <cell r="H499">
            <v>0</v>
          </cell>
          <cell r="I499">
            <v>0.74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 t="b">
            <v>0</v>
          </cell>
        </row>
        <row r="500">
          <cell r="A500" t="str">
            <v>Data split-4;Reg-117</v>
          </cell>
          <cell r="B500">
            <v>-2.9</v>
          </cell>
          <cell r="C500">
            <v>0</v>
          </cell>
          <cell r="D500">
            <v>0.28000000000000003</v>
          </cell>
          <cell r="E500">
            <v>0</v>
          </cell>
          <cell r="F500">
            <v>0</v>
          </cell>
          <cell r="G500">
            <v>0.42</v>
          </cell>
          <cell r="H500">
            <v>0</v>
          </cell>
          <cell r="I500">
            <v>0</v>
          </cell>
          <cell r="J500">
            <v>9.3000000000000007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 t="b">
            <v>0</v>
          </cell>
        </row>
        <row r="501">
          <cell r="A501" t="str">
            <v>Data split-4;Reg-118</v>
          </cell>
          <cell r="B501">
            <v>-1</v>
          </cell>
          <cell r="C501">
            <v>0</v>
          </cell>
          <cell r="D501">
            <v>0.42</v>
          </cell>
          <cell r="E501">
            <v>0</v>
          </cell>
          <cell r="F501">
            <v>0</v>
          </cell>
          <cell r="G501">
            <v>0</v>
          </cell>
          <cell r="H501">
            <v>0.21</v>
          </cell>
          <cell r="I501">
            <v>0.88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 t="b">
            <v>0</v>
          </cell>
        </row>
        <row r="502">
          <cell r="A502" t="str">
            <v>Data split-4;Reg-119</v>
          </cell>
          <cell r="B502">
            <v>-2.4</v>
          </cell>
          <cell r="C502">
            <v>0</v>
          </cell>
          <cell r="D502">
            <v>0.28999999999999998</v>
          </cell>
          <cell r="E502">
            <v>0</v>
          </cell>
          <cell r="F502">
            <v>0</v>
          </cell>
          <cell r="G502">
            <v>0</v>
          </cell>
          <cell r="H502">
            <v>0.41</v>
          </cell>
          <cell r="I502">
            <v>0</v>
          </cell>
          <cell r="J502">
            <v>10.1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 t="b">
            <v>0</v>
          </cell>
        </row>
        <row r="503">
          <cell r="A503" t="str">
            <v>Data split-4;Reg-120</v>
          </cell>
          <cell r="B503">
            <v>-1.7</v>
          </cell>
          <cell r="C503">
            <v>0.69</v>
          </cell>
          <cell r="D503">
            <v>0</v>
          </cell>
          <cell r="E503">
            <v>0</v>
          </cell>
          <cell r="F503">
            <v>0</v>
          </cell>
          <cell r="G503">
            <v>0.76</v>
          </cell>
          <cell r="H503">
            <v>0</v>
          </cell>
          <cell r="I503">
            <v>0</v>
          </cell>
          <cell r="J503">
            <v>0</v>
          </cell>
          <cell r="K503">
            <v>-0.99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 t="b">
            <v>1</v>
          </cell>
        </row>
        <row r="504">
          <cell r="A504" t="str">
            <v>Data split-4;Reg-121</v>
          </cell>
          <cell r="B504">
            <v>-1</v>
          </cell>
          <cell r="C504">
            <v>0.6</v>
          </cell>
          <cell r="D504">
            <v>0</v>
          </cell>
          <cell r="E504">
            <v>0</v>
          </cell>
          <cell r="F504">
            <v>0</v>
          </cell>
          <cell r="G504">
            <v>0.57999999999999996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-4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 t="b">
            <v>1</v>
          </cell>
        </row>
        <row r="505">
          <cell r="A505" t="str">
            <v>Data split-4;Reg-122</v>
          </cell>
          <cell r="B505">
            <v>-0.66</v>
          </cell>
          <cell r="C505">
            <v>0.74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0.71</v>
          </cell>
          <cell r="I505">
            <v>0</v>
          </cell>
          <cell r="J505">
            <v>0</v>
          </cell>
          <cell r="K505">
            <v>-0.84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 t="b">
            <v>1</v>
          </cell>
        </row>
        <row r="506">
          <cell r="A506" t="str">
            <v>Data split-4;Reg-123</v>
          </cell>
          <cell r="B506">
            <v>-0.2</v>
          </cell>
          <cell r="C506">
            <v>0.67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0.56999999999999995</v>
          </cell>
          <cell r="I506">
            <v>0</v>
          </cell>
          <cell r="J506">
            <v>0</v>
          </cell>
          <cell r="K506">
            <v>0</v>
          </cell>
          <cell r="L506">
            <v>-4.3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 t="b">
            <v>1</v>
          </cell>
        </row>
        <row r="507">
          <cell r="A507" t="str">
            <v>Data split-4;Reg-124</v>
          </cell>
          <cell r="B507">
            <v>-1.1000000000000001</v>
          </cell>
          <cell r="C507">
            <v>0</v>
          </cell>
          <cell r="D507">
            <v>0.39</v>
          </cell>
          <cell r="E507">
            <v>0</v>
          </cell>
          <cell r="F507">
            <v>0</v>
          </cell>
          <cell r="G507">
            <v>0.55000000000000004</v>
          </cell>
          <cell r="H507">
            <v>0</v>
          </cell>
          <cell r="I507">
            <v>0</v>
          </cell>
          <cell r="J507">
            <v>0</v>
          </cell>
          <cell r="K507">
            <v>-6.2E-2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 t="b">
            <v>1</v>
          </cell>
        </row>
        <row r="508">
          <cell r="A508" t="str">
            <v>Data split-4;Reg-125</v>
          </cell>
          <cell r="B508">
            <v>-1.3</v>
          </cell>
          <cell r="C508">
            <v>0</v>
          </cell>
          <cell r="D508">
            <v>0.36</v>
          </cell>
          <cell r="E508">
            <v>0</v>
          </cell>
          <cell r="F508">
            <v>0</v>
          </cell>
          <cell r="G508">
            <v>0.51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2.1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 t="b">
            <v>0</v>
          </cell>
        </row>
        <row r="509">
          <cell r="A509" t="str">
            <v>Data split-4;Reg-126</v>
          </cell>
          <cell r="B509">
            <v>-0.28999999999999998</v>
          </cell>
          <cell r="C509">
            <v>0</v>
          </cell>
          <cell r="D509">
            <v>0.41</v>
          </cell>
          <cell r="E509">
            <v>0</v>
          </cell>
          <cell r="F509">
            <v>0</v>
          </cell>
          <cell r="G509">
            <v>0</v>
          </cell>
          <cell r="H509">
            <v>0.45</v>
          </cell>
          <cell r="I509">
            <v>0</v>
          </cell>
          <cell r="J509">
            <v>0</v>
          </cell>
          <cell r="K509">
            <v>0.21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 t="b">
            <v>0</v>
          </cell>
        </row>
        <row r="510">
          <cell r="A510" t="str">
            <v>Data split-4;Reg-127</v>
          </cell>
          <cell r="B510">
            <v>-0.79</v>
          </cell>
          <cell r="C510">
            <v>0</v>
          </cell>
          <cell r="D510">
            <v>0.36</v>
          </cell>
          <cell r="E510">
            <v>0</v>
          </cell>
          <cell r="F510">
            <v>0</v>
          </cell>
          <cell r="G510">
            <v>0</v>
          </cell>
          <cell r="H510">
            <v>0.48</v>
          </cell>
          <cell r="I510">
            <v>0</v>
          </cell>
          <cell r="J510">
            <v>0</v>
          </cell>
          <cell r="K510">
            <v>0</v>
          </cell>
          <cell r="L510">
            <v>4.2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 t="b">
            <v>0</v>
          </cell>
        </row>
        <row r="511">
          <cell r="A511" t="str">
            <v>Data split-5;Reg-1</v>
          </cell>
          <cell r="B511">
            <v>-0.7</v>
          </cell>
          <cell r="C511">
            <v>0.35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0.88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-1.4999999999999999E-2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 t="b">
            <v>1</v>
          </cell>
        </row>
        <row r="512">
          <cell r="A512" t="str">
            <v>Data split-5;Reg-2</v>
          </cell>
          <cell r="B512">
            <v>-4.4000000000000004</v>
          </cell>
          <cell r="C512">
            <v>9.9000000000000005E-2</v>
          </cell>
          <cell r="D512">
            <v>0</v>
          </cell>
          <cell r="E512">
            <v>0</v>
          </cell>
          <cell r="F512">
            <v>-7.0999999999999994E-2</v>
          </cell>
          <cell r="G512">
            <v>1.6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-5.1999999999999998E-3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 t="b">
            <v>0</v>
          </cell>
        </row>
        <row r="513">
          <cell r="A513" t="str">
            <v>Data split-5;Reg-3</v>
          </cell>
          <cell r="B513">
            <v>-2</v>
          </cell>
          <cell r="C513">
            <v>0.27</v>
          </cell>
          <cell r="D513">
            <v>0</v>
          </cell>
          <cell r="E513">
            <v>0</v>
          </cell>
          <cell r="F513">
            <v>-5.1999999999999998E-2</v>
          </cell>
          <cell r="G513">
            <v>0</v>
          </cell>
          <cell r="H513">
            <v>1.4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-2.1000000000000001E-2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 t="b">
            <v>0</v>
          </cell>
        </row>
        <row r="514">
          <cell r="A514" t="str">
            <v>Data split-5;Reg-4</v>
          </cell>
          <cell r="B514">
            <v>-2.1</v>
          </cell>
          <cell r="C514">
            <v>0.28999999999999998</v>
          </cell>
          <cell r="D514">
            <v>0</v>
          </cell>
          <cell r="E514">
            <v>0</v>
          </cell>
          <cell r="F514">
            <v>-5.7000000000000002E-2</v>
          </cell>
          <cell r="G514">
            <v>0</v>
          </cell>
          <cell r="H514">
            <v>1.6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-7.1000000000000004E-3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 t="b">
            <v>0</v>
          </cell>
        </row>
        <row r="515">
          <cell r="A515" t="str">
            <v>Data split-5;Reg-5</v>
          </cell>
          <cell r="B515">
            <v>-4.0999999999999996</v>
          </cell>
          <cell r="C515">
            <v>0</v>
          </cell>
          <cell r="D515">
            <v>0.18</v>
          </cell>
          <cell r="E515">
            <v>0</v>
          </cell>
          <cell r="F515">
            <v>-5.1999999999999998E-2</v>
          </cell>
          <cell r="G515">
            <v>1.5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-6.1000000000000004E-3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 t="b">
            <v>0</v>
          </cell>
        </row>
        <row r="516">
          <cell r="A516" t="str">
            <v>Data split-5;Reg-6</v>
          </cell>
          <cell r="B516">
            <v>-1.9</v>
          </cell>
          <cell r="C516">
            <v>0</v>
          </cell>
          <cell r="D516">
            <v>0.28000000000000003</v>
          </cell>
          <cell r="E516">
            <v>0</v>
          </cell>
          <cell r="F516">
            <v>-2.9000000000000001E-2</v>
          </cell>
          <cell r="G516">
            <v>0</v>
          </cell>
          <cell r="H516">
            <v>1.6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-8.9999999999999993E-3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 t="b">
            <v>0</v>
          </cell>
        </row>
        <row r="517">
          <cell r="A517" t="str">
            <v>Data split-5;Reg-7</v>
          </cell>
          <cell r="B517">
            <v>-1.7</v>
          </cell>
          <cell r="C517">
            <v>0.18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0.66</v>
          </cell>
          <cell r="I517">
            <v>1.4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-2.7E-2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 t="b">
            <v>0</v>
          </cell>
        </row>
        <row r="518">
          <cell r="A518" t="str">
            <v>Data split-5;Reg-8</v>
          </cell>
          <cell r="B518">
            <v>-1.4</v>
          </cell>
          <cell r="C518">
            <v>0.25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0.65</v>
          </cell>
          <cell r="I518">
            <v>1.2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-5.4999999999999997E-3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 t="b">
            <v>0</v>
          </cell>
        </row>
        <row r="519">
          <cell r="A519" t="str">
            <v>Data split-5;Reg-9</v>
          </cell>
          <cell r="B519">
            <v>-0.34</v>
          </cell>
          <cell r="C519">
            <v>0.36</v>
          </cell>
          <cell r="D519">
            <v>0</v>
          </cell>
          <cell r="E519">
            <v>0</v>
          </cell>
          <cell r="F519">
            <v>0</v>
          </cell>
          <cell r="G519">
            <v>0.19</v>
          </cell>
          <cell r="H519">
            <v>0</v>
          </cell>
          <cell r="I519">
            <v>0.26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5.3E-3</v>
          </cell>
          <cell r="S519">
            <v>0</v>
          </cell>
          <cell r="T519">
            <v>0</v>
          </cell>
          <cell r="U519" t="b">
            <v>0</v>
          </cell>
        </row>
        <row r="520">
          <cell r="A520" t="str">
            <v>Data split-5;Reg-10</v>
          </cell>
          <cell r="B520">
            <v>-0.66</v>
          </cell>
          <cell r="C520">
            <v>0.4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0.92</v>
          </cell>
          <cell r="I520">
            <v>0</v>
          </cell>
          <cell r="J520">
            <v>0</v>
          </cell>
          <cell r="K520">
            <v>-0.28000000000000003</v>
          </cell>
          <cell r="L520">
            <v>0</v>
          </cell>
          <cell r="M520">
            <v>0</v>
          </cell>
          <cell r="N520">
            <v>0</v>
          </cell>
          <cell r="O520">
            <v>-1.2999999999999999E-2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 t="b">
            <v>1</v>
          </cell>
        </row>
        <row r="521">
          <cell r="A521" t="str">
            <v>Data split-5;Reg-11</v>
          </cell>
          <cell r="B521">
            <v>-1.8</v>
          </cell>
          <cell r="C521">
            <v>0.72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2.1</v>
          </cell>
          <cell r="J521">
            <v>0</v>
          </cell>
          <cell r="K521">
            <v>-0.96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 t="b">
            <v>0</v>
          </cell>
        </row>
        <row r="522">
          <cell r="A522" t="str">
            <v>Data split-5;Reg-12</v>
          </cell>
          <cell r="B522">
            <v>-2</v>
          </cell>
          <cell r="C522">
            <v>0.43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1.2</v>
          </cell>
          <cell r="J522">
            <v>0</v>
          </cell>
          <cell r="K522">
            <v>0</v>
          </cell>
          <cell r="L522">
            <v>6.8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 t="b">
            <v>0</v>
          </cell>
        </row>
        <row r="523">
          <cell r="A523" t="str">
            <v>Data split-5;Reg-13</v>
          </cell>
          <cell r="B523">
            <v>-3.7</v>
          </cell>
          <cell r="C523">
            <v>0.43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17.3</v>
          </cell>
          <cell r="K523">
            <v>0.38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 t="b">
            <v>0</v>
          </cell>
        </row>
        <row r="524">
          <cell r="A524" t="str">
            <v>Data split-5;Reg-14</v>
          </cell>
          <cell r="B524">
            <v>-4.2</v>
          </cell>
          <cell r="C524">
            <v>0.45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17.3</v>
          </cell>
          <cell r="K524">
            <v>0</v>
          </cell>
          <cell r="L524">
            <v>4.2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 t="b">
            <v>0</v>
          </cell>
        </row>
        <row r="525">
          <cell r="A525" t="str">
            <v>Data split-5;Reg-15</v>
          </cell>
          <cell r="B525">
            <v>2.5000000000000001E-2</v>
          </cell>
          <cell r="C525">
            <v>0.47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0.56999999999999995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2.3E-2</v>
          </cell>
          <cell r="R525">
            <v>0</v>
          </cell>
          <cell r="S525">
            <v>0</v>
          </cell>
          <cell r="T525">
            <v>0</v>
          </cell>
          <cell r="U525" t="b">
            <v>0</v>
          </cell>
        </row>
        <row r="526">
          <cell r="A526" t="str">
            <v>Data split-5;Reg-16</v>
          </cell>
          <cell r="B526">
            <v>1.2999999999999999E-2</v>
          </cell>
          <cell r="C526">
            <v>0.39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0.37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6.8999999999999999E-3</v>
          </cell>
          <cell r="S526">
            <v>0</v>
          </cell>
          <cell r="T526">
            <v>0</v>
          </cell>
          <cell r="U526" t="b">
            <v>0</v>
          </cell>
        </row>
        <row r="527">
          <cell r="A527" t="str">
            <v>Data split-5;Reg-17</v>
          </cell>
          <cell r="B527">
            <v>-2.1</v>
          </cell>
          <cell r="C527">
            <v>0.25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13.5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2.4E-2</v>
          </cell>
          <cell r="R527">
            <v>0</v>
          </cell>
          <cell r="S527">
            <v>0</v>
          </cell>
          <cell r="T527">
            <v>0</v>
          </cell>
          <cell r="U527" t="b">
            <v>0</v>
          </cell>
        </row>
        <row r="528">
          <cell r="A528" t="str">
            <v>Data split-5;Reg-18</v>
          </cell>
          <cell r="B528">
            <v>-2.1</v>
          </cell>
          <cell r="C528">
            <v>0.16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12.5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6.7000000000000002E-3</v>
          </cell>
          <cell r="S528">
            <v>0</v>
          </cell>
          <cell r="T528">
            <v>0</v>
          </cell>
          <cell r="U528" t="b">
            <v>0</v>
          </cell>
        </row>
        <row r="529">
          <cell r="A529" t="str">
            <v>Data split-5;Reg-19</v>
          </cell>
          <cell r="B529">
            <v>0.78</v>
          </cell>
          <cell r="C529">
            <v>0.64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-0.24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0.03</v>
          </cell>
          <cell r="T529">
            <v>0</v>
          </cell>
          <cell r="U529" t="b">
            <v>0</v>
          </cell>
        </row>
        <row r="530">
          <cell r="A530" t="str">
            <v>Data split-5;Reg-20</v>
          </cell>
          <cell r="B530">
            <v>0.67</v>
          </cell>
          <cell r="C530">
            <v>0.55000000000000004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-0.54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8.9999999999999993E-3</v>
          </cell>
          <cell r="U530" t="b">
            <v>0</v>
          </cell>
        </row>
        <row r="531">
          <cell r="A531" t="str">
            <v>Data split-5;Reg-21</v>
          </cell>
          <cell r="B531">
            <v>-0.48</v>
          </cell>
          <cell r="C531">
            <v>0.28000000000000003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10.1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2.5000000000000001E-2</v>
          </cell>
          <cell r="T531">
            <v>0</v>
          </cell>
          <cell r="U531" t="b">
            <v>0</v>
          </cell>
        </row>
        <row r="532">
          <cell r="A532" t="str">
            <v>Data split-5;Reg-22</v>
          </cell>
          <cell r="B532">
            <v>-0.26</v>
          </cell>
          <cell r="C532">
            <v>0.25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6.8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7.3000000000000001E-3</v>
          </cell>
          <cell r="U532" t="b">
            <v>0</v>
          </cell>
        </row>
        <row r="533">
          <cell r="A533" t="str">
            <v>Data split-5;Reg-23</v>
          </cell>
          <cell r="B533">
            <v>-1.5</v>
          </cell>
          <cell r="C533">
            <v>0</v>
          </cell>
          <cell r="D533">
            <v>0.56000000000000005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1.6</v>
          </cell>
          <cell r="J533">
            <v>0</v>
          </cell>
          <cell r="K533">
            <v>-0.54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 t="b">
            <v>0</v>
          </cell>
        </row>
        <row r="534">
          <cell r="A534" t="str">
            <v>Data split-5;Reg-24</v>
          </cell>
          <cell r="B534">
            <v>-1.1000000000000001</v>
          </cell>
          <cell r="C534">
            <v>0</v>
          </cell>
          <cell r="D534">
            <v>0.56000000000000005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1.2</v>
          </cell>
          <cell r="J534">
            <v>0</v>
          </cell>
          <cell r="K534">
            <v>0</v>
          </cell>
          <cell r="L534">
            <v>-1.1000000000000001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 t="b">
            <v>0</v>
          </cell>
        </row>
        <row r="535">
          <cell r="A535" t="str">
            <v>Data split-5;Reg-25</v>
          </cell>
          <cell r="B535">
            <v>-2.5</v>
          </cell>
          <cell r="C535">
            <v>0</v>
          </cell>
          <cell r="D535">
            <v>0.48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10.8</v>
          </cell>
          <cell r="K535">
            <v>0.48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 t="b">
            <v>0</v>
          </cell>
        </row>
        <row r="536">
          <cell r="A536" t="str">
            <v>Data split-5;Reg-26</v>
          </cell>
          <cell r="B536">
            <v>-3.2</v>
          </cell>
          <cell r="C536">
            <v>0</v>
          </cell>
          <cell r="D536">
            <v>0.5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13</v>
          </cell>
          <cell r="K536">
            <v>0</v>
          </cell>
          <cell r="L536">
            <v>2.9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 t="b">
            <v>0</v>
          </cell>
        </row>
        <row r="537">
          <cell r="A537" t="str">
            <v>Data split-5;Reg-27</v>
          </cell>
          <cell r="B537">
            <v>-0.57999999999999996</v>
          </cell>
          <cell r="C537">
            <v>0</v>
          </cell>
          <cell r="D537">
            <v>0.46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0.88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1.0999999999999999E-2</v>
          </cell>
          <cell r="R537">
            <v>0</v>
          </cell>
          <cell r="S537">
            <v>0</v>
          </cell>
          <cell r="T537">
            <v>0</v>
          </cell>
          <cell r="U537" t="b">
            <v>0</v>
          </cell>
        </row>
        <row r="538">
          <cell r="A538" t="str">
            <v>Data split-5;Reg-28</v>
          </cell>
          <cell r="B538">
            <v>-0.39</v>
          </cell>
          <cell r="C538">
            <v>0</v>
          </cell>
          <cell r="D538">
            <v>0.39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0.68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4.4000000000000003E-3</v>
          </cell>
          <cell r="S538">
            <v>0</v>
          </cell>
          <cell r="T538">
            <v>0</v>
          </cell>
          <cell r="U538" t="b">
            <v>0</v>
          </cell>
        </row>
        <row r="539">
          <cell r="A539" t="str">
            <v>Data split-5;Reg-29</v>
          </cell>
          <cell r="B539">
            <v>-2</v>
          </cell>
          <cell r="C539">
            <v>0</v>
          </cell>
          <cell r="D539">
            <v>0.31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12.1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1.9E-2</v>
          </cell>
          <cell r="R539">
            <v>0</v>
          </cell>
          <cell r="S539">
            <v>0</v>
          </cell>
          <cell r="T539">
            <v>0</v>
          </cell>
          <cell r="U539" t="b">
            <v>0</v>
          </cell>
        </row>
        <row r="540">
          <cell r="A540" t="str">
            <v>Data split-5;Reg-30</v>
          </cell>
          <cell r="B540">
            <v>-2</v>
          </cell>
          <cell r="C540">
            <v>0</v>
          </cell>
          <cell r="D540">
            <v>0.23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11.3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5.7000000000000002E-3</v>
          </cell>
          <cell r="S540">
            <v>0</v>
          </cell>
          <cell r="T540">
            <v>0</v>
          </cell>
          <cell r="U540" t="b">
            <v>0</v>
          </cell>
        </row>
        <row r="541">
          <cell r="A541" t="str">
            <v>Data split-5;Reg-31</v>
          </cell>
          <cell r="B541">
            <v>0.26</v>
          </cell>
          <cell r="C541">
            <v>0</v>
          </cell>
          <cell r="D541">
            <v>0.5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0.45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1.4999999999999999E-2</v>
          </cell>
          <cell r="T541">
            <v>0</v>
          </cell>
          <cell r="U541" t="b">
            <v>0</v>
          </cell>
        </row>
        <row r="542">
          <cell r="A542" t="str">
            <v>Data split-5;Reg-32</v>
          </cell>
          <cell r="B542">
            <v>0.4</v>
          </cell>
          <cell r="C542">
            <v>0</v>
          </cell>
          <cell r="D542">
            <v>0.41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0.16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5.7999999999999996E-3</v>
          </cell>
          <cell r="U542" t="b">
            <v>0</v>
          </cell>
        </row>
        <row r="543">
          <cell r="A543" t="str">
            <v>Data split-5;Reg-33</v>
          </cell>
          <cell r="B543">
            <v>-0.59</v>
          </cell>
          <cell r="C543">
            <v>0</v>
          </cell>
          <cell r="D543">
            <v>0.38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8.5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1.7999999999999999E-2</v>
          </cell>
          <cell r="T543">
            <v>0</v>
          </cell>
          <cell r="U543" t="b">
            <v>0</v>
          </cell>
        </row>
        <row r="544">
          <cell r="A544" t="str">
            <v>Data split-5;Reg-34</v>
          </cell>
          <cell r="B544">
            <v>-0.38</v>
          </cell>
          <cell r="C544">
            <v>0</v>
          </cell>
          <cell r="D544">
            <v>0.33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6.2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5.7000000000000002E-3</v>
          </cell>
          <cell r="U544" t="b">
            <v>0</v>
          </cell>
        </row>
        <row r="545">
          <cell r="A545" t="str">
            <v>Data split-5;Reg-35</v>
          </cell>
          <cell r="B545">
            <v>-0.45</v>
          </cell>
          <cell r="C545">
            <v>0.63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1.5</v>
          </cell>
          <cell r="J545">
            <v>0</v>
          </cell>
          <cell r="K545">
            <v>-1.3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2.5000000000000001E-2</v>
          </cell>
          <cell r="R545">
            <v>0</v>
          </cell>
          <cell r="S545">
            <v>0</v>
          </cell>
          <cell r="T545">
            <v>0</v>
          </cell>
          <cell r="U545" t="b">
            <v>0</v>
          </cell>
        </row>
        <row r="546">
          <cell r="A546" t="str">
            <v>Data split-5;Reg-36</v>
          </cell>
          <cell r="B546">
            <v>-0.53</v>
          </cell>
          <cell r="C546">
            <v>0.56999999999999995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1.4</v>
          </cell>
          <cell r="J546">
            <v>0</v>
          </cell>
          <cell r="K546">
            <v>-1.5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7.6E-3</v>
          </cell>
          <cell r="S546">
            <v>0</v>
          </cell>
          <cell r="T546">
            <v>0</v>
          </cell>
          <cell r="U546" t="b">
            <v>0</v>
          </cell>
        </row>
        <row r="547">
          <cell r="A547" t="str">
            <v>Data split-5;Reg-37</v>
          </cell>
          <cell r="B547">
            <v>-0.64</v>
          </cell>
          <cell r="C547">
            <v>0.28999999999999998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0.36</v>
          </cell>
          <cell r="J547">
            <v>0</v>
          </cell>
          <cell r="K547">
            <v>0</v>
          </cell>
          <cell r="L547">
            <v>7.6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2.3E-2</v>
          </cell>
          <cell r="R547">
            <v>0</v>
          </cell>
          <cell r="S547">
            <v>0</v>
          </cell>
          <cell r="T547">
            <v>0</v>
          </cell>
          <cell r="U547" t="b">
            <v>0</v>
          </cell>
        </row>
        <row r="548">
          <cell r="A548" t="str">
            <v>Data split-5;Reg-38</v>
          </cell>
          <cell r="B548">
            <v>-0.52</v>
          </cell>
          <cell r="C548">
            <v>0.26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0.22</v>
          </cell>
          <cell r="J548">
            <v>0</v>
          </cell>
          <cell r="K548">
            <v>0</v>
          </cell>
          <cell r="L548">
            <v>5.9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6.8999999999999999E-3</v>
          </cell>
          <cell r="S548">
            <v>0</v>
          </cell>
          <cell r="T548">
            <v>0</v>
          </cell>
          <cell r="U548" t="b">
            <v>0</v>
          </cell>
        </row>
        <row r="549">
          <cell r="A549" t="str">
            <v>Data split-5;Reg-39</v>
          </cell>
          <cell r="B549">
            <v>-2.2999999999999998</v>
          </cell>
          <cell r="C549">
            <v>0.37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15.1</v>
          </cell>
          <cell r="K549">
            <v>-0.56999999999999995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2.8000000000000001E-2</v>
          </cell>
          <cell r="R549">
            <v>0</v>
          </cell>
          <cell r="S549">
            <v>0</v>
          </cell>
          <cell r="T549">
            <v>0</v>
          </cell>
          <cell r="U549" t="b">
            <v>0</v>
          </cell>
        </row>
        <row r="550">
          <cell r="A550" t="str">
            <v>Data split-5;Reg-40</v>
          </cell>
          <cell r="B550">
            <v>-2.4</v>
          </cell>
          <cell r="C550">
            <v>0.31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14.6</v>
          </cell>
          <cell r="K550">
            <v>-0.8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8.0999999999999996E-3</v>
          </cell>
          <cell r="S550">
            <v>0</v>
          </cell>
          <cell r="T550">
            <v>0</v>
          </cell>
          <cell r="U550" t="b">
            <v>0</v>
          </cell>
        </row>
        <row r="551">
          <cell r="A551" t="str">
            <v>Data split-5;Reg-41</v>
          </cell>
          <cell r="B551">
            <v>-2.1</v>
          </cell>
          <cell r="C551">
            <v>0.26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13.8</v>
          </cell>
          <cell r="K551">
            <v>0</v>
          </cell>
          <cell r="L551">
            <v>-0.65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2.4E-2</v>
          </cell>
          <cell r="R551">
            <v>0</v>
          </cell>
          <cell r="S551">
            <v>0</v>
          </cell>
          <cell r="T551">
            <v>0</v>
          </cell>
          <cell r="U551" t="b">
            <v>0</v>
          </cell>
        </row>
        <row r="552">
          <cell r="A552" t="str">
            <v>Data split-5;Reg-42</v>
          </cell>
          <cell r="B552">
            <v>-2</v>
          </cell>
          <cell r="C552">
            <v>0.23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13.8</v>
          </cell>
          <cell r="K552">
            <v>0</v>
          </cell>
          <cell r="L552">
            <v>-3.5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6.7999999999999996E-3</v>
          </cell>
          <cell r="S552">
            <v>0</v>
          </cell>
          <cell r="T552">
            <v>0</v>
          </cell>
          <cell r="U552" t="b">
            <v>0</v>
          </cell>
        </row>
        <row r="553">
          <cell r="A553" t="str">
            <v>Data split-5;Reg-43</v>
          </cell>
          <cell r="B553">
            <v>-0.38</v>
          </cell>
          <cell r="C553">
            <v>0.62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1.6</v>
          </cell>
          <cell r="J553">
            <v>0</v>
          </cell>
          <cell r="K553">
            <v>-1.5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2.5000000000000001E-2</v>
          </cell>
          <cell r="T553">
            <v>0</v>
          </cell>
          <cell r="U553" t="b">
            <v>0</v>
          </cell>
        </row>
        <row r="554">
          <cell r="A554" t="str">
            <v>Data split-5;Reg-44</v>
          </cell>
          <cell r="B554">
            <v>-0.39</v>
          </cell>
          <cell r="C554">
            <v>0.54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1.5</v>
          </cell>
          <cell r="J554">
            <v>0</v>
          </cell>
          <cell r="K554">
            <v>-1.8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8.0000000000000002E-3</v>
          </cell>
          <cell r="U554" t="b">
            <v>0</v>
          </cell>
        </row>
        <row r="555">
          <cell r="A555" t="str">
            <v>Data split-5;Reg-45</v>
          </cell>
          <cell r="B555">
            <v>-0.56000000000000005</v>
          </cell>
          <cell r="C555">
            <v>0.28999999999999998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0.44</v>
          </cell>
          <cell r="J555">
            <v>0</v>
          </cell>
          <cell r="K555">
            <v>0</v>
          </cell>
          <cell r="L555">
            <v>6.9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2.1999999999999999E-2</v>
          </cell>
          <cell r="T555">
            <v>0</v>
          </cell>
          <cell r="U555" t="b">
            <v>0</v>
          </cell>
        </row>
        <row r="556">
          <cell r="A556" t="str">
            <v>Data split-5;Reg-46</v>
          </cell>
          <cell r="B556">
            <v>-0.3</v>
          </cell>
          <cell r="C556">
            <v>0.25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0.32</v>
          </cell>
          <cell r="J556">
            <v>0</v>
          </cell>
          <cell r="K556">
            <v>0</v>
          </cell>
          <cell r="L556">
            <v>4.5999999999999996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6.7000000000000002E-3</v>
          </cell>
          <cell r="U556" t="b">
            <v>0</v>
          </cell>
        </row>
        <row r="557">
          <cell r="A557" t="str">
            <v>Data split-5;Reg-47</v>
          </cell>
          <cell r="B557">
            <v>-2.2000000000000002</v>
          </cell>
          <cell r="C557">
            <v>0.34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15.9</v>
          </cell>
          <cell r="K557">
            <v>-0.68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2.9000000000000001E-2</v>
          </cell>
          <cell r="T557">
            <v>0</v>
          </cell>
          <cell r="U557" t="b">
            <v>0</v>
          </cell>
        </row>
        <row r="558">
          <cell r="A558" t="str">
            <v>Data split-5;Reg-48</v>
          </cell>
          <cell r="B558">
            <v>-2.2999999999999998</v>
          </cell>
          <cell r="C558">
            <v>0.25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16</v>
          </cell>
          <cell r="K558">
            <v>-0.98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8.6E-3</v>
          </cell>
          <cell r="U558" t="b">
            <v>0</v>
          </cell>
        </row>
        <row r="559">
          <cell r="A559" t="str">
            <v>Data split-5;Reg-49</v>
          </cell>
          <cell r="B559">
            <v>-2</v>
          </cell>
          <cell r="C559">
            <v>0.25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14.8</v>
          </cell>
          <cell r="K559">
            <v>0</v>
          </cell>
          <cell r="L559">
            <v>-1.9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2.4E-2</v>
          </cell>
          <cell r="T559">
            <v>0</v>
          </cell>
          <cell r="U559" t="b">
            <v>0</v>
          </cell>
        </row>
        <row r="560">
          <cell r="A560" t="str">
            <v>Data split-5;Reg-50</v>
          </cell>
          <cell r="B560">
            <v>-1.8</v>
          </cell>
          <cell r="C560">
            <v>0.21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15.4</v>
          </cell>
          <cell r="K560">
            <v>0</v>
          </cell>
          <cell r="L560">
            <v>-5.8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6.8999999999999999E-3</v>
          </cell>
          <cell r="U560" t="b">
            <v>0</v>
          </cell>
        </row>
        <row r="561">
          <cell r="A561" t="str">
            <v>Data split-5;Reg-51</v>
          </cell>
          <cell r="B561">
            <v>-0.79</v>
          </cell>
          <cell r="C561">
            <v>0</v>
          </cell>
          <cell r="D561">
            <v>0.47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1.4</v>
          </cell>
          <cell r="J561">
            <v>0</v>
          </cell>
          <cell r="K561">
            <v>-0.66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1.2E-2</v>
          </cell>
          <cell r="R561">
            <v>0</v>
          </cell>
          <cell r="S561">
            <v>0</v>
          </cell>
          <cell r="T561">
            <v>0</v>
          </cell>
          <cell r="U561" t="b">
            <v>0</v>
          </cell>
        </row>
        <row r="562">
          <cell r="A562" t="str">
            <v>Data split-5;Reg-52</v>
          </cell>
          <cell r="B562">
            <v>-0.63</v>
          </cell>
          <cell r="C562">
            <v>0</v>
          </cell>
          <cell r="D562">
            <v>0.4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1.3</v>
          </cell>
          <cell r="J562">
            <v>0</v>
          </cell>
          <cell r="K562">
            <v>-0.81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4.8999999999999998E-3</v>
          </cell>
          <cell r="S562">
            <v>0</v>
          </cell>
          <cell r="T562">
            <v>0</v>
          </cell>
          <cell r="U562" t="b">
            <v>0</v>
          </cell>
        </row>
        <row r="563">
          <cell r="A563" t="str">
            <v>Data split-5;Reg-53</v>
          </cell>
          <cell r="B563">
            <v>-0.7</v>
          </cell>
          <cell r="C563">
            <v>0</v>
          </cell>
          <cell r="D563">
            <v>0.44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0.8</v>
          </cell>
          <cell r="J563">
            <v>0</v>
          </cell>
          <cell r="K563">
            <v>0</v>
          </cell>
          <cell r="L563">
            <v>1.5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1.2E-2</v>
          </cell>
          <cell r="R563">
            <v>0</v>
          </cell>
          <cell r="S563">
            <v>0</v>
          </cell>
          <cell r="T563">
            <v>0</v>
          </cell>
          <cell r="U563" t="b">
            <v>0</v>
          </cell>
        </row>
        <row r="564">
          <cell r="A564" t="str">
            <v>Data split-5;Reg-54</v>
          </cell>
          <cell r="B564">
            <v>-0.56999999999999995</v>
          </cell>
          <cell r="C564">
            <v>0</v>
          </cell>
          <cell r="D564">
            <v>0.36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0.57999999999999996</v>
          </cell>
          <cell r="J564">
            <v>0</v>
          </cell>
          <cell r="K564">
            <v>0</v>
          </cell>
          <cell r="L564">
            <v>2.1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4.4999999999999997E-3</v>
          </cell>
          <cell r="S564">
            <v>0</v>
          </cell>
          <cell r="T564">
            <v>0</v>
          </cell>
          <cell r="U564" t="b">
            <v>0</v>
          </cell>
        </row>
        <row r="565">
          <cell r="A565" t="str">
            <v>Data split-5;Reg-55</v>
          </cell>
          <cell r="B565">
            <v>-2.1</v>
          </cell>
          <cell r="C565">
            <v>0</v>
          </cell>
          <cell r="D565">
            <v>0.31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12.8</v>
          </cell>
          <cell r="K565">
            <v>-0.1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0.02</v>
          </cell>
          <cell r="R565">
            <v>0</v>
          </cell>
          <cell r="S565">
            <v>0</v>
          </cell>
          <cell r="T565">
            <v>0</v>
          </cell>
          <cell r="U565" t="b">
            <v>0</v>
          </cell>
        </row>
        <row r="566">
          <cell r="A566" t="str">
            <v>Data split-5;Reg-56</v>
          </cell>
          <cell r="B566">
            <v>-2.2000000000000002</v>
          </cell>
          <cell r="C566">
            <v>0</v>
          </cell>
          <cell r="D566">
            <v>0.21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13.8</v>
          </cell>
          <cell r="K566">
            <v>-0.39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6.7000000000000002E-3</v>
          </cell>
          <cell r="S566">
            <v>0</v>
          </cell>
          <cell r="T566">
            <v>0</v>
          </cell>
          <cell r="U566" t="b">
            <v>0</v>
          </cell>
        </row>
        <row r="567">
          <cell r="A567" t="str">
            <v>Data split-5;Reg-57</v>
          </cell>
          <cell r="B567">
            <v>-2</v>
          </cell>
          <cell r="C567">
            <v>0</v>
          </cell>
          <cell r="D567">
            <v>0.31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11.9</v>
          </cell>
          <cell r="K567">
            <v>0</v>
          </cell>
          <cell r="L567">
            <v>0.32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1.7999999999999999E-2</v>
          </cell>
          <cell r="R567">
            <v>0</v>
          </cell>
          <cell r="S567">
            <v>0</v>
          </cell>
          <cell r="T567">
            <v>0</v>
          </cell>
          <cell r="U567" t="b">
            <v>0</v>
          </cell>
        </row>
        <row r="568">
          <cell r="A568" t="str">
            <v>Data split-5;Reg-58</v>
          </cell>
          <cell r="B568">
            <v>-1.9</v>
          </cell>
          <cell r="C568">
            <v>0</v>
          </cell>
          <cell r="D568">
            <v>0.24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12.3</v>
          </cell>
          <cell r="K568">
            <v>0</v>
          </cell>
          <cell r="L568">
            <v>-1.8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5.7999999999999996E-3</v>
          </cell>
          <cell r="S568">
            <v>0</v>
          </cell>
          <cell r="T568">
            <v>0</v>
          </cell>
          <cell r="U568" t="b">
            <v>0</v>
          </cell>
        </row>
        <row r="569">
          <cell r="A569" t="str">
            <v>Data split-5;Reg-59</v>
          </cell>
          <cell r="B569">
            <v>-0.81</v>
          </cell>
          <cell r="C569">
            <v>0</v>
          </cell>
          <cell r="D569">
            <v>0.48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1.5</v>
          </cell>
          <cell r="J569">
            <v>0</v>
          </cell>
          <cell r="K569">
            <v>-0.73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1.0999999999999999E-2</v>
          </cell>
          <cell r="T569">
            <v>0</v>
          </cell>
          <cell r="U569" t="b">
            <v>0</v>
          </cell>
        </row>
        <row r="570">
          <cell r="A570" t="str">
            <v>Data split-5;Reg-60</v>
          </cell>
          <cell r="B570">
            <v>-0.56999999999999995</v>
          </cell>
          <cell r="C570">
            <v>0</v>
          </cell>
          <cell r="D570">
            <v>0.39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1.4</v>
          </cell>
          <cell r="J570">
            <v>0</v>
          </cell>
          <cell r="K570">
            <v>-1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5.1000000000000004E-3</v>
          </cell>
          <cell r="U570" t="b">
            <v>0</v>
          </cell>
        </row>
        <row r="571">
          <cell r="A571" t="str">
            <v>Data split-5;Reg-61</v>
          </cell>
          <cell r="B571">
            <v>-0.7</v>
          </cell>
          <cell r="C571">
            <v>0</v>
          </cell>
          <cell r="D571">
            <v>0.47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0.9</v>
          </cell>
          <cell r="J571">
            <v>0</v>
          </cell>
          <cell r="K571">
            <v>0</v>
          </cell>
          <cell r="L571">
            <v>0.48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9.2999999999999992E-3</v>
          </cell>
          <cell r="T571">
            <v>0</v>
          </cell>
          <cell r="U571" t="b">
            <v>0</v>
          </cell>
        </row>
        <row r="572">
          <cell r="A572" t="str">
            <v>Data split-5;Reg-62</v>
          </cell>
          <cell r="B572">
            <v>-0.43</v>
          </cell>
          <cell r="C572">
            <v>0</v>
          </cell>
          <cell r="D572">
            <v>0.39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0.69</v>
          </cell>
          <cell r="J572">
            <v>0</v>
          </cell>
          <cell r="K572">
            <v>0</v>
          </cell>
          <cell r="L572">
            <v>0.36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4.0000000000000001E-3</v>
          </cell>
          <cell r="U572" t="b">
            <v>0</v>
          </cell>
        </row>
        <row r="573">
          <cell r="A573" t="str">
            <v>Data split-5;Reg-63</v>
          </cell>
          <cell r="B573">
            <v>-2.1</v>
          </cell>
          <cell r="C573">
            <v>0</v>
          </cell>
          <cell r="D573">
            <v>0.3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13.3</v>
          </cell>
          <cell r="K573">
            <v>-0.18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0.02</v>
          </cell>
          <cell r="T573">
            <v>0</v>
          </cell>
          <cell r="U573" t="b">
            <v>0</v>
          </cell>
        </row>
        <row r="574">
          <cell r="A574" t="str">
            <v>Data split-5;Reg-64</v>
          </cell>
          <cell r="B574">
            <v>-2.2000000000000002</v>
          </cell>
          <cell r="C574">
            <v>0</v>
          </cell>
          <cell r="D574">
            <v>0.17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15.1</v>
          </cell>
          <cell r="K574">
            <v>-0.61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7.4000000000000003E-3</v>
          </cell>
          <cell r="U574" t="b">
            <v>0</v>
          </cell>
        </row>
        <row r="575">
          <cell r="A575" t="str">
            <v>Data split-5;Reg-65</v>
          </cell>
          <cell r="B575">
            <v>-1.9</v>
          </cell>
          <cell r="C575">
            <v>0</v>
          </cell>
          <cell r="D575">
            <v>0.32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12.7</v>
          </cell>
          <cell r="K575">
            <v>0</v>
          </cell>
          <cell r="L575">
            <v>-0.93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1.7999999999999999E-2</v>
          </cell>
          <cell r="T575">
            <v>0</v>
          </cell>
          <cell r="U575" t="b">
            <v>0</v>
          </cell>
        </row>
        <row r="576">
          <cell r="A576" t="str">
            <v>Data split-5;Reg-66</v>
          </cell>
          <cell r="B576">
            <v>-1.8</v>
          </cell>
          <cell r="C576">
            <v>0</v>
          </cell>
          <cell r="D576">
            <v>0.25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13.6</v>
          </cell>
          <cell r="K576">
            <v>0</v>
          </cell>
          <cell r="L576">
            <v>-4.2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5.7999999999999996E-3</v>
          </cell>
          <cell r="U576" t="b">
            <v>0</v>
          </cell>
        </row>
        <row r="577">
          <cell r="A577" t="str">
            <v>Data split-5;Reg-67</v>
          </cell>
          <cell r="B577">
            <v>-1.5</v>
          </cell>
          <cell r="C577">
            <v>0.27</v>
          </cell>
          <cell r="D577">
            <v>0</v>
          </cell>
          <cell r="E577">
            <v>0</v>
          </cell>
          <cell r="F577">
            <v>0</v>
          </cell>
          <cell r="G577">
            <v>0.77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 t="b">
            <v>1</v>
          </cell>
        </row>
        <row r="578">
          <cell r="A578" t="str">
            <v>Data split-5;Reg-68</v>
          </cell>
          <cell r="B578">
            <v>-3</v>
          </cell>
          <cell r="C578">
            <v>0.17</v>
          </cell>
          <cell r="D578">
            <v>0</v>
          </cell>
          <cell r="E578">
            <v>0</v>
          </cell>
          <cell r="F578">
            <v>-6.9000000000000006E-2</v>
          </cell>
          <cell r="G578">
            <v>1.1000000000000001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 t="b">
            <v>0</v>
          </cell>
        </row>
        <row r="579">
          <cell r="A579" t="str">
            <v>Data split-5;Reg-69</v>
          </cell>
          <cell r="B579">
            <v>-3.4</v>
          </cell>
          <cell r="C579">
            <v>5.1999999999999998E-2</v>
          </cell>
          <cell r="D579">
            <v>0</v>
          </cell>
          <cell r="E579">
            <v>0</v>
          </cell>
          <cell r="F579">
            <v>0</v>
          </cell>
          <cell r="G579">
            <v>0.65</v>
          </cell>
          <cell r="H579">
            <v>0</v>
          </cell>
          <cell r="I579">
            <v>0</v>
          </cell>
          <cell r="J579">
            <v>11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 t="b">
            <v>0</v>
          </cell>
        </row>
        <row r="580">
          <cell r="A580" t="str">
            <v>Data split-5;Reg-70</v>
          </cell>
          <cell r="B580">
            <v>-3.8</v>
          </cell>
          <cell r="C580">
            <v>3.5000000000000003E-2</v>
          </cell>
          <cell r="D580">
            <v>0</v>
          </cell>
          <cell r="E580">
            <v>0</v>
          </cell>
          <cell r="F580">
            <v>0</v>
          </cell>
          <cell r="G580">
            <v>0.79</v>
          </cell>
          <cell r="H580">
            <v>0</v>
          </cell>
          <cell r="I580">
            <v>0</v>
          </cell>
          <cell r="J580">
            <v>10.6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-6.6E-3</v>
          </cell>
          <cell r="T580">
            <v>0</v>
          </cell>
          <cell r="U580" t="b">
            <v>0</v>
          </cell>
        </row>
        <row r="581">
          <cell r="A581" t="str">
            <v>Data split-5;Reg-71</v>
          </cell>
          <cell r="B581">
            <v>-1.7</v>
          </cell>
          <cell r="C581">
            <v>0.28000000000000003</v>
          </cell>
          <cell r="D581">
            <v>0</v>
          </cell>
          <cell r="E581">
            <v>0</v>
          </cell>
          <cell r="F581">
            <v>-3.2000000000000001E-2</v>
          </cell>
          <cell r="G581">
            <v>0</v>
          </cell>
          <cell r="H581">
            <v>1.2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-2.1999999999999999E-2</v>
          </cell>
          <cell r="T581">
            <v>0</v>
          </cell>
          <cell r="U581" t="b">
            <v>0</v>
          </cell>
        </row>
        <row r="582">
          <cell r="A582" t="str">
            <v>Data split-5;Reg-72</v>
          </cell>
          <cell r="B582">
            <v>-0.12</v>
          </cell>
          <cell r="C582">
            <v>-7.9000000000000001E-2</v>
          </cell>
          <cell r="D582">
            <v>0</v>
          </cell>
          <cell r="E582">
            <v>0.71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 t="b">
            <v>0</v>
          </cell>
        </row>
        <row r="583">
          <cell r="A583" t="str">
            <v>Data split-5;Reg-73</v>
          </cell>
          <cell r="B583">
            <v>-6.4000000000000001E-2</v>
          </cell>
          <cell r="C583">
            <v>1</v>
          </cell>
          <cell r="D583">
            <v>0</v>
          </cell>
          <cell r="E583">
            <v>0</v>
          </cell>
          <cell r="F583">
            <v>3.3000000000000002E-2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 t="b">
            <v>1</v>
          </cell>
        </row>
        <row r="584">
          <cell r="A584" t="str">
            <v>Data split-5;Reg-74</v>
          </cell>
          <cell r="B584">
            <v>-0.23</v>
          </cell>
          <cell r="C584">
            <v>0</v>
          </cell>
          <cell r="D584">
            <v>5.7000000000000002E-2</v>
          </cell>
          <cell r="E584">
            <v>0.63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 t="b">
            <v>1</v>
          </cell>
        </row>
        <row r="585">
          <cell r="A585" t="str">
            <v>Data split-5;Reg-75</v>
          </cell>
          <cell r="B585">
            <v>0.3</v>
          </cell>
          <cell r="C585">
            <v>0</v>
          </cell>
          <cell r="D585">
            <v>0.73</v>
          </cell>
          <cell r="E585">
            <v>0</v>
          </cell>
          <cell r="F585">
            <v>4.9000000000000002E-2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 t="b">
            <v>0</v>
          </cell>
        </row>
        <row r="586">
          <cell r="A586" t="str">
            <v>Data split-5;Reg-76</v>
          </cell>
          <cell r="B586">
            <v>-1.5</v>
          </cell>
          <cell r="C586">
            <v>0.27</v>
          </cell>
          <cell r="D586">
            <v>0</v>
          </cell>
          <cell r="E586">
            <v>0</v>
          </cell>
          <cell r="F586">
            <v>0</v>
          </cell>
          <cell r="G586">
            <v>0.77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 t="b">
            <v>1</v>
          </cell>
        </row>
        <row r="587">
          <cell r="A587" t="str">
            <v>Data split-5;Reg-77</v>
          </cell>
          <cell r="B587">
            <v>-0.44</v>
          </cell>
          <cell r="C587">
            <v>0.34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0.73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 t="b">
            <v>1</v>
          </cell>
        </row>
        <row r="588">
          <cell r="A588" t="str">
            <v>Data split-5;Reg-78</v>
          </cell>
          <cell r="B588">
            <v>-1.3</v>
          </cell>
          <cell r="C588">
            <v>0</v>
          </cell>
          <cell r="D588">
            <v>0.36</v>
          </cell>
          <cell r="E588">
            <v>0</v>
          </cell>
          <cell r="F588">
            <v>0</v>
          </cell>
          <cell r="G588">
            <v>0.62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 t="b">
            <v>1</v>
          </cell>
        </row>
        <row r="589">
          <cell r="A589" t="str">
            <v>Data split-5;Reg-79</v>
          </cell>
          <cell r="B589">
            <v>-0.35</v>
          </cell>
          <cell r="C589">
            <v>0</v>
          </cell>
          <cell r="D589">
            <v>0.37</v>
          </cell>
          <cell r="E589">
            <v>0</v>
          </cell>
          <cell r="F589">
            <v>0</v>
          </cell>
          <cell r="G589">
            <v>0</v>
          </cell>
          <cell r="H589">
            <v>0.61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 t="b">
            <v>1</v>
          </cell>
        </row>
        <row r="590">
          <cell r="A590" t="str">
            <v>Data split-5;Reg-80</v>
          </cell>
          <cell r="B590">
            <v>-1.4</v>
          </cell>
          <cell r="C590">
            <v>0.59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1.4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 t="b">
            <v>0</v>
          </cell>
        </row>
        <row r="591">
          <cell r="A591" t="str">
            <v>Data split-5;Reg-81</v>
          </cell>
          <cell r="B591">
            <v>-4</v>
          </cell>
          <cell r="C591">
            <v>0.54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18.899999999999999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 t="b">
            <v>0</v>
          </cell>
        </row>
        <row r="592">
          <cell r="A592" t="str">
            <v>Data split-5;Reg-82</v>
          </cell>
          <cell r="B592">
            <v>-1.2</v>
          </cell>
          <cell r="C592">
            <v>0</v>
          </cell>
          <cell r="D592">
            <v>0.54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1.2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 t="b">
            <v>0</v>
          </cell>
        </row>
        <row r="593">
          <cell r="A593" t="str">
            <v>Data split-5;Reg-83</v>
          </cell>
          <cell r="B593">
            <v>-3.1</v>
          </cell>
          <cell r="C593">
            <v>0</v>
          </cell>
          <cell r="D593">
            <v>0.53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14.6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 t="b">
            <v>0</v>
          </cell>
        </row>
        <row r="594">
          <cell r="A594" t="str">
            <v>Data split-5;Reg-84</v>
          </cell>
          <cell r="B594">
            <v>-0.5</v>
          </cell>
          <cell r="C594">
            <v>0.76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0.92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 t="b">
            <v>0</v>
          </cell>
        </row>
        <row r="595">
          <cell r="A595" t="str">
            <v>Data split-5;Reg-85</v>
          </cell>
          <cell r="B595">
            <v>-2.5</v>
          </cell>
          <cell r="C595">
            <v>0.51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18.899999999999999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 t="b">
            <v>0</v>
          </cell>
        </row>
        <row r="596">
          <cell r="A596" t="str">
            <v>Data split-5;Reg-86</v>
          </cell>
          <cell r="B596">
            <v>-0.48</v>
          </cell>
          <cell r="C596">
            <v>0</v>
          </cell>
          <cell r="D596">
            <v>0.62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0.89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 t="b">
            <v>0</v>
          </cell>
        </row>
        <row r="597">
          <cell r="A597" t="str">
            <v>Data split-5;Reg-87</v>
          </cell>
          <cell r="B597">
            <v>-1.8</v>
          </cell>
          <cell r="C597">
            <v>0</v>
          </cell>
          <cell r="D597">
            <v>0.56999999999999995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12.7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 t="b">
            <v>0</v>
          </cell>
        </row>
        <row r="598">
          <cell r="A598" t="str">
            <v>Data split-5;Reg-88</v>
          </cell>
          <cell r="B598">
            <v>0.62</v>
          </cell>
          <cell r="C598">
            <v>0.61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2.5999999999999999E-2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 t="b">
            <v>0</v>
          </cell>
        </row>
        <row r="599">
          <cell r="A599" t="str">
            <v>Data split-5;Reg-89</v>
          </cell>
          <cell r="B599">
            <v>0.47</v>
          </cell>
          <cell r="C599">
            <v>0.46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7.1999999999999998E-3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 t="b">
            <v>0</v>
          </cell>
        </row>
        <row r="600">
          <cell r="A600" t="str">
            <v>Data split-5;Reg-90</v>
          </cell>
          <cell r="B600">
            <v>0.6</v>
          </cell>
          <cell r="C600">
            <v>0</v>
          </cell>
          <cell r="D600">
            <v>0.55000000000000004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0.02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 t="b">
            <v>0</v>
          </cell>
        </row>
        <row r="601">
          <cell r="A601" t="str">
            <v>Data split-5;Reg-91</v>
          </cell>
          <cell r="B601">
            <v>0.46</v>
          </cell>
          <cell r="C601">
            <v>0</v>
          </cell>
          <cell r="D601">
            <v>0.44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5.8999999999999999E-3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 t="b">
            <v>0</v>
          </cell>
        </row>
        <row r="602">
          <cell r="A602" t="str">
            <v>Data split-5;Reg-92</v>
          </cell>
          <cell r="B602">
            <v>-0.48</v>
          </cell>
          <cell r="C602">
            <v>1.1000000000000001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2.3E-3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 t="b">
            <v>0</v>
          </cell>
        </row>
        <row r="603">
          <cell r="A603" t="str">
            <v>Data split-5;Reg-93</v>
          </cell>
          <cell r="B603">
            <v>-0.49</v>
          </cell>
          <cell r="C603">
            <v>1.1000000000000001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5.9000000000000003E-4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 t="b">
            <v>0</v>
          </cell>
        </row>
        <row r="604">
          <cell r="A604" t="str">
            <v>Data split-5;Reg-94</v>
          </cell>
          <cell r="B604">
            <v>-0.15</v>
          </cell>
          <cell r="C604">
            <v>0</v>
          </cell>
          <cell r="D604">
            <v>0.78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1.4E-2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 t="b">
            <v>0</v>
          </cell>
        </row>
        <row r="605">
          <cell r="A605" t="str">
            <v>Data split-5;Reg-95</v>
          </cell>
          <cell r="B605">
            <v>-0.28999999999999998</v>
          </cell>
          <cell r="C605">
            <v>0</v>
          </cell>
          <cell r="D605">
            <v>0.77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3.5000000000000001E-3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 t="b">
            <v>0</v>
          </cell>
        </row>
        <row r="606">
          <cell r="A606" t="str">
            <v>Data split-5;Reg-96</v>
          </cell>
          <cell r="B606">
            <v>-0.38</v>
          </cell>
          <cell r="C606">
            <v>-0.1</v>
          </cell>
          <cell r="D606">
            <v>0</v>
          </cell>
          <cell r="E606">
            <v>0.64</v>
          </cell>
          <cell r="F606">
            <v>0</v>
          </cell>
          <cell r="G606">
            <v>0</v>
          </cell>
          <cell r="H606">
            <v>0</v>
          </cell>
          <cell r="I606">
            <v>0.37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 t="b">
            <v>0</v>
          </cell>
        </row>
        <row r="607">
          <cell r="A607" t="str">
            <v>Data split-5;Reg-97</v>
          </cell>
          <cell r="B607">
            <v>-1.7</v>
          </cell>
          <cell r="C607">
            <v>-0.16</v>
          </cell>
          <cell r="D607">
            <v>0</v>
          </cell>
          <cell r="E607">
            <v>0.6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8.1999999999999993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 t="b">
            <v>0</v>
          </cell>
        </row>
        <row r="608">
          <cell r="A608" t="str">
            <v>Data split-5;Reg-98</v>
          </cell>
          <cell r="B608">
            <v>-4.2</v>
          </cell>
          <cell r="C608">
            <v>0.32</v>
          </cell>
          <cell r="D608">
            <v>0</v>
          </cell>
          <cell r="E608">
            <v>0</v>
          </cell>
          <cell r="F608">
            <v>-0.12</v>
          </cell>
          <cell r="G608">
            <v>0</v>
          </cell>
          <cell r="H608">
            <v>0</v>
          </cell>
          <cell r="I608">
            <v>3.3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 t="b">
            <v>0</v>
          </cell>
        </row>
        <row r="609">
          <cell r="A609" t="str">
            <v>Data split-5;Reg-99</v>
          </cell>
          <cell r="B609">
            <v>-3.8</v>
          </cell>
          <cell r="C609">
            <v>0.53</v>
          </cell>
          <cell r="D609">
            <v>0</v>
          </cell>
          <cell r="E609">
            <v>0</v>
          </cell>
          <cell r="F609">
            <v>6.3E-3</v>
          </cell>
          <cell r="G609">
            <v>0</v>
          </cell>
          <cell r="H609">
            <v>0</v>
          </cell>
          <cell r="I609">
            <v>0</v>
          </cell>
          <cell r="J609">
            <v>18.399999999999999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 t="b">
            <v>0</v>
          </cell>
        </row>
        <row r="610">
          <cell r="A610" t="str">
            <v>Data split-5;Reg-100</v>
          </cell>
          <cell r="B610">
            <v>-0.72</v>
          </cell>
          <cell r="C610">
            <v>0</v>
          </cell>
          <cell r="D610">
            <v>0.2</v>
          </cell>
          <cell r="E610">
            <v>0.4</v>
          </cell>
          <cell r="F610">
            <v>0</v>
          </cell>
          <cell r="G610">
            <v>0</v>
          </cell>
          <cell r="H610">
            <v>0</v>
          </cell>
          <cell r="I610">
            <v>0.56000000000000005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 t="b">
            <v>0</v>
          </cell>
        </row>
        <row r="611">
          <cell r="A611" t="str">
            <v>Data split-5;Reg-101</v>
          </cell>
          <cell r="B611">
            <v>-1.7</v>
          </cell>
          <cell r="C611">
            <v>0</v>
          </cell>
          <cell r="D611">
            <v>6.7000000000000004E-2</v>
          </cell>
          <cell r="E611">
            <v>0.49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7.4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 t="b">
            <v>0</v>
          </cell>
        </row>
        <row r="612">
          <cell r="A612" t="str">
            <v>Data split-5;Reg-102</v>
          </cell>
          <cell r="B612">
            <v>-2.8</v>
          </cell>
          <cell r="C612">
            <v>0</v>
          </cell>
          <cell r="D612">
            <v>0.43</v>
          </cell>
          <cell r="E612">
            <v>0</v>
          </cell>
          <cell r="F612">
            <v>-6.3E-2</v>
          </cell>
          <cell r="G612">
            <v>0</v>
          </cell>
          <cell r="H612">
            <v>0</v>
          </cell>
          <cell r="I612">
            <v>2.2000000000000002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 t="b">
            <v>0</v>
          </cell>
        </row>
        <row r="613">
          <cell r="A613" t="str">
            <v>Data split-5;Reg-103</v>
          </cell>
          <cell r="B613">
            <v>-2.1</v>
          </cell>
          <cell r="C613">
            <v>0</v>
          </cell>
          <cell r="D613">
            <v>0.55000000000000004</v>
          </cell>
          <cell r="E613">
            <v>0</v>
          </cell>
          <cell r="F613">
            <v>2.7E-2</v>
          </cell>
          <cell r="G613">
            <v>0</v>
          </cell>
          <cell r="H613">
            <v>0</v>
          </cell>
          <cell r="I613">
            <v>0</v>
          </cell>
          <cell r="J613">
            <v>10.8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 t="b">
            <v>0</v>
          </cell>
        </row>
        <row r="614">
          <cell r="A614" t="str">
            <v>Data split-5;Reg-104</v>
          </cell>
          <cell r="B614">
            <v>-0.11</v>
          </cell>
          <cell r="C614">
            <v>-0.05</v>
          </cell>
          <cell r="D614">
            <v>0</v>
          </cell>
          <cell r="E614">
            <v>0.73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-0.17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 t="b">
            <v>0</v>
          </cell>
        </row>
        <row r="615">
          <cell r="A615" t="str">
            <v>Data split-5;Reg-105</v>
          </cell>
          <cell r="B615">
            <v>-0.56000000000000005</v>
          </cell>
          <cell r="C615">
            <v>-0.17</v>
          </cell>
          <cell r="D615">
            <v>0</v>
          </cell>
          <cell r="E615">
            <v>0.68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4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 t="b">
            <v>0</v>
          </cell>
        </row>
        <row r="616">
          <cell r="A616" t="str">
            <v>Data split-5;Reg-106</v>
          </cell>
          <cell r="B616">
            <v>-0.77</v>
          </cell>
          <cell r="C616">
            <v>0.7</v>
          </cell>
          <cell r="D616">
            <v>0</v>
          </cell>
          <cell r="E616">
            <v>0</v>
          </cell>
          <cell r="F616">
            <v>-0.02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1.3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 t="b">
            <v>0</v>
          </cell>
        </row>
        <row r="617">
          <cell r="A617" t="str">
            <v>Data split-5;Reg-107</v>
          </cell>
          <cell r="B617">
            <v>-2.1</v>
          </cell>
          <cell r="C617">
            <v>0.52</v>
          </cell>
          <cell r="D617">
            <v>0</v>
          </cell>
          <cell r="E617">
            <v>0</v>
          </cell>
          <cell r="F617">
            <v>1.4999999999999999E-2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16.8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 t="b">
            <v>0</v>
          </cell>
        </row>
        <row r="618">
          <cell r="A618" t="str">
            <v>Data split-5;Reg-108</v>
          </cell>
          <cell r="B618">
            <v>-0.17</v>
          </cell>
          <cell r="C618">
            <v>0</v>
          </cell>
          <cell r="D618">
            <v>1.2999999999999999E-2</v>
          </cell>
          <cell r="E618">
            <v>0.7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-0.18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 t="b">
            <v>1</v>
          </cell>
        </row>
        <row r="619">
          <cell r="A619" t="str">
            <v>Data split-5;Reg-109</v>
          </cell>
          <cell r="B619">
            <v>-0.43</v>
          </cell>
          <cell r="C619">
            <v>0</v>
          </cell>
          <cell r="D619">
            <v>5.8000000000000003E-2</v>
          </cell>
          <cell r="E619">
            <v>0.6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1.5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 t="b">
            <v>0</v>
          </cell>
        </row>
        <row r="620">
          <cell r="A620" t="str">
            <v>Data split-5;Reg-110</v>
          </cell>
          <cell r="B620">
            <v>-7.5999999999999998E-2</v>
          </cell>
          <cell r="C620">
            <v>0</v>
          </cell>
          <cell r="D620">
            <v>0.67</v>
          </cell>
          <cell r="E620">
            <v>0</v>
          </cell>
          <cell r="F620">
            <v>2.7E-2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0.45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 t="b">
            <v>0</v>
          </cell>
        </row>
        <row r="621">
          <cell r="A621" t="str">
            <v>Data split-5;Reg-111</v>
          </cell>
          <cell r="B621">
            <v>-0.57999999999999996</v>
          </cell>
          <cell r="C621">
            <v>0</v>
          </cell>
          <cell r="D621">
            <v>0.63</v>
          </cell>
          <cell r="E621">
            <v>0</v>
          </cell>
          <cell r="F621">
            <v>3.7999999999999999E-2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5.8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 t="b">
            <v>0</v>
          </cell>
        </row>
        <row r="622">
          <cell r="A622" t="str">
            <v>Data split-5;Reg-112</v>
          </cell>
          <cell r="B622">
            <v>-1.5</v>
          </cell>
          <cell r="C622">
            <v>0.27</v>
          </cell>
          <cell r="D622">
            <v>0</v>
          </cell>
          <cell r="E622">
            <v>0</v>
          </cell>
          <cell r="F622">
            <v>0</v>
          </cell>
          <cell r="G622">
            <v>0.76</v>
          </cell>
          <cell r="H622">
            <v>0</v>
          </cell>
          <cell r="I622">
            <v>2.5000000000000001E-2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 t="b">
            <v>0</v>
          </cell>
        </row>
        <row r="623">
          <cell r="A623" t="str">
            <v>Data split-5;Reg-113</v>
          </cell>
          <cell r="B623">
            <v>-3.4</v>
          </cell>
          <cell r="C623">
            <v>5.1999999999999998E-2</v>
          </cell>
          <cell r="D623">
            <v>0</v>
          </cell>
          <cell r="E623">
            <v>0</v>
          </cell>
          <cell r="F623">
            <v>0</v>
          </cell>
          <cell r="G623">
            <v>0.65</v>
          </cell>
          <cell r="H623">
            <v>0</v>
          </cell>
          <cell r="I623">
            <v>0</v>
          </cell>
          <cell r="J623">
            <v>11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 t="b">
            <v>0</v>
          </cell>
        </row>
        <row r="624">
          <cell r="A624" t="str">
            <v>Data split-5;Reg-114</v>
          </cell>
          <cell r="B624">
            <v>-0.47</v>
          </cell>
          <cell r="C624">
            <v>0.34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0.72</v>
          </cell>
          <cell r="I624">
            <v>5.3999999999999999E-2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 t="b">
            <v>0</v>
          </cell>
        </row>
        <row r="625">
          <cell r="A625" t="str">
            <v>Data split-5;Reg-115</v>
          </cell>
          <cell r="B625">
            <v>-2.5</v>
          </cell>
          <cell r="C625">
            <v>0.12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0.62</v>
          </cell>
          <cell r="I625">
            <v>0</v>
          </cell>
          <cell r="J625">
            <v>10.8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 t="b">
            <v>0</v>
          </cell>
        </row>
        <row r="626">
          <cell r="A626" t="str">
            <v>Data split-5;Reg-116</v>
          </cell>
          <cell r="B626">
            <v>-1.4</v>
          </cell>
          <cell r="C626">
            <v>0</v>
          </cell>
          <cell r="D626">
            <v>0.36</v>
          </cell>
          <cell r="E626">
            <v>0</v>
          </cell>
          <cell r="F626">
            <v>0</v>
          </cell>
          <cell r="G626">
            <v>0.49</v>
          </cell>
          <cell r="H626">
            <v>0</v>
          </cell>
          <cell r="I626">
            <v>0.34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 t="b">
            <v>0</v>
          </cell>
        </row>
        <row r="627">
          <cell r="A627" t="str">
            <v>Data split-5;Reg-117</v>
          </cell>
          <cell r="B627">
            <v>-2.8</v>
          </cell>
          <cell r="C627">
            <v>0</v>
          </cell>
          <cell r="D627">
            <v>0.26</v>
          </cell>
          <cell r="E627">
            <v>0</v>
          </cell>
          <cell r="F627">
            <v>0</v>
          </cell>
          <cell r="G627">
            <v>0.51</v>
          </cell>
          <cell r="H627">
            <v>0</v>
          </cell>
          <cell r="I627">
            <v>0</v>
          </cell>
          <cell r="J627">
            <v>8.1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 t="b">
            <v>0</v>
          </cell>
        </row>
        <row r="628">
          <cell r="A628" t="str">
            <v>Data split-5;Reg-118</v>
          </cell>
          <cell r="B628">
            <v>-0.7</v>
          </cell>
          <cell r="C628">
            <v>0</v>
          </cell>
          <cell r="D628">
            <v>0.37</v>
          </cell>
          <cell r="E628">
            <v>0</v>
          </cell>
          <cell r="F628">
            <v>0</v>
          </cell>
          <cell r="G628">
            <v>0</v>
          </cell>
          <cell r="H628">
            <v>0.47</v>
          </cell>
          <cell r="I628">
            <v>0.41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 t="b">
            <v>0</v>
          </cell>
        </row>
        <row r="629">
          <cell r="A629" t="str">
            <v>Data split-5;Reg-119</v>
          </cell>
          <cell r="B629">
            <v>-2.1</v>
          </cell>
          <cell r="C629">
            <v>0</v>
          </cell>
          <cell r="D629">
            <v>0.25</v>
          </cell>
          <cell r="E629">
            <v>0</v>
          </cell>
          <cell r="F629">
            <v>0</v>
          </cell>
          <cell r="G629">
            <v>0</v>
          </cell>
          <cell r="H629">
            <v>0.51</v>
          </cell>
          <cell r="I629">
            <v>0</v>
          </cell>
          <cell r="J629">
            <v>8.6999999999999993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 t="b">
            <v>0</v>
          </cell>
        </row>
        <row r="630">
          <cell r="A630" t="str">
            <v>Data split-5;Reg-120</v>
          </cell>
          <cell r="B630">
            <v>-2</v>
          </cell>
          <cell r="C630">
            <v>0.45</v>
          </cell>
          <cell r="D630">
            <v>0</v>
          </cell>
          <cell r="E630">
            <v>0</v>
          </cell>
          <cell r="F630">
            <v>0</v>
          </cell>
          <cell r="G630">
            <v>1.1000000000000001</v>
          </cell>
          <cell r="H630">
            <v>0</v>
          </cell>
          <cell r="I630">
            <v>0</v>
          </cell>
          <cell r="J630">
            <v>0</v>
          </cell>
          <cell r="K630">
            <v>-1.3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 t="b">
            <v>1</v>
          </cell>
        </row>
        <row r="631">
          <cell r="A631" t="str">
            <v>Data split-5;Reg-121</v>
          </cell>
          <cell r="B631">
            <v>-1.7</v>
          </cell>
          <cell r="C631">
            <v>0.23</v>
          </cell>
          <cell r="D631">
            <v>0</v>
          </cell>
          <cell r="E631">
            <v>0</v>
          </cell>
          <cell r="F631">
            <v>0</v>
          </cell>
          <cell r="G631">
            <v>0.76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1.5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 t="b">
            <v>0</v>
          </cell>
        </row>
        <row r="632">
          <cell r="A632" t="str">
            <v>Data split-5;Reg-122</v>
          </cell>
          <cell r="B632">
            <v>-0.43</v>
          </cell>
          <cell r="C632">
            <v>0.54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0.97</v>
          </cell>
          <cell r="I632">
            <v>0</v>
          </cell>
          <cell r="J632">
            <v>0</v>
          </cell>
          <cell r="K632">
            <v>-1.1000000000000001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 t="b">
            <v>1</v>
          </cell>
        </row>
        <row r="633">
          <cell r="A633" t="str">
            <v>Data split-5;Reg-123</v>
          </cell>
          <cell r="B633">
            <v>-0.7</v>
          </cell>
          <cell r="C633">
            <v>0.28000000000000003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0.71</v>
          </cell>
          <cell r="I633">
            <v>0</v>
          </cell>
          <cell r="J633">
            <v>0</v>
          </cell>
          <cell r="K633">
            <v>0</v>
          </cell>
          <cell r="L633">
            <v>2.4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 t="b">
            <v>0</v>
          </cell>
        </row>
        <row r="634">
          <cell r="A634" t="str">
            <v>Data split-5;Reg-124</v>
          </cell>
          <cell r="B634">
            <v>-1.5</v>
          </cell>
          <cell r="C634">
            <v>0</v>
          </cell>
          <cell r="D634">
            <v>0.33</v>
          </cell>
          <cell r="E634">
            <v>0</v>
          </cell>
          <cell r="F634">
            <v>0</v>
          </cell>
          <cell r="G634">
            <v>0.84</v>
          </cell>
          <cell r="H634">
            <v>0</v>
          </cell>
          <cell r="I634">
            <v>0</v>
          </cell>
          <cell r="J634">
            <v>0</v>
          </cell>
          <cell r="K634">
            <v>-0.6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 t="b">
            <v>1</v>
          </cell>
        </row>
        <row r="635">
          <cell r="A635" t="str">
            <v>Data split-5;Reg-125</v>
          </cell>
          <cell r="B635">
            <v>-1.3</v>
          </cell>
          <cell r="C635">
            <v>0</v>
          </cell>
          <cell r="D635">
            <v>0.35</v>
          </cell>
          <cell r="E635">
            <v>0</v>
          </cell>
          <cell r="F635">
            <v>0</v>
          </cell>
          <cell r="G635">
            <v>0.61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0.28000000000000003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 t="b">
            <v>0</v>
          </cell>
        </row>
        <row r="636">
          <cell r="A636" t="str">
            <v>Data split-5;Reg-126</v>
          </cell>
          <cell r="B636">
            <v>-0.27</v>
          </cell>
          <cell r="C636">
            <v>0</v>
          </cell>
          <cell r="D636">
            <v>0.37</v>
          </cell>
          <cell r="E636">
            <v>0</v>
          </cell>
          <cell r="F636">
            <v>0</v>
          </cell>
          <cell r="G636">
            <v>0</v>
          </cell>
          <cell r="H636">
            <v>0.71</v>
          </cell>
          <cell r="I636">
            <v>0</v>
          </cell>
          <cell r="J636">
            <v>0</v>
          </cell>
          <cell r="K636">
            <v>-0.28000000000000003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 t="b">
            <v>1</v>
          </cell>
        </row>
        <row r="637">
          <cell r="A637" t="str">
            <v>Data split-5;Reg-127</v>
          </cell>
          <cell r="B637">
            <v>-0.68</v>
          </cell>
          <cell r="C637">
            <v>0</v>
          </cell>
          <cell r="D637">
            <v>0.34</v>
          </cell>
          <cell r="E637">
            <v>0</v>
          </cell>
          <cell r="F637">
            <v>0</v>
          </cell>
          <cell r="G637">
            <v>0</v>
          </cell>
          <cell r="H637">
            <v>0.57999999999999996</v>
          </cell>
          <cell r="I637">
            <v>0</v>
          </cell>
          <cell r="J637">
            <v>0</v>
          </cell>
          <cell r="K637">
            <v>0</v>
          </cell>
          <cell r="L637">
            <v>2.5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 t="b">
            <v>0</v>
          </cell>
        </row>
        <row r="638">
          <cell r="A638" t="str">
            <v>Data split-6;Reg-1</v>
          </cell>
          <cell r="B638">
            <v>-4.8</v>
          </cell>
          <cell r="C638">
            <v>0.6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0.78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-1.9E-2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 t="b">
            <v>1</v>
          </cell>
        </row>
        <row r="639">
          <cell r="A639" t="str">
            <v>Data split-6;Reg-2</v>
          </cell>
          <cell r="B639">
            <v>-3.1</v>
          </cell>
          <cell r="C639">
            <v>0.12</v>
          </cell>
          <cell r="D639">
            <v>0</v>
          </cell>
          <cell r="E639">
            <v>0</v>
          </cell>
          <cell r="F639">
            <v>-2.9000000000000001E-2</v>
          </cell>
          <cell r="G639">
            <v>1.8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-1.2E-2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 t="b">
            <v>0</v>
          </cell>
        </row>
        <row r="640">
          <cell r="A640" t="str">
            <v>Data split-6;Reg-3</v>
          </cell>
          <cell r="B640">
            <v>-6.8</v>
          </cell>
          <cell r="C640">
            <v>0.18</v>
          </cell>
          <cell r="D640">
            <v>0</v>
          </cell>
          <cell r="E640">
            <v>0</v>
          </cell>
          <cell r="F640">
            <v>-5.7999999999999996E-3</v>
          </cell>
          <cell r="G640">
            <v>0</v>
          </cell>
          <cell r="H640">
            <v>2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-6.0999999999999999E-2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 t="b">
            <v>0</v>
          </cell>
        </row>
        <row r="641">
          <cell r="A641" t="str">
            <v>Data split-6;Reg-4</v>
          </cell>
          <cell r="B641">
            <v>-4.0999999999999996</v>
          </cell>
          <cell r="C641">
            <v>0.34</v>
          </cell>
          <cell r="D641">
            <v>0</v>
          </cell>
          <cell r="E641">
            <v>0</v>
          </cell>
          <cell r="F641">
            <v>-1.6E-2</v>
          </cell>
          <cell r="G641">
            <v>0</v>
          </cell>
          <cell r="H641">
            <v>2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-1.4E-2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 t="b">
            <v>0</v>
          </cell>
        </row>
        <row r="642">
          <cell r="A642" t="str">
            <v>Data split-6;Reg-5</v>
          </cell>
          <cell r="B642">
            <v>-3</v>
          </cell>
          <cell r="C642">
            <v>0</v>
          </cell>
          <cell r="D642">
            <v>0.24</v>
          </cell>
          <cell r="E642">
            <v>0</v>
          </cell>
          <cell r="F642">
            <v>-1.0999999999999999E-2</v>
          </cell>
          <cell r="G642">
            <v>1.7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-1.2999999999999999E-2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 t="b">
            <v>0</v>
          </cell>
        </row>
        <row r="643">
          <cell r="A643" t="str">
            <v>Data split-6;Reg-6</v>
          </cell>
          <cell r="B643">
            <v>-4.5</v>
          </cell>
          <cell r="C643">
            <v>0</v>
          </cell>
          <cell r="D643">
            <v>0.34</v>
          </cell>
          <cell r="E643">
            <v>0</v>
          </cell>
          <cell r="F643">
            <v>5.1000000000000004E-3</v>
          </cell>
          <cell r="G643">
            <v>0</v>
          </cell>
          <cell r="H643">
            <v>1.9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-1.6E-2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 t="b">
            <v>1</v>
          </cell>
        </row>
        <row r="644">
          <cell r="A644" t="str">
            <v>Data split-6;Reg-7</v>
          </cell>
          <cell r="B644">
            <v>-5.5</v>
          </cell>
          <cell r="C644">
            <v>0.48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0.54</v>
          </cell>
          <cell r="I644">
            <v>1.2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-2.8000000000000001E-2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 t="b">
            <v>0</v>
          </cell>
        </row>
        <row r="645">
          <cell r="A645" t="str">
            <v>Data split-6;Reg-8</v>
          </cell>
          <cell r="B645">
            <v>-4.9000000000000004</v>
          </cell>
          <cell r="C645">
            <v>0.56999999999999995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0.52</v>
          </cell>
          <cell r="I645">
            <v>0.97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-5.5999999999999999E-3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 t="b">
            <v>0</v>
          </cell>
        </row>
        <row r="646">
          <cell r="A646" t="str">
            <v>Data split-6;Reg-9</v>
          </cell>
          <cell r="B646">
            <v>-1.3</v>
          </cell>
          <cell r="C646">
            <v>0.74</v>
          </cell>
          <cell r="D646">
            <v>0</v>
          </cell>
          <cell r="E646">
            <v>0</v>
          </cell>
          <cell r="F646">
            <v>0</v>
          </cell>
          <cell r="G646">
            <v>-0.43</v>
          </cell>
          <cell r="H646">
            <v>0</v>
          </cell>
          <cell r="I646">
            <v>-0.26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1.2E-2</v>
          </cell>
          <cell r="S646">
            <v>0</v>
          </cell>
          <cell r="T646">
            <v>0</v>
          </cell>
          <cell r="U646" t="b">
            <v>0</v>
          </cell>
        </row>
        <row r="647">
          <cell r="A647" t="str">
            <v>Data split-6;Reg-10</v>
          </cell>
          <cell r="B647">
            <v>-4.5</v>
          </cell>
          <cell r="C647">
            <v>0.5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0.75</v>
          </cell>
          <cell r="I647">
            <v>0</v>
          </cell>
          <cell r="J647">
            <v>0</v>
          </cell>
          <cell r="K647">
            <v>0.19</v>
          </cell>
          <cell r="L647">
            <v>0</v>
          </cell>
          <cell r="M647">
            <v>0</v>
          </cell>
          <cell r="N647">
            <v>0</v>
          </cell>
          <cell r="O647">
            <v>-1.7999999999999999E-2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 t="b">
            <v>0</v>
          </cell>
        </row>
        <row r="648">
          <cell r="A648" t="str">
            <v>Data split-6;Reg-11</v>
          </cell>
          <cell r="B648">
            <v>0.65</v>
          </cell>
          <cell r="C648">
            <v>0.76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0.84</v>
          </cell>
          <cell r="J648">
            <v>0</v>
          </cell>
          <cell r="K648">
            <v>0.1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 t="b">
            <v>0</v>
          </cell>
        </row>
        <row r="649">
          <cell r="A649" t="str">
            <v>Data split-6;Reg-12</v>
          </cell>
          <cell r="B649">
            <v>0.61</v>
          </cell>
          <cell r="C649">
            <v>0.74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0.87</v>
          </cell>
          <cell r="J649">
            <v>0</v>
          </cell>
          <cell r="K649">
            <v>0</v>
          </cell>
          <cell r="L649">
            <v>0.91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 t="b">
            <v>0</v>
          </cell>
        </row>
        <row r="650">
          <cell r="A650" t="str">
            <v>Data split-6;Reg-13</v>
          </cell>
          <cell r="B650">
            <v>-9.3000000000000007</v>
          </cell>
          <cell r="C650">
            <v>0.35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52</v>
          </cell>
          <cell r="K650">
            <v>-1.4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 t="b">
            <v>0</v>
          </cell>
        </row>
        <row r="651">
          <cell r="A651" t="str">
            <v>Data split-6;Reg-14</v>
          </cell>
          <cell r="B651">
            <v>-6.6</v>
          </cell>
          <cell r="C651">
            <v>0.25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39.299999999999997</v>
          </cell>
          <cell r="K651">
            <v>0</v>
          </cell>
          <cell r="L651">
            <v>-5.5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 t="b">
            <v>0</v>
          </cell>
        </row>
        <row r="652">
          <cell r="A652" t="str">
            <v>Data split-6;Reg-15</v>
          </cell>
          <cell r="B652">
            <v>0.15</v>
          </cell>
          <cell r="C652">
            <v>0.76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7.9000000000000001E-2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0.02</v>
          </cell>
          <cell r="R652">
            <v>0</v>
          </cell>
          <cell r="S652">
            <v>0</v>
          </cell>
          <cell r="T652">
            <v>0</v>
          </cell>
          <cell r="U652" t="b">
            <v>0</v>
          </cell>
        </row>
        <row r="653">
          <cell r="A653" t="str">
            <v>Data split-6;Reg-16</v>
          </cell>
          <cell r="B653">
            <v>-1.7</v>
          </cell>
          <cell r="C653">
            <v>0.64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-0.35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7.7999999999999996E-3</v>
          </cell>
          <cell r="S653">
            <v>0</v>
          </cell>
          <cell r="T653">
            <v>0</v>
          </cell>
          <cell r="U653" t="b">
            <v>0</v>
          </cell>
        </row>
        <row r="654">
          <cell r="A654" t="str">
            <v>Data split-6;Reg-17</v>
          </cell>
          <cell r="B654">
            <v>-1.6</v>
          </cell>
          <cell r="C654">
            <v>0.55000000000000004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11.4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1.2999999999999999E-2</v>
          </cell>
          <cell r="R654">
            <v>0</v>
          </cell>
          <cell r="S654">
            <v>0</v>
          </cell>
          <cell r="T654">
            <v>0</v>
          </cell>
          <cell r="U654" t="b">
            <v>0</v>
          </cell>
        </row>
        <row r="655">
          <cell r="A655" t="str">
            <v>Data split-6;Reg-18</v>
          </cell>
          <cell r="B655">
            <v>-2.8</v>
          </cell>
          <cell r="C655">
            <v>0.43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10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4.8999999999999998E-3</v>
          </cell>
          <cell r="S655">
            <v>0</v>
          </cell>
          <cell r="T655">
            <v>0</v>
          </cell>
          <cell r="U655" t="b">
            <v>0</v>
          </cell>
        </row>
        <row r="656">
          <cell r="A656" t="str">
            <v>Data split-6;Reg-19</v>
          </cell>
          <cell r="B656">
            <v>0.72</v>
          </cell>
          <cell r="C656">
            <v>0.75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0.16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1.4999999999999999E-2</v>
          </cell>
          <cell r="T656">
            <v>0</v>
          </cell>
          <cell r="U656" t="b">
            <v>0</v>
          </cell>
        </row>
        <row r="657">
          <cell r="A657" t="str">
            <v>Data split-6;Reg-20</v>
          </cell>
          <cell r="B657">
            <v>-0.79</v>
          </cell>
          <cell r="C657">
            <v>0.56999999999999995</v>
          </cell>
          <cell r="D657">
            <v>0</v>
          </cell>
          <cell r="E657">
            <v>0</v>
          </cell>
          <cell r="F657">
            <v>0</v>
          </cell>
          <cell r="G657">
            <v>0</v>
          </cell>
          <cell r="H657">
            <v>0</v>
          </cell>
          <cell r="I657">
            <v>0</v>
          </cell>
          <cell r="J657">
            <v>0</v>
          </cell>
          <cell r="K657">
            <v>0.16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5.4000000000000003E-3</v>
          </cell>
          <cell r="U657" t="b">
            <v>0</v>
          </cell>
        </row>
        <row r="658">
          <cell r="A658" t="str">
            <v>Data split-6;Reg-21</v>
          </cell>
          <cell r="B658">
            <v>0.61</v>
          </cell>
          <cell r="C658">
            <v>0.74</v>
          </cell>
          <cell r="D658">
            <v>0</v>
          </cell>
          <cell r="E658">
            <v>0</v>
          </cell>
          <cell r="F658">
            <v>0</v>
          </cell>
          <cell r="G658">
            <v>0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1.2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1.7000000000000001E-2</v>
          </cell>
          <cell r="T658">
            <v>0</v>
          </cell>
          <cell r="U658" t="b">
            <v>0</v>
          </cell>
        </row>
        <row r="659">
          <cell r="A659" t="str">
            <v>Data split-6;Reg-22</v>
          </cell>
          <cell r="B659">
            <v>-0.97</v>
          </cell>
          <cell r="C659">
            <v>0.55000000000000004</v>
          </cell>
          <cell r="D659">
            <v>0</v>
          </cell>
          <cell r="E659">
            <v>0</v>
          </cell>
          <cell r="F659">
            <v>0</v>
          </cell>
          <cell r="G659">
            <v>0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1.3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5.7999999999999996E-3</v>
          </cell>
          <cell r="U659" t="b">
            <v>0</v>
          </cell>
        </row>
        <row r="660">
          <cell r="A660" t="str">
            <v>Data split-6;Reg-23</v>
          </cell>
          <cell r="B660">
            <v>-2.2999999999999998</v>
          </cell>
          <cell r="C660">
            <v>0</v>
          </cell>
          <cell r="D660">
            <v>0.62</v>
          </cell>
          <cell r="E660">
            <v>0</v>
          </cell>
          <cell r="F660">
            <v>0</v>
          </cell>
          <cell r="G660">
            <v>0</v>
          </cell>
          <cell r="H660">
            <v>0</v>
          </cell>
          <cell r="I660">
            <v>0.89</v>
          </cell>
          <cell r="J660">
            <v>0</v>
          </cell>
          <cell r="K660">
            <v>0.17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 t="b">
            <v>0</v>
          </cell>
        </row>
        <row r="661">
          <cell r="A661" t="str">
            <v>Data split-6;Reg-24</v>
          </cell>
          <cell r="B661">
            <v>-2.4</v>
          </cell>
          <cell r="C661">
            <v>0</v>
          </cell>
          <cell r="D661">
            <v>0.61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0.96</v>
          </cell>
          <cell r="J661">
            <v>0</v>
          </cell>
          <cell r="K661">
            <v>0</v>
          </cell>
          <cell r="L661">
            <v>1.2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 t="b">
            <v>0</v>
          </cell>
        </row>
        <row r="662">
          <cell r="A662" t="str">
            <v>Data split-6;Reg-25</v>
          </cell>
          <cell r="B662">
            <v>-10.5</v>
          </cell>
          <cell r="C662">
            <v>0</v>
          </cell>
          <cell r="D662">
            <v>0.28999999999999998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51.3</v>
          </cell>
          <cell r="K662">
            <v>-1.4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 t="b">
            <v>0</v>
          </cell>
        </row>
        <row r="663">
          <cell r="A663" t="str">
            <v>Data split-6;Reg-26</v>
          </cell>
          <cell r="B663">
            <v>-7.4</v>
          </cell>
          <cell r="C663">
            <v>0</v>
          </cell>
          <cell r="D663">
            <v>0.26</v>
          </cell>
          <cell r="E663">
            <v>0</v>
          </cell>
          <cell r="F663">
            <v>0</v>
          </cell>
          <cell r="G663">
            <v>0</v>
          </cell>
          <cell r="H663">
            <v>0</v>
          </cell>
          <cell r="I663">
            <v>0</v>
          </cell>
          <cell r="J663">
            <v>37.6</v>
          </cell>
          <cell r="K663">
            <v>0</v>
          </cell>
          <cell r="L663">
            <v>-5.0999999999999996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 t="b">
            <v>0</v>
          </cell>
        </row>
        <row r="664">
          <cell r="A664" t="str">
            <v>Data split-6;Reg-27</v>
          </cell>
          <cell r="B664">
            <v>-2.7</v>
          </cell>
          <cell r="C664">
            <v>0</v>
          </cell>
          <cell r="D664">
            <v>0.62</v>
          </cell>
          <cell r="E664">
            <v>0</v>
          </cell>
          <cell r="F664">
            <v>0</v>
          </cell>
          <cell r="G664">
            <v>0</v>
          </cell>
          <cell r="H664">
            <v>0</v>
          </cell>
          <cell r="I664">
            <v>1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3.0999999999999999E-3</v>
          </cell>
          <cell r="R664">
            <v>0</v>
          </cell>
          <cell r="S664">
            <v>0</v>
          </cell>
          <cell r="T664">
            <v>0</v>
          </cell>
          <cell r="U664" t="b">
            <v>0</v>
          </cell>
        </row>
        <row r="665">
          <cell r="A665" t="str">
            <v>Data split-6;Reg-28</v>
          </cell>
          <cell r="B665">
            <v>-3.6</v>
          </cell>
          <cell r="C665">
            <v>0</v>
          </cell>
          <cell r="D665">
            <v>0.49</v>
          </cell>
          <cell r="E665">
            <v>0</v>
          </cell>
          <cell r="F665">
            <v>0</v>
          </cell>
          <cell r="G665">
            <v>0</v>
          </cell>
          <cell r="H665">
            <v>0</v>
          </cell>
          <cell r="I665">
            <v>0.35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5.3E-3</v>
          </cell>
          <cell r="S665">
            <v>0</v>
          </cell>
          <cell r="T665">
            <v>0</v>
          </cell>
          <cell r="U665" t="b">
            <v>0</v>
          </cell>
        </row>
        <row r="666">
          <cell r="A666" t="str">
            <v>Data split-6;Reg-29</v>
          </cell>
          <cell r="B666">
            <v>-4</v>
          </cell>
          <cell r="C666">
            <v>0</v>
          </cell>
          <cell r="D666">
            <v>0.48</v>
          </cell>
          <cell r="E666">
            <v>0</v>
          </cell>
          <cell r="F666">
            <v>0</v>
          </cell>
          <cell r="G666">
            <v>0</v>
          </cell>
          <cell r="H666">
            <v>0</v>
          </cell>
          <cell r="I666">
            <v>0</v>
          </cell>
          <cell r="J666">
            <v>14.3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7.7000000000000002E-3</v>
          </cell>
          <cell r="R666">
            <v>0</v>
          </cell>
          <cell r="S666">
            <v>0</v>
          </cell>
          <cell r="T666">
            <v>0</v>
          </cell>
          <cell r="U666" t="b">
            <v>0</v>
          </cell>
        </row>
        <row r="667">
          <cell r="A667" t="str">
            <v>Data split-6;Reg-30</v>
          </cell>
          <cell r="B667">
            <v>-4.5</v>
          </cell>
          <cell r="C667">
            <v>0</v>
          </cell>
          <cell r="D667">
            <v>0.36</v>
          </cell>
          <cell r="E667">
            <v>0</v>
          </cell>
          <cell r="F667">
            <v>0</v>
          </cell>
          <cell r="G667">
            <v>0</v>
          </cell>
          <cell r="H667">
            <v>0</v>
          </cell>
          <cell r="I667">
            <v>0</v>
          </cell>
          <cell r="J667">
            <v>12.3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4.1000000000000003E-3</v>
          </cell>
          <cell r="S667">
            <v>0</v>
          </cell>
          <cell r="T667">
            <v>0</v>
          </cell>
          <cell r="U667" t="b">
            <v>0</v>
          </cell>
        </row>
        <row r="668">
          <cell r="A668" t="str">
            <v>Data split-6;Reg-31</v>
          </cell>
          <cell r="B668">
            <v>-1.9</v>
          </cell>
          <cell r="C668">
            <v>0</v>
          </cell>
          <cell r="D668">
            <v>0.64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  <cell r="I668">
            <v>0</v>
          </cell>
          <cell r="J668">
            <v>0</v>
          </cell>
          <cell r="K668">
            <v>0.28999999999999998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1.0999999999999999E-2</v>
          </cell>
          <cell r="T668">
            <v>0</v>
          </cell>
          <cell r="U668" t="b">
            <v>0</v>
          </cell>
        </row>
        <row r="669">
          <cell r="A669" t="str">
            <v>Data split-6;Reg-32</v>
          </cell>
          <cell r="B669">
            <v>-2.7</v>
          </cell>
          <cell r="C669">
            <v>0</v>
          </cell>
          <cell r="D669">
            <v>0.47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  <cell r="I669">
            <v>0</v>
          </cell>
          <cell r="J669">
            <v>0</v>
          </cell>
          <cell r="K669">
            <v>0.25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5.0000000000000001E-3</v>
          </cell>
          <cell r="U669" t="b">
            <v>0</v>
          </cell>
        </row>
        <row r="670">
          <cell r="A670" t="str">
            <v>Data split-6;Reg-33</v>
          </cell>
          <cell r="B670">
            <v>-2.1</v>
          </cell>
          <cell r="C670">
            <v>0</v>
          </cell>
          <cell r="D670">
            <v>0.64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1.7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1.4999999999999999E-2</v>
          </cell>
          <cell r="T670">
            <v>0</v>
          </cell>
          <cell r="U670" t="b">
            <v>0</v>
          </cell>
        </row>
        <row r="671">
          <cell r="A671" t="str">
            <v>Data split-6;Reg-34</v>
          </cell>
          <cell r="B671">
            <v>-3</v>
          </cell>
          <cell r="C671">
            <v>0</v>
          </cell>
          <cell r="D671">
            <v>0.46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1.7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5.7000000000000002E-3</v>
          </cell>
          <cell r="U671" t="b">
            <v>0</v>
          </cell>
        </row>
        <row r="672">
          <cell r="A672" t="str">
            <v>Data split-6;Reg-35</v>
          </cell>
          <cell r="B672">
            <v>0.4</v>
          </cell>
          <cell r="C672">
            <v>0.74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-0.15</v>
          </cell>
          <cell r="J672">
            <v>0</v>
          </cell>
          <cell r="K672">
            <v>0.14000000000000001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2.1000000000000001E-2</v>
          </cell>
          <cell r="R672">
            <v>0</v>
          </cell>
          <cell r="S672">
            <v>0</v>
          </cell>
          <cell r="T672">
            <v>0</v>
          </cell>
          <cell r="U672" t="b">
            <v>0</v>
          </cell>
        </row>
        <row r="673">
          <cell r="A673" t="str">
            <v>Data split-6;Reg-36</v>
          </cell>
          <cell r="B673">
            <v>-1.5</v>
          </cell>
          <cell r="C673">
            <v>0.57999999999999996</v>
          </cell>
          <cell r="D673">
            <v>0</v>
          </cell>
          <cell r="E673">
            <v>0</v>
          </cell>
          <cell r="F673">
            <v>0</v>
          </cell>
          <cell r="G673">
            <v>0</v>
          </cell>
          <cell r="H673">
            <v>0</v>
          </cell>
          <cell r="I673">
            <v>-0.74</v>
          </cell>
          <cell r="J673">
            <v>0</v>
          </cell>
          <cell r="K673">
            <v>0.22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8.6E-3</v>
          </cell>
          <cell r="S673">
            <v>0</v>
          </cell>
          <cell r="T673">
            <v>0</v>
          </cell>
          <cell r="U673" t="b">
            <v>0</v>
          </cell>
        </row>
        <row r="674">
          <cell r="A674" t="str">
            <v>Data split-6;Reg-37</v>
          </cell>
          <cell r="B674">
            <v>0.31</v>
          </cell>
          <cell r="C674">
            <v>0.73</v>
          </cell>
          <cell r="D674">
            <v>0</v>
          </cell>
          <cell r="E674">
            <v>0</v>
          </cell>
          <cell r="F674">
            <v>0</v>
          </cell>
          <cell r="G674">
            <v>0</v>
          </cell>
          <cell r="H674">
            <v>0</v>
          </cell>
          <cell r="I674">
            <v>-0.13</v>
          </cell>
          <cell r="J674">
            <v>0</v>
          </cell>
          <cell r="K674">
            <v>0</v>
          </cell>
          <cell r="L674">
            <v>1.2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2.1999999999999999E-2</v>
          </cell>
          <cell r="R674">
            <v>0</v>
          </cell>
          <cell r="S674">
            <v>0</v>
          </cell>
          <cell r="T674">
            <v>0</v>
          </cell>
          <cell r="U674" t="b">
            <v>0</v>
          </cell>
        </row>
        <row r="675">
          <cell r="A675" t="str">
            <v>Data split-6;Reg-38</v>
          </cell>
          <cell r="B675">
            <v>-1.7</v>
          </cell>
          <cell r="C675">
            <v>0.56999999999999995</v>
          </cell>
          <cell r="D675">
            <v>0</v>
          </cell>
          <cell r="E675">
            <v>0</v>
          </cell>
          <cell r="F675">
            <v>0</v>
          </cell>
          <cell r="G675">
            <v>0</v>
          </cell>
          <cell r="H675">
            <v>0</v>
          </cell>
          <cell r="I675">
            <v>-0.66</v>
          </cell>
          <cell r="J675">
            <v>0</v>
          </cell>
          <cell r="K675">
            <v>0</v>
          </cell>
          <cell r="L675">
            <v>1.5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8.8000000000000005E-3</v>
          </cell>
          <cell r="S675">
            <v>0</v>
          </cell>
          <cell r="T675">
            <v>0</v>
          </cell>
          <cell r="U675" t="b">
            <v>0</v>
          </cell>
        </row>
        <row r="676">
          <cell r="A676" t="str">
            <v>Data split-6;Reg-39</v>
          </cell>
          <cell r="B676">
            <v>-9</v>
          </cell>
          <cell r="C676">
            <v>0.33</v>
          </cell>
          <cell r="D676">
            <v>0</v>
          </cell>
          <cell r="E676">
            <v>0</v>
          </cell>
          <cell r="F676">
            <v>0</v>
          </cell>
          <cell r="G676">
            <v>0</v>
          </cell>
          <cell r="H676">
            <v>0</v>
          </cell>
          <cell r="I676">
            <v>0</v>
          </cell>
          <cell r="J676">
            <v>49.1</v>
          </cell>
          <cell r="K676">
            <v>-1.4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4.1999999999999997E-3</v>
          </cell>
          <cell r="R676">
            <v>0</v>
          </cell>
          <cell r="S676">
            <v>0</v>
          </cell>
          <cell r="T676">
            <v>0</v>
          </cell>
          <cell r="U676" t="b">
            <v>0</v>
          </cell>
        </row>
        <row r="677">
          <cell r="A677" t="str">
            <v>Data split-6;Reg-40</v>
          </cell>
          <cell r="B677">
            <v>-8.9</v>
          </cell>
          <cell r="C677">
            <v>0.28999999999999998</v>
          </cell>
          <cell r="D677">
            <v>0</v>
          </cell>
          <cell r="E677">
            <v>0</v>
          </cell>
          <cell r="F677">
            <v>0</v>
          </cell>
          <cell r="G677">
            <v>0</v>
          </cell>
          <cell r="H677">
            <v>0</v>
          </cell>
          <cell r="I677">
            <v>0</v>
          </cell>
          <cell r="J677">
            <v>45.2</v>
          </cell>
          <cell r="K677">
            <v>-1.2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2.0999999999999999E-3</v>
          </cell>
          <cell r="S677">
            <v>0</v>
          </cell>
          <cell r="T677">
            <v>0</v>
          </cell>
          <cell r="U677" t="b">
            <v>0</v>
          </cell>
        </row>
        <row r="678">
          <cell r="A678" t="str">
            <v>Data split-6;Reg-41</v>
          </cell>
          <cell r="B678">
            <v>-7.4</v>
          </cell>
          <cell r="C678">
            <v>0.23</v>
          </cell>
          <cell r="D678">
            <v>0</v>
          </cell>
          <cell r="E678">
            <v>0</v>
          </cell>
          <cell r="F678">
            <v>0</v>
          </cell>
          <cell r="G678">
            <v>0</v>
          </cell>
          <cell r="H678">
            <v>0</v>
          </cell>
          <cell r="I678">
            <v>0</v>
          </cell>
          <cell r="J678">
            <v>45.5</v>
          </cell>
          <cell r="K678">
            <v>0</v>
          </cell>
          <cell r="L678">
            <v>-6.5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-6.1000000000000004E-3</v>
          </cell>
          <cell r="R678">
            <v>0</v>
          </cell>
          <cell r="S678">
            <v>0</v>
          </cell>
          <cell r="T678">
            <v>0</v>
          </cell>
          <cell r="U678" t="b">
            <v>0</v>
          </cell>
        </row>
        <row r="679">
          <cell r="A679" t="str">
            <v>Data split-6;Reg-42</v>
          </cell>
          <cell r="B679">
            <v>-6.3</v>
          </cell>
          <cell r="C679">
            <v>0.26</v>
          </cell>
          <cell r="D679">
            <v>0</v>
          </cell>
          <cell r="E679">
            <v>0</v>
          </cell>
          <cell r="F679">
            <v>0</v>
          </cell>
          <cell r="G679">
            <v>0</v>
          </cell>
          <cell r="H679">
            <v>0</v>
          </cell>
          <cell r="I679">
            <v>0</v>
          </cell>
          <cell r="J679">
            <v>36.299999999999997</v>
          </cell>
          <cell r="K679">
            <v>0</v>
          </cell>
          <cell r="L679">
            <v>-5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7.5000000000000002E-4</v>
          </cell>
          <cell r="S679">
            <v>0</v>
          </cell>
          <cell r="T679">
            <v>0</v>
          </cell>
          <cell r="U679" t="b">
            <v>0</v>
          </cell>
        </row>
        <row r="680">
          <cell r="A680" t="str">
            <v>Data split-6;Reg-43</v>
          </cell>
          <cell r="B680">
            <v>0.59</v>
          </cell>
          <cell r="C680">
            <v>0.73</v>
          </cell>
          <cell r="D680">
            <v>0</v>
          </cell>
          <cell r="E680">
            <v>0</v>
          </cell>
          <cell r="F680">
            <v>0</v>
          </cell>
          <cell r="G680">
            <v>0</v>
          </cell>
          <cell r="H680">
            <v>0</v>
          </cell>
          <cell r="I680">
            <v>0.24</v>
          </cell>
          <cell r="J680">
            <v>0</v>
          </cell>
          <cell r="K680">
            <v>0.13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1.2E-2</v>
          </cell>
          <cell r="T680">
            <v>0</v>
          </cell>
          <cell r="U680" t="b">
            <v>0</v>
          </cell>
        </row>
        <row r="681">
          <cell r="A681" t="str">
            <v>Data split-6;Reg-44</v>
          </cell>
          <cell r="B681">
            <v>-0.85</v>
          </cell>
          <cell r="C681">
            <v>0.57999999999999996</v>
          </cell>
          <cell r="D681">
            <v>0</v>
          </cell>
          <cell r="E681">
            <v>0</v>
          </cell>
          <cell r="F681">
            <v>0</v>
          </cell>
          <cell r="G681">
            <v>0</v>
          </cell>
          <cell r="H681">
            <v>0</v>
          </cell>
          <cell r="I681">
            <v>-0.45</v>
          </cell>
          <cell r="J681">
            <v>0</v>
          </cell>
          <cell r="K681">
            <v>0.21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6.8999999999999999E-3</v>
          </cell>
          <cell r="U681" t="b">
            <v>0</v>
          </cell>
        </row>
        <row r="682">
          <cell r="A682" t="str">
            <v>Data split-6;Reg-45</v>
          </cell>
          <cell r="B682">
            <v>0.52</v>
          </cell>
          <cell r="C682">
            <v>0.72</v>
          </cell>
          <cell r="D682">
            <v>0</v>
          </cell>
          <cell r="E682">
            <v>0</v>
          </cell>
          <cell r="F682">
            <v>0</v>
          </cell>
          <cell r="G682">
            <v>0</v>
          </cell>
          <cell r="H682">
            <v>0</v>
          </cell>
          <cell r="I682">
            <v>0.23</v>
          </cell>
          <cell r="J682">
            <v>0</v>
          </cell>
          <cell r="K682">
            <v>0</v>
          </cell>
          <cell r="L682">
            <v>1.1000000000000001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1.4E-2</v>
          </cell>
          <cell r="T682">
            <v>0</v>
          </cell>
          <cell r="U682" t="b">
            <v>0</v>
          </cell>
        </row>
        <row r="683">
          <cell r="A683" t="str">
            <v>Data split-6;Reg-46</v>
          </cell>
          <cell r="B683">
            <v>-1.1000000000000001</v>
          </cell>
          <cell r="C683">
            <v>0.56000000000000005</v>
          </cell>
          <cell r="D683">
            <v>0</v>
          </cell>
          <cell r="E683">
            <v>0</v>
          </cell>
          <cell r="F683">
            <v>0</v>
          </cell>
          <cell r="G683">
            <v>0</v>
          </cell>
          <cell r="H683">
            <v>0</v>
          </cell>
          <cell r="I683">
            <v>-0.42</v>
          </cell>
          <cell r="J683">
            <v>0</v>
          </cell>
          <cell r="K683">
            <v>0</v>
          </cell>
          <cell r="L683">
            <v>1.5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7.3000000000000001E-3</v>
          </cell>
          <cell r="U683" t="b">
            <v>0</v>
          </cell>
        </row>
        <row r="684">
          <cell r="A684" t="str">
            <v>Data split-6;Reg-47</v>
          </cell>
          <cell r="B684">
            <v>-9.1999999999999993</v>
          </cell>
          <cell r="C684">
            <v>0.34</v>
          </cell>
          <cell r="D684">
            <v>0</v>
          </cell>
          <cell r="E684">
            <v>0</v>
          </cell>
          <cell r="F684">
            <v>0</v>
          </cell>
          <cell r="G684">
            <v>0</v>
          </cell>
          <cell r="H684">
            <v>0</v>
          </cell>
          <cell r="I684">
            <v>0</v>
          </cell>
          <cell r="J684">
            <v>50.7</v>
          </cell>
          <cell r="K684">
            <v>-1.4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2.0999999999999999E-3</v>
          </cell>
          <cell r="T684">
            <v>0</v>
          </cell>
          <cell r="U684" t="b">
            <v>0</v>
          </cell>
        </row>
        <row r="685">
          <cell r="A685" t="str">
            <v>Data split-6;Reg-48</v>
          </cell>
          <cell r="B685">
            <v>-9.1</v>
          </cell>
          <cell r="C685">
            <v>0.28999999999999998</v>
          </cell>
          <cell r="D685">
            <v>0</v>
          </cell>
          <cell r="E685">
            <v>0</v>
          </cell>
          <cell r="F685">
            <v>0</v>
          </cell>
          <cell r="G685">
            <v>0</v>
          </cell>
          <cell r="H685">
            <v>0</v>
          </cell>
          <cell r="I685">
            <v>0</v>
          </cell>
          <cell r="J685">
            <v>47.9</v>
          </cell>
          <cell r="K685">
            <v>-1.3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1.4E-3</v>
          </cell>
          <cell r="U685" t="b">
            <v>0</v>
          </cell>
        </row>
        <row r="686">
          <cell r="A686" t="str">
            <v>Data split-6;Reg-49</v>
          </cell>
          <cell r="B686">
            <v>-7.9</v>
          </cell>
          <cell r="C686">
            <v>0.24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49.5</v>
          </cell>
          <cell r="K686">
            <v>0</v>
          </cell>
          <cell r="L686">
            <v>-7.1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-0.01</v>
          </cell>
          <cell r="T686">
            <v>0</v>
          </cell>
          <cell r="U686" t="b">
            <v>0</v>
          </cell>
        </row>
        <row r="687">
          <cell r="A687" t="str">
            <v>Data split-6;Reg-50</v>
          </cell>
          <cell r="B687">
            <v>-6.9</v>
          </cell>
          <cell r="C687">
            <v>0.26</v>
          </cell>
          <cell r="D687">
            <v>0</v>
          </cell>
          <cell r="E687">
            <v>0</v>
          </cell>
          <cell r="F687">
            <v>0</v>
          </cell>
          <cell r="G687">
            <v>0</v>
          </cell>
          <cell r="H687">
            <v>0</v>
          </cell>
          <cell r="I687">
            <v>0</v>
          </cell>
          <cell r="J687">
            <v>43.1</v>
          </cell>
          <cell r="K687">
            <v>0</v>
          </cell>
          <cell r="L687">
            <v>-6.1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-9.6000000000000002E-4</v>
          </cell>
          <cell r="U687" t="b">
            <v>0</v>
          </cell>
        </row>
        <row r="688">
          <cell r="A688" t="str">
            <v>Data split-6;Reg-51</v>
          </cell>
          <cell r="B688">
            <v>-2.2999999999999998</v>
          </cell>
          <cell r="C688">
            <v>0</v>
          </cell>
          <cell r="D688">
            <v>0.59</v>
          </cell>
          <cell r="E688">
            <v>0</v>
          </cell>
          <cell r="F688">
            <v>0</v>
          </cell>
          <cell r="G688">
            <v>0</v>
          </cell>
          <cell r="H688">
            <v>0</v>
          </cell>
          <cell r="I688">
            <v>0.67</v>
          </cell>
          <cell r="J688">
            <v>0</v>
          </cell>
          <cell r="K688">
            <v>0.18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5.3E-3</v>
          </cell>
          <cell r="R688">
            <v>0</v>
          </cell>
          <cell r="S688">
            <v>0</v>
          </cell>
          <cell r="T688">
            <v>0</v>
          </cell>
          <cell r="U688" t="b">
            <v>0</v>
          </cell>
        </row>
        <row r="689">
          <cell r="A689" t="str">
            <v>Data split-6;Reg-52</v>
          </cell>
          <cell r="B689">
            <v>-3.1</v>
          </cell>
          <cell r="C689">
            <v>0</v>
          </cell>
          <cell r="D689">
            <v>0.44</v>
          </cell>
          <cell r="E689">
            <v>0</v>
          </cell>
          <cell r="F689">
            <v>0</v>
          </cell>
          <cell r="G689">
            <v>0</v>
          </cell>
          <cell r="H689">
            <v>0</v>
          </cell>
          <cell r="I689">
            <v>-0.17</v>
          </cell>
          <cell r="J689">
            <v>0</v>
          </cell>
          <cell r="K689">
            <v>0.25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6.4999999999999997E-3</v>
          </cell>
          <cell r="S689">
            <v>0</v>
          </cell>
          <cell r="T689">
            <v>0</v>
          </cell>
          <cell r="U689" t="b">
            <v>0</v>
          </cell>
        </row>
        <row r="690">
          <cell r="A690" t="str">
            <v>Data split-6;Reg-53</v>
          </cell>
          <cell r="B690">
            <v>-2.4</v>
          </cell>
          <cell r="C690">
            <v>0</v>
          </cell>
          <cell r="D690">
            <v>0.59</v>
          </cell>
          <cell r="E690">
            <v>0</v>
          </cell>
          <cell r="F690">
            <v>0</v>
          </cell>
          <cell r="G690">
            <v>0</v>
          </cell>
          <cell r="H690">
            <v>0</v>
          </cell>
          <cell r="I690">
            <v>0.72</v>
          </cell>
          <cell r="J690">
            <v>0</v>
          </cell>
          <cell r="K690">
            <v>0</v>
          </cell>
          <cell r="L690">
            <v>1.3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6.1000000000000004E-3</v>
          </cell>
          <cell r="R690">
            <v>0</v>
          </cell>
          <cell r="S690">
            <v>0</v>
          </cell>
          <cell r="T690">
            <v>0</v>
          </cell>
          <cell r="U690" t="b">
            <v>0</v>
          </cell>
        </row>
        <row r="691">
          <cell r="A691" t="str">
            <v>Data split-6;Reg-54</v>
          </cell>
          <cell r="B691">
            <v>-3.4</v>
          </cell>
          <cell r="C691">
            <v>0</v>
          </cell>
          <cell r="D691">
            <v>0.43</v>
          </cell>
          <cell r="E691">
            <v>0</v>
          </cell>
          <cell r="F691">
            <v>0</v>
          </cell>
          <cell r="G691">
            <v>0</v>
          </cell>
          <cell r="H691">
            <v>0</v>
          </cell>
          <cell r="I691">
            <v>-6.9000000000000006E-2</v>
          </cell>
          <cell r="J691">
            <v>0</v>
          </cell>
          <cell r="K691">
            <v>0</v>
          </cell>
          <cell r="L691">
            <v>1.6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6.7000000000000002E-3</v>
          </cell>
          <cell r="S691">
            <v>0</v>
          </cell>
          <cell r="T691">
            <v>0</v>
          </cell>
          <cell r="U691" t="b">
            <v>0</v>
          </cell>
        </row>
        <row r="692">
          <cell r="A692" t="str">
            <v>Data split-6;Reg-55</v>
          </cell>
          <cell r="B692">
            <v>-10.4</v>
          </cell>
          <cell r="C692">
            <v>0</v>
          </cell>
          <cell r="D692">
            <v>0.28000000000000003</v>
          </cell>
          <cell r="E692">
            <v>0</v>
          </cell>
          <cell r="F692">
            <v>0</v>
          </cell>
          <cell r="G692">
            <v>0</v>
          </cell>
          <cell r="H692">
            <v>0</v>
          </cell>
          <cell r="I692">
            <v>0</v>
          </cell>
          <cell r="J692">
            <v>50.5</v>
          </cell>
          <cell r="K692">
            <v>-1.3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1.5E-3</v>
          </cell>
          <cell r="R692">
            <v>0</v>
          </cell>
          <cell r="S692">
            <v>0</v>
          </cell>
          <cell r="T692">
            <v>0</v>
          </cell>
          <cell r="U692" t="b">
            <v>0</v>
          </cell>
        </row>
        <row r="693">
          <cell r="A693" t="str">
            <v>Data split-6;Reg-56</v>
          </cell>
          <cell r="B693">
            <v>-10.1</v>
          </cell>
          <cell r="C693">
            <v>0</v>
          </cell>
          <cell r="D693">
            <v>0.23</v>
          </cell>
          <cell r="E693">
            <v>0</v>
          </cell>
          <cell r="F693">
            <v>0</v>
          </cell>
          <cell r="G693">
            <v>0</v>
          </cell>
          <cell r="H693">
            <v>0</v>
          </cell>
          <cell r="I693">
            <v>0</v>
          </cell>
          <cell r="J693">
            <v>47</v>
          </cell>
          <cell r="K693">
            <v>-1.2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1.6000000000000001E-3</v>
          </cell>
          <cell r="S693">
            <v>0</v>
          </cell>
          <cell r="T693">
            <v>0</v>
          </cell>
          <cell r="U693" t="b">
            <v>0</v>
          </cell>
        </row>
        <row r="694">
          <cell r="A694" t="str">
            <v>Data split-6;Reg-57</v>
          </cell>
          <cell r="B694">
            <v>-8.4</v>
          </cell>
          <cell r="C694">
            <v>0</v>
          </cell>
          <cell r="D694">
            <v>0.28000000000000003</v>
          </cell>
          <cell r="E694">
            <v>0</v>
          </cell>
          <cell r="F694">
            <v>0</v>
          </cell>
          <cell r="G694">
            <v>0</v>
          </cell>
          <cell r="H694">
            <v>0</v>
          </cell>
          <cell r="I694">
            <v>0</v>
          </cell>
          <cell r="J694">
            <v>45.6</v>
          </cell>
          <cell r="K694">
            <v>0</v>
          </cell>
          <cell r="L694">
            <v>-6.4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-0.01</v>
          </cell>
          <cell r="R694">
            <v>0</v>
          </cell>
          <cell r="S694">
            <v>0</v>
          </cell>
          <cell r="T694">
            <v>0</v>
          </cell>
          <cell r="U694" t="b">
            <v>0</v>
          </cell>
        </row>
        <row r="695">
          <cell r="A695" t="str">
            <v>Data split-6;Reg-58</v>
          </cell>
          <cell r="B695">
            <v>-7.6</v>
          </cell>
          <cell r="C695">
            <v>0</v>
          </cell>
          <cell r="D695">
            <v>0.27</v>
          </cell>
          <cell r="E695">
            <v>0</v>
          </cell>
          <cell r="F695">
            <v>0</v>
          </cell>
          <cell r="G695">
            <v>0</v>
          </cell>
          <cell r="H695">
            <v>0</v>
          </cell>
          <cell r="I695">
            <v>0</v>
          </cell>
          <cell r="J695">
            <v>39.6</v>
          </cell>
          <cell r="K695">
            <v>0</v>
          </cell>
          <cell r="L695">
            <v>-5.4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-5.9999999999999995E-4</v>
          </cell>
          <cell r="S695">
            <v>0</v>
          </cell>
          <cell r="T695">
            <v>0</v>
          </cell>
          <cell r="U695" t="b">
            <v>0</v>
          </cell>
        </row>
        <row r="696">
          <cell r="A696" t="str">
            <v>Data split-6;Reg-59</v>
          </cell>
          <cell r="B696">
            <v>-2.4</v>
          </cell>
          <cell r="C696">
            <v>0</v>
          </cell>
          <cell r="D696">
            <v>0.64</v>
          </cell>
          <cell r="E696">
            <v>0</v>
          </cell>
          <cell r="F696">
            <v>0</v>
          </cell>
          <cell r="G696">
            <v>0</v>
          </cell>
          <cell r="H696">
            <v>0</v>
          </cell>
          <cell r="I696">
            <v>1</v>
          </cell>
          <cell r="J696">
            <v>0</v>
          </cell>
          <cell r="K696">
            <v>0.16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-3.7000000000000002E-3</v>
          </cell>
          <cell r="T696">
            <v>0</v>
          </cell>
          <cell r="U696" t="b">
            <v>0</v>
          </cell>
        </row>
        <row r="697">
          <cell r="A697" t="str">
            <v>Data split-6;Reg-60</v>
          </cell>
          <cell r="B697">
            <v>-2.7</v>
          </cell>
          <cell r="C697">
            <v>0</v>
          </cell>
          <cell r="D697">
            <v>0.48</v>
          </cell>
          <cell r="E697">
            <v>0</v>
          </cell>
          <cell r="F697">
            <v>0</v>
          </cell>
          <cell r="G697">
            <v>0</v>
          </cell>
          <cell r="H697">
            <v>0</v>
          </cell>
          <cell r="I697">
            <v>0.12</v>
          </cell>
          <cell r="J697">
            <v>0</v>
          </cell>
          <cell r="K697">
            <v>0.24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4.4999999999999997E-3</v>
          </cell>
          <cell r="U697" t="b">
            <v>0</v>
          </cell>
        </row>
        <row r="698">
          <cell r="A698" t="str">
            <v>Data split-6;Reg-61</v>
          </cell>
          <cell r="B698">
            <v>-2.4</v>
          </cell>
          <cell r="C698">
            <v>0</v>
          </cell>
          <cell r="D698">
            <v>0.63</v>
          </cell>
          <cell r="E698">
            <v>0</v>
          </cell>
          <cell r="F698">
            <v>0</v>
          </cell>
          <cell r="G698">
            <v>0</v>
          </cell>
          <cell r="H698">
            <v>0</v>
          </cell>
          <cell r="I698">
            <v>1.1000000000000001</v>
          </cell>
          <cell r="J698">
            <v>0</v>
          </cell>
          <cell r="K698">
            <v>0</v>
          </cell>
          <cell r="L698">
            <v>1.2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-2.3999999999999998E-3</v>
          </cell>
          <cell r="T698">
            <v>0</v>
          </cell>
          <cell r="U698" t="b">
            <v>0</v>
          </cell>
        </row>
        <row r="699">
          <cell r="A699" t="str">
            <v>Data split-6;Reg-62</v>
          </cell>
          <cell r="B699">
            <v>-2.9</v>
          </cell>
          <cell r="C699">
            <v>0</v>
          </cell>
          <cell r="D699">
            <v>0.46</v>
          </cell>
          <cell r="E699">
            <v>0</v>
          </cell>
          <cell r="F699">
            <v>0</v>
          </cell>
          <cell r="G699">
            <v>0</v>
          </cell>
          <cell r="H699">
            <v>0</v>
          </cell>
          <cell r="I699">
            <v>0.17</v>
          </cell>
          <cell r="J699">
            <v>0</v>
          </cell>
          <cell r="K699">
            <v>0</v>
          </cell>
          <cell r="L699">
            <v>1.6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5.0000000000000001E-3</v>
          </cell>
          <cell r="U699" t="b">
            <v>0</v>
          </cell>
        </row>
        <row r="700">
          <cell r="A700" t="str">
            <v>Data split-6;Reg-63</v>
          </cell>
          <cell r="B700">
            <v>-10.5</v>
          </cell>
          <cell r="C700">
            <v>0</v>
          </cell>
          <cell r="D700">
            <v>0.28999999999999998</v>
          </cell>
          <cell r="E700">
            <v>0</v>
          </cell>
          <cell r="F700">
            <v>0</v>
          </cell>
          <cell r="G700">
            <v>0</v>
          </cell>
          <cell r="H700">
            <v>0</v>
          </cell>
          <cell r="I700">
            <v>0</v>
          </cell>
          <cell r="J700">
            <v>51.4</v>
          </cell>
          <cell r="K700">
            <v>-1.4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-2.9E-4</v>
          </cell>
          <cell r="T700">
            <v>0</v>
          </cell>
          <cell r="U700" t="b">
            <v>0</v>
          </cell>
        </row>
        <row r="701">
          <cell r="A701" t="str">
            <v>Data split-6;Reg-64</v>
          </cell>
          <cell r="B701">
            <v>-10.3</v>
          </cell>
          <cell r="C701">
            <v>0</v>
          </cell>
          <cell r="D701">
            <v>0.25</v>
          </cell>
          <cell r="E701">
            <v>0</v>
          </cell>
          <cell r="F701">
            <v>0</v>
          </cell>
          <cell r="G701">
            <v>0</v>
          </cell>
          <cell r="H701">
            <v>0</v>
          </cell>
          <cell r="I701">
            <v>0</v>
          </cell>
          <cell r="J701">
            <v>48.8</v>
          </cell>
          <cell r="K701">
            <v>-1.3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1.1000000000000001E-3</v>
          </cell>
          <cell r="U701" t="b">
            <v>0</v>
          </cell>
        </row>
        <row r="702">
          <cell r="A702" t="str">
            <v>Data split-6;Reg-65</v>
          </cell>
          <cell r="B702">
            <v>-9</v>
          </cell>
          <cell r="C702">
            <v>0</v>
          </cell>
          <cell r="D702">
            <v>0.3</v>
          </cell>
          <cell r="E702">
            <v>0</v>
          </cell>
          <cell r="F702">
            <v>0</v>
          </cell>
          <cell r="G702">
            <v>0</v>
          </cell>
          <cell r="H702">
            <v>0</v>
          </cell>
          <cell r="I702">
            <v>0</v>
          </cell>
          <cell r="J702">
            <v>48.8</v>
          </cell>
          <cell r="K702">
            <v>0</v>
          </cell>
          <cell r="L702">
            <v>-7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-1.4E-2</v>
          </cell>
          <cell r="T702">
            <v>0</v>
          </cell>
          <cell r="U702" t="b">
            <v>0</v>
          </cell>
        </row>
        <row r="703">
          <cell r="A703" t="str">
            <v>Data split-6;Reg-66</v>
          </cell>
          <cell r="B703">
            <v>-8.1999999999999993</v>
          </cell>
          <cell r="C703">
            <v>0</v>
          </cell>
          <cell r="D703">
            <v>0.3</v>
          </cell>
          <cell r="E703">
            <v>0</v>
          </cell>
          <cell r="F703">
            <v>0</v>
          </cell>
          <cell r="G703">
            <v>0</v>
          </cell>
          <cell r="H703">
            <v>0</v>
          </cell>
          <cell r="I703">
            <v>0</v>
          </cell>
          <cell r="J703">
            <v>45.4</v>
          </cell>
          <cell r="K703">
            <v>0</v>
          </cell>
          <cell r="L703">
            <v>-6.4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-2.3E-3</v>
          </cell>
          <cell r="U703" t="b">
            <v>0</v>
          </cell>
        </row>
        <row r="704">
          <cell r="A704" t="str">
            <v>Data split-6;Reg-67</v>
          </cell>
          <cell r="B704">
            <v>-1</v>
          </cell>
          <cell r="C704">
            <v>0.62</v>
          </cell>
          <cell r="D704">
            <v>0</v>
          </cell>
          <cell r="E704">
            <v>0</v>
          </cell>
          <cell r="F704">
            <v>0</v>
          </cell>
          <cell r="G704">
            <v>0.47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 t="b">
            <v>1</v>
          </cell>
        </row>
        <row r="705">
          <cell r="A705" t="str">
            <v>Data split-6;Reg-68</v>
          </cell>
          <cell r="B705">
            <v>-4.2</v>
          </cell>
          <cell r="C705">
            <v>0.43</v>
          </cell>
          <cell r="D705">
            <v>0</v>
          </cell>
          <cell r="E705">
            <v>0</v>
          </cell>
          <cell r="F705">
            <v>-6.2E-2</v>
          </cell>
          <cell r="G705">
            <v>0.88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 t="b">
            <v>0</v>
          </cell>
        </row>
        <row r="706">
          <cell r="A706" t="str">
            <v>Data split-6;Reg-69</v>
          </cell>
          <cell r="B706">
            <v>-3.2</v>
          </cell>
          <cell r="C706">
            <v>0.3</v>
          </cell>
          <cell r="D706">
            <v>0</v>
          </cell>
          <cell r="E706">
            <v>0</v>
          </cell>
          <cell r="F706">
            <v>0</v>
          </cell>
          <cell r="G706">
            <v>0.38</v>
          </cell>
          <cell r="H706">
            <v>0</v>
          </cell>
          <cell r="I706">
            <v>0</v>
          </cell>
          <cell r="J706">
            <v>13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 t="b">
            <v>0</v>
          </cell>
        </row>
        <row r="707">
          <cell r="A707" t="str">
            <v>Data split-6;Reg-70</v>
          </cell>
          <cell r="B707">
            <v>-5.4</v>
          </cell>
          <cell r="C707">
            <v>9.2999999999999999E-2</v>
          </cell>
          <cell r="D707">
            <v>0</v>
          </cell>
          <cell r="E707">
            <v>0</v>
          </cell>
          <cell r="F707">
            <v>0</v>
          </cell>
          <cell r="G707">
            <v>0.91</v>
          </cell>
          <cell r="H707">
            <v>0</v>
          </cell>
          <cell r="I707">
            <v>0</v>
          </cell>
          <cell r="J707">
            <v>17.399999999999999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-2.8000000000000001E-2</v>
          </cell>
          <cell r="T707">
            <v>0</v>
          </cell>
          <cell r="U707" t="b">
            <v>0</v>
          </cell>
        </row>
        <row r="708">
          <cell r="A708" t="str">
            <v>Data split-6;Reg-71</v>
          </cell>
          <cell r="B708">
            <v>-7.5</v>
          </cell>
          <cell r="C708">
            <v>0.36</v>
          </cell>
          <cell r="D708">
            <v>0</v>
          </cell>
          <cell r="E708">
            <v>0</v>
          </cell>
          <cell r="F708">
            <v>-4.4999999999999998E-2</v>
          </cell>
          <cell r="G708">
            <v>0</v>
          </cell>
          <cell r="H708">
            <v>1.3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-2.1999999999999999E-2</v>
          </cell>
          <cell r="T708">
            <v>0</v>
          </cell>
          <cell r="U708" t="b">
            <v>0</v>
          </cell>
        </row>
        <row r="709">
          <cell r="A709" t="str">
            <v>Data split-6;Reg-72</v>
          </cell>
          <cell r="B709">
            <v>0.37</v>
          </cell>
          <cell r="C709">
            <v>0.77</v>
          </cell>
          <cell r="D709">
            <v>0</v>
          </cell>
          <cell r="E709">
            <v>0.25</v>
          </cell>
          <cell r="F709">
            <v>0</v>
          </cell>
          <cell r="G709">
            <v>0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 t="b">
            <v>0</v>
          </cell>
        </row>
        <row r="710">
          <cell r="A710" t="str">
            <v>Data split-6;Reg-73</v>
          </cell>
          <cell r="B710">
            <v>2</v>
          </cell>
          <cell r="C710">
            <v>1.1000000000000001</v>
          </cell>
          <cell r="D710">
            <v>0</v>
          </cell>
          <cell r="E710">
            <v>0</v>
          </cell>
          <cell r="F710">
            <v>1.2999999999999999E-2</v>
          </cell>
          <cell r="G710">
            <v>0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 t="b">
            <v>0</v>
          </cell>
        </row>
        <row r="711">
          <cell r="A711" t="str">
            <v>Data split-6;Reg-74</v>
          </cell>
          <cell r="B711">
            <v>-2.5</v>
          </cell>
          <cell r="C711">
            <v>0</v>
          </cell>
          <cell r="D711">
            <v>0.68</v>
          </cell>
          <cell r="E711">
            <v>0.23</v>
          </cell>
          <cell r="F711">
            <v>0</v>
          </cell>
          <cell r="G711">
            <v>0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 t="b">
            <v>1</v>
          </cell>
        </row>
        <row r="712">
          <cell r="A712" t="str">
            <v>Data split-6;Reg-75</v>
          </cell>
          <cell r="B712">
            <v>-2</v>
          </cell>
          <cell r="C712">
            <v>0</v>
          </cell>
          <cell r="D712">
            <v>0.89</v>
          </cell>
          <cell r="E712">
            <v>0</v>
          </cell>
          <cell r="F712">
            <v>2.5000000000000001E-2</v>
          </cell>
          <cell r="G712">
            <v>0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 t="b">
            <v>1</v>
          </cell>
        </row>
        <row r="713">
          <cell r="A713" t="str">
            <v>Data split-6;Reg-76</v>
          </cell>
          <cell r="B713">
            <v>-1</v>
          </cell>
          <cell r="C713">
            <v>0.62</v>
          </cell>
          <cell r="D713">
            <v>0</v>
          </cell>
          <cell r="E713">
            <v>0</v>
          </cell>
          <cell r="F713">
            <v>0</v>
          </cell>
          <cell r="G713">
            <v>0.47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 t="b">
            <v>1</v>
          </cell>
        </row>
        <row r="714">
          <cell r="A714" t="str">
            <v>Data split-6;Reg-77</v>
          </cell>
          <cell r="B714">
            <v>-1.5</v>
          </cell>
          <cell r="C714">
            <v>0.67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0.48</v>
          </cell>
          <cell r="I714">
            <v>0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 t="b">
            <v>1</v>
          </cell>
        </row>
        <row r="715">
          <cell r="A715" t="str">
            <v>Data split-6;Reg-78</v>
          </cell>
          <cell r="B715">
            <v>-3.5</v>
          </cell>
          <cell r="C715">
            <v>0</v>
          </cell>
          <cell r="D715">
            <v>0.5</v>
          </cell>
          <cell r="E715">
            <v>0</v>
          </cell>
          <cell r="F715">
            <v>0</v>
          </cell>
          <cell r="G715">
            <v>0.5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 t="b">
            <v>1</v>
          </cell>
        </row>
        <row r="716">
          <cell r="A716" t="str">
            <v>Data split-6;Reg-79</v>
          </cell>
          <cell r="B716">
            <v>-4</v>
          </cell>
          <cell r="C716">
            <v>0</v>
          </cell>
          <cell r="D716">
            <v>0.55000000000000004</v>
          </cell>
          <cell r="E716">
            <v>0</v>
          </cell>
          <cell r="F716">
            <v>0</v>
          </cell>
          <cell r="G716">
            <v>0</v>
          </cell>
          <cell r="H716">
            <v>0.5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 t="b">
            <v>1</v>
          </cell>
        </row>
        <row r="717">
          <cell r="A717" t="str">
            <v>Data split-6;Reg-80</v>
          </cell>
          <cell r="B717">
            <v>0.46</v>
          </cell>
          <cell r="C717">
            <v>0.77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0</v>
          </cell>
          <cell r="I717">
            <v>0.96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 t="b">
            <v>0</v>
          </cell>
        </row>
        <row r="718">
          <cell r="A718" t="str">
            <v>Data split-6;Reg-81</v>
          </cell>
          <cell r="B718">
            <v>-1.3</v>
          </cell>
          <cell r="C718">
            <v>0.65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  <cell r="I718">
            <v>0</v>
          </cell>
          <cell r="J718">
            <v>15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 t="b">
            <v>0</v>
          </cell>
        </row>
        <row r="719">
          <cell r="A719" t="str">
            <v>Data split-6;Reg-82</v>
          </cell>
          <cell r="B719">
            <v>-2.7</v>
          </cell>
          <cell r="C719">
            <v>0</v>
          </cell>
          <cell r="D719">
            <v>0.63</v>
          </cell>
          <cell r="E719">
            <v>0</v>
          </cell>
          <cell r="F719">
            <v>0</v>
          </cell>
          <cell r="G719">
            <v>0</v>
          </cell>
          <cell r="H719">
            <v>0</v>
          </cell>
          <cell r="I719">
            <v>1.1000000000000001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 t="b">
            <v>0</v>
          </cell>
        </row>
        <row r="720">
          <cell r="A720" t="str">
            <v>Data split-6;Reg-83</v>
          </cell>
          <cell r="B720">
            <v>-4.0999999999999996</v>
          </cell>
          <cell r="C720">
            <v>0</v>
          </cell>
          <cell r="D720">
            <v>0.55000000000000004</v>
          </cell>
          <cell r="E720">
            <v>0</v>
          </cell>
          <cell r="F720">
            <v>0</v>
          </cell>
          <cell r="G720">
            <v>0</v>
          </cell>
          <cell r="H720">
            <v>0</v>
          </cell>
          <cell r="I720">
            <v>0</v>
          </cell>
          <cell r="J720">
            <v>16.100000000000001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 t="b">
            <v>0</v>
          </cell>
        </row>
        <row r="721">
          <cell r="A721" t="str">
            <v>Data split-6;Reg-84</v>
          </cell>
          <cell r="B721">
            <v>1.9</v>
          </cell>
          <cell r="C721">
            <v>0.97</v>
          </cell>
          <cell r="D721">
            <v>0</v>
          </cell>
          <cell r="E721">
            <v>0</v>
          </cell>
          <cell r="F721">
            <v>0</v>
          </cell>
          <cell r="G721">
            <v>0</v>
          </cell>
          <cell r="H721">
            <v>0</v>
          </cell>
          <cell r="I721">
            <v>0</v>
          </cell>
          <cell r="J721">
            <v>0</v>
          </cell>
          <cell r="K721">
            <v>0.25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 t="b">
            <v>0</v>
          </cell>
        </row>
        <row r="722">
          <cell r="A722" t="str">
            <v>Data split-6;Reg-85</v>
          </cell>
          <cell r="B722">
            <v>1.9</v>
          </cell>
          <cell r="C722">
            <v>1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1.3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 t="b">
            <v>0</v>
          </cell>
        </row>
        <row r="723">
          <cell r="A723" t="str">
            <v>Data split-6;Reg-86</v>
          </cell>
          <cell r="B723">
            <v>-1.7</v>
          </cell>
          <cell r="C723">
            <v>0</v>
          </cell>
          <cell r="D723">
            <v>0.79</v>
          </cell>
          <cell r="E723">
            <v>0</v>
          </cell>
          <cell r="F723">
            <v>0</v>
          </cell>
          <cell r="G723">
            <v>0</v>
          </cell>
          <cell r="H723">
            <v>0</v>
          </cell>
          <cell r="I723">
            <v>0</v>
          </cell>
          <cell r="J723">
            <v>0</v>
          </cell>
          <cell r="K723">
            <v>0.36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 t="b">
            <v>0</v>
          </cell>
        </row>
        <row r="724">
          <cell r="A724" t="str">
            <v>Data split-6;Reg-87</v>
          </cell>
          <cell r="B724">
            <v>-2.1</v>
          </cell>
          <cell r="C724">
            <v>0</v>
          </cell>
          <cell r="D724">
            <v>0.87</v>
          </cell>
          <cell r="E724">
            <v>0</v>
          </cell>
          <cell r="F724">
            <v>0</v>
          </cell>
          <cell r="G724">
            <v>0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1.9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 t="b">
            <v>0</v>
          </cell>
        </row>
        <row r="725">
          <cell r="A725" t="str">
            <v>Data split-6;Reg-88</v>
          </cell>
          <cell r="B725">
            <v>1.4</v>
          </cell>
          <cell r="C725">
            <v>1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5.4000000000000003E-3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 t="b">
            <v>0</v>
          </cell>
        </row>
        <row r="726">
          <cell r="A726" t="str">
            <v>Data split-6;Reg-89</v>
          </cell>
          <cell r="B726">
            <v>1.1000000000000001</v>
          </cell>
          <cell r="C726">
            <v>1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1.5E-3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 t="b">
            <v>0</v>
          </cell>
        </row>
        <row r="727">
          <cell r="A727" t="str">
            <v>Data split-6;Reg-90</v>
          </cell>
          <cell r="B727">
            <v>-2.5</v>
          </cell>
          <cell r="C727">
            <v>0</v>
          </cell>
          <cell r="D727">
            <v>0.95</v>
          </cell>
          <cell r="E727">
            <v>0</v>
          </cell>
          <cell r="F727">
            <v>0</v>
          </cell>
          <cell r="G727">
            <v>0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1.6000000000000001E-3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 t="b">
            <v>0</v>
          </cell>
        </row>
        <row r="728">
          <cell r="A728" t="str">
            <v>Data split-6;Reg-91</v>
          </cell>
          <cell r="B728">
            <v>-2.7</v>
          </cell>
          <cell r="C728">
            <v>0</v>
          </cell>
          <cell r="D728">
            <v>0.92</v>
          </cell>
          <cell r="E728">
            <v>0</v>
          </cell>
          <cell r="F728">
            <v>0</v>
          </cell>
          <cell r="G728">
            <v>0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7.2000000000000005E-4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 t="b">
            <v>0</v>
          </cell>
        </row>
        <row r="729">
          <cell r="A729" t="str">
            <v>Data split-6;Reg-92</v>
          </cell>
          <cell r="B729">
            <v>2</v>
          </cell>
          <cell r="C729">
            <v>1.1000000000000001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1.1000000000000001E-3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 t="b">
            <v>0</v>
          </cell>
        </row>
        <row r="730">
          <cell r="A730" t="str">
            <v>Data split-6;Reg-93</v>
          </cell>
          <cell r="B730">
            <v>2</v>
          </cell>
          <cell r="C730">
            <v>1.1000000000000001</v>
          </cell>
          <cell r="D730">
            <v>0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3.6000000000000002E-4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 t="b">
            <v>0</v>
          </cell>
        </row>
        <row r="731">
          <cell r="A731" t="str">
            <v>Data split-6;Reg-94</v>
          </cell>
          <cell r="B731">
            <v>-1.7</v>
          </cell>
          <cell r="C731">
            <v>0</v>
          </cell>
          <cell r="D731">
            <v>0.9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8.3999999999999995E-3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 t="b">
            <v>0</v>
          </cell>
        </row>
        <row r="732">
          <cell r="A732" t="str">
            <v>Data split-6;Reg-95</v>
          </cell>
          <cell r="B732">
            <v>-1.5</v>
          </cell>
          <cell r="C732">
            <v>0</v>
          </cell>
          <cell r="D732">
            <v>0.87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2.3999999999999998E-3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 t="b">
            <v>0</v>
          </cell>
        </row>
        <row r="733">
          <cell r="A733" t="str">
            <v>Data split-6;Reg-96</v>
          </cell>
          <cell r="B733">
            <v>8.8999999999999996E-2</v>
          </cell>
          <cell r="C733">
            <v>0.69</v>
          </cell>
          <cell r="D733">
            <v>0</v>
          </cell>
          <cell r="E733">
            <v>0.11</v>
          </cell>
          <cell r="F733">
            <v>0</v>
          </cell>
          <cell r="G733">
            <v>0</v>
          </cell>
          <cell r="H733">
            <v>0</v>
          </cell>
          <cell r="I733">
            <v>0.78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 t="b">
            <v>0</v>
          </cell>
        </row>
        <row r="734">
          <cell r="A734" t="str">
            <v>Data split-6;Reg-97</v>
          </cell>
          <cell r="B734">
            <v>-2.8</v>
          </cell>
          <cell r="C734">
            <v>0.28999999999999998</v>
          </cell>
          <cell r="D734">
            <v>0</v>
          </cell>
          <cell r="E734">
            <v>0.25</v>
          </cell>
          <cell r="F734">
            <v>0</v>
          </cell>
          <cell r="G734">
            <v>0</v>
          </cell>
          <cell r="H734">
            <v>0</v>
          </cell>
          <cell r="I734">
            <v>0</v>
          </cell>
          <cell r="J734">
            <v>15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 t="b">
            <v>0</v>
          </cell>
        </row>
        <row r="735">
          <cell r="A735" t="str">
            <v>Data split-6;Reg-98</v>
          </cell>
          <cell r="B735">
            <v>-2.7</v>
          </cell>
          <cell r="C735">
            <v>0.53</v>
          </cell>
          <cell r="D735">
            <v>0</v>
          </cell>
          <cell r="E735">
            <v>0</v>
          </cell>
          <cell r="F735">
            <v>-8.7999999999999995E-2</v>
          </cell>
          <cell r="G735">
            <v>0</v>
          </cell>
          <cell r="H735">
            <v>0</v>
          </cell>
          <cell r="I735">
            <v>2.6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 t="b">
            <v>0</v>
          </cell>
        </row>
        <row r="736">
          <cell r="A736" t="str">
            <v>Data split-6;Reg-99</v>
          </cell>
          <cell r="B736">
            <v>-1.2</v>
          </cell>
          <cell r="C736">
            <v>0.63</v>
          </cell>
          <cell r="D736">
            <v>0</v>
          </cell>
          <cell r="E736">
            <v>0</v>
          </cell>
          <cell r="F736">
            <v>5.3E-3</v>
          </cell>
          <cell r="G736">
            <v>0</v>
          </cell>
          <cell r="H736">
            <v>0</v>
          </cell>
          <cell r="I736">
            <v>0</v>
          </cell>
          <cell r="J736">
            <v>14.8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 t="b">
            <v>0</v>
          </cell>
        </row>
        <row r="737">
          <cell r="A737" t="str">
            <v>Data split-6;Reg-100</v>
          </cell>
          <cell r="B737">
            <v>-2.8</v>
          </cell>
          <cell r="C737">
            <v>0</v>
          </cell>
          <cell r="D737">
            <v>0.78</v>
          </cell>
          <cell r="E737">
            <v>-0.18</v>
          </cell>
          <cell r="F737">
            <v>0</v>
          </cell>
          <cell r="G737">
            <v>0</v>
          </cell>
          <cell r="H737">
            <v>0</v>
          </cell>
          <cell r="I737">
            <v>1.4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 t="b">
            <v>0</v>
          </cell>
        </row>
        <row r="738">
          <cell r="A738" t="str">
            <v>Data split-6;Reg-101</v>
          </cell>
          <cell r="B738">
            <v>-4.0999999999999996</v>
          </cell>
          <cell r="C738">
            <v>0</v>
          </cell>
          <cell r="D738">
            <v>0.28999999999999998</v>
          </cell>
          <cell r="E738">
            <v>0.21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15.9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 t="b">
            <v>0</v>
          </cell>
        </row>
        <row r="739">
          <cell r="A739" t="str">
            <v>Data split-6;Reg-102</v>
          </cell>
          <cell r="B739">
            <v>-4.9000000000000004</v>
          </cell>
          <cell r="C739">
            <v>0</v>
          </cell>
          <cell r="D739">
            <v>0.45</v>
          </cell>
          <cell r="E739">
            <v>0</v>
          </cell>
          <cell r="F739">
            <v>-8.5000000000000006E-2</v>
          </cell>
          <cell r="G739">
            <v>0</v>
          </cell>
          <cell r="H739">
            <v>0</v>
          </cell>
          <cell r="I739">
            <v>2.6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 t="b">
            <v>0</v>
          </cell>
        </row>
        <row r="740">
          <cell r="A740" t="str">
            <v>Data split-6;Reg-103</v>
          </cell>
          <cell r="B740">
            <v>-3.9</v>
          </cell>
          <cell r="C740">
            <v>0</v>
          </cell>
          <cell r="D740">
            <v>0.53</v>
          </cell>
          <cell r="E740">
            <v>0</v>
          </cell>
          <cell r="F740">
            <v>9.2999999999999992E-3</v>
          </cell>
          <cell r="G740">
            <v>0</v>
          </cell>
          <cell r="H740">
            <v>0</v>
          </cell>
          <cell r="I740">
            <v>0</v>
          </cell>
          <cell r="J740">
            <v>15.5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 t="b">
            <v>0</v>
          </cell>
        </row>
        <row r="741">
          <cell r="A741" t="str">
            <v>Data split-6;Reg-104</v>
          </cell>
          <cell r="B741">
            <v>0.21</v>
          </cell>
          <cell r="C741">
            <v>0.54</v>
          </cell>
          <cell r="D741">
            <v>0</v>
          </cell>
          <cell r="E741">
            <v>0.28999999999999998</v>
          </cell>
          <cell r="F741">
            <v>0</v>
          </cell>
          <cell r="G741">
            <v>0</v>
          </cell>
          <cell r="H741">
            <v>0</v>
          </cell>
          <cell r="I741">
            <v>0</v>
          </cell>
          <cell r="J741">
            <v>0</v>
          </cell>
          <cell r="K741">
            <v>0.3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 t="b">
            <v>0</v>
          </cell>
        </row>
        <row r="742">
          <cell r="A742" t="str">
            <v>Data split-6;Reg-105</v>
          </cell>
          <cell r="B742">
            <v>-0.21</v>
          </cell>
          <cell r="C742">
            <v>0.48</v>
          </cell>
          <cell r="D742">
            <v>0</v>
          </cell>
          <cell r="E742">
            <v>0.35</v>
          </cell>
          <cell r="F742">
            <v>0</v>
          </cell>
          <cell r="G742">
            <v>0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2.1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 t="b">
            <v>0</v>
          </cell>
        </row>
        <row r="743">
          <cell r="A743" t="str">
            <v>Data split-6;Reg-106</v>
          </cell>
          <cell r="B743">
            <v>2</v>
          </cell>
          <cell r="C743">
            <v>0.92</v>
          </cell>
          <cell r="D743">
            <v>0</v>
          </cell>
          <cell r="E743">
            <v>0</v>
          </cell>
          <cell r="F743">
            <v>1.2E-2</v>
          </cell>
          <cell r="G743">
            <v>0</v>
          </cell>
          <cell r="H743">
            <v>0</v>
          </cell>
          <cell r="I743">
            <v>0</v>
          </cell>
          <cell r="J743">
            <v>0</v>
          </cell>
          <cell r="K743">
            <v>0.25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 t="b">
            <v>0</v>
          </cell>
        </row>
        <row r="744">
          <cell r="A744" t="str">
            <v>Data split-6;Reg-107</v>
          </cell>
          <cell r="B744">
            <v>2.1</v>
          </cell>
          <cell r="C744">
            <v>0.94</v>
          </cell>
          <cell r="D744">
            <v>0</v>
          </cell>
          <cell r="E744">
            <v>0</v>
          </cell>
          <cell r="F744">
            <v>0.02</v>
          </cell>
          <cell r="G744">
            <v>0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1.6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 t="b">
            <v>0</v>
          </cell>
        </row>
        <row r="745">
          <cell r="A745" t="str">
            <v>Data split-6;Reg-108</v>
          </cell>
          <cell r="B745">
            <v>-1.7</v>
          </cell>
          <cell r="C745">
            <v>0</v>
          </cell>
          <cell r="D745">
            <v>0.47</v>
          </cell>
          <cell r="E745">
            <v>0.24</v>
          </cell>
          <cell r="F745">
            <v>0</v>
          </cell>
          <cell r="G745">
            <v>0</v>
          </cell>
          <cell r="H745">
            <v>0</v>
          </cell>
          <cell r="I745">
            <v>0</v>
          </cell>
          <cell r="J745">
            <v>0</v>
          </cell>
          <cell r="K745">
            <v>0.37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 t="b">
            <v>0</v>
          </cell>
        </row>
        <row r="746">
          <cell r="A746" t="str">
            <v>Data split-6;Reg-109</v>
          </cell>
          <cell r="B746">
            <v>-1.9</v>
          </cell>
          <cell r="C746">
            <v>0</v>
          </cell>
          <cell r="D746">
            <v>0.38</v>
          </cell>
          <cell r="E746">
            <v>0.36</v>
          </cell>
          <cell r="F746">
            <v>0</v>
          </cell>
          <cell r="G746">
            <v>0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2.4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 t="b">
            <v>0</v>
          </cell>
        </row>
        <row r="747">
          <cell r="A747" t="str">
            <v>Data split-6;Reg-110</v>
          </cell>
          <cell r="B747">
            <v>-1.4</v>
          </cell>
          <cell r="C747">
            <v>0</v>
          </cell>
          <cell r="D747">
            <v>0.74</v>
          </cell>
          <cell r="E747">
            <v>0</v>
          </cell>
          <cell r="F747">
            <v>1.9E-2</v>
          </cell>
          <cell r="G747">
            <v>0</v>
          </cell>
          <cell r="H747">
            <v>0</v>
          </cell>
          <cell r="I747">
            <v>0</v>
          </cell>
          <cell r="J747">
            <v>0</v>
          </cell>
          <cell r="K747">
            <v>0.34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 t="b">
            <v>0</v>
          </cell>
        </row>
        <row r="748">
          <cell r="A748" t="str">
            <v>Data split-6;Reg-111</v>
          </cell>
          <cell r="B748">
            <v>-1.4</v>
          </cell>
          <cell r="C748">
            <v>0</v>
          </cell>
          <cell r="D748">
            <v>0.76</v>
          </cell>
          <cell r="E748">
            <v>0</v>
          </cell>
          <cell r="F748">
            <v>0.03</v>
          </cell>
          <cell r="G748">
            <v>0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2.1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 t="b">
            <v>0</v>
          </cell>
        </row>
        <row r="749">
          <cell r="A749" t="str">
            <v>Data split-6;Reg-112</v>
          </cell>
          <cell r="B749">
            <v>-0.96</v>
          </cell>
          <cell r="C749">
            <v>0.61</v>
          </cell>
          <cell r="D749">
            <v>0</v>
          </cell>
          <cell r="E749">
            <v>0</v>
          </cell>
          <cell r="F749">
            <v>0</v>
          </cell>
          <cell r="G749">
            <v>0.4</v>
          </cell>
          <cell r="H749">
            <v>0</v>
          </cell>
          <cell r="I749">
            <v>0.24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 t="b">
            <v>0</v>
          </cell>
        </row>
        <row r="750">
          <cell r="A750" t="str">
            <v>Data split-6;Reg-113</v>
          </cell>
          <cell r="B750">
            <v>-3.2</v>
          </cell>
          <cell r="C750">
            <v>0.3</v>
          </cell>
          <cell r="D750">
            <v>0</v>
          </cell>
          <cell r="E750">
            <v>0</v>
          </cell>
          <cell r="F750">
            <v>0</v>
          </cell>
          <cell r="G750">
            <v>0.38</v>
          </cell>
          <cell r="H750">
            <v>0</v>
          </cell>
          <cell r="I750">
            <v>0</v>
          </cell>
          <cell r="J750">
            <v>13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 t="b">
            <v>0</v>
          </cell>
        </row>
        <row r="751">
          <cell r="A751" t="str">
            <v>Data split-6;Reg-114</v>
          </cell>
          <cell r="B751">
            <v>-1.5</v>
          </cell>
          <cell r="C751">
            <v>0.66</v>
          </cell>
          <cell r="D751">
            <v>0</v>
          </cell>
          <cell r="E751">
            <v>0</v>
          </cell>
          <cell r="F751">
            <v>0</v>
          </cell>
          <cell r="G751">
            <v>0</v>
          </cell>
          <cell r="H751">
            <v>0.47</v>
          </cell>
          <cell r="I751">
            <v>5.1999999999999998E-2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 t="b">
            <v>0</v>
          </cell>
        </row>
        <row r="752">
          <cell r="A752" t="str">
            <v>Data split-6;Reg-115</v>
          </cell>
          <cell r="B752">
            <v>-3.2</v>
          </cell>
          <cell r="C752">
            <v>0.4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0.36</v>
          </cell>
          <cell r="I752">
            <v>0</v>
          </cell>
          <cell r="J752">
            <v>12.1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 t="b">
            <v>0</v>
          </cell>
        </row>
        <row r="753">
          <cell r="A753" t="str">
            <v>Data split-6;Reg-116</v>
          </cell>
          <cell r="B753">
            <v>-3.1</v>
          </cell>
          <cell r="C753">
            <v>0</v>
          </cell>
          <cell r="D753">
            <v>0.52</v>
          </cell>
          <cell r="E753">
            <v>0</v>
          </cell>
          <cell r="F753">
            <v>0</v>
          </cell>
          <cell r="G753">
            <v>0.26</v>
          </cell>
          <cell r="H753">
            <v>0</v>
          </cell>
          <cell r="I753">
            <v>0.66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 t="b">
            <v>0</v>
          </cell>
        </row>
        <row r="754">
          <cell r="A754" t="str">
            <v>Data split-6;Reg-117</v>
          </cell>
          <cell r="B754">
            <v>-4.5</v>
          </cell>
          <cell r="C754">
            <v>0</v>
          </cell>
          <cell r="D754">
            <v>0.3</v>
          </cell>
          <cell r="E754">
            <v>0</v>
          </cell>
          <cell r="F754">
            <v>0</v>
          </cell>
          <cell r="G754">
            <v>0.34</v>
          </cell>
          <cell r="H754">
            <v>0</v>
          </cell>
          <cell r="I754">
            <v>0</v>
          </cell>
          <cell r="J754">
            <v>13.6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 t="b">
            <v>0</v>
          </cell>
        </row>
        <row r="755">
          <cell r="A755" t="str">
            <v>Data split-6;Reg-118</v>
          </cell>
          <cell r="B755">
            <v>-3.3</v>
          </cell>
          <cell r="C755">
            <v>0</v>
          </cell>
          <cell r="D755">
            <v>0.56999999999999995</v>
          </cell>
          <cell r="E755">
            <v>0</v>
          </cell>
          <cell r="F755">
            <v>0</v>
          </cell>
          <cell r="G755">
            <v>0</v>
          </cell>
          <cell r="H755">
            <v>0.2</v>
          </cell>
          <cell r="I755">
            <v>0.77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 t="b">
            <v>0</v>
          </cell>
        </row>
        <row r="756">
          <cell r="A756" t="str">
            <v>Data split-6;Reg-119</v>
          </cell>
          <cell r="B756">
            <v>-4.8</v>
          </cell>
          <cell r="C756">
            <v>0</v>
          </cell>
          <cell r="D756">
            <v>0.36</v>
          </cell>
          <cell r="E756">
            <v>0</v>
          </cell>
          <cell r="F756">
            <v>0</v>
          </cell>
          <cell r="G756">
            <v>0</v>
          </cell>
          <cell r="H756">
            <v>0.3</v>
          </cell>
          <cell r="I756">
            <v>0</v>
          </cell>
          <cell r="J756">
            <v>13.6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 t="b">
            <v>0</v>
          </cell>
        </row>
        <row r="757">
          <cell r="A757" t="str">
            <v>Data split-6;Reg-120</v>
          </cell>
          <cell r="B757">
            <v>-0.97</v>
          </cell>
          <cell r="C757">
            <v>0.48</v>
          </cell>
          <cell r="D757">
            <v>0</v>
          </cell>
          <cell r="E757">
            <v>0</v>
          </cell>
          <cell r="F757">
            <v>0</v>
          </cell>
          <cell r="G757">
            <v>0.46</v>
          </cell>
          <cell r="H757">
            <v>0</v>
          </cell>
          <cell r="I757">
            <v>0</v>
          </cell>
          <cell r="J757">
            <v>0</v>
          </cell>
          <cell r="K757">
            <v>0.24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 t="b">
            <v>0</v>
          </cell>
        </row>
        <row r="758">
          <cell r="A758" t="str">
            <v>Data split-6;Reg-121</v>
          </cell>
          <cell r="B758">
            <v>-1.4</v>
          </cell>
          <cell r="C758">
            <v>0.42</v>
          </cell>
          <cell r="D758">
            <v>0</v>
          </cell>
          <cell r="E758">
            <v>0</v>
          </cell>
          <cell r="F758">
            <v>0</v>
          </cell>
          <cell r="G758">
            <v>0.53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1.9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 t="b">
            <v>0</v>
          </cell>
        </row>
        <row r="759">
          <cell r="A759" t="str">
            <v>Data split-6;Reg-122</v>
          </cell>
          <cell r="B759">
            <v>-1.3</v>
          </cell>
          <cell r="C759">
            <v>0.56000000000000005</v>
          </cell>
          <cell r="D759">
            <v>0</v>
          </cell>
          <cell r="E759">
            <v>0</v>
          </cell>
          <cell r="F759">
            <v>0</v>
          </cell>
          <cell r="G759">
            <v>0</v>
          </cell>
          <cell r="H759">
            <v>0.46</v>
          </cell>
          <cell r="I759">
            <v>0</v>
          </cell>
          <cell r="J759">
            <v>0</v>
          </cell>
          <cell r="K759">
            <v>0.21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 t="b">
            <v>0</v>
          </cell>
        </row>
        <row r="760">
          <cell r="A760" t="str">
            <v>Data split-6;Reg-123</v>
          </cell>
          <cell r="B760">
            <v>-1.7</v>
          </cell>
          <cell r="C760">
            <v>0.52</v>
          </cell>
          <cell r="D760">
            <v>0</v>
          </cell>
          <cell r="E760">
            <v>0</v>
          </cell>
          <cell r="F760">
            <v>0</v>
          </cell>
          <cell r="G760">
            <v>0</v>
          </cell>
          <cell r="H760">
            <v>0.52</v>
          </cell>
          <cell r="I760">
            <v>0</v>
          </cell>
          <cell r="J760">
            <v>0</v>
          </cell>
          <cell r="K760">
            <v>0</v>
          </cell>
          <cell r="L760">
            <v>1.7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 t="b">
            <v>0</v>
          </cell>
        </row>
        <row r="761">
          <cell r="A761" t="str">
            <v>Data split-6;Reg-124</v>
          </cell>
          <cell r="B761">
            <v>-2.7</v>
          </cell>
          <cell r="C761">
            <v>0</v>
          </cell>
          <cell r="D761">
            <v>0.41</v>
          </cell>
          <cell r="E761">
            <v>0</v>
          </cell>
          <cell r="F761">
            <v>0</v>
          </cell>
          <cell r="G761">
            <v>0.44</v>
          </cell>
          <cell r="H761">
            <v>0</v>
          </cell>
          <cell r="I761">
            <v>0</v>
          </cell>
          <cell r="J761">
            <v>0</v>
          </cell>
          <cell r="K761">
            <v>0.3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 t="b">
            <v>0</v>
          </cell>
        </row>
        <row r="762">
          <cell r="A762" t="str">
            <v>Data split-6;Reg-125</v>
          </cell>
          <cell r="B762">
            <v>-3.1</v>
          </cell>
          <cell r="C762">
            <v>0</v>
          </cell>
          <cell r="D762">
            <v>0.36</v>
          </cell>
          <cell r="E762">
            <v>0</v>
          </cell>
          <cell r="F762">
            <v>0</v>
          </cell>
          <cell r="G762">
            <v>0.53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2.1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 t="b">
            <v>0</v>
          </cell>
        </row>
        <row r="763">
          <cell r="A763" t="str">
            <v>Data split-6;Reg-126</v>
          </cell>
          <cell r="B763">
            <v>-3.2</v>
          </cell>
          <cell r="C763">
            <v>0</v>
          </cell>
          <cell r="D763">
            <v>0.46</v>
          </cell>
          <cell r="E763">
            <v>0</v>
          </cell>
          <cell r="F763">
            <v>0</v>
          </cell>
          <cell r="G763">
            <v>0</v>
          </cell>
          <cell r="H763">
            <v>0.43</v>
          </cell>
          <cell r="I763">
            <v>0</v>
          </cell>
          <cell r="J763">
            <v>0</v>
          </cell>
          <cell r="K763">
            <v>0.28999999999999998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 t="b">
            <v>0</v>
          </cell>
        </row>
        <row r="764">
          <cell r="A764" t="str">
            <v>Data split-6;Reg-127</v>
          </cell>
          <cell r="B764">
            <v>-3.6</v>
          </cell>
          <cell r="C764">
            <v>0</v>
          </cell>
          <cell r="D764">
            <v>0.43</v>
          </cell>
          <cell r="E764">
            <v>0</v>
          </cell>
          <cell r="F764">
            <v>0</v>
          </cell>
          <cell r="G764">
            <v>0</v>
          </cell>
          <cell r="H764">
            <v>0.51</v>
          </cell>
          <cell r="I764">
            <v>0</v>
          </cell>
          <cell r="J764">
            <v>0</v>
          </cell>
          <cell r="K764">
            <v>0</v>
          </cell>
          <cell r="L764">
            <v>2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 t="b">
            <v>0</v>
          </cell>
        </row>
        <row r="765">
          <cell r="A765" t="str">
            <v>Data split-7;Reg-1</v>
          </cell>
          <cell r="B765">
            <v>0.71</v>
          </cell>
          <cell r="C765">
            <v>0.54</v>
          </cell>
          <cell r="D765">
            <v>0</v>
          </cell>
          <cell r="E765">
            <v>0</v>
          </cell>
          <cell r="F765">
            <v>0</v>
          </cell>
          <cell r="G765">
            <v>0</v>
          </cell>
          <cell r="H765">
            <v>0.7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-0.02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 t="b">
            <v>0</v>
          </cell>
        </row>
        <row r="766">
          <cell r="A766" t="str">
            <v>Data split-7;Reg-2</v>
          </cell>
          <cell r="B766">
            <v>-3.3</v>
          </cell>
          <cell r="C766">
            <v>0.31</v>
          </cell>
          <cell r="D766">
            <v>0</v>
          </cell>
          <cell r="E766">
            <v>0</v>
          </cell>
          <cell r="F766">
            <v>-6.2E-2</v>
          </cell>
          <cell r="G766">
            <v>1.6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-8.8999999999999999E-3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 t="b">
            <v>0</v>
          </cell>
        </row>
        <row r="767">
          <cell r="A767" t="str">
            <v>Data split-7;Reg-3</v>
          </cell>
          <cell r="B767">
            <v>-1.4</v>
          </cell>
          <cell r="C767">
            <v>0.34</v>
          </cell>
          <cell r="D767">
            <v>0</v>
          </cell>
          <cell r="E767">
            <v>0</v>
          </cell>
          <cell r="F767">
            <v>-2.1000000000000001E-2</v>
          </cell>
          <cell r="G767">
            <v>0</v>
          </cell>
          <cell r="H767">
            <v>1.7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-4.5999999999999999E-2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 t="b">
            <v>0</v>
          </cell>
        </row>
        <row r="768">
          <cell r="A768" t="str">
            <v>Data split-7;Reg-4</v>
          </cell>
          <cell r="B768">
            <v>-1.3</v>
          </cell>
          <cell r="C768">
            <v>0.38</v>
          </cell>
          <cell r="D768">
            <v>0</v>
          </cell>
          <cell r="E768">
            <v>0</v>
          </cell>
          <cell r="F768">
            <v>-3.1E-2</v>
          </cell>
          <cell r="G768">
            <v>0</v>
          </cell>
          <cell r="H768">
            <v>1.9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-1.2999999999999999E-2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 t="b">
            <v>0</v>
          </cell>
        </row>
        <row r="769">
          <cell r="A769" t="str">
            <v>Data split-7;Reg-5</v>
          </cell>
          <cell r="B769">
            <v>-3.5</v>
          </cell>
          <cell r="C769">
            <v>0</v>
          </cell>
          <cell r="D769">
            <v>0.43</v>
          </cell>
          <cell r="E769">
            <v>0</v>
          </cell>
          <cell r="F769">
            <v>-2.8000000000000001E-2</v>
          </cell>
          <cell r="G769">
            <v>1.5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-1.0999999999999999E-2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 t="b">
            <v>0</v>
          </cell>
        </row>
        <row r="770">
          <cell r="A770" t="str">
            <v>Data split-7;Reg-6</v>
          </cell>
          <cell r="B770">
            <v>-1.6</v>
          </cell>
          <cell r="C770">
            <v>0</v>
          </cell>
          <cell r="D770">
            <v>0.47</v>
          </cell>
          <cell r="E770">
            <v>0</v>
          </cell>
          <cell r="F770">
            <v>4.0000000000000001E-3</v>
          </cell>
          <cell r="G770">
            <v>0</v>
          </cell>
          <cell r="H770">
            <v>1.8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-1.6E-2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 t="b">
            <v>1</v>
          </cell>
        </row>
        <row r="771">
          <cell r="A771" t="str">
            <v>Data split-7;Reg-7</v>
          </cell>
          <cell r="B771">
            <v>-2.6</v>
          </cell>
          <cell r="C771">
            <v>0.47</v>
          </cell>
          <cell r="D771">
            <v>0</v>
          </cell>
          <cell r="E771">
            <v>0</v>
          </cell>
          <cell r="F771">
            <v>0</v>
          </cell>
          <cell r="G771">
            <v>0</v>
          </cell>
          <cell r="H771">
            <v>0.43</v>
          </cell>
          <cell r="I771">
            <v>1.5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-3.5000000000000003E-2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 t="b">
            <v>0</v>
          </cell>
        </row>
        <row r="772">
          <cell r="A772" t="str">
            <v>Data split-7;Reg-8</v>
          </cell>
          <cell r="B772">
            <v>-1.8</v>
          </cell>
          <cell r="C772">
            <v>0.55000000000000004</v>
          </cell>
          <cell r="D772">
            <v>0</v>
          </cell>
          <cell r="E772">
            <v>0</v>
          </cell>
          <cell r="F772">
            <v>0</v>
          </cell>
          <cell r="G772">
            <v>0</v>
          </cell>
          <cell r="H772">
            <v>0.43</v>
          </cell>
          <cell r="I772">
            <v>1.2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-7.7000000000000002E-3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 t="b">
            <v>0</v>
          </cell>
        </row>
        <row r="773">
          <cell r="A773" t="str">
            <v>Data split-7;Reg-9</v>
          </cell>
          <cell r="B773">
            <v>3.4</v>
          </cell>
          <cell r="C773">
            <v>0.55000000000000004</v>
          </cell>
          <cell r="D773">
            <v>0</v>
          </cell>
          <cell r="E773">
            <v>0</v>
          </cell>
          <cell r="F773">
            <v>0</v>
          </cell>
          <cell r="G773">
            <v>0.24</v>
          </cell>
          <cell r="H773">
            <v>0</v>
          </cell>
          <cell r="I773">
            <v>-0.73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5.8999999999999999E-3</v>
          </cell>
          <cell r="S773">
            <v>0</v>
          </cell>
          <cell r="T773">
            <v>0</v>
          </cell>
          <cell r="U773" t="b">
            <v>0</v>
          </cell>
        </row>
        <row r="774">
          <cell r="A774" t="str">
            <v>Data split-7;Reg-10</v>
          </cell>
          <cell r="B774">
            <v>0.77</v>
          </cell>
          <cell r="C774">
            <v>0.56000000000000005</v>
          </cell>
          <cell r="D774">
            <v>0</v>
          </cell>
          <cell r="E774">
            <v>0</v>
          </cell>
          <cell r="F774">
            <v>0</v>
          </cell>
          <cell r="G774">
            <v>0</v>
          </cell>
          <cell r="H774">
            <v>0.72</v>
          </cell>
          <cell r="I774">
            <v>0</v>
          </cell>
          <cell r="J774">
            <v>0</v>
          </cell>
          <cell r="K774">
            <v>-0.13</v>
          </cell>
          <cell r="L774">
            <v>0</v>
          </cell>
          <cell r="M774">
            <v>0</v>
          </cell>
          <cell r="N774">
            <v>0</v>
          </cell>
          <cell r="O774">
            <v>-1.9E-2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 t="b">
            <v>0</v>
          </cell>
        </row>
        <row r="775">
          <cell r="A775" t="str">
            <v>Data split-7;Reg-11</v>
          </cell>
          <cell r="B775">
            <v>-2.1</v>
          </cell>
          <cell r="C775">
            <v>1.1000000000000001</v>
          </cell>
          <cell r="D775">
            <v>0</v>
          </cell>
          <cell r="E775">
            <v>0</v>
          </cell>
          <cell r="F775">
            <v>0</v>
          </cell>
          <cell r="G775">
            <v>0</v>
          </cell>
          <cell r="H775">
            <v>0</v>
          </cell>
          <cell r="I775">
            <v>1.5</v>
          </cell>
          <cell r="J775">
            <v>0</v>
          </cell>
          <cell r="K775">
            <v>-1.4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 t="b">
            <v>0</v>
          </cell>
        </row>
        <row r="776">
          <cell r="A776" t="str">
            <v>Data split-7;Reg-12</v>
          </cell>
          <cell r="B776">
            <v>-3</v>
          </cell>
          <cell r="C776">
            <v>0.43</v>
          </cell>
          <cell r="D776">
            <v>0</v>
          </cell>
          <cell r="E776">
            <v>0</v>
          </cell>
          <cell r="F776">
            <v>0</v>
          </cell>
          <cell r="G776">
            <v>0</v>
          </cell>
          <cell r="H776">
            <v>0</v>
          </cell>
          <cell r="I776">
            <v>0.17</v>
          </cell>
          <cell r="J776">
            <v>0</v>
          </cell>
          <cell r="K776">
            <v>0</v>
          </cell>
          <cell r="L776">
            <v>17.899999999999999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 t="b">
            <v>0</v>
          </cell>
        </row>
        <row r="777">
          <cell r="A777" t="str">
            <v>Data split-7;Reg-13</v>
          </cell>
          <cell r="B777">
            <v>-14.4</v>
          </cell>
          <cell r="C777">
            <v>0.52</v>
          </cell>
          <cell r="D777">
            <v>0</v>
          </cell>
          <cell r="E777">
            <v>0</v>
          </cell>
          <cell r="F777">
            <v>0</v>
          </cell>
          <cell r="G777">
            <v>0</v>
          </cell>
          <cell r="H777">
            <v>0</v>
          </cell>
          <cell r="I777">
            <v>0</v>
          </cell>
          <cell r="J777">
            <v>36.9</v>
          </cell>
          <cell r="K777">
            <v>-1.1000000000000001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 t="b">
            <v>0</v>
          </cell>
        </row>
        <row r="778">
          <cell r="A778" t="str">
            <v>Data split-7;Reg-14</v>
          </cell>
          <cell r="B778">
            <v>-10.5</v>
          </cell>
          <cell r="C778">
            <v>0.27</v>
          </cell>
          <cell r="D778">
            <v>0</v>
          </cell>
          <cell r="E778">
            <v>0</v>
          </cell>
          <cell r="F778">
            <v>0</v>
          </cell>
          <cell r="G778">
            <v>0</v>
          </cell>
          <cell r="H778">
            <v>0</v>
          </cell>
          <cell r="I778">
            <v>0</v>
          </cell>
          <cell r="J778">
            <v>26.1</v>
          </cell>
          <cell r="K778">
            <v>0</v>
          </cell>
          <cell r="L778">
            <v>3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 t="b">
            <v>0</v>
          </cell>
        </row>
        <row r="779">
          <cell r="A779" t="str">
            <v>Data split-7;Reg-15</v>
          </cell>
          <cell r="B779">
            <v>2.6</v>
          </cell>
          <cell r="C779">
            <v>0.76</v>
          </cell>
          <cell r="D779">
            <v>0</v>
          </cell>
          <cell r="E779">
            <v>0</v>
          </cell>
          <cell r="F779">
            <v>0</v>
          </cell>
          <cell r="G779">
            <v>0</v>
          </cell>
          <cell r="H779">
            <v>0</v>
          </cell>
          <cell r="I779">
            <v>-0.28999999999999998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2.1000000000000001E-2</v>
          </cell>
          <cell r="R779">
            <v>0</v>
          </cell>
          <cell r="S779">
            <v>0</v>
          </cell>
          <cell r="T779">
            <v>0</v>
          </cell>
          <cell r="U779" t="b">
            <v>0</v>
          </cell>
        </row>
        <row r="780">
          <cell r="A780" t="str">
            <v>Data split-7;Reg-16</v>
          </cell>
          <cell r="B780">
            <v>3.8</v>
          </cell>
          <cell r="C780">
            <v>0.6</v>
          </cell>
          <cell r="D780">
            <v>0</v>
          </cell>
          <cell r="E780">
            <v>0</v>
          </cell>
          <cell r="F780">
            <v>0</v>
          </cell>
          <cell r="G780">
            <v>0</v>
          </cell>
          <cell r="H780">
            <v>0</v>
          </cell>
          <cell r="I780">
            <v>-0.61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8.0000000000000002E-3</v>
          </cell>
          <cell r="S780">
            <v>0</v>
          </cell>
          <cell r="T780">
            <v>0</v>
          </cell>
          <cell r="U780" t="b">
            <v>0</v>
          </cell>
        </row>
        <row r="781">
          <cell r="A781" t="str">
            <v>Data split-7;Reg-17</v>
          </cell>
          <cell r="B781">
            <v>-9.4</v>
          </cell>
          <cell r="C781">
            <v>0.3</v>
          </cell>
          <cell r="D781">
            <v>0</v>
          </cell>
          <cell r="E781">
            <v>0</v>
          </cell>
          <cell r="F781">
            <v>0</v>
          </cell>
          <cell r="G781">
            <v>0</v>
          </cell>
          <cell r="H781">
            <v>0</v>
          </cell>
          <cell r="I781">
            <v>0</v>
          </cell>
          <cell r="J781">
            <v>25.3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4.4999999999999997E-3</v>
          </cell>
          <cell r="R781">
            <v>0</v>
          </cell>
          <cell r="S781">
            <v>0</v>
          </cell>
          <cell r="T781">
            <v>0</v>
          </cell>
          <cell r="U781" t="b">
            <v>0</v>
          </cell>
        </row>
        <row r="782">
          <cell r="A782" t="str">
            <v>Data split-7;Reg-18</v>
          </cell>
          <cell r="B782">
            <v>-6.3</v>
          </cell>
          <cell r="C782">
            <v>0.24</v>
          </cell>
          <cell r="D782">
            <v>0</v>
          </cell>
          <cell r="E782">
            <v>0</v>
          </cell>
          <cell r="F782">
            <v>0</v>
          </cell>
          <cell r="G782">
            <v>0</v>
          </cell>
          <cell r="H782">
            <v>0</v>
          </cell>
          <cell r="I782">
            <v>0</v>
          </cell>
          <cell r="J782">
            <v>19.5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3.5000000000000001E-3</v>
          </cell>
          <cell r="S782">
            <v>0</v>
          </cell>
          <cell r="T782">
            <v>0</v>
          </cell>
          <cell r="U782" t="b">
            <v>0</v>
          </cell>
        </row>
        <row r="783">
          <cell r="A783" t="str">
            <v>Data split-7;Reg-19</v>
          </cell>
          <cell r="B783">
            <v>2.6</v>
          </cell>
          <cell r="C783">
            <v>0.93</v>
          </cell>
          <cell r="D783">
            <v>0</v>
          </cell>
          <cell r="E783">
            <v>0</v>
          </cell>
          <cell r="F783">
            <v>0</v>
          </cell>
          <cell r="G783">
            <v>0</v>
          </cell>
          <cell r="H783">
            <v>0</v>
          </cell>
          <cell r="I783">
            <v>0</v>
          </cell>
          <cell r="J783">
            <v>0</v>
          </cell>
          <cell r="K783">
            <v>-0.91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2.4E-2</v>
          </cell>
          <cell r="T783">
            <v>0</v>
          </cell>
          <cell r="U783" t="b">
            <v>0</v>
          </cell>
        </row>
        <row r="784">
          <cell r="A784" t="str">
            <v>Data split-7;Reg-20</v>
          </cell>
          <cell r="B784">
            <v>3.5</v>
          </cell>
          <cell r="C784">
            <v>0.75</v>
          </cell>
          <cell r="D784">
            <v>0</v>
          </cell>
          <cell r="E784">
            <v>0</v>
          </cell>
          <cell r="F784">
            <v>0</v>
          </cell>
          <cell r="G784">
            <v>0</v>
          </cell>
          <cell r="H784">
            <v>0</v>
          </cell>
          <cell r="I784">
            <v>0</v>
          </cell>
          <cell r="J784">
            <v>0</v>
          </cell>
          <cell r="K784">
            <v>-1.3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9.2999999999999992E-3</v>
          </cell>
          <cell r="U784" t="b">
            <v>0</v>
          </cell>
        </row>
        <row r="785">
          <cell r="A785" t="str">
            <v>Data split-7;Reg-21</v>
          </cell>
          <cell r="B785">
            <v>-1.4</v>
          </cell>
          <cell r="C785">
            <v>0.35</v>
          </cell>
          <cell r="D785">
            <v>0</v>
          </cell>
          <cell r="E785">
            <v>0</v>
          </cell>
          <cell r="F785">
            <v>0</v>
          </cell>
          <cell r="G785">
            <v>0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15.6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1.0999999999999999E-2</v>
          </cell>
          <cell r="T785">
            <v>0</v>
          </cell>
          <cell r="U785" t="b">
            <v>0</v>
          </cell>
        </row>
        <row r="786">
          <cell r="A786" t="str">
            <v>Data split-7;Reg-22</v>
          </cell>
          <cell r="B786">
            <v>9.6000000000000002E-2</v>
          </cell>
          <cell r="C786">
            <v>0.28000000000000003</v>
          </cell>
          <cell r="D786">
            <v>0</v>
          </cell>
          <cell r="E786">
            <v>0</v>
          </cell>
          <cell r="F786">
            <v>0</v>
          </cell>
          <cell r="G786">
            <v>0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11.1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4.7999999999999996E-3</v>
          </cell>
          <cell r="U786" t="b">
            <v>0</v>
          </cell>
        </row>
        <row r="787">
          <cell r="A787" t="str">
            <v>Data split-7;Reg-23</v>
          </cell>
          <cell r="B787">
            <v>-1.4</v>
          </cell>
          <cell r="C787">
            <v>0</v>
          </cell>
          <cell r="D787">
            <v>0.75</v>
          </cell>
          <cell r="E787">
            <v>0</v>
          </cell>
          <cell r="F787">
            <v>0</v>
          </cell>
          <cell r="G787">
            <v>0</v>
          </cell>
          <cell r="H787">
            <v>0</v>
          </cell>
          <cell r="I787">
            <v>1</v>
          </cell>
          <cell r="J787">
            <v>0</v>
          </cell>
          <cell r="K787">
            <v>-0.63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 t="b">
            <v>0</v>
          </cell>
        </row>
        <row r="788">
          <cell r="A788" t="str">
            <v>Data split-7;Reg-24</v>
          </cell>
          <cell r="B788">
            <v>-2.2000000000000002</v>
          </cell>
          <cell r="C788">
            <v>0</v>
          </cell>
          <cell r="D788">
            <v>0.51</v>
          </cell>
          <cell r="E788">
            <v>0</v>
          </cell>
          <cell r="F788">
            <v>0</v>
          </cell>
          <cell r="G788">
            <v>0</v>
          </cell>
          <cell r="H788">
            <v>0</v>
          </cell>
          <cell r="I788">
            <v>0.14000000000000001</v>
          </cell>
          <cell r="J788">
            <v>0</v>
          </cell>
          <cell r="K788">
            <v>0</v>
          </cell>
          <cell r="L788">
            <v>12.5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 t="b">
            <v>0</v>
          </cell>
        </row>
        <row r="789">
          <cell r="A789" t="str">
            <v>Data split-7;Reg-25</v>
          </cell>
          <cell r="B789">
            <v>-12.2</v>
          </cell>
          <cell r="C789">
            <v>0</v>
          </cell>
          <cell r="D789">
            <v>0.42</v>
          </cell>
          <cell r="E789">
            <v>0</v>
          </cell>
          <cell r="F789">
            <v>0</v>
          </cell>
          <cell r="G789">
            <v>0</v>
          </cell>
          <cell r="H789">
            <v>0</v>
          </cell>
          <cell r="I789">
            <v>0</v>
          </cell>
          <cell r="J789">
            <v>31.4</v>
          </cell>
          <cell r="K789">
            <v>-0.75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 t="b">
            <v>0</v>
          </cell>
        </row>
        <row r="790">
          <cell r="A790" t="str">
            <v>Data split-7;Reg-26</v>
          </cell>
          <cell r="B790">
            <v>-8.3000000000000007</v>
          </cell>
          <cell r="C790">
            <v>0</v>
          </cell>
          <cell r="D790">
            <v>0.38</v>
          </cell>
          <cell r="E790">
            <v>0</v>
          </cell>
          <cell r="F790">
            <v>0</v>
          </cell>
          <cell r="G790">
            <v>0</v>
          </cell>
          <cell r="H790">
            <v>0</v>
          </cell>
          <cell r="I790">
            <v>0</v>
          </cell>
          <cell r="J790">
            <v>20.3</v>
          </cell>
          <cell r="K790">
            <v>0</v>
          </cell>
          <cell r="L790">
            <v>2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 t="b">
            <v>0</v>
          </cell>
        </row>
        <row r="791">
          <cell r="A791" t="str">
            <v>Data split-7;Reg-27</v>
          </cell>
          <cell r="B791">
            <v>-0.53</v>
          </cell>
          <cell r="C791">
            <v>0</v>
          </cell>
          <cell r="D791">
            <v>0.71</v>
          </cell>
          <cell r="E791">
            <v>0</v>
          </cell>
          <cell r="F791">
            <v>0</v>
          </cell>
          <cell r="G791">
            <v>0</v>
          </cell>
          <cell r="H791">
            <v>0</v>
          </cell>
          <cell r="I791">
            <v>0.49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-2.1000000000000001E-4</v>
          </cell>
          <cell r="R791">
            <v>0</v>
          </cell>
          <cell r="S791">
            <v>0</v>
          </cell>
          <cell r="T791">
            <v>0</v>
          </cell>
          <cell r="U791" t="b">
            <v>0</v>
          </cell>
        </row>
        <row r="792">
          <cell r="A792" t="str">
            <v>Data split-7;Reg-28</v>
          </cell>
          <cell r="B792">
            <v>1.9</v>
          </cell>
          <cell r="C792">
            <v>0</v>
          </cell>
          <cell r="D792">
            <v>0.52</v>
          </cell>
          <cell r="E792">
            <v>0</v>
          </cell>
          <cell r="F792">
            <v>0</v>
          </cell>
          <cell r="G792">
            <v>0</v>
          </cell>
          <cell r="H792">
            <v>0</v>
          </cell>
          <cell r="I792">
            <v>-6.4999999999999994E-5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4.5999999999999999E-3</v>
          </cell>
          <cell r="S792">
            <v>0</v>
          </cell>
          <cell r="T792">
            <v>0</v>
          </cell>
          <cell r="U792" t="b">
            <v>0</v>
          </cell>
        </row>
        <row r="793">
          <cell r="A793" t="str">
            <v>Data split-7;Reg-29</v>
          </cell>
          <cell r="B793">
            <v>-9.3000000000000007</v>
          </cell>
          <cell r="C793">
            <v>0</v>
          </cell>
          <cell r="D793">
            <v>0.43</v>
          </cell>
          <cell r="E793">
            <v>0</v>
          </cell>
          <cell r="F793">
            <v>0</v>
          </cell>
          <cell r="G793">
            <v>0</v>
          </cell>
          <cell r="H793">
            <v>0</v>
          </cell>
          <cell r="I793">
            <v>0</v>
          </cell>
          <cell r="J793">
            <v>23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-3.5999999999999999E-3</v>
          </cell>
          <cell r="R793">
            <v>0</v>
          </cell>
          <cell r="S793">
            <v>0</v>
          </cell>
          <cell r="T793">
            <v>0</v>
          </cell>
          <cell r="U793" t="b">
            <v>0</v>
          </cell>
        </row>
        <row r="794">
          <cell r="A794" t="str">
            <v>Data split-7;Reg-30</v>
          </cell>
          <cell r="B794">
            <v>-6.9</v>
          </cell>
          <cell r="C794">
            <v>0</v>
          </cell>
          <cell r="D794">
            <v>0.33</v>
          </cell>
          <cell r="E794">
            <v>0</v>
          </cell>
          <cell r="F794">
            <v>0</v>
          </cell>
          <cell r="G794">
            <v>0</v>
          </cell>
          <cell r="H794">
            <v>0</v>
          </cell>
          <cell r="I794">
            <v>0</v>
          </cell>
          <cell r="J794">
            <v>19.2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1.6999999999999999E-3</v>
          </cell>
          <cell r="S794">
            <v>0</v>
          </cell>
          <cell r="T794">
            <v>0</v>
          </cell>
          <cell r="U794" t="b">
            <v>0</v>
          </cell>
        </row>
        <row r="795">
          <cell r="A795" t="str">
            <v>Data split-7;Reg-31</v>
          </cell>
          <cell r="B795">
            <v>0.43</v>
          </cell>
          <cell r="C795">
            <v>0</v>
          </cell>
          <cell r="D795">
            <v>0.74</v>
          </cell>
          <cell r="E795">
            <v>0</v>
          </cell>
          <cell r="F795">
            <v>0</v>
          </cell>
          <cell r="G795">
            <v>0</v>
          </cell>
          <cell r="H795">
            <v>0</v>
          </cell>
          <cell r="I795">
            <v>0</v>
          </cell>
          <cell r="J795">
            <v>0</v>
          </cell>
          <cell r="K795">
            <v>0.28000000000000003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1E-3</v>
          </cell>
          <cell r="T795">
            <v>0</v>
          </cell>
          <cell r="U795" t="b">
            <v>0</v>
          </cell>
        </row>
        <row r="796">
          <cell r="A796" t="str">
            <v>Data split-7;Reg-32</v>
          </cell>
          <cell r="B796">
            <v>2.2999999999999998</v>
          </cell>
          <cell r="C796">
            <v>0</v>
          </cell>
          <cell r="D796">
            <v>0.54</v>
          </cell>
          <cell r="E796">
            <v>0</v>
          </cell>
          <cell r="F796">
            <v>0</v>
          </cell>
          <cell r="G796">
            <v>0</v>
          </cell>
          <cell r="H796">
            <v>0</v>
          </cell>
          <cell r="I796">
            <v>0</v>
          </cell>
          <cell r="J796">
            <v>0</v>
          </cell>
          <cell r="K796">
            <v>-0.32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5.4000000000000003E-3</v>
          </cell>
          <cell r="U796" t="b">
            <v>0</v>
          </cell>
        </row>
        <row r="797">
          <cell r="A797" t="str">
            <v>Data split-7;Reg-33</v>
          </cell>
          <cell r="B797">
            <v>-2.1</v>
          </cell>
          <cell r="C797">
            <v>0</v>
          </cell>
          <cell r="D797">
            <v>0.51</v>
          </cell>
          <cell r="E797">
            <v>0</v>
          </cell>
          <cell r="F797">
            <v>0</v>
          </cell>
          <cell r="G797">
            <v>0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13.5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6.3000000000000003E-4</v>
          </cell>
          <cell r="T797">
            <v>0</v>
          </cell>
          <cell r="U797" t="b">
            <v>0</v>
          </cell>
        </row>
        <row r="798">
          <cell r="A798" t="str">
            <v>Data split-7;Reg-34</v>
          </cell>
          <cell r="B798">
            <v>-0.85</v>
          </cell>
          <cell r="C798">
            <v>0</v>
          </cell>
          <cell r="D798">
            <v>0.41</v>
          </cell>
          <cell r="E798">
            <v>0</v>
          </cell>
          <cell r="F798">
            <v>0</v>
          </cell>
          <cell r="G798">
            <v>0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11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2.3999999999999998E-3</v>
          </cell>
          <cell r="U798" t="b">
            <v>0</v>
          </cell>
        </row>
        <row r="799">
          <cell r="A799" t="str">
            <v>Data split-7;Reg-35</v>
          </cell>
          <cell r="B799">
            <v>0.73</v>
          </cell>
          <cell r="C799">
            <v>0.96</v>
          </cell>
          <cell r="D799">
            <v>0</v>
          </cell>
          <cell r="E799">
            <v>0</v>
          </cell>
          <cell r="F799">
            <v>0</v>
          </cell>
          <cell r="G799">
            <v>0</v>
          </cell>
          <cell r="H799">
            <v>0</v>
          </cell>
          <cell r="I799">
            <v>0.86</v>
          </cell>
          <cell r="J799">
            <v>0</v>
          </cell>
          <cell r="K799">
            <v>-1.6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2.1999999999999999E-2</v>
          </cell>
          <cell r="R799">
            <v>0</v>
          </cell>
          <cell r="S799">
            <v>0</v>
          </cell>
          <cell r="T799">
            <v>0</v>
          </cell>
          <cell r="U799" t="b">
            <v>0</v>
          </cell>
        </row>
        <row r="800">
          <cell r="A800" t="str">
            <v>Data split-7;Reg-36</v>
          </cell>
          <cell r="B800">
            <v>1.9</v>
          </cell>
          <cell r="C800">
            <v>0.8</v>
          </cell>
          <cell r="D800">
            <v>0</v>
          </cell>
          <cell r="E800">
            <v>0</v>
          </cell>
          <cell r="F800">
            <v>0</v>
          </cell>
          <cell r="G800">
            <v>0</v>
          </cell>
          <cell r="H800">
            <v>0</v>
          </cell>
          <cell r="I800">
            <v>0.56999999999999995</v>
          </cell>
          <cell r="J800">
            <v>0</v>
          </cell>
          <cell r="K800">
            <v>-1.6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8.2000000000000007E-3</v>
          </cell>
          <cell r="S800">
            <v>0</v>
          </cell>
          <cell r="T800">
            <v>0</v>
          </cell>
          <cell r="U800" t="b">
            <v>0</v>
          </cell>
        </row>
        <row r="801">
          <cell r="A801" t="str">
            <v>Data split-7;Reg-37</v>
          </cell>
          <cell r="B801">
            <v>-0.12</v>
          </cell>
          <cell r="C801">
            <v>0.36</v>
          </cell>
          <cell r="D801">
            <v>0</v>
          </cell>
          <cell r="E801">
            <v>0</v>
          </cell>
          <cell r="F801">
            <v>0</v>
          </cell>
          <cell r="G801">
            <v>0</v>
          </cell>
          <cell r="H801">
            <v>0</v>
          </cell>
          <cell r="I801">
            <v>-0.45</v>
          </cell>
          <cell r="J801">
            <v>0</v>
          </cell>
          <cell r="K801">
            <v>0</v>
          </cell>
          <cell r="L801">
            <v>16.100000000000001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1.9E-2</v>
          </cell>
          <cell r="R801">
            <v>0</v>
          </cell>
          <cell r="S801">
            <v>0</v>
          </cell>
          <cell r="T801">
            <v>0</v>
          </cell>
          <cell r="U801" t="b">
            <v>0</v>
          </cell>
        </row>
        <row r="802">
          <cell r="A802" t="str">
            <v>Data split-7;Reg-38</v>
          </cell>
          <cell r="B802">
            <v>1.6</v>
          </cell>
          <cell r="C802">
            <v>0.31</v>
          </cell>
          <cell r="D802">
            <v>0</v>
          </cell>
          <cell r="E802">
            <v>0</v>
          </cell>
          <cell r="F802">
            <v>0</v>
          </cell>
          <cell r="G802">
            <v>0</v>
          </cell>
          <cell r="H802">
            <v>0</v>
          </cell>
          <cell r="I802">
            <v>-0.68</v>
          </cell>
          <cell r="J802">
            <v>0</v>
          </cell>
          <cell r="K802">
            <v>0</v>
          </cell>
          <cell r="L802">
            <v>12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7.1999999999999998E-3</v>
          </cell>
          <cell r="S802">
            <v>0</v>
          </cell>
          <cell r="T802">
            <v>0</v>
          </cell>
          <cell r="U802" t="b">
            <v>0</v>
          </cell>
        </row>
        <row r="803">
          <cell r="A803" t="str">
            <v>Data split-7;Reg-39</v>
          </cell>
          <cell r="B803">
            <v>-11.4</v>
          </cell>
          <cell r="C803">
            <v>0.51</v>
          </cell>
          <cell r="D803">
            <v>0</v>
          </cell>
          <cell r="E803">
            <v>0</v>
          </cell>
          <cell r="F803">
            <v>0</v>
          </cell>
          <cell r="G803">
            <v>0</v>
          </cell>
          <cell r="H803">
            <v>0</v>
          </cell>
          <cell r="I803">
            <v>0</v>
          </cell>
          <cell r="J803">
            <v>32.299999999999997</v>
          </cell>
          <cell r="K803">
            <v>-1.5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1.4E-2</v>
          </cell>
          <cell r="R803">
            <v>0</v>
          </cell>
          <cell r="S803">
            <v>0</v>
          </cell>
          <cell r="T803">
            <v>0</v>
          </cell>
          <cell r="U803" t="b">
            <v>0</v>
          </cell>
        </row>
        <row r="804">
          <cell r="A804" t="str">
            <v>Data split-7;Reg-40</v>
          </cell>
          <cell r="B804">
            <v>-8.8000000000000007</v>
          </cell>
          <cell r="C804">
            <v>0.47</v>
          </cell>
          <cell r="D804">
            <v>0</v>
          </cell>
          <cell r="E804">
            <v>0</v>
          </cell>
          <cell r="F804">
            <v>0</v>
          </cell>
          <cell r="G804">
            <v>0</v>
          </cell>
          <cell r="H804">
            <v>0</v>
          </cell>
          <cell r="I804">
            <v>0</v>
          </cell>
          <cell r="J804">
            <v>27.3</v>
          </cell>
          <cell r="K804">
            <v>-1.6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5.7999999999999996E-3</v>
          </cell>
          <cell r="S804">
            <v>0</v>
          </cell>
          <cell r="T804">
            <v>0</v>
          </cell>
          <cell r="U804" t="b">
            <v>0</v>
          </cell>
        </row>
        <row r="805">
          <cell r="A805" t="str">
            <v>Data split-7;Reg-41</v>
          </cell>
          <cell r="B805">
            <v>-9.1</v>
          </cell>
          <cell r="C805">
            <v>0.25</v>
          </cell>
          <cell r="D805">
            <v>0</v>
          </cell>
          <cell r="E805">
            <v>0</v>
          </cell>
          <cell r="F805">
            <v>0</v>
          </cell>
          <cell r="G805">
            <v>0</v>
          </cell>
          <cell r="H805">
            <v>0</v>
          </cell>
          <cell r="I805">
            <v>0</v>
          </cell>
          <cell r="J805">
            <v>23.4</v>
          </cell>
          <cell r="K805">
            <v>0</v>
          </cell>
          <cell r="L805">
            <v>3.3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4.7000000000000002E-3</v>
          </cell>
          <cell r="R805">
            <v>0</v>
          </cell>
          <cell r="S805">
            <v>0</v>
          </cell>
          <cell r="T805">
            <v>0</v>
          </cell>
          <cell r="U805" t="b">
            <v>0</v>
          </cell>
        </row>
        <row r="806">
          <cell r="A806" t="str">
            <v>Data split-7;Reg-42</v>
          </cell>
          <cell r="B806">
            <v>-6.2</v>
          </cell>
          <cell r="C806">
            <v>0.2</v>
          </cell>
          <cell r="D806">
            <v>0</v>
          </cell>
          <cell r="E806">
            <v>0</v>
          </cell>
          <cell r="F806">
            <v>0</v>
          </cell>
          <cell r="G806">
            <v>0</v>
          </cell>
          <cell r="H806">
            <v>0</v>
          </cell>
          <cell r="I806">
            <v>0</v>
          </cell>
          <cell r="J806">
            <v>18.100000000000001</v>
          </cell>
          <cell r="K806">
            <v>0</v>
          </cell>
          <cell r="L806">
            <v>2.7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3.5000000000000001E-3</v>
          </cell>
          <cell r="S806">
            <v>0</v>
          </cell>
          <cell r="T806">
            <v>0</v>
          </cell>
          <cell r="U806" t="b">
            <v>0</v>
          </cell>
        </row>
        <row r="807">
          <cell r="A807" t="str">
            <v>Data split-7;Reg-43</v>
          </cell>
          <cell r="B807">
            <v>0.6</v>
          </cell>
          <cell r="C807">
            <v>0.98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0.97</v>
          </cell>
          <cell r="J807">
            <v>0</v>
          </cell>
          <cell r="K807">
            <v>-1.7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2.1000000000000001E-2</v>
          </cell>
          <cell r="T807">
            <v>0</v>
          </cell>
          <cell r="U807" t="b">
            <v>0</v>
          </cell>
        </row>
        <row r="808">
          <cell r="A808" t="str">
            <v>Data split-7;Reg-44</v>
          </cell>
          <cell r="B808">
            <v>2.1</v>
          </cell>
          <cell r="C808">
            <v>0.8</v>
          </cell>
          <cell r="D808">
            <v>0</v>
          </cell>
          <cell r="E808">
            <v>0</v>
          </cell>
          <cell r="F808">
            <v>0</v>
          </cell>
          <cell r="G808">
            <v>0</v>
          </cell>
          <cell r="H808">
            <v>0</v>
          </cell>
          <cell r="I808">
            <v>0.72</v>
          </cell>
          <cell r="J808">
            <v>0</v>
          </cell>
          <cell r="K808">
            <v>-1.9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8.6999999999999994E-3</v>
          </cell>
          <cell r="U808" t="b">
            <v>0</v>
          </cell>
        </row>
        <row r="809">
          <cell r="A809" t="str">
            <v>Data split-7;Reg-45</v>
          </cell>
          <cell r="B809">
            <v>-0.51</v>
          </cell>
          <cell r="C809">
            <v>0.37</v>
          </cell>
          <cell r="D809">
            <v>0</v>
          </cell>
          <cell r="E809">
            <v>0</v>
          </cell>
          <cell r="F809">
            <v>0</v>
          </cell>
          <cell r="G809">
            <v>0</v>
          </cell>
          <cell r="H809">
            <v>0</v>
          </cell>
          <cell r="I809">
            <v>-0.35</v>
          </cell>
          <cell r="J809">
            <v>0</v>
          </cell>
          <cell r="K809">
            <v>0</v>
          </cell>
          <cell r="L809">
            <v>16.3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1.4999999999999999E-2</v>
          </cell>
          <cell r="T809">
            <v>0</v>
          </cell>
          <cell r="U809" t="b">
            <v>0</v>
          </cell>
        </row>
        <row r="810">
          <cell r="A810" t="str">
            <v>Data split-7;Reg-46</v>
          </cell>
          <cell r="B810">
            <v>1.8</v>
          </cell>
          <cell r="C810">
            <v>0.32</v>
          </cell>
          <cell r="D810">
            <v>0</v>
          </cell>
          <cell r="E810">
            <v>0</v>
          </cell>
          <cell r="F810">
            <v>0</v>
          </cell>
          <cell r="G810">
            <v>0</v>
          </cell>
          <cell r="H810">
            <v>0</v>
          </cell>
          <cell r="I810">
            <v>-0.65</v>
          </cell>
          <cell r="J810">
            <v>0</v>
          </cell>
          <cell r="K810">
            <v>0</v>
          </cell>
          <cell r="L810">
            <v>11.5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6.7000000000000002E-3</v>
          </cell>
          <cell r="U810" t="b">
            <v>0</v>
          </cell>
        </row>
        <row r="811">
          <cell r="A811" t="str">
            <v>Data split-7;Reg-47</v>
          </cell>
          <cell r="B811">
            <v>-11.8</v>
          </cell>
          <cell r="C811">
            <v>0.51</v>
          </cell>
          <cell r="D811">
            <v>0</v>
          </cell>
          <cell r="E811">
            <v>0</v>
          </cell>
          <cell r="F811">
            <v>0</v>
          </cell>
          <cell r="G811">
            <v>0</v>
          </cell>
          <cell r="H811">
            <v>0</v>
          </cell>
          <cell r="I811">
            <v>0</v>
          </cell>
          <cell r="J811">
            <v>33.299999999999997</v>
          </cell>
          <cell r="K811">
            <v>-1.5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1.4E-2</v>
          </cell>
          <cell r="T811">
            <v>0</v>
          </cell>
          <cell r="U811" t="b">
            <v>0</v>
          </cell>
        </row>
        <row r="812">
          <cell r="A812" t="str">
            <v>Data split-7;Reg-48</v>
          </cell>
          <cell r="B812">
            <v>-8.9</v>
          </cell>
          <cell r="C812">
            <v>0.45</v>
          </cell>
          <cell r="D812">
            <v>0</v>
          </cell>
          <cell r="E812">
            <v>0</v>
          </cell>
          <cell r="F812">
            <v>0</v>
          </cell>
          <cell r="G812">
            <v>0</v>
          </cell>
          <cell r="H812">
            <v>0</v>
          </cell>
          <cell r="I812">
            <v>0</v>
          </cell>
          <cell r="J812">
            <v>28.4</v>
          </cell>
          <cell r="K812">
            <v>-1.7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6.1999999999999998E-3</v>
          </cell>
          <cell r="U812" t="b">
            <v>0</v>
          </cell>
        </row>
        <row r="813">
          <cell r="A813" t="str">
            <v>Data split-7;Reg-49</v>
          </cell>
          <cell r="B813">
            <v>-10.3</v>
          </cell>
          <cell r="C813">
            <v>0.27</v>
          </cell>
          <cell r="D813">
            <v>0</v>
          </cell>
          <cell r="E813">
            <v>0</v>
          </cell>
          <cell r="F813">
            <v>0</v>
          </cell>
          <cell r="G813">
            <v>0</v>
          </cell>
          <cell r="H813">
            <v>0</v>
          </cell>
          <cell r="I813">
            <v>0</v>
          </cell>
          <cell r="J813">
            <v>25.6</v>
          </cell>
          <cell r="K813">
            <v>0</v>
          </cell>
          <cell r="L813">
            <v>3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7.6000000000000004E-4</v>
          </cell>
          <cell r="T813">
            <v>0</v>
          </cell>
          <cell r="U813" t="b">
            <v>0</v>
          </cell>
        </row>
        <row r="814">
          <cell r="A814" t="str">
            <v>Data split-7;Reg-50</v>
          </cell>
          <cell r="B814">
            <v>-7.4</v>
          </cell>
          <cell r="C814">
            <v>0.21</v>
          </cell>
          <cell r="D814">
            <v>0</v>
          </cell>
          <cell r="E814">
            <v>0</v>
          </cell>
          <cell r="F814">
            <v>0</v>
          </cell>
          <cell r="G814">
            <v>0</v>
          </cell>
          <cell r="H814">
            <v>0</v>
          </cell>
          <cell r="I814">
            <v>0</v>
          </cell>
          <cell r="J814">
            <v>20.9</v>
          </cell>
          <cell r="K814">
            <v>0</v>
          </cell>
          <cell r="L814">
            <v>2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2.5000000000000001E-3</v>
          </cell>
          <cell r="U814" t="b">
            <v>0</v>
          </cell>
        </row>
        <row r="815">
          <cell r="A815" t="str">
            <v>Data split-7;Reg-51</v>
          </cell>
          <cell r="B815">
            <v>-1.4</v>
          </cell>
          <cell r="C815">
            <v>0</v>
          </cell>
          <cell r="D815">
            <v>0.75</v>
          </cell>
          <cell r="E815">
            <v>0</v>
          </cell>
          <cell r="F815">
            <v>0</v>
          </cell>
          <cell r="G815">
            <v>0</v>
          </cell>
          <cell r="H815">
            <v>0</v>
          </cell>
          <cell r="I815">
            <v>1</v>
          </cell>
          <cell r="J815">
            <v>0</v>
          </cell>
          <cell r="K815">
            <v>-0.64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-3.1E-4</v>
          </cell>
          <cell r="R815">
            <v>0</v>
          </cell>
          <cell r="S815">
            <v>0</v>
          </cell>
          <cell r="T815">
            <v>0</v>
          </cell>
          <cell r="U815" t="b">
            <v>0</v>
          </cell>
        </row>
        <row r="816">
          <cell r="A816" t="str">
            <v>Data split-7;Reg-52</v>
          </cell>
          <cell r="B816">
            <v>0.99</v>
          </cell>
          <cell r="C816">
            <v>0</v>
          </cell>
          <cell r="D816">
            <v>0.56000000000000005</v>
          </cell>
          <cell r="E816">
            <v>0</v>
          </cell>
          <cell r="F816">
            <v>0</v>
          </cell>
          <cell r="G816">
            <v>0</v>
          </cell>
          <cell r="H816">
            <v>0</v>
          </cell>
          <cell r="I816">
            <v>0.56000000000000005</v>
          </cell>
          <cell r="J816">
            <v>0</v>
          </cell>
          <cell r="K816">
            <v>-0.65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4.7000000000000002E-3</v>
          </cell>
          <cell r="S816">
            <v>0</v>
          </cell>
          <cell r="T816">
            <v>0</v>
          </cell>
          <cell r="U816" t="b">
            <v>0</v>
          </cell>
        </row>
        <row r="817">
          <cell r="A817" t="str">
            <v>Data split-7;Reg-53</v>
          </cell>
          <cell r="B817">
            <v>-1.7</v>
          </cell>
          <cell r="C817">
            <v>0</v>
          </cell>
          <cell r="D817">
            <v>0.47</v>
          </cell>
          <cell r="E817">
            <v>0</v>
          </cell>
          <cell r="F817">
            <v>0</v>
          </cell>
          <cell r="G817">
            <v>0</v>
          </cell>
          <cell r="H817">
            <v>0</v>
          </cell>
          <cell r="I817">
            <v>1.0999999999999999E-2</v>
          </cell>
          <cell r="J817">
            <v>0</v>
          </cell>
          <cell r="K817">
            <v>0</v>
          </cell>
          <cell r="L817">
            <v>13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4.1999999999999997E-3</v>
          </cell>
          <cell r="R817">
            <v>0</v>
          </cell>
          <cell r="S817">
            <v>0</v>
          </cell>
          <cell r="T817">
            <v>0</v>
          </cell>
          <cell r="U817" t="b">
            <v>0</v>
          </cell>
        </row>
        <row r="818">
          <cell r="A818" t="str">
            <v>Data split-7;Reg-54</v>
          </cell>
          <cell r="B818">
            <v>0.18</v>
          </cell>
          <cell r="C818">
            <v>0</v>
          </cell>
          <cell r="D818">
            <v>0.3</v>
          </cell>
          <cell r="E818">
            <v>0</v>
          </cell>
          <cell r="F818">
            <v>0</v>
          </cell>
          <cell r="G818">
            <v>0</v>
          </cell>
          <cell r="H818">
            <v>0</v>
          </cell>
          <cell r="I818">
            <v>-0.38</v>
          </cell>
          <cell r="J818">
            <v>0</v>
          </cell>
          <cell r="K818">
            <v>0</v>
          </cell>
          <cell r="L818">
            <v>12.9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4.7999999999999996E-3</v>
          </cell>
          <cell r="S818">
            <v>0</v>
          </cell>
          <cell r="T818">
            <v>0</v>
          </cell>
          <cell r="U818" t="b">
            <v>0</v>
          </cell>
        </row>
        <row r="819">
          <cell r="A819" t="str">
            <v>Data split-7;Reg-55</v>
          </cell>
          <cell r="B819">
            <v>-11.8</v>
          </cell>
          <cell r="C819">
            <v>0</v>
          </cell>
          <cell r="D819">
            <v>0.39</v>
          </cell>
          <cell r="E819">
            <v>0</v>
          </cell>
          <cell r="F819">
            <v>0</v>
          </cell>
          <cell r="G819">
            <v>0</v>
          </cell>
          <cell r="H819">
            <v>0</v>
          </cell>
          <cell r="I819">
            <v>0</v>
          </cell>
          <cell r="J819">
            <v>31.3</v>
          </cell>
          <cell r="K819">
            <v>-0.84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3.8E-3</v>
          </cell>
          <cell r="R819">
            <v>0</v>
          </cell>
          <cell r="S819">
            <v>0</v>
          </cell>
          <cell r="T819">
            <v>0</v>
          </cell>
          <cell r="U819" t="b">
            <v>0</v>
          </cell>
        </row>
        <row r="820">
          <cell r="A820" t="str">
            <v>Data split-7;Reg-56</v>
          </cell>
          <cell r="B820">
            <v>-10</v>
          </cell>
          <cell r="C820">
            <v>0</v>
          </cell>
          <cell r="D820">
            <v>0.28000000000000003</v>
          </cell>
          <cell r="E820">
            <v>0</v>
          </cell>
          <cell r="F820">
            <v>0</v>
          </cell>
          <cell r="G820">
            <v>0</v>
          </cell>
          <cell r="H820">
            <v>0</v>
          </cell>
          <cell r="I820">
            <v>0</v>
          </cell>
          <cell r="J820">
            <v>29.2</v>
          </cell>
          <cell r="K820">
            <v>-1.1000000000000001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4.1000000000000003E-3</v>
          </cell>
          <cell r="S820">
            <v>0</v>
          </cell>
          <cell r="T820">
            <v>0</v>
          </cell>
          <cell r="U820" t="b">
            <v>0</v>
          </cell>
        </row>
        <row r="821">
          <cell r="A821" t="str">
            <v>Data split-7;Reg-57</v>
          </cell>
          <cell r="B821">
            <v>-9</v>
          </cell>
          <cell r="C821">
            <v>0</v>
          </cell>
          <cell r="D821">
            <v>0.41</v>
          </cell>
          <cell r="E821">
            <v>0</v>
          </cell>
          <cell r="F821">
            <v>0</v>
          </cell>
          <cell r="G821">
            <v>0</v>
          </cell>
          <cell r="H821">
            <v>0</v>
          </cell>
          <cell r="I821">
            <v>0</v>
          </cell>
          <cell r="J821">
            <v>21.7</v>
          </cell>
          <cell r="K821">
            <v>0</v>
          </cell>
          <cell r="L821">
            <v>1.6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-3.3999999999999998E-3</v>
          </cell>
          <cell r="R821">
            <v>0</v>
          </cell>
          <cell r="S821">
            <v>0</v>
          </cell>
          <cell r="T821">
            <v>0</v>
          </cell>
          <cell r="U821" t="b">
            <v>0</v>
          </cell>
        </row>
        <row r="822">
          <cell r="A822" t="str">
            <v>Data split-7;Reg-58</v>
          </cell>
          <cell r="B822">
            <v>-6.6</v>
          </cell>
          <cell r="C822">
            <v>0</v>
          </cell>
          <cell r="D822">
            <v>0.31</v>
          </cell>
          <cell r="E822">
            <v>0</v>
          </cell>
          <cell r="F822">
            <v>0</v>
          </cell>
          <cell r="G822">
            <v>0</v>
          </cell>
          <cell r="H822">
            <v>0</v>
          </cell>
          <cell r="I822">
            <v>0</v>
          </cell>
          <cell r="J822">
            <v>17.399999999999999</v>
          </cell>
          <cell r="K822">
            <v>0</v>
          </cell>
          <cell r="L822">
            <v>2.2999999999999998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1.8E-3</v>
          </cell>
          <cell r="S822">
            <v>0</v>
          </cell>
          <cell r="T822">
            <v>0</v>
          </cell>
          <cell r="U822" t="b">
            <v>0</v>
          </cell>
        </row>
        <row r="823">
          <cell r="A823" t="str">
            <v>Data split-7;Reg-59</v>
          </cell>
          <cell r="B823">
            <v>-2.1</v>
          </cell>
          <cell r="C823">
            <v>0</v>
          </cell>
          <cell r="D823">
            <v>0.79</v>
          </cell>
          <cell r="E823">
            <v>0</v>
          </cell>
          <cell r="F823">
            <v>0</v>
          </cell>
          <cell r="G823">
            <v>0</v>
          </cell>
          <cell r="H823">
            <v>0</v>
          </cell>
          <cell r="I823">
            <v>1.2</v>
          </cell>
          <cell r="J823">
            <v>0</v>
          </cell>
          <cell r="K823">
            <v>-0.6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-5.3E-3</v>
          </cell>
          <cell r="T823">
            <v>0</v>
          </cell>
          <cell r="U823" t="b">
            <v>0</v>
          </cell>
        </row>
        <row r="824">
          <cell r="A824" t="str">
            <v>Data split-7;Reg-60</v>
          </cell>
          <cell r="B824">
            <v>0.89</v>
          </cell>
          <cell r="C824">
            <v>0</v>
          </cell>
          <cell r="D824">
            <v>0.57999999999999996</v>
          </cell>
          <cell r="E824">
            <v>0</v>
          </cell>
          <cell r="F824">
            <v>0</v>
          </cell>
          <cell r="G824">
            <v>0</v>
          </cell>
          <cell r="H824">
            <v>0</v>
          </cell>
          <cell r="I824">
            <v>0.68</v>
          </cell>
          <cell r="J824">
            <v>0</v>
          </cell>
          <cell r="K824">
            <v>-0.83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4.4999999999999997E-3</v>
          </cell>
          <cell r="U824" t="b">
            <v>0</v>
          </cell>
        </row>
        <row r="825">
          <cell r="A825" t="str">
            <v>Data split-7;Reg-61</v>
          </cell>
          <cell r="B825">
            <v>-2.6</v>
          </cell>
          <cell r="C825">
            <v>0</v>
          </cell>
          <cell r="D825">
            <v>0.54</v>
          </cell>
          <cell r="E825">
            <v>0</v>
          </cell>
          <cell r="F825">
            <v>0</v>
          </cell>
          <cell r="G825">
            <v>0</v>
          </cell>
          <cell r="H825">
            <v>0</v>
          </cell>
          <cell r="I825">
            <v>0.24</v>
          </cell>
          <cell r="J825">
            <v>0</v>
          </cell>
          <cell r="K825">
            <v>0</v>
          </cell>
          <cell r="L825">
            <v>12.2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-3.0000000000000001E-3</v>
          </cell>
          <cell r="T825">
            <v>0</v>
          </cell>
          <cell r="U825" t="b">
            <v>0</v>
          </cell>
        </row>
        <row r="826">
          <cell r="A826" t="str">
            <v>Data split-7;Reg-62</v>
          </cell>
          <cell r="B826">
            <v>-0.22</v>
          </cell>
          <cell r="C826">
            <v>0</v>
          </cell>
          <cell r="D826">
            <v>0.38</v>
          </cell>
          <cell r="E826">
            <v>0</v>
          </cell>
          <cell r="F826">
            <v>0</v>
          </cell>
          <cell r="G826">
            <v>0</v>
          </cell>
          <cell r="H826">
            <v>0</v>
          </cell>
          <cell r="I826">
            <v>-0.25</v>
          </cell>
          <cell r="J826">
            <v>0</v>
          </cell>
          <cell r="K826">
            <v>0</v>
          </cell>
          <cell r="L826">
            <v>12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3.3999999999999998E-3</v>
          </cell>
          <cell r="U826" t="b">
            <v>0</v>
          </cell>
        </row>
        <row r="827">
          <cell r="A827" t="str">
            <v>Data split-7;Reg-63</v>
          </cell>
          <cell r="B827">
            <v>-12.1</v>
          </cell>
          <cell r="C827">
            <v>0</v>
          </cell>
          <cell r="D827">
            <v>0.4</v>
          </cell>
          <cell r="E827">
            <v>0</v>
          </cell>
          <cell r="F827">
            <v>0</v>
          </cell>
          <cell r="G827">
            <v>0</v>
          </cell>
          <cell r="H827">
            <v>0</v>
          </cell>
          <cell r="I827">
            <v>0</v>
          </cell>
          <cell r="J827">
            <v>31.4</v>
          </cell>
          <cell r="K827">
            <v>-0.79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1.5E-3</v>
          </cell>
          <cell r="T827">
            <v>0</v>
          </cell>
          <cell r="U827" t="b">
            <v>0</v>
          </cell>
        </row>
        <row r="828">
          <cell r="A828" t="str">
            <v>Data split-7;Reg-64</v>
          </cell>
          <cell r="B828">
            <v>-10.1</v>
          </cell>
          <cell r="C828">
            <v>0</v>
          </cell>
          <cell r="D828">
            <v>0.27</v>
          </cell>
          <cell r="E828">
            <v>0</v>
          </cell>
          <cell r="F828">
            <v>0</v>
          </cell>
          <cell r="G828">
            <v>0</v>
          </cell>
          <cell r="H828">
            <v>0</v>
          </cell>
          <cell r="I828">
            <v>0</v>
          </cell>
          <cell r="J828">
            <v>30</v>
          </cell>
          <cell r="K828">
            <v>-1.2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4.3E-3</v>
          </cell>
          <cell r="U828" t="b">
            <v>0</v>
          </cell>
        </row>
        <row r="829">
          <cell r="A829" t="str">
            <v>Data split-7;Reg-65</v>
          </cell>
          <cell r="B829">
            <v>-10</v>
          </cell>
          <cell r="C829">
            <v>0</v>
          </cell>
          <cell r="D829">
            <v>0.44</v>
          </cell>
          <cell r="E829">
            <v>0</v>
          </cell>
          <cell r="F829">
            <v>0</v>
          </cell>
          <cell r="G829">
            <v>0</v>
          </cell>
          <cell r="H829">
            <v>0</v>
          </cell>
          <cell r="I829">
            <v>0</v>
          </cell>
          <cell r="J829">
            <v>23.2</v>
          </cell>
          <cell r="K829">
            <v>0</v>
          </cell>
          <cell r="L829">
            <v>1.6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-7.1999999999999998E-3</v>
          </cell>
          <cell r="T829">
            <v>0</v>
          </cell>
          <cell r="U829" t="b">
            <v>0</v>
          </cell>
        </row>
        <row r="830">
          <cell r="A830" t="str">
            <v>Data split-7;Reg-66</v>
          </cell>
          <cell r="B830">
            <v>-7.7</v>
          </cell>
          <cell r="C830">
            <v>0</v>
          </cell>
          <cell r="D830">
            <v>0.36</v>
          </cell>
          <cell r="E830">
            <v>0</v>
          </cell>
          <cell r="F830">
            <v>0</v>
          </cell>
          <cell r="G830">
            <v>0</v>
          </cell>
          <cell r="H830">
            <v>0</v>
          </cell>
          <cell r="I830">
            <v>0</v>
          </cell>
          <cell r="J830">
            <v>19.5</v>
          </cell>
          <cell r="K830">
            <v>0</v>
          </cell>
          <cell r="L830">
            <v>1.9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5.6999999999999998E-4</v>
          </cell>
          <cell r="U830" t="b">
            <v>0</v>
          </cell>
        </row>
        <row r="831">
          <cell r="A831" t="str">
            <v>Data split-7;Reg-67</v>
          </cell>
          <cell r="B831">
            <v>0.42</v>
          </cell>
          <cell r="C831">
            <v>0.48</v>
          </cell>
          <cell r="D831">
            <v>0</v>
          </cell>
          <cell r="E831">
            <v>0</v>
          </cell>
          <cell r="F831">
            <v>0</v>
          </cell>
          <cell r="G831">
            <v>0.52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 t="b">
            <v>0</v>
          </cell>
        </row>
        <row r="832">
          <cell r="A832" t="str">
            <v>Data split-7;Reg-68</v>
          </cell>
          <cell r="B832">
            <v>-1.2</v>
          </cell>
          <cell r="C832">
            <v>0.4</v>
          </cell>
          <cell r="D832">
            <v>0</v>
          </cell>
          <cell r="E832">
            <v>0</v>
          </cell>
          <cell r="F832">
            <v>-7.5999999999999998E-2</v>
          </cell>
          <cell r="G832">
            <v>0.9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 t="b">
            <v>0</v>
          </cell>
        </row>
        <row r="833">
          <cell r="A833" t="str">
            <v>Data split-7;Reg-69</v>
          </cell>
          <cell r="B833">
            <v>-8.1999999999999993</v>
          </cell>
          <cell r="C833">
            <v>0.2</v>
          </cell>
          <cell r="D833">
            <v>0</v>
          </cell>
          <cell r="E833">
            <v>0</v>
          </cell>
          <cell r="F833">
            <v>0</v>
          </cell>
          <cell r="G833">
            <v>0.26</v>
          </cell>
          <cell r="H833">
            <v>0</v>
          </cell>
          <cell r="I833">
            <v>0</v>
          </cell>
          <cell r="J833">
            <v>21.5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 t="b">
            <v>0</v>
          </cell>
        </row>
        <row r="834">
          <cell r="A834" t="str">
            <v>Data split-7;Reg-70</v>
          </cell>
          <cell r="B834">
            <v>-11.2</v>
          </cell>
          <cell r="C834">
            <v>0.13</v>
          </cell>
          <cell r="D834">
            <v>0</v>
          </cell>
          <cell r="E834">
            <v>0</v>
          </cell>
          <cell r="F834">
            <v>0</v>
          </cell>
          <cell r="G834">
            <v>0.76</v>
          </cell>
          <cell r="H834">
            <v>0</v>
          </cell>
          <cell r="I834">
            <v>0</v>
          </cell>
          <cell r="J834">
            <v>23.2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-2.5999999999999999E-2</v>
          </cell>
          <cell r="T834">
            <v>0</v>
          </cell>
          <cell r="U834" t="b">
            <v>0</v>
          </cell>
        </row>
        <row r="835">
          <cell r="A835" t="str">
            <v>Data split-7;Reg-71</v>
          </cell>
          <cell r="B835">
            <v>-1.6</v>
          </cell>
          <cell r="C835">
            <v>0.46</v>
          </cell>
          <cell r="D835">
            <v>0</v>
          </cell>
          <cell r="E835">
            <v>0</v>
          </cell>
          <cell r="F835">
            <v>-1.4E-2</v>
          </cell>
          <cell r="G835">
            <v>0</v>
          </cell>
          <cell r="H835">
            <v>1.3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-3.9E-2</v>
          </cell>
          <cell r="T835">
            <v>0</v>
          </cell>
          <cell r="U835" t="b">
            <v>0</v>
          </cell>
        </row>
        <row r="836">
          <cell r="A836" t="str">
            <v>Data split-7;Reg-72</v>
          </cell>
          <cell r="B836">
            <v>0.34</v>
          </cell>
          <cell r="C836">
            <v>0.54</v>
          </cell>
          <cell r="D836">
            <v>0</v>
          </cell>
          <cell r="E836">
            <v>0.32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 t="b">
            <v>0</v>
          </cell>
        </row>
        <row r="837">
          <cell r="A837" t="str">
            <v>Data split-7;Reg-73</v>
          </cell>
          <cell r="B837">
            <v>0.17</v>
          </cell>
          <cell r="C837">
            <v>1.1000000000000001</v>
          </cell>
          <cell r="D837">
            <v>0</v>
          </cell>
          <cell r="E837">
            <v>0</v>
          </cell>
          <cell r="F837">
            <v>-1.2999999999999999E-2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 t="b">
            <v>0</v>
          </cell>
        </row>
        <row r="838">
          <cell r="A838" t="str">
            <v>Data split-7;Reg-74</v>
          </cell>
          <cell r="B838">
            <v>0.4</v>
          </cell>
          <cell r="C838">
            <v>0</v>
          </cell>
          <cell r="D838">
            <v>0.75</v>
          </cell>
          <cell r="E838">
            <v>6.5000000000000002E-2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 t="b">
            <v>0</v>
          </cell>
        </row>
        <row r="839">
          <cell r="A839" t="str">
            <v>Data split-7;Reg-75</v>
          </cell>
          <cell r="B839">
            <v>0.55000000000000004</v>
          </cell>
          <cell r="C839">
            <v>0</v>
          </cell>
          <cell r="D839">
            <v>0.81</v>
          </cell>
          <cell r="E839">
            <v>0</v>
          </cell>
          <cell r="F839">
            <v>9.1000000000000004E-3</v>
          </cell>
          <cell r="G839">
            <v>0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 t="b">
            <v>0</v>
          </cell>
        </row>
        <row r="840">
          <cell r="A840" t="str">
            <v>Data split-7;Reg-76</v>
          </cell>
          <cell r="B840">
            <v>0.42</v>
          </cell>
          <cell r="C840">
            <v>0.48</v>
          </cell>
          <cell r="D840">
            <v>0</v>
          </cell>
          <cell r="E840">
            <v>0</v>
          </cell>
          <cell r="F840">
            <v>0</v>
          </cell>
          <cell r="G840">
            <v>0.52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 t="b">
            <v>0</v>
          </cell>
        </row>
        <row r="841">
          <cell r="A841" t="str">
            <v>Data split-7;Reg-77</v>
          </cell>
          <cell r="B841">
            <v>1.1000000000000001</v>
          </cell>
          <cell r="C841">
            <v>0.51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0.52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 t="b">
            <v>0</v>
          </cell>
        </row>
        <row r="842">
          <cell r="A842" t="str">
            <v>Data split-7;Reg-78</v>
          </cell>
          <cell r="B842">
            <v>0.34</v>
          </cell>
          <cell r="C842">
            <v>0</v>
          </cell>
          <cell r="D842">
            <v>0.5</v>
          </cell>
          <cell r="E842">
            <v>0</v>
          </cell>
          <cell r="F842">
            <v>0</v>
          </cell>
          <cell r="G842">
            <v>0.39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 t="b">
            <v>0</v>
          </cell>
        </row>
        <row r="843">
          <cell r="A843" t="str">
            <v>Data split-7;Reg-79</v>
          </cell>
          <cell r="B843">
            <v>0.92</v>
          </cell>
          <cell r="C843">
            <v>0</v>
          </cell>
          <cell r="D843">
            <v>0.53</v>
          </cell>
          <cell r="E843">
            <v>0</v>
          </cell>
          <cell r="F843">
            <v>0</v>
          </cell>
          <cell r="G843">
            <v>0</v>
          </cell>
          <cell r="H843">
            <v>0.37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 t="b">
            <v>0</v>
          </cell>
        </row>
        <row r="844">
          <cell r="A844" t="str">
            <v>Data split-7;Reg-80</v>
          </cell>
          <cell r="B844">
            <v>-0.27</v>
          </cell>
          <cell r="C844">
            <v>0.9</v>
          </cell>
          <cell r="D844">
            <v>0</v>
          </cell>
          <cell r="E844">
            <v>0</v>
          </cell>
          <cell r="F844">
            <v>0</v>
          </cell>
          <cell r="G844">
            <v>0</v>
          </cell>
          <cell r="H844">
            <v>0</v>
          </cell>
          <cell r="I844">
            <v>0.43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 t="b">
            <v>0</v>
          </cell>
        </row>
        <row r="845">
          <cell r="A845" t="str">
            <v>Data split-7;Reg-81</v>
          </cell>
          <cell r="B845">
            <v>-10.7</v>
          </cell>
          <cell r="C845">
            <v>0.32</v>
          </cell>
          <cell r="D845">
            <v>0</v>
          </cell>
          <cell r="E845">
            <v>0</v>
          </cell>
          <cell r="F845">
            <v>0</v>
          </cell>
          <cell r="G845">
            <v>0</v>
          </cell>
          <cell r="H845">
            <v>0</v>
          </cell>
          <cell r="I845">
            <v>0</v>
          </cell>
          <cell r="J845">
            <v>27.7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 t="b">
            <v>0</v>
          </cell>
        </row>
        <row r="846">
          <cell r="A846" t="str">
            <v>Data split-7;Reg-82</v>
          </cell>
          <cell r="B846">
            <v>-0.5</v>
          </cell>
          <cell r="C846">
            <v>0</v>
          </cell>
          <cell r="D846">
            <v>0.71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0.49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 t="b">
            <v>0</v>
          </cell>
        </row>
        <row r="847">
          <cell r="A847" t="str">
            <v>Data split-7;Reg-83</v>
          </cell>
          <cell r="B847">
            <v>-8.5</v>
          </cell>
          <cell r="C847">
            <v>0</v>
          </cell>
          <cell r="D847">
            <v>0.4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21.8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 t="b">
            <v>0</v>
          </cell>
        </row>
        <row r="848">
          <cell r="A848" t="str">
            <v>Data split-7;Reg-84</v>
          </cell>
          <cell r="B848">
            <v>0.44</v>
          </cell>
          <cell r="C848">
            <v>1</v>
          </cell>
          <cell r="D848">
            <v>0</v>
          </cell>
          <cell r="E848">
            <v>0</v>
          </cell>
          <cell r="F848">
            <v>0</v>
          </cell>
          <cell r="G848">
            <v>0</v>
          </cell>
          <cell r="H848">
            <v>0</v>
          </cell>
          <cell r="I848">
            <v>0</v>
          </cell>
          <cell r="J848">
            <v>0</v>
          </cell>
          <cell r="K848">
            <v>4.5999999999999999E-2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 t="b">
            <v>0</v>
          </cell>
        </row>
        <row r="849">
          <cell r="A849" t="str">
            <v>Data split-7;Reg-85</v>
          </cell>
          <cell r="B849">
            <v>-2.8</v>
          </cell>
          <cell r="C849">
            <v>0.46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18.8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 t="b">
            <v>0</v>
          </cell>
        </row>
        <row r="850">
          <cell r="A850" t="str">
            <v>Data split-7;Reg-86</v>
          </cell>
          <cell r="B850">
            <v>0.33</v>
          </cell>
          <cell r="C850">
            <v>0</v>
          </cell>
          <cell r="D850">
            <v>0.75</v>
          </cell>
          <cell r="E850">
            <v>0</v>
          </cell>
          <cell r="F850">
            <v>0</v>
          </cell>
          <cell r="G850">
            <v>0</v>
          </cell>
          <cell r="H850">
            <v>0</v>
          </cell>
          <cell r="I850">
            <v>0</v>
          </cell>
          <cell r="J850">
            <v>0</v>
          </cell>
          <cell r="K850">
            <v>0.31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 t="b">
            <v>0</v>
          </cell>
        </row>
        <row r="851">
          <cell r="A851" t="str">
            <v>Data split-7;Reg-87</v>
          </cell>
          <cell r="B851">
            <v>-2.2000000000000002</v>
          </cell>
          <cell r="C851">
            <v>0</v>
          </cell>
          <cell r="D851">
            <v>0.52</v>
          </cell>
          <cell r="E851">
            <v>0</v>
          </cell>
          <cell r="F851">
            <v>0</v>
          </cell>
          <cell r="G851">
            <v>0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13.6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 t="b">
            <v>0</v>
          </cell>
        </row>
        <row r="852">
          <cell r="A852" t="str">
            <v>Data split-7;Reg-88</v>
          </cell>
          <cell r="B852">
            <v>0.83</v>
          </cell>
          <cell r="C852">
            <v>0.95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4.8999999999999998E-3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 t="b">
            <v>0</v>
          </cell>
        </row>
        <row r="853">
          <cell r="A853" t="str">
            <v>Data split-7;Reg-89</v>
          </cell>
          <cell r="B853">
            <v>0.97</v>
          </cell>
          <cell r="C853">
            <v>0.88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1.9E-3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 t="b">
            <v>0</v>
          </cell>
        </row>
        <row r="854">
          <cell r="A854" t="str">
            <v>Data split-7;Reg-90</v>
          </cell>
          <cell r="B854">
            <v>0.08</v>
          </cell>
          <cell r="C854">
            <v>0</v>
          </cell>
          <cell r="D854">
            <v>0.9</v>
          </cell>
          <cell r="E854">
            <v>0</v>
          </cell>
          <cell r="F854">
            <v>0</v>
          </cell>
          <cell r="G854">
            <v>0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-4.0000000000000001E-3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 t="b">
            <v>0</v>
          </cell>
        </row>
        <row r="855">
          <cell r="A855" t="str">
            <v>Data split-7;Reg-91</v>
          </cell>
          <cell r="B855">
            <v>0.28999999999999998</v>
          </cell>
          <cell r="C855">
            <v>0</v>
          </cell>
          <cell r="D855">
            <v>0.86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-4.2000000000000002E-4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 t="b">
            <v>0</v>
          </cell>
        </row>
        <row r="856">
          <cell r="A856" t="str">
            <v>Data split-7;Reg-92</v>
          </cell>
          <cell r="B856">
            <v>8.5000000000000006E-2</v>
          </cell>
          <cell r="C856">
            <v>1.2</v>
          </cell>
          <cell r="D856">
            <v>0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-1.0999999999999999E-2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 t="b">
            <v>0</v>
          </cell>
        </row>
        <row r="857">
          <cell r="A857" t="str">
            <v>Data split-7;Reg-93</v>
          </cell>
          <cell r="B857">
            <v>0.19</v>
          </cell>
          <cell r="C857">
            <v>1.2</v>
          </cell>
          <cell r="D857">
            <v>0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-2.5000000000000001E-3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 t="b">
            <v>0</v>
          </cell>
        </row>
        <row r="858">
          <cell r="A858" t="str">
            <v>Data split-7;Reg-94</v>
          </cell>
          <cell r="B858">
            <v>0.42</v>
          </cell>
          <cell r="C858">
            <v>0</v>
          </cell>
          <cell r="D858">
            <v>0.82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1.2999999999999999E-3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 t="b">
            <v>0</v>
          </cell>
        </row>
        <row r="859">
          <cell r="A859" t="str">
            <v>Data split-7;Reg-95</v>
          </cell>
          <cell r="B859">
            <v>0.41</v>
          </cell>
          <cell r="C859">
            <v>0</v>
          </cell>
          <cell r="D859">
            <v>0.81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6.8999999999999997E-4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 t="b">
            <v>0</v>
          </cell>
        </row>
        <row r="860">
          <cell r="A860" t="str">
            <v>Data split-7;Reg-96</v>
          </cell>
          <cell r="B860">
            <v>0.3</v>
          </cell>
          <cell r="C860">
            <v>0.53</v>
          </cell>
          <cell r="D860">
            <v>0</v>
          </cell>
          <cell r="E860">
            <v>0.32</v>
          </cell>
          <cell r="F860">
            <v>0</v>
          </cell>
          <cell r="G860">
            <v>0</v>
          </cell>
          <cell r="H860">
            <v>0</v>
          </cell>
          <cell r="I860">
            <v>2.5999999999999999E-2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 t="b">
            <v>0</v>
          </cell>
        </row>
        <row r="861">
          <cell r="A861" t="str">
            <v>Data split-7;Reg-97</v>
          </cell>
          <cell r="B861">
            <v>-9.6</v>
          </cell>
          <cell r="C861">
            <v>0.17</v>
          </cell>
          <cell r="D861">
            <v>0</v>
          </cell>
          <cell r="E861">
            <v>0.14000000000000001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24.9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 t="b">
            <v>0</v>
          </cell>
        </row>
        <row r="862">
          <cell r="A862" t="str">
            <v>Data split-7;Reg-98</v>
          </cell>
          <cell r="B862">
            <v>-7.2</v>
          </cell>
          <cell r="C862">
            <v>0.64</v>
          </cell>
          <cell r="D862">
            <v>0</v>
          </cell>
          <cell r="E862">
            <v>0</v>
          </cell>
          <cell r="F862">
            <v>-0.14000000000000001</v>
          </cell>
          <cell r="G862">
            <v>0</v>
          </cell>
          <cell r="H862">
            <v>0</v>
          </cell>
          <cell r="I862">
            <v>2.9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 t="b">
            <v>0</v>
          </cell>
        </row>
        <row r="863">
          <cell r="A863" t="str">
            <v>Data split-7;Reg-99</v>
          </cell>
          <cell r="B863">
            <v>-14.7</v>
          </cell>
          <cell r="C863">
            <v>0.34</v>
          </cell>
          <cell r="D863">
            <v>0</v>
          </cell>
          <cell r="E863">
            <v>0</v>
          </cell>
          <cell r="F863">
            <v>-0.05</v>
          </cell>
          <cell r="G863">
            <v>0</v>
          </cell>
          <cell r="H863">
            <v>0</v>
          </cell>
          <cell r="I863">
            <v>0</v>
          </cell>
          <cell r="J863">
            <v>35.200000000000003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 t="b">
            <v>0</v>
          </cell>
        </row>
        <row r="864">
          <cell r="A864" t="str">
            <v>Data split-7;Reg-100</v>
          </cell>
          <cell r="B864">
            <v>-0.86</v>
          </cell>
          <cell r="C864">
            <v>0</v>
          </cell>
          <cell r="D864">
            <v>0.89</v>
          </cell>
          <cell r="E864">
            <v>-0.18</v>
          </cell>
          <cell r="F864">
            <v>0</v>
          </cell>
          <cell r="G864">
            <v>0</v>
          </cell>
          <cell r="H864">
            <v>0</v>
          </cell>
          <cell r="I864">
            <v>0.7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 t="b">
            <v>0</v>
          </cell>
        </row>
        <row r="865">
          <cell r="A865" t="str">
            <v>Data split-7;Reg-101</v>
          </cell>
          <cell r="B865">
            <v>-9</v>
          </cell>
          <cell r="C865">
            <v>0</v>
          </cell>
          <cell r="D865">
            <v>0.53</v>
          </cell>
          <cell r="E865">
            <v>-0.12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23.2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 t="b">
            <v>0</v>
          </cell>
        </row>
        <row r="866">
          <cell r="A866" t="str">
            <v>Data split-7;Reg-102</v>
          </cell>
          <cell r="B866">
            <v>-5.0999999999999996</v>
          </cell>
          <cell r="C866">
            <v>0</v>
          </cell>
          <cell r="D866">
            <v>0.54</v>
          </cell>
          <cell r="E866">
            <v>0</v>
          </cell>
          <cell r="F866">
            <v>-9.1999999999999998E-2</v>
          </cell>
          <cell r="G866">
            <v>0</v>
          </cell>
          <cell r="H866">
            <v>0</v>
          </cell>
          <cell r="I866">
            <v>2.2000000000000002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 t="b">
            <v>0</v>
          </cell>
        </row>
        <row r="867">
          <cell r="A867" t="str">
            <v>Data split-7;Reg-103</v>
          </cell>
          <cell r="B867">
            <v>-12.7</v>
          </cell>
          <cell r="C867">
            <v>0</v>
          </cell>
          <cell r="D867">
            <v>0.32</v>
          </cell>
          <cell r="E867">
            <v>0</v>
          </cell>
          <cell r="F867">
            <v>-3.6999999999999998E-2</v>
          </cell>
          <cell r="G867">
            <v>0</v>
          </cell>
          <cell r="H867">
            <v>0</v>
          </cell>
          <cell r="I867">
            <v>0</v>
          </cell>
          <cell r="J867">
            <v>30.8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 t="b">
            <v>0</v>
          </cell>
        </row>
        <row r="868">
          <cell r="A868" t="str">
            <v>Data split-7;Reg-104</v>
          </cell>
          <cell r="B868">
            <v>0.32</v>
          </cell>
          <cell r="C868">
            <v>0.62</v>
          </cell>
          <cell r="D868">
            <v>0</v>
          </cell>
          <cell r="E868">
            <v>0.38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-0.44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 t="b">
            <v>0</v>
          </cell>
        </row>
        <row r="869">
          <cell r="A869" t="str">
            <v>Data split-7;Reg-105</v>
          </cell>
          <cell r="B869">
            <v>-2.5</v>
          </cell>
          <cell r="C869">
            <v>9.1999999999999998E-2</v>
          </cell>
          <cell r="D869">
            <v>0</v>
          </cell>
          <cell r="E869">
            <v>0.27</v>
          </cell>
          <cell r="F869">
            <v>0</v>
          </cell>
          <cell r="G869">
            <v>0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16.5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 t="b">
            <v>0</v>
          </cell>
        </row>
        <row r="870">
          <cell r="A870" t="str">
            <v>Data split-7;Reg-106</v>
          </cell>
          <cell r="B870">
            <v>-0.44</v>
          </cell>
          <cell r="C870">
            <v>0.9</v>
          </cell>
          <cell r="D870">
            <v>0</v>
          </cell>
          <cell r="E870">
            <v>0</v>
          </cell>
          <cell r="F870">
            <v>-4.3999999999999997E-2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0.87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 t="b">
            <v>0</v>
          </cell>
        </row>
        <row r="871">
          <cell r="A871" t="str">
            <v>Data split-7;Reg-107</v>
          </cell>
          <cell r="B871">
            <v>-3.3</v>
          </cell>
          <cell r="C871">
            <v>0.52</v>
          </cell>
          <cell r="D871">
            <v>0</v>
          </cell>
          <cell r="E871">
            <v>0</v>
          </cell>
          <cell r="F871">
            <v>-1.7999999999999999E-2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19.5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 t="b">
            <v>0</v>
          </cell>
        </row>
        <row r="872">
          <cell r="A872" t="str">
            <v>Data split-7;Reg-108</v>
          </cell>
          <cell r="B872">
            <v>0.32</v>
          </cell>
          <cell r="C872">
            <v>0</v>
          </cell>
          <cell r="D872">
            <v>0.81</v>
          </cell>
          <cell r="E872">
            <v>-6.7000000000000004E-2</v>
          </cell>
          <cell r="F872">
            <v>0</v>
          </cell>
          <cell r="G872">
            <v>0</v>
          </cell>
          <cell r="H872">
            <v>0</v>
          </cell>
          <cell r="I872">
            <v>0</v>
          </cell>
          <cell r="J872">
            <v>0</v>
          </cell>
          <cell r="K872">
            <v>0.39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 t="b">
            <v>0</v>
          </cell>
        </row>
        <row r="873">
          <cell r="A873" t="str">
            <v>Data split-7;Reg-109</v>
          </cell>
          <cell r="B873">
            <v>-2.2000000000000002</v>
          </cell>
          <cell r="C873">
            <v>0</v>
          </cell>
          <cell r="D873">
            <v>0.55000000000000004</v>
          </cell>
          <cell r="E873">
            <v>-2.5000000000000001E-2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13.8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 t="b">
            <v>0</v>
          </cell>
        </row>
        <row r="874">
          <cell r="A874" t="str">
            <v>Data split-7;Reg-110</v>
          </cell>
          <cell r="B874">
            <v>2.5000000000000001E-2</v>
          </cell>
          <cell r="C874">
            <v>0</v>
          </cell>
          <cell r="D874">
            <v>0.71</v>
          </cell>
          <cell r="E874">
            <v>0</v>
          </cell>
          <cell r="F874">
            <v>-1.4999999999999999E-2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0.57999999999999996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 t="b">
            <v>0</v>
          </cell>
        </row>
        <row r="875">
          <cell r="A875" t="str">
            <v>Data split-7;Reg-111</v>
          </cell>
          <cell r="B875">
            <v>-2.5</v>
          </cell>
          <cell r="C875">
            <v>0</v>
          </cell>
          <cell r="D875">
            <v>0.52</v>
          </cell>
          <cell r="E875">
            <v>0</v>
          </cell>
          <cell r="F875">
            <v>-7.1999999999999998E-3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14.6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 t="b">
            <v>0</v>
          </cell>
        </row>
        <row r="876">
          <cell r="A876" t="str">
            <v>Data split-7;Reg-112</v>
          </cell>
          <cell r="B876">
            <v>1.7</v>
          </cell>
          <cell r="C876">
            <v>0.51</v>
          </cell>
          <cell r="D876">
            <v>0</v>
          </cell>
          <cell r="E876">
            <v>0</v>
          </cell>
          <cell r="F876">
            <v>0</v>
          </cell>
          <cell r="G876">
            <v>0.75</v>
          </cell>
          <cell r="H876">
            <v>0</v>
          </cell>
          <cell r="I876">
            <v>-0.8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 t="b">
            <v>0</v>
          </cell>
        </row>
        <row r="877">
          <cell r="A877" t="str">
            <v>Data split-7;Reg-113</v>
          </cell>
          <cell r="B877">
            <v>-8.1999999999999993</v>
          </cell>
          <cell r="C877">
            <v>0.2</v>
          </cell>
          <cell r="D877">
            <v>0</v>
          </cell>
          <cell r="E877">
            <v>0</v>
          </cell>
          <cell r="F877">
            <v>0</v>
          </cell>
          <cell r="G877">
            <v>0.26</v>
          </cell>
          <cell r="H877">
            <v>0</v>
          </cell>
          <cell r="I877">
            <v>0</v>
          </cell>
          <cell r="J877">
            <v>21.5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 t="b">
            <v>0</v>
          </cell>
        </row>
        <row r="878">
          <cell r="A878" t="str">
            <v>Data split-7;Reg-114</v>
          </cell>
          <cell r="B878">
            <v>2.6</v>
          </cell>
          <cell r="C878">
            <v>0.56000000000000005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0.72</v>
          </cell>
          <cell r="I878">
            <v>-0.7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 t="b">
            <v>0</v>
          </cell>
        </row>
        <row r="879">
          <cell r="A879" t="str">
            <v>Data split-7;Reg-115</v>
          </cell>
          <cell r="B879">
            <v>-7.9</v>
          </cell>
          <cell r="C879">
            <v>0.23</v>
          </cell>
          <cell r="D879">
            <v>0</v>
          </cell>
          <cell r="E879">
            <v>0</v>
          </cell>
          <cell r="F879">
            <v>0</v>
          </cell>
          <cell r="G879">
            <v>0</v>
          </cell>
          <cell r="H879">
            <v>0.25</v>
          </cell>
          <cell r="I879">
            <v>0</v>
          </cell>
          <cell r="J879">
            <v>21.6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 t="b">
            <v>0</v>
          </cell>
        </row>
        <row r="880">
          <cell r="A880" t="str">
            <v>Data split-7;Reg-116</v>
          </cell>
          <cell r="B880">
            <v>0.92</v>
          </cell>
          <cell r="C880">
            <v>0</v>
          </cell>
          <cell r="D880">
            <v>0.48</v>
          </cell>
          <cell r="E880">
            <v>0</v>
          </cell>
          <cell r="F880">
            <v>0</v>
          </cell>
          <cell r="G880">
            <v>0.51</v>
          </cell>
          <cell r="H880">
            <v>0</v>
          </cell>
          <cell r="I880">
            <v>-0.32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 t="b">
            <v>0</v>
          </cell>
        </row>
        <row r="881">
          <cell r="A881" t="str">
            <v>Data split-7;Reg-117</v>
          </cell>
          <cell r="B881">
            <v>-7.2</v>
          </cell>
          <cell r="C881">
            <v>0</v>
          </cell>
          <cell r="D881">
            <v>0.34</v>
          </cell>
          <cell r="E881">
            <v>0</v>
          </cell>
          <cell r="F881">
            <v>0</v>
          </cell>
          <cell r="G881">
            <v>0.14000000000000001</v>
          </cell>
          <cell r="H881">
            <v>0</v>
          </cell>
          <cell r="I881">
            <v>0</v>
          </cell>
          <cell r="J881">
            <v>18.600000000000001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 t="b">
            <v>0</v>
          </cell>
        </row>
        <row r="882">
          <cell r="A882" t="str">
            <v>Data split-7;Reg-118</v>
          </cell>
          <cell r="B882">
            <v>1.1000000000000001</v>
          </cell>
          <cell r="C882">
            <v>0</v>
          </cell>
          <cell r="D882">
            <v>0.52</v>
          </cell>
          <cell r="E882">
            <v>0</v>
          </cell>
          <cell r="F882">
            <v>0</v>
          </cell>
          <cell r="G882">
            <v>0</v>
          </cell>
          <cell r="H882">
            <v>0.41</v>
          </cell>
          <cell r="I882">
            <v>-8.3000000000000004E-2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 t="b">
            <v>0</v>
          </cell>
        </row>
        <row r="883">
          <cell r="A883" t="str">
            <v>Data split-7;Reg-119</v>
          </cell>
          <cell r="B883">
            <v>-7.6</v>
          </cell>
          <cell r="C883">
            <v>0</v>
          </cell>
          <cell r="D883">
            <v>0.36</v>
          </cell>
          <cell r="E883">
            <v>0</v>
          </cell>
          <cell r="F883">
            <v>0</v>
          </cell>
          <cell r="G883">
            <v>0</v>
          </cell>
          <cell r="H883">
            <v>9.2999999999999999E-2</v>
          </cell>
          <cell r="I883">
            <v>0</v>
          </cell>
          <cell r="J883">
            <v>20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 t="b">
            <v>0</v>
          </cell>
        </row>
        <row r="884">
          <cell r="A884" t="str">
            <v>Data split-7;Reg-120</v>
          </cell>
          <cell r="B884">
            <v>0.37</v>
          </cell>
          <cell r="C884">
            <v>0.68</v>
          </cell>
          <cell r="D884">
            <v>0</v>
          </cell>
          <cell r="E884">
            <v>0</v>
          </cell>
          <cell r="F884">
            <v>0</v>
          </cell>
          <cell r="G884">
            <v>0.89</v>
          </cell>
          <cell r="H884">
            <v>0</v>
          </cell>
          <cell r="I884">
            <v>0</v>
          </cell>
          <cell r="J884">
            <v>0</v>
          </cell>
          <cell r="K884">
            <v>-1.5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 t="b">
            <v>0</v>
          </cell>
        </row>
        <row r="885">
          <cell r="A885" t="str">
            <v>Data split-7;Reg-121</v>
          </cell>
          <cell r="B885">
            <v>-1.6</v>
          </cell>
          <cell r="C885">
            <v>0.21</v>
          </cell>
          <cell r="D885">
            <v>0</v>
          </cell>
          <cell r="E885">
            <v>0</v>
          </cell>
          <cell r="F885">
            <v>0</v>
          </cell>
          <cell r="G885">
            <v>0.43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11.8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 t="b">
            <v>0</v>
          </cell>
        </row>
        <row r="886">
          <cell r="A886" t="str">
            <v>Data split-7;Reg-122</v>
          </cell>
          <cell r="B886">
            <v>1.5</v>
          </cell>
          <cell r="C886">
            <v>0.73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0.83</v>
          </cell>
          <cell r="I886">
            <v>0</v>
          </cell>
          <cell r="J886">
            <v>0</v>
          </cell>
          <cell r="K886">
            <v>-1.3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 t="b">
            <v>0</v>
          </cell>
        </row>
        <row r="887">
          <cell r="A887" t="str">
            <v>Data split-7;Reg-123</v>
          </cell>
          <cell r="B887">
            <v>-1</v>
          </cell>
          <cell r="C887">
            <v>0.24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0.43</v>
          </cell>
          <cell r="I887">
            <v>0</v>
          </cell>
          <cell r="J887">
            <v>0</v>
          </cell>
          <cell r="K887">
            <v>0</v>
          </cell>
          <cell r="L887">
            <v>11.6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 t="b">
            <v>0</v>
          </cell>
        </row>
        <row r="888">
          <cell r="A888" t="str">
            <v>Data split-7;Reg-124</v>
          </cell>
          <cell r="B888">
            <v>0.49</v>
          </cell>
          <cell r="C888">
            <v>0</v>
          </cell>
          <cell r="D888">
            <v>0.48</v>
          </cell>
          <cell r="E888">
            <v>0</v>
          </cell>
          <cell r="F888">
            <v>0</v>
          </cell>
          <cell r="G888">
            <v>0.66</v>
          </cell>
          <cell r="H888">
            <v>0</v>
          </cell>
          <cell r="I888">
            <v>0</v>
          </cell>
          <cell r="J888">
            <v>0</v>
          </cell>
          <cell r="K888">
            <v>-0.73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 t="b">
            <v>0</v>
          </cell>
        </row>
        <row r="889">
          <cell r="A889" t="str">
            <v>Data split-7;Reg-125</v>
          </cell>
          <cell r="B889">
            <v>-1.4</v>
          </cell>
          <cell r="C889">
            <v>0</v>
          </cell>
          <cell r="D889">
            <v>0.38</v>
          </cell>
          <cell r="E889">
            <v>0</v>
          </cell>
          <cell r="F889">
            <v>0</v>
          </cell>
          <cell r="G889">
            <v>0.28000000000000003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9.4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 t="b">
            <v>0</v>
          </cell>
        </row>
        <row r="890">
          <cell r="A890" t="str">
            <v>Data split-7;Reg-126</v>
          </cell>
          <cell r="B890">
            <v>1.2</v>
          </cell>
          <cell r="C890">
            <v>0</v>
          </cell>
          <cell r="D890">
            <v>0.52</v>
          </cell>
          <cell r="E890">
            <v>0</v>
          </cell>
          <cell r="F890">
            <v>0</v>
          </cell>
          <cell r="G890">
            <v>0</v>
          </cell>
          <cell r="H890">
            <v>0.53</v>
          </cell>
          <cell r="I890">
            <v>0</v>
          </cell>
          <cell r="J890">
            <v>0</v>
          </cell>
          <cell r="K890">
            <v>-0.41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 t="b">
            <v>0</v>
          </cell>
        </row>
        <row r="891">
          <cell r="A891" t="str">
            <v>Data split-7;Reg-127</v>
          </cell>
          <cell r="B891">
            <v>-1.3</v>
          </cell>
          <cell r="C891">
            <v>0</v>
          </cell>
          <cell r="D891">
            <v>0.39</v>
          </cell>
          <cell r="E891">
            <v>0</v>
          </cell>
          <cell r="F891">
            <v>0</v>
          </cell>
          <cell r="G891">
            <v>0</v>
          </cell>
          <cell r="H891">
            <v>0.25</v>
          </cell>
          <cell r="I891">
            <v>0</v>
          </cell>
          <cell r="J891">
            <v>0</v>
          </cell>
          <cell r="K891">
            <v>0</v>
          </cell>
          <cell r="L891">
            <v>10.6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 t="b">
            <v>0</v>
          </cell>
        </row>
        <row r="892">
          <cell r="A892" t="str">
            <v>Data split-8;Reg-1</v>
          </cell>
          <cell r="B892">
            <v>-1.9</v>
          </cell>
          <cell r="C892">
            <v>0.77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0.62</v>
          </cell>
          <cell r="I892">
            <v>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-1.7999999999999999E-2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 t="b">
            <v>1</v>
          </cell>
        </row>
        <row r="893">
          <cell r="A893" t="str">
            <v>Data split-8;Reg-2</v>
          </cell>
          <cell r="B893">
            <v>-5.4</v>
          </cell>
          <cell r="C893">
            <v>0.17</v>
          </cell>
          <cell r="D893">
            <v>0</v>
          </cell>
          <cell r="E893">
            <v>0</v>
          </cell>
          <cell r="F893">
            <v>-5.1999999999999998E-2</v>
          </cell>
          <cell r="G893">
            <v>1.8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-0.01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 t="b">
            <v>0</v>
          </cell>
        </row>
        <row r="894">
          <cell r="A894" t="str">
            <v>Data split-8;Reg-3</v>
          </cell>
          <cell r="B894">
            <v>-3.4</v>
          </cell>
          <cell r="C894">
            <v>0.45</v>
          </cell>
          <cell r="D894">
            <v>0</v>
          </cell>
          <cell r="E894">
            <v>0</v>
          </cell>
          <cell r="F894">
            <v>-0.05</v>
          </cell>
          <cell r="G894">
            <v>0</v>
          </cell>
          <cell r="H894">
            <v>1.6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-3.6999999999999998E-2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 t="b">
            <v>0</v>
          </cell>
        </row>
        <row r="895">
          <cell r="A895" t="str">
            <v>Data split-8;Reg-4</v>
          </cell>
          <cell r="B895">
            <v>-3</v>
          </cell>
          <cell r="C895">
            <v>0.48</v>
          </cell>
          <cell r="D895">
            <v>0</v>
          </cell>
          <cell r="E895">
            <v>0</v>
          </cell>
          <cell r="F895">
            <v>-5.7000000000000002E-2</v>
          </cell>
          <cell r="G895">
            <v>0</v>
          </cell>
          <cell r="H895">
            <v>1.7</v>
          </cell>
          <cell r="I895">
            <v>0</v>
          </cell>
          <cell r="J895">
            <v>0</v>
          </cell>
          <cell r="K895">
            <v>0</v>
          </cell>
          <cell r="L895">
            <v>0</v>
          </cell>
          <cell r="M895">
            <v>0</v>
          </cell>
          <cell r="N895">
            <v>-9.7999999999999997E-3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 t="b">
            <v>0</v>
          </cell>
        </row>
        <row r="896">
          <cell r="A896" t="str">
            <v>Data split-8;Reg-5</v>
          </cell>
          <cell r="B896">
            <v>-5.0999999999999996</v>
          </cell>
          <cell r="C896">
            <v>0</v>
          </cell>
          <cell r="D896">
            <v>0.23</v>
          </cell>
          <cell r="E896">
            <v>0</v>
          </cell>
          <cell r="F896">
            <v>-3.2000000000000001E-2</v>
          </cell>
          <cell r="G896">
            <v>1.8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-1.2E-2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 t="b">
            <v>0</v>
          </cell>
        </row>
        <row r="897">
          <cell r="A897" t="str">
            <v>Data split-8;Reg-6</v>
          </cell>
          <cell r="B897">
            <v>-2.7</v>
          </cell>
          <cell r="C897">
            <v>0</v>
          </cell>
          <cell r="D897">
            <v>0.35</v>
          </cell>
          <cell r="E897">
            <v>0</v>
          </cell>
          <cell r="F897">
            <v>-2.5000000000000001E-2</v>
          </cell>
          <cell r="G897">
            <v>0</v>
          </cell>
          <cell r="H897">
            <v>1.8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-1.2999999999999999E-2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 t="b">
            <v>0</v>
          </cell>
        </row>
        <row r="898">
          <cell r="A898" t="str">
            <v>Data split-8;Reg-7</v>
          </cell>
          <cell r="B898">
            <v>-1.9</v>
          </cell>
          <cell r="C898">
            <v>0.69</v>
          </cell>
          <cell r="D898">
            <v>0</v>
          </cell>
          <cell r="E898">
            <v>0</v>
          </cell>
          <cell r="F898">
            <v>0</v>
          </cell>
          <cell r="G898">
            <v>0</v>
          </cell>
          <cell r="H898">
            <v>0.51</v>
          </cell>
          <cell r="I898">
            <v>0.61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-2.1000000000000001E-2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 t="b">
            <v>0</v>
          </cell>
        </row>
        <row r="899">
          <cell r="A899" t="str">
            <v>Data split-8;Reg-8</v>
          </cell>
          <cell r="B899">
            <v>-1.7</v>
          </cell>
          <cell r="C899">
            <v>0.75</v>
          </cell>
          <cell r="D899">
            <v>0</v>
          </cell>
          <cell r="E899">
            <v>0</v>
          </cell>
          <cell r="F899">
            <v>0</v>
          </cell>
          <cell r="G899">
            <v>0</v>
          </cell>
          <cell r="H899">
            <v>0.48</v>
          </cell>
          <cell r="I899">
            <v>0.53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-4.7999999999999996E-3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 t="b">
            <v>0</v>
          </cell>
        </row>
        <row r="900">
          <cell r="A900" t="str">
            <v>Data split-8;Reg-9</v>
          </cell>
          <cell r="B900">
            <v>0.24</v>
          </cell>
          <cell r="C900">
            <v>0.9</v>
          </cell>
          <cell r="D900">
            <v>0</v>
          </cell>
          <cell r="E900">
            <v>0</v>
          </cell>
          <cell r="F900">
            <v>0</v>
          </cell>
          <cell r="G900">
            <v>-0.55000000000000004</v>
          </cell>
          <cell r="H900">
            <v>0</v>
          </cell>
          <cell r="I900">
            <v>-0.19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1.0999999999999999E-2</v>
          </cell>
          <cell r="S900">
            <v>0</v>
          </cell>
          <cell r="T900">
            <v>0</v>
          </cell>
          <cell r="U900" t="b">
            <v>0</v>
          </cell>
        </row>
        <row r="901">
          <cell r="A901" t="str">
            <v>Data split-8;Reg-10</v>
          </cell>
          <cell r="B901">
            <v>-1.7</v>
          </cell>
          <cell r="C901">
            <v>0.65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0.62</v>
          </cell>
          <cell r="I901">
            <v>0</v>
          </cell>
          <cell r="J901">
            <v>0</v>
          </cell>
          <cell r="K901">
            <v>0.18</v>
          </cell>
          <cell r="L901">
            <v>0</v>
          </cell>
          <cell r="M901">
            <v>0</v>
          </cell>
          <cell r="N901">
            <v>0</v>
          </cell>
          <cell r="O901">
            <v>-1.7000000000000001E-2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 t="b">
            <v>0</v>
          </cell>
        </row>
        <row r="902">
          <cell r="A902" t="str">
            <v>Data split-8;Reg-11</v>
          </cell>
          <cell r="B902">
            <v>-1.2</v>
          </cell>
          <cell r="C902">
            <v>0.93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0</v>
          </cell>
          <cell r="I902">
            <v>0.53</v>
          </cell>
          <cell r="J902">
            <v>0</v>
          </cell>
          <cell r="K902">
            <v>0.12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 t="b">
            <v>0</v>
          </cell>
        </row>
        <row r="903">
          <cell r="A903" t="str">
            <v>Data split-8;Reg-12</v>
          </cell>
          <cell r="B903">
            <v>-1.2</v>
          </cell>
          <cell r="C903">
            <v>0.92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0.56000000000000005</v>
          </cell>
          <cell r="J903">
            <v>0</v>
          </cell>
          <cell r="K903">
            <v>0</v>
          </cell>
          <cell r="L903">
            <v>0.95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 t="b">
            <v>0</v>
          </cell>
        </row>
        <row r="904">
          <cell r="A904" t="str">
            <v>Data split-8;Reg-13</v>
          </cell>
          <cell r="B904">
            <v>-5.4</v>
          </cell>
          <cell r="C904">
            <v>0.43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0</v>
          </cell>
          <cell r="I904">
            <v>0</v>
          </cell>
          <cell r="J904">
            <v>44.7</v>
          </cell>
          <cell r="K904">
            <v>-1.2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 t="b">
            <v>0</v>
          </cell>
        </row>
        <row r="905">
          <cell r="A905" t="str">
            <v>Data split-8;Reg-14</v>
          </cell>
          <cell r="B905">
            <v>-3.8</v>
          </cell>
          <cell r="C905">
            <v>0.42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0</v>
          </cell>
          <cell r="I905">
            <v>0</v>
          </cell>
          <cell r="J905">
            <v>31.1</v>
          </cell>
          <cell r="K905">
            <v>0</v>
          </cell>
          <cell r="L905">
            <v>-4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 t="b">
            <v>0</v>
          </cell>
        </row>
        <row r="906">
          <cell r="A906" t="str">
            <v>Data split-8;Reg-15</v>
          </cell>
          <cell r="B906">
            <v>-0.9</v>
          </cell>
          <cell r="C906">
            <v>0.89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-1.2E-2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1.6E-2</v>
          </cell>
          <cell r="R906">
            <v>0</v>
          </cell>
          <cell r="S906">
            <v>0</v>
          </cell>
          <cell r="T906">
            <v>0</v>
          </cell>
          <cell r="U906" t="b">
            <v>0</v>
          </cell>
        </row>
        <row r="907">
          <cell r="A907" t="str">
            <v>Data split-8;Reg-16</v>
          </cell>
          <cell r="B907">
            <v>-1</v>
          </cell>
          <cell r="C907">
            <v>0.78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0</v>
          </cell>
          <cell r="I907">
            <v>-0.32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6.1999999999999998E-3</v>
          </cell>
          <cell r="S907">
            <v>0</v>
          </cell>
          <cell r="T907">
            <v>0</v>
          </cell>
          <cell r="U907" t="b">
            <v>0</v>
          </cell>
        </row>
        <row r="908">
          <cell r="A908" t="str">
            <v>Data split-8;Reg-17</v>
          </cell>
          <cell r="B908">
            <v>-1.8</v>
          </cell>
          <cell r="C908">
            <v>0.62</v>
          </cell>
          <cell r="D908">
            <v>0</v>
          </cell>
          <cell r="E908">
            <v>0</v>
          </cell>
          <cell r="F908">
            <v>0</v>
          </cell>
          <cell r="G908">
            <v>0</v>
          </cell>
          <cell r="H908">
            <v>0</v>
          </cell>
          <cell r="I908">
            <v>0</v>
          </cell>
          <cell r="J908">
            <v>11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9.7000000000000003E-3</v>
          </cell>
          <cell r="R908">
            <v>0</v>
          </cell>
          <cell r="S908">
            <v>0</v>
          </cell>
          <cell r="T908">
            <v>0</v>
          </cell>
          <cell r="U908" t="b">
            <v>0</v>
          </cell>
        </row>
        <row r="909">
          <cell r="A909" t="str">
            <v>Data split-8;Reg-18</v>
          </cell>
          <cell r="B909">
            <v>-1.9</v>
          </cell>
          <cell r="C909">
            <v>0.5</v>
          </cell>
          <cell r="D909">
            <v>0</v>
          </cell>
          <cell r="E909">
            <v>0</v>
          </cell>
          <cell r="F909">
            <v>0</v>
          </cell>
          <cell r="G909">
            <v>0</v>
          </cell>
          <cell r="H909">
            <v>0</v>
          </cell>
          <cell r="I909">
            <v>0</v>
          </cell>
          <cell r="J909">
            <v>9.9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3.8999999999999998E-3</v>
          </cell>
          <cell r="S909">
            <v>0</v>
          </cell>
          <cell r="T909">
            <v>0</v>
          </cell>
          <cell r="U909" t="b">
            <v>0</v>
          </cell>
        </row>
        <row r="910">
          <cell r="A910" t="str">
            <v>Data split-8;Reg-19</v>
          </cell>
          <cell r="B910">
            <v>-0.81</v>
          </cell>
          <cell r="C910">
            <v>0.85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0.15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1.2999999999999999E-2</v>
          </cell>
          <cell r="T910">
            <v>0</v>
          </cell>
          <cell r="U910" t="b">
            <v>0</v>
          </cell>
        </row>
        <row r="911">
          <cell r="A911" t="str">
            <v>Data split-8;Reg-20</v>
          </cell>
          <cell r="B911">
            <v>-0.95</v>
          </cell>
          <cell r="C911">
            <v>0.67</v>
          </cell>
          <cell r="D911">
            <v>0</v>
          </cell>
          <cell r="E911">
            <v>0</v>
          </cell>
          <cell r="F911">
            <v>0</v>
          </cell>
          <cell r="G911">
            <v>0</v>
          </cell>
          <cell r="H911">
            <v>0</v>
          </cell>
          <cell r="I911">
            <v>0</v>
          </cell>
          <cell r="J911">
            <v>0</v>
          </cell>
          <cell r="K911">
            <v>0.16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4.5999999999999999E-3</v>
          </cell>
          <cell r="U911" t="b">
            <v>0</v>
          </cell>
        </row>
        <row r="912">
          <cell r="A912" t="str">
            <v>Data split-8;Reg-21</v>
          </cell>
          <cell r="B912">
            <v>-0.82</v>
          </cell>
          <cell r="C912">
            <v>0.83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1.2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1.4E-2</v>
          </cell>
          <cell r="T912">
            <v>0</v>
          </cell>
          <cell r="U912" t="b">
            <v>0</v>
          </cell>
        </row>
        <row r="913">
          <cell r="A913" t="str">
            <v>Data split-8;Reg-22</v>
          </cell>
          <cell r="B913">
            <v>-0.96</v>
          </cell>
          <cell r="C913">
            <v>0.65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1.3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5.0000000000000001E-3</v>
          </cell>
          <cell r="U913" t="b">
            <v>0</v>
          </cell>
        </row>
        <row r="914">
          <cell r="A914" t="str">
            <v>Data split-8;Reg-23</v>
          </cell>
          <cell r="B914">
            <v>-1.1000000000000001</v>
          </cell>
          <cell r="C914">
            <v>0</v>
          </cell>
          <cell r="D914">
            <v>0.66</v>
          </cell>
          <cell r="E914">
            <v>0</v>
          </cell>
          <cell r="F914">
            <v>0</v>
          </cell>
          <cell r="G914">
            <v>0</v>
          </cell>
          <cell r="H914">
            <v>0</v>
          </cell>
          <cell r="I914">
            <v>0.69</v>
          </cell>
          <cell r="J914">
            <v>0</v>
          </cell>
          <cell r="K914">
            <v>0.21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 t="b">
            <v>0</v>
          </cell>
        </row>
        <row r="915">
          <cell r="A915" t="str">
            <v>Data split-8;Reg-24</v>
          </cell>
          <cell r="B915">
            <v>-1.2</v>
          </cell>
          <cell r="C915">
            <v>0</v>
          </cell>
          <cell r="D915">
            <v>0.66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0.78</v>
          </cell>
          <cell r="J915">
            <v>0</v>
          </cell>
          <cell r="K915">
            <v>0</v>
          </cell>
          <cell r="L915">
            <v>1.4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 t="b">
            <v>0</v>
          </cell>
        </row>
        <row r="916">
          <cell r="A916" t="str">
            <v>Data split-8;Reg-25</v>
          </cell>
          <cell r="B916">
            <v>-5.3</v>
          </cell>
          <cell r="C916">
            <v>0</v>
          </cell>
          <cell r="D916">
            <v>0.35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43.4</v>
          </cell>
          <cell r="K916">
            <v>-1.1000000000000001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 t="b">
            <v>0</v>
          </cell>
        </row>
        <row r="917">
          <cell r="A917" t="str">
            <v>Data split-8;Reg-26</v>
          </cell>
          <cell r="B917">
            <v>-3.7</v>
          </cell>
          <cell r="C917">
            <v>0</v>
          </cell>
          <cell r="D917">
            <v>0.37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29.6</v>
          </cell>
          <cell r="K917">
            <v>0</v>
          </cell>
          <cell r="L917">
            <v>-3.6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 t="b">
            <v>0</v>
          </cell>
        </row>
        <row r="918">
          <cell r="A918" t="str">
            <v>Data split-8;Reg-27</v>
          </cell>
          <cell r="B918">
            <v>-1.3</v>
          </cell>
          <cell r="C918">
            <v>0</v>
          </cell>
          <cell r="D918">
            <v>0.66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1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-3.5E-4</v>
          </cell>
          <cell r="R918">
            <v>0</v>
          </cell>
          <cell r="S918">
            <v>0</v>
          </cell>
          <cell r="T918">
            <v>0</v>
          </cell>
          <cell r="U918" t="b">
            <v>0</v>
          </cell>
        </row>
        <row r="919">
          <cell r="A919" t="str">
            <v>Data split-8;Reg-28</v>
          </cell>
          <cell r="B919">
            <v>-1.1000000000000001</v>
          </cell>
          <cell r="C919">
            <v>0</v>
          </cell>
          <cell r="D919">
            <v>0.54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0.6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3.2000000000000002E-3</v>
          </cell>
          <cell r="S919">
            <v>0</v>
          </cell>
          <cell r="T919">
            <v>0</v>
          </cell>
          <cell r="U919" t="b">
            <v>0</v>
          </cell>
        </row>
        <row r="920">
          <cell r="A920" t="str">
            <v>Data split-8;Reg-29</v>
          </cell>
          <cell r="B920">
            <v>-2.2000000000000002</v>
          </cell>
          <cell r="C920">
            <v>0</v>
          </cell>
          <cell r="D920">
            <v>0.54</v>
          </cell>
          <cell r="E920">
            <v>0</v>
          </cell>
          <cell r="F920">
            <v>0</v>
          </cell>
          <cell r="G920">
            <v>0</v>
          </cell>
          <cell r="H920">
            <v>0</v>
          </cell>
          <cell r="I920">
            <v>0</v>
          </cell>
          <cell r="J920">
            <v>14.7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2.2000000000000001E-3</v>
          </cell>
          <cell r="R920">
            <v>0</v>
          </cell>
          <cell r="S920">
            <v>0</v>
          </cell>
          <cell r="T920">
            <v>0</v>
          </cell>
          <cell r="U920" t="b">
            <v>0</v>
          </cell>
        </row>
        <row r="921">
          <cell r="A921" t="str">
            <v>Data split-8;Reg-30</v>
          </cell>
          <cell r="B921">
            <v>-2.1</v>
          </cell>
          <cell r="C921">
            <v>0</v>
          </cell>
          <cell r="D921">
            <v>0.43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13.2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2.5000000000000001E-3</v>
          </cell>
          <cell r="S921">
            <v>0</v>
          </cell>
          <cell r="T921">
            <v>0</v>
          </cell>
          <cell r="U921" t="b">
            <v>0</v>
          </cell>
        </row>
        <row r="922">
          <cell r="A922" t="str">
            <v>Data split-8;Reg-31</v>
          </cell>
          <cell r="B922">
            <v>-0.65</v>
          </cell>
          <cell r="C922">
            <v>0</v>
          </cell>
          <cell r="D922">
            <v>0.68</v>
          </cell>
          <cell r="E922">
            <v>0</v>
          </cell>
          <cell r="F922">
            <v>0</v>
          </cell>
          <cell r="G922">
            <v>0</v>
          </cell>
          <cell r="H922">
            <v>0</v>
          </cell>
          <cell r="I922">
            <v>0</v>
          </cell>
          <cell r="J922">
            <v>0</v>
          </cell>
          <cell r="K922">
            <v>0.32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7.6E-3</v>
          </cell>
          <cell r="T922">
            <v>0</v>
          </cell>
          <cell r="U922" t="b">
            <v>0</v>
          </cell>
        </row>
        <row r="923">
          <cell r="A923" t="str">
            <v>Data split-8;Reg-32</v>
          </cell>
          <cell r="B923">
            <v>-0.74</v>
          </cell>
          <cell r="C923">
            <v>0</v>
          </cell>
          <cell r="D923">
            <v>0.52</v>
          </cell>
          <cell r="E923">
            <v>0</v>
          </cell>
          <cell r="F923">
            <v>0</v>
          </cell>
          <cell r="G923">
            <v>0</v>
          </cell>
          <cell r="H923">
            <v>0</v>
          </cell>
          <cell r="I923">
            <v>0</v>
          </cell>
          <cell r="J923">
            <v>0</v>
          </cell>
          <cell r="K923">
            <v>0.28999999999999998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4.0000000000000001E-3</v>
          </cell>
          <cell r="U923" t="b">
            <v>0</v>
          </cell>
        </row>
        <row r="924">
          <cell r="A924" t="str">
            <v>Data split-8;Reg-33</v>
          </cell>
          <cell r="B924">
            <v>-0.67</v>
          </cell>
          <cell r="C924">
            <v>0</v>
          </cell>
          <cell r="D924">
            <v>0.68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1.9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0.01</v>
          </cell>
          <cell r="T924">
            <v>0</v>
          </cell>
          <cell r="U924" t="b">
            <v>0</v>
          </cell>
        </row>
        <row r="925">
          <cell r="A925" t="str">
            <v>Data split-8;Reg-34</v>
          </cell>
          <cell r="B925">
            <v>-0.79</v>
          </cell>
          <cell r="C925">
            <v>0</v>
          </cell>
          <cell r="D925">
            <v>0.5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1.9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4.7000000000000002E-3</v>
          </cell>
          <cell r="U925" t="b">
            <v>0</v>
          </cell>
        </row>
        <row r="926">
          <cell r="A926" t="str">
            <v>Data split-8;Reg-35</v>
          </cell>
          <cell r="B926">
            <v>-0.66</v>
          </cell>
          <cell r="C926">
            <v>0.86</v>
          </cell>
          <cell r="D926">
            <v>0</v>
          </cell>
          <cell r="E926">
            <v>0</v>
          </cell>
          <cell r="F926">
            <v>0</v>
          </cell>
          <cell r="G926">
            <v>0</v>
          </cell>
          <cell r="H926">
            <v>0</v>
          </cell>
          <cell r="I926">
            <v>-0.32</v>
          </cell>
          <cell r="J926">
            <v>0</v>
          </cell>
          <cell r="K926">
            <v>0.18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1.7999999999999999E-2</v>
          </cell>
          <cell r="R926">
            <v>0</v>
          </cell>
          <cell r="S926">
            <v>0</v>
          </cell>
          <cell r="T926">
            <v>0</v>
          </cell>
          <cell r="U926" t="b">
            <v>0</v>
          </cell>
        </row>
        <row r="927">
          <cell r="A927" t="str">
            <v>Data split-8;Reg-36</v>
          </cell>
          <cell r="B927">
            <v>-0.7</v>
          </cell>
          <cell r="C927">
            <v>0.71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-0.79</v>
          </cell>
          <cell r="J927">
            <v>0</v>
          </cell>
          <cell r="K927">
            <v>0.26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7.1000000000000004E-3</v>
          </cell>
          <cell r="S927">
            <v>0</v>
          </cell>
          <cell r="T927">
            <v>0</v>
          </cell>
          <cell r="U927" t="b">
            <v>0</v>
          </cell>
        </row>
        <row r="928">
          <cell r="A928" t="str">
            <v>Data split-8;Reg-37</v>
          </cell>
          <cell r="B928">
            <v>-0.7</v>
          </cell>
          <cell r="C928">
            <v>0.85</v>
          </cell>
          <cell r="D928">
            <v>0</v>
          </cell>
          <cell r="E928">
            <v>0</v>
          </cell>
          <cell r="F928">
            <v>0</v>
          </cell>
          <cell r="G928">
            <v>0</v>
          </cell>
          <cell r="H928">
            <v>0</v>
          </cell>
          <cell r="I928">
            <v>-0.27</v>
          </cell>
          <cell r="J928">
            <v>0</v>
          </cell>
          <cell r="K928">
            <v>0</v>
          </cell>
          <cell r="L928">
            <v>1.3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1.7999999999999999E-2</v>
          </cell>
          <cell r="R928">
            <v>0</v>
          </cell>
          <cell r="S928">
            <v>0</v>
          </cell>
          <cell r="T928">
            <v>0</v>
          </cell>
          <cell r="U928" t="b">
            <v>0</v>
          </cell>
        </row>
        <row r="929">
          <cell r="A929" t="str">
            <v>Data split-8;Reg-38</v>
          </cell>
          <cell r="B929">
            <v>-0.79</v>
          </cell>
          <cell r="C929">
            <v>0.7</v>
          </cell>
          <cell r="D929">
            <v>0</v>
          </cell>
          <cell r="E929">
            <v>0</v>
          </cell>
          <cell r="F929">
            <v>0</v>
          </cell>
          <cell r="G929">
            <v>0</v>
          </cell>
          <cell r="H929">
            <v>0</v>
          </cell>
          <cell r="I929">
            <v>-0.68</v>
          </cell>
          <cell r="J929">
            <v>0</v>
          </cell>
          <cell r="K929">
            <v>0</v>
          </cell>
          <cell r="L929">
            <v>1.6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7.1999999999999998E-3</v>
          </cell>
          <cell r="S929">
            <v>0</v>
          </cell>
          <cell r="T929">
            <v>0</v>
          </cell>
          <cell r="U929" t="b">
            <v>0</v>
          </cell>
        </row>
        <row r="930">
          <cell r="A930" t="str">
            <v>Data split-8;Reg-39</v>
          </cell>
          <cell r="B930">
            <v>-5.5</v>
          </cell>
          <cell r="C930">
            <v>0.43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45</v>
          </cell>
          <cell r="K930">
            <v>-1.2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-3.5E-4</v>
          </cell>
          <cell r="R930">
            <v>0</v>
          </cell>
          <cell r="S930">
            <v>0</v>
          </cell>
          <cell r="T930">
            <v>0</v>
          </cell>
          <cell r="U930" t="b">
            <v>0</v>
          </cell>
        </row>
        <row r="931">
          <cell r="A931" t="str">
            <v>Data split-8;Reg-40</v>
          </cell>
          <cell r="B931">
            <v>-5.2</v>
          </cell>
          <cell r="C931">
            <v>0.41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42.8</v>
          </cell>
          <cell r="K931">
            <v>-1.2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5.5000000000000003E-4</v>
          </cell>
          <cell r="S931">
            <v>0</v>
          </cell>
          <cell r="T931">
            <v>0</v>
          </cell>
          <cell r="U931" t="b">
            <v>0</v>
          </cell>
        </row>
        <row r="932">
          <cell r="A932" t="str">
            <v>Data split-8;Reg-41</v>
          </cell>
          <cell r="B932">
            <v>-3.9</v>
          </cell>
          <cell r="C932">
            <v>0.42</v>
          </cell>
          <cell r="D932">
            <v>0</v>
          </cell>
          <cell r="E932">
            <v>0</v>
          </cell>
          <cell r="F932">
            <v>0</v>
          </cell>
          <cell r="G932">
            <v>0</v>
          </cell>
          <cell r="H932">
            <v>0</v>
          </cell>
          <cell r="I932">
            <v>0</v>
          </cell>
          <cell r="J932">
            <v>32.1</v>
          </cell>
          <cell r="K932">
            <v>0</v>
          </cell>
          <cell r="L932">
            <v>-4.2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-1.2999999999999999E-3</v>
          </cell>
          <cell r="R932">
            <v>0</v>
          </cell>
          <cell r="S932">
            <v>0</v>
          </cell>
          <cell r="T932">
            <v>0</v>
          </cell>
          <cell r="U932" t="b">
            <v>0</v>
          </cell>
        </row>
        <row r="933">
          <cell r="A933" t="str">
            <v>Data split-8;Reg-42</v>
          </cell>
          <cell r="B933">
            <v>-3.4</v>
          </cell>
          <cell r="C933">
            <v>0.4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25.8</v>
          </cell>
          <cell r="K933">
            <v>0</v>
          </cell>
          <cell r="L933">
            <v>-3.1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1.4E-3</v>
          </cell>
          <cell r="S933">
            <v>0</v>
          </cell>
          <cell r="T933">
            <v>0</v>
          </cell>
          <cell r="U933" t="b">
            <v>0</v>
          </cell>
        </row>
        <row r="934">
          <cell r="A934" t="str">
            <v>Data split-8;Reg-43</v>
          </cell>
          <cell r="B934">
            <v>-0.69</v>
          </cell>
          <cell r="C934">
            <v>0.87</v>
          </cell>
          <cell r="D934">
            <v>0</v>
          </cell>
          <cell r="E934">
            <v>0</v>
          </cell>
          <cell r="F934">
            <v>0</v>
          </cell>
          <cell r="G934">
            <v>0</v>
          </cell>
          <cell r="H934">
            <v>0</v>
          </cell>
          <cell r="I934">
            <v>-0.24</v>
          </cell>
          <cell r="J934">
            <v>0</v>
          </cell>
          <cell r="K934">
            <v>0.18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1.4999999999999999E-2</v>
          </cell>
          <cell r="T934">
            <v>0</v>
          </cell>
          <cell r="U934" t="b">
            <v>0</v>
          </cell>
        </row>
        <row r="935">
          <cell r="A935" t="str">
            <v>Data split-8;Reg-44</v>
          </cell>
          <cell r="B935">
            <v>-0.62</v>
          </cell>
          <cell r="C935">
            <v>0.72</v>
          </cell>
          <cell r="D935">
            <v>0</v>
          </cell>
          <cell r="E935">
            <v>0</v>
          </cell>
          <cell r="F935">
            <v>0</v>
          </cell>
          <cell r="G935">
            <v>0</v>
          </cell>
          <cell r="H935">
            <v>0</v>
          </cell>
          <cell r="I935">
            <v>-0.85</v>
          </cell>
          <cell r="J935">
            <v>0</v>
          </cell>
          <cell r="K935">
            <v>0.27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6.8999999999999999E-3</v>
          </cell>
          <cell r="U935" t="b">
            <v>0</v>
          </cell>
        </row>
        <row r="936">
          <cell r="A936" t="str">
            <v>Data split-8;Reg-45</v>
          </cell>
          <cell r="B936">
            <v>-0.72</v>
          </cell>
          <cell r="C936">
            <v>0.86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-0.21</v>
          </cell>
          <cell r="J936">
            <v>0</v>
          </cell>
          <cell r="K936">
            <v>0</v>
          </cell>
          <cell r="L936">
            <v>1.3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1.6E-2</v>
          </cell>
          <cell r="T936">
            <v>0</v>
          </cell>
          <cell r="U936" t="b">
            <v>0</v>
          </cell>
        </row>
        <row r="937">
          <cell r="A937" t="str">
            <v>Data split-8;Reg-46</v>
          </cell>
          <cell r="B937">
            <v>-0.71</v>
          </cell>
          <cell r="C937">
            <v>0.71</v>
          </cell>
          <cell r="D937">
            <v>0</v>
          </cell>
          <cell r="E937">
            <v>0</v>
          </cell>
          <cell r="F937">
            <v>0</v>
          </cell>
          <cell r="G937">
            <v>0</v>
          </cell>
          <cell r="H937">
            <v>0</v>
          </cell>
          <cell r="I937">
            <v>-0.75</v>
          </cell>
          <cell r="J937">
            <v>0</v>
          </cell>
          <cell r="K937">
            <v>0</v>
          </cell>
          <cell r="L937">
            <v>1.7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7.1000000000000004E-3</v>
          </cell>
          <cell r="U937" t="b">
            <v>0</v>
          </cell>
        </row>
        <row r="938">
          <cell r="A938" t="str">
            <v>Data split-8;Reg-47</v>
          </cell>
          <cell r="B938">
            <v>-5.6</v>
          </cell>
          <cell r="C938">
            <v>0.45</v>
          </cell>
          <cell r="D938">
            <v>0</v>
          </cell>
          <cell r="E938">
            <v>0</v>
          </cell>
          <cell r="F938">
            <v>0</v>
          </cell>
          <cell r="G938">
            <v>0</v>
          </cell>
          <cell r="H938">
            <v>0</v>
          </cell>
          <cell r="I938">
            <v>0</v>
          </cell>
          <cell r="J938">
            <v>46.3</v>
          </cell>
          <cell r="K938">
            <v>-1.3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-2.2000000000000001E-3</v>
          </cell>
          <cell r="T938">
            <v>0</v>
          </cell>
          <cell r="U938" t="b">
            <v>0</v>
          </cell>
        </row>
        <row r="939">
          <cell r="A939" t="str">
            <v>Data split-8;Reg-48</v>
          </cell>
          <cell r="B939">
            <v>-5.5</v>
          </cell>
          <cell r="C939">
            <v>0.43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45</v>
          </cell>
          <cell r="K939">
            <v>-1.2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-7.8999999999999996E-5</v>
          </cell>
          <cell r="U939" t="b">
            <v>0</v>
          </cell>
        </row>
        <row r="940">
          <cell r="A940" t="str">
            <v>Data split-8;Reg-49</v>
          </cell>
          <cell r="B940">
            <v>-4.3</v>
          </cell>
          <cell r="C940">
            <v>0.43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35.200000000000003</v>
          </cell>
          <cell r="K940">
            <v>0</v>
          </cell>
          <cell r="L940">
            <v>-4.7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-4.7999999999999996E-3</v>
          </cell>
          <cell r="T940">
            <v>0</v>
          </cell>
          <cell r="U940" t="b">
            <v>0</v>
          </cell>
        </row>
        <row r="941">
          <cell r="A941" t="str">
            <v>Data split-8;Reg-50</v>
          </cell>
          <cell r="B941">
            <v>-3.7</v>
          </cell>
          <cell r="C941">
            <v>0.42</v>
          </cell>
          <cell r="D941">
            <v>0</v>
          </cell>
          <cell r="E941">
            <v>0</v>
          </cell>
          <cell r="F941">
            <v>0</v>
          </cell>
          <cell r="G941">
            <v>0</v>
          </cell>
          <cell r="H941">
            <v>0</v>
          </cell>
          <cell r="I941">
            <v>0</v>
          </cell>
          <cell r="J941">
            <v>30.1</v>
          </cell>
          <cell r="K941">
            <v>0</v>
          </cell>
          <cell r="L941">
            <v>-3.9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2.5999999999999998E-4</v>
          </cell>
          <cell r="U941" t="b">
            <v>0</v>
          </cell>
        </row>
        <row r="942">
          <cell r="A942" t="str">
            <v>Data split-8;Reg-51</v>
          </cell>
          <cell r="B942">
            <v>-1</v>
          </cell>
          <cell r="C942">
            <v>0</v>
          </cell>
          <cell r="D942">
            <v>0.64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0.6</v>
          </cell>
          <cell r="J942">
            <v>0</v>
          </cell>
          <cell r="K942">
            <v>0.22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2.5000000000000001E-3</v>
          </cell>
          <cell r="R942">
            <v>0</v>
          </cell>
          <cell r="S942">
            <v>0</v>
          </cell>
          <cell r="T942">
            <v>0</v>
          </cell>
          <cell r="U942" t="b">
            <v>0</v>
          </cell>
        </row>
        <row r="943">
          <cell r="A943" t="str">
            <v>Data split-8;Reg-52</v>
          </cell>
          <cell r="B943">
            <v>-0.76</v>
          </cell>
          <cell r="C943">
            <v>0</v>
          </cell>
          <cell r="D943">
            <v>0.48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-2.5000000000000001E-2</v>
          </cell>
          <cell r="J943">
            <v>0</v>
          </cell>
          <cell r="K943">
            <v>0.28999999999999998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4.5999999999999999E-3</v>
          </cell>
          <cell r="S943">
            <v>0</v>
          </cell>
          <cell r="T943">
            <v>0</v>
          </cell>
          <cell r="U943" t="b">
            <v>0</v>
          </cell>
        </row>
        <row r="944">
          <cell r="A944" t="str">
            <v>Data split-8;Reg-53</v>
          </cell>
          <cell r="B944">
            <v>-1.1000000000000001</v>
          </cell>
          <cell r="C944">
            <v>0</v>
          </cell>
          <cell r="D944">
            <v>0.63</v>
          </cell>
          <cell r="E944">
            <v>0</v>
          </cell>
          <cell r="F944">
            <v>0</v>
          </cell>
          <cell r="G944">
            <v>0</v>
          </cell>
          <cell r="H944">
            <v>0</v>
          </cell>
          <cell r="I944">
            <v>0.67</v>
          </cell>
          <cell r="J944">
            <v>0</v>
          </cell>
          <cell r="K944">
            <v>0</v>
          </cell>
          <cell r="L944">
            <v>1.4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3.0999999999999999E-3</v>
          </cell>
          <cell r="R944">
            <v>0</v>
          </cell>
          <cell r="S944">
            <v>0</v>
          </cell>
          <cell r="T944">
            <v>0</v>
          </cell>
          <cell r="U944" t="b">
            <v>0</v>
          </cell>
        </row>
        <row r="945">
          <cell r="A945" t="str">
            <v>Data split-8;Reg-54</v>
          </cell>
          <cell r="B945">
            <v>-0.86</v>
          </cell>
          <cell r="C945">
            <v>0</v>
          </cell>
          <cell r="D945">
            <v>0.47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0.11</v>
          </cell>
          <cell r="J945">
            <v>0</v>
          </cell>
          <cell r="K945">
            <v>0</v>
          </cell>
          <cell r="L945">
            <v>1.8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4.7999999999999996E-3</v>
          </cell>
          <cell r="S945">
            <v>0</v>
          </cell>
          <cell r="T945">
            <v>0</v>
          </cell>
          <cell r="U945" t="b">
            <v>0</v>
          </cell>
        </row>
        <row r="946">
          <cell r="A946" t="str">
            <v>Data split-8;Reg-55</v>
          </cell>
          <cell r="B946">
            <v>-5.7</v>
          </cell>
          <cell r="C946">
            <v>0</v>
          </cell>
          <cell r="D946">
            <v>0.41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46.9</v>
          </cell>
          <cell r="K946">
            <v>-1.2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-6.4999999999999997E-3</v>
          </cell>
          <cell r="R946">
            <v>0</v>
          </cell>
          <cell r="S946">
            <v>0</v>
          </cell>
          <cell r="T946">
            <v>0</v>
          </cell>
          <cell r="U946" t="b">
            <v>0</v>
          </cell>
        </row>
        <row r="947">
          <cell r="A947" t="str">
            <v>Data split-8;Reg-56</v>
          </cell>
          <cell r="B947">
            <v>-5.6</v>
          </cell>
          <cell r="C947">
            <v>0</v>
          </cell>
          <cell r="D947">
            <v>0.4</v>
          </cell>
          <cell r="E947">
            <v>0</v>
          </cell>
          <cell r="F947">
            <v>0</v>
          </cell>
          <cell r="G947">
            <v>0</v>
          </cell>
          <cell r="H947">
            <v>0</v>
          </cell>
          <cell r="I947">
            <v>0</v>
          </cell>
          <cell r="J947">
            <v>47</v>
          </cell>
          <cell r="K947">
            <v>-1.2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-1.2999999999999999E-3</v>
          </cell>
          <cell r="S947">
            <v>0</v>
          </cell>
          <cell r="T947">
            <v>0</v>
          </cell>
          <cell r="U947" t="b">
            <v>0</v>
          </cell>
        </row>
        <row r="948">
          <cell r="A948" t="str">
            <v>Data split-8;Reg-57</v>
          </cell>
          <cell r="B948">
            <v>-4.5</v>
          </cell>
          <cell r="C948">
            <v>0</v>
          </cell>
          <cell r="D948">
            <v>0.44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36</v>
          </cell>
          <cell r="K948">
            <v>0</v>
          </cell>
          <cell r="L948">
            <v>-4.7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-0.01</v>
          </cell>
          <cell r="R948">
            <v>0</v>
          </cell>
          <cell r="S948">
            <v>0</v>
          </cell>
          <cell r="T948">
            <v>0</v>
          </cell>
          <cell r="U948" t="b">
            <v>0</v>
          </cell>
        </row>
        <row r="949">
          <cell r="A949" t="str">
            <v>Data split-8;Reg-58</v>
          </cell>
          <cell r="B949">
            <v>-4.0999999999999996</v>
          </cell>
          <cell r="C949">
            <v>0</v>
          </cell>
          <cell r="D949">
            <v>0.42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33.799999999999997</v>
          </cell>
          <cell r="K949">
            <v>0</v>
          </cell>
          <cell r="L949">
            <v>-4.3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-1.5E-3</v>
          </cell>
          <cell r="S949">
            <v>0</v>
          </cell>
          <cell r="T949">
            <v>0</v>
          </cell>
          <cell r="U949" t="b">
            <v>0</v>
          </cell>
        </row>
        <row r="950">
          <cell r="A950" t="str">
            <v>Data split-8;Reg-59</v>
          </cell>
          <cell r="B950">
            <v>-1.2</v>
          </cell>
          <cell r="C950">
            <v>0</v>
          </cell>
          <cell r="D950">
            <v>0.67</v>
          </cell>
          <cell r="E950">
            <v>0</v>
          </cell>
          <cell r="F950">
            <v>0</v>
          </cell>
          <cell r="G950">
            <v>0</v>
          </cell>
          <cell r="H950">
            <v>0</v>
          </cell>
          <cell r="I950">
            <v>0.78</v>
          </cell>
          <cell r="J950">
            <v>0</v>
          </cell>
          <cell r="K950">
            <v>0.2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-2.0999999999999999E-3</v>
          </cell>
          <cell r="T950">
            <v>0</v>
          </cell>
          <cell r="U950" t="b">
            <v>0</v>
          </cell>
        </row>
        <row r="951">
          <cell r="A951" t="str">
            <v>Data split-8;Reg-60</v>
          </cell>
          <cell r="B951">
            <v>-0.77</v>
          </cell>
          <cell r="C951">
            <v>0</v>
          </cell>
          <cell r="D951">
            <v>0.52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4.9000000000000002E-2</v>
          </cell>
          <cell r="J951">
            <v>0</v>
          </cell>
          <cell r="K951">
            <v>0.28000000000000003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3.8E-3</v>
          </cell>
          <cell r="U951" t="b">
            <v>0</v>
          </cell>
        </row>
        <row r="952">
          <cell r="A952" t="str">
            <v>Data split-8;Reg-61</v>
          </cell>
          <cell r="B952">
            <v>-1.2</v>
          </cell>
          <cell r="C952">
            <v>0</v>
          </cell>
          <cell r="D952">
            <v>0.67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0.83</v>
          </cell>
          <cell r="J952">
            <v>0</v>
          </cell>
          <cell r="K952">
            <v>0</v>
          </cell>
          <cell r="L952">
            <v>1.4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-1.1999999999999999E-3</v>
          </cell>
          <cell r="T952">
            <v>0</v>
          </cell>
          <cell r="U952" t="b">
            <v>0</v>
          </cell>
        </row>
        <row r="953">
          <cell r="A953" t="str">
            <v>Data split-8;Reg-62</v>
          </cell>
          <cell r="B953">
            <v>-0.86</v>
          </cell>
          <cell r="C953">
            <v>0</v>
          </cell>
          <cell r="D953">
            <v>0.51</v>
          </cell>
          <cell r="E953">
            <v>0</v>
          </cell>
          <cell r="F953">
            <v>0</v>
          </cell>
          <cell r="G953">
            <v>0</v>
          </cell>
          <cell r="H953">
            <v>0</v>
          </cell>
          <cell r="I953">
            <v>0.16</v>
          </cell>
          <cell r="J953">
            <v>0</v>
          </cell>
          <cell r="K953">
            <v>0</v>
          </cell>
          <cell r="L953">
            <v>1.8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4.0000000000000001E-3</v>
          </cell>
          <cell r="U953" t="b">
            <v>0</v>
          </cell>
        </row>
        <row r="954">
          <cell r="A954" t="str">
            <v>Data split-8;Reg-63</v>
          </cell>
          <cell r="B954">
            <v>-5.8</v>
          </cell>
          <cell r="C954">
            <v>0</v>
          </cell>
          <cell r="D954">
            <v>0.43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47.9</v>
          </cell>
          <cell r="K954">
            <v>-1.2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-8.2000000000000007E-3</v>
          </cell>
          <cell r="T954">
            <v>0</v>
          </cell>
          <cell r="U954" t="b">
            <v>0</v>
          </cell>
        </row>
        <row r="955">
          <cell r="A955" t="str">
            <v>Data split-8;Reg-64</v>
          </cell>
          <cell r="B955">
            <v>-5.8</v>
          </cell>
          <cell r="C955">
            <v>0</v>
          </cell>
          <cell r="D955">
            <v>0.43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48.8</v>
          </cell>
          <cell r="K955">
            <v>-1.3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-1.9E-3</v>
          </cell>
          <cell r="U955" t="b">
            <v>0</v>
          </cell>
        </row>
        <row r="956">
          <cell r="A956" t="str">
            <v>Data split-8;Reg-65</v>
          </cell>
          <cell r="B956">
            <v>-4.8</v>
          </cell>
          <cell r="C956">
            <v>0</v>
          </cell>
          <cell r="D956">
            <v>0.46</v>
          </cell>
          <cell r="E956">
            <v>0</v>
          </cell>
          <cell r="F956">
            <v>0</v>
          </cell>
          <cell r="G956">
            <v>0</v>
          </cell>
          <cell r="H956">
            <v>0</v>
          </cell>
          <cell r="I956">
            <v>0</v>
          </cell>
          <cell r="J956">
            <v>38.700000000000003</v>
          </cell>
          <cell r="K956">
            <v>0</v>
          </cell>
          <cell r="L956">
            <v>-5.2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-1.4E-2</v>
          </cell>
          <cell r="T956">
            <v>0</v>
          </cell>
          <cell r="U956" t="b">
            <v>0</v>
          </cell>
        </row>
        <row r="957">
          <cell r="A957" t="str">
            <v>Data split-8;Reg-66</v>
          </cell>
          <cell r="B957">
            <v>-4.5999999999999996</v>
          </cell>
          <cell r="C957">
            <v>0</v>
          </cell>
          <cell r="D957">
            <v>0.46</v>
          </cell>
          <cell r="E957">
            <v>0</v>
          </cell>
          <cell r="F957">
            <v>0</v>
          </cell>
          <cell r="G957">
            <v>0</v>
          </cell>
          <cell r="H957">
            <v>0</v>
          </cell>
          <cell r="I957">
            <v>0</v>
          </cell>
          <cell r="J957">
            <v>38.5</v>
          </cell>
          <cell r="K957">
            <v>0</v>
          </cell>
          <cell r="L957">
            <v>-5.2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-3.0000000000000001E-3</v>
          </cell>
          <cell r="U957" t="b">
            <v>0</v>
          </cell>
        </row>
        <row r="958">
          <cell r="A958" t="str">
            <v>Data split-8;Reg-67</v>
          </cell>
          <cell r="B958">
            <v>-2</v>
          </cell>
          <cell r="C958">
            <v>0.76</v>
          </cell>
          <cell r="D958">
            <v>0</v>
          </cell>
          <cell r="E958">
            <v>0</v>
          </cell>
          <cell r="F958">
            <v>0</v>
          </cell>
          <cell r="G958">
            <v>0.4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 t="b">
            <v>1</v>
          </cell>
        </row>
        <row r="959">
          <cell r="A959" t="str">
            <v>Data split-8;Reg-68</v>
          </cell>
          <cell r="B959">
            <v>-3.8</v>
          </cell>
          <cell r="C959">
            <v>0.62</v>
          </cell>
          <cell r="D959">
            <v>0</v>
          </cell>
          <cell r="E959">
            <v>0</v>
          </cell>
          <cell r="F959">
            <v>-8.3000000000000004E-2</v>
          </cell>
          <cell r="G959">
            <v>0.82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 t="b">
            <v>0</v>
          </cell>
        </row>
        <row r="960">
          <cell r="A960" t="str">
            <v>Data split-8;Reg-69</v>
          </cell>
          <cell r="B960">
            <v>-2.8</v>
          </cell>
          <cell r="C960">
            <v>0.43</v>
          </cell>
          <cell r="D960">
            <v>0</v>
          </cell>
          <cell r="E960">
            <v>0</v>
          </cell>
          <cell r="F960">
            <v>0</v>
          </cell>
          <cell r="G960">
            <v>0.32</v>
          </cell>
          <cell r="H960">
            <v>0</v>
          </cell>
          <cell r="I960">
            <v>0</v>
          </cell>
          <cell r="J960">
            <v>11.9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 t="b">
            <v>0</v>
          </cell>
        </row>
        <row r="961">
          <cell r="A961" t="str">
            <v>Data split-8;Reg-70</v>
          </cell>
          <cell r="B961">
            <v>-4.2</v>
          </cell>
          <cell r="C961">
            <v>0.27</v>
          </cell>
          <cell r="D961">
            <v>0</v>
          </cell>
          <cell r="E961">
            <v>0</v>
          </cell>
          <cell r="F961">
            <v>0</v>
          </cell>
          <cell r="G961">
            <v>0.74</v>
          </cell>
          <cell r="H961">
            <v>0</v>
          </cell>
          <cell r="I961">
            <v>0</v>
          </cell>
          <cell r="J961">
            <v>14.3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-1.9E-2</v>
          </cell>
          <cell r="T961">
            <v>0</v>
          </cell>
          <cell r="U961" t="b">
            <v>0</v>
          </cell>
        </row>
        <row r="962">
          <cell r="A962" t="str">
            <v>Data split-8;Reg-71</v>
          </cell>
          <cell r="B962">
            <v>-2.8</v>
          </cell>
          <cell r="C962">
            <v>0.39</v>
          </cell>
          <cell r="D962">
            <v>0</v>
          </cell>
          <cell r="E962">
            <v>0</v>
          </cell>
          <cell r="F962">
            <v>-6.6000000000000003E-2</v>
          </cell>
          <cell r="G962">
            <v>0</v>
          </cell>
          <cell r="H962">
            <v>1.2</v>
          </cell>
          <cell r="I962">
            <v>0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-1.4E-2</v>
          </cell>
          <cell r="T962">
            <v>0</v>
          </cell>
          <cell r="U962" t="b">
            <v>0</v>
          </cell>
        </row>
        <row r="963">
          <cell r="A963" t="str">
            <v>Data split-8;Reg-72</v>
          </cell>
          <cell r="B963">
            <v>-1.2</v>
          </cell>
          <cell r="C963">
            <v>0.91</v>
          </cell>
          <cell r="D963">
            <v>0</v>
          </cell>
          <cell r="E963">
            <v>0.2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 t="b">
            <v>1</v>
          </cell>
        </row>
        <row r="964">
          <cell r="A964" t="str">
            <v>Data split-8;Reg-73</v>
          </cell>
          <cell r="B964">
            <v>-1.3</v>
          </cell>
          <cell r="C964">
            <v>1.3</v>
          </cell>
          <cell r="D964">
            <v>0</v>
          </cell>
          <cell r="E964">
            <v>0</v>
          </cell>
          <cell r="F964">
            <v>-1.4999999999999999E-2</v>
          </cell>
          <cell r="G964">
            <v>0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 t="b">
            <v>0</v>
          </cell>
        </row>
        <row r="965">
          <cell r="A965" t="str">
            <v>Data split-8;Reg-74</v>
          </cell>
          <cell r="B965">
            <v>-0.92</v>
          </cell>
          <cell r="C965">
            <v>0</v>
          </cell>
          <cell r="D965">
            <v>0.81</v>
          </cell>
          <cell r="E965">
            <v>0.13</v>
          </cell>
          <cell r="F965">
            <v>0</v>
          </cell>
          <cell r="G965">
            <v>0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 t="b">
            <v>1</v>
          </cell>
        </row>
        <row r="966">
          <cell r="A966" t="str">
            <v>Data split-8;Reg-75</v>
          </cell>
          <cell r="B966">
            <v>-0.8</v>
          </cell>
          <cell r="C966">
            <v>0</v>
          </cell>
          <cell r="D966">
            <v>0.93</v>
          </cell>
          <cell r="E966">
            <v>0</v>
          </cell>
          <cell r="F966">
            <v>1.2E-2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 t="b">
            <v>1</v>
          </cell>
        </row>
        <row r="967">
          <cell r="A967" t="str">
            <v>Data split-8;Reg-76</v>
          </cell>
          <cell r="B967">
            <v>-2</v>
          </cell>
          <cell r="C967">
            <v>0.76</v>
          </cell>
          <cell r="D967">
            <v>0</v>
          </cell>
          <cell r="E967">
            <v>0</v>
          </cell>
          <cell r="F967">
            <v>0</v>
          </cell>
          <cell r="G967">
            <v>0.4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 t="b">
            <v>1</v>
          </cell>
        </row>
        <row r="968">
          <cell r="A968" t="str">
            <v>Data split-8;Reg-77</v>
          </cell>
          <cell r="B968">
            <v>-1.5</v>
          </cell>
          <cell r="C968">
            <v>0.79</v>
          </cell>
          <cell r="D968">
            <v>0</v>
          </cell>
          <cell r="E968">
            <v>0</v>
          </cell>
          <cell r="F968">
            <v>0</v>
          </cell>
          <cell r="G968">
            <v>0</v>
          </cell>
          <cell r="H968">
            <v>0.4</v>
          </cell>
          <cell r="I968">
            <v>0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 t="b">
            <v>1</v>
          </cell>
        </row>
        <row r="969">
          <cell r="A969" t="str">
            <v>Data split-8;Reg-78</v>
          </cell>
          <cell r="B969">
            <v>-2</v>
          </cell>
          <cell r="C969">
            <v>0</v>
          </cell>
          <cell r="D969">
            <v>0.55000000000000004</v>
          </cell>
          <cell r="E969">
            <v>0</v>
          </cell>
          <cell r="F969">
            <v>0</v>
          </cell>
          <cell r="G969">
            <v>0.44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 t="b">
            <v>1</v>
          </cell>
        </row>
        <row r="970">
          <cell r="A970" t="str">
            <v>Data split-8;Reg-79</v>
          </cell>
          <cell r="B970">
            <v>-1.3</v>
          </cell>
          <cell r="C970">
            <v>0</v>
          </cell>
          <cell r="D970">
            <v>0.6</v>
          </cell>
          <cell r="E970">
            <v>0</v>
          </cell>
          <cell r="F970">
            <v>0</v>
          </cell>
          <cell r="G970">
            <v>0</v>
          </cell>
          <cell r="H970">
            <v>0.41</v>
          </cell>
          <cell r="I970">
            <v>0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 t="b">
            <v>1</v>
          </cell>
        </row>
        <row r="971">
          <cell r="A971" t="str">
            <v>Data split-8;Reg-80</v>
          </cell>
          <cell r="B971">
            <v>-1.3</v>
          </cell>
          <cell r="C971">
            <v>0.95</v>
          </cell>
          <cell r="D971">
            <v>0</v>
          </cell>
          <cell r="E971">
            <v>0</v>
          </cell>
          <cell r="F971">
            <v>0</v>
          </cell>
          <cell r="G971">
            <v>0</v>
          </cell>
          <cell r="H971">
            <v>0</v>
          </cell>
          <cell r="I971">
            <v>0.67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 t="b">
            <v>0</v>
          </cell>
        </row>
        <row r="972">
          <cell r="A972" t="str">
            <v>Data split-8;Reg-81</v>
          </cell>
          <cell r="B972">
            <v>-2.2000000000000002</v>
          </cell>
          <cell r="C972">
            <v>0.75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13.2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 t="b">
            <v>0</v>
          </cell>
        </row>
        <row r="973">
          <cell r="A973" t="str">
            <v>Data split-8;Reg-82</v>
          </cell>
          <cell r="B973">
            <v>-1.3</v>
          </cell>
          <cell r="C973">
            <v>0</v>
          </cell>
          <cell r="D973">
            <v>0.66</v>
          </cell>
          <cell r="E973">
            <v>0</v>
          </cell>
          <cell r="F973">
            <v>0</v>
          </cell>
          <cell r="G973">
            <v>0</v>
          </cell>
          <cell r="H973">
            <v>0</v>
          </cell>
          <cell r="I973">
            <v>1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 t="b">
            <v>0</v>
          </cell>
        </row>
        <row r="974">
          <cell r="A974" t="str">
            <v>Data split-8;Reg-83</v>
          </cell>
          <cell r="B974">
            <v>-2.2999999999999998</v>
          </cell>
          <cell r="C974">
            <v>0</v>
          </cell>
          <cell r="D974">
            <v>0.56999999999999995</v>
          </cell>
          <cell r="E974">
            <v>0</v>
          </cell>
          <cell r="F974">
            <v>0</v>
          </cell>
          <cell r="G974">
            <v>0</v>
          </cell>
          <cell r="H974">
            <v>0</v>
          </cell>
          <cell r="I974">
            <v>0</v>
          </cell>
          <cell r="J974">
            <v>15.1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 t="b">
            <v>0</v>
          </cell>
        </row>
        <row r="975">
          <cell r="A975" t="str">
            <v>Data split-8;Reg-84</v>
          </cell>
          <cell r="B975">
            <v>-1</v>
          </cell>
          <cell r="C975">
            <v>1.1000000000000001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0.2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 t="b">
            <v>0</v>
          </cell>
        </row>
        <row r="976">
          <cell r="A976" t="str">
            <v>Data split-8;Reg-85</v>
          </cell>
          <cell r="B976">
            <v>-1</v>
          </cell>
          <cell r="C976">
            <v>1.1000000000000001</v>
          </cell>
          <cell r="D976">
            <v>0</v>
          </cell>
          <cell r="E976">
            <v>0</v>
          </cell>
          <cell r="F976">
            <v>0</v>
          </cell>
          <cell r="G976">
            <v>0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1.2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 t="b">
            <v>0</v>
          </cell>
        </row>
        <row r="977">
          <cell r="A977" t="str">
            <v>Data split-8;Reg-86</v>
          </cell>
          <cell r="B977">
            <v>-0.77</v>
          </cell>
          <cell r="C977">
            <v>0</v>
          </cell>
          <cell r="D977">
            <v>0.8</v>
          </cell>
          <cell r="E977">
            <v>0</v>
          </cell>
          <cell r="F977">
            <v>0</v>
          </cell>
          <cell r="G977">
            <v>0</v>
          </cell>
          <cell r="H977">
            <v>0</v>
          </cell>
          <cell r="I977">
            <v>0</v>
          </cell>
          <cell r="J977">
            <v>0</v>
          </cell>
          <cell r="K977">
            <v>0.36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 t="b">
            <v>0</v>
          </cell>
        </row>
        <row r="978">
          <cell r="A978" t="str">
            <v>Data split-8;Reg-87</v>
          </cell>
          <cell r="B978">
            <v>-0.84</v>
          </cell>
          <cell r="C978">
            <v>0</v>
          </cell>
          <cell r="D978">
            <v>0.86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2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 t="b">
            <v>0</v>
          </cell>
        </row>
        <row r="979">
          <cell r="A979" t="str">
            <v>Data split-8;Reg-88</v>
          </cell>
          <cell r="B979">
            <v>-1.1000000000000001</v>
          </cell>
          <cell r="C979">
            <v>1.1000000000000001</v>
          </cell>
          <cell r="D979">
            <v>0</v>
          </cell>
          <cell r="E979">
            <v>0</v>
          </cell>
          <cell r="F979">
            <v>0</v>
          </cell>
          <cell r="G979">
            <v>0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0</v>
          </cell>
          <cell r="M979">
            <v>3.5000000000000001E-3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 t="b">
            <v>0</v>
          </cell>
        </row>
        <row r="980">
          <cell r="A980" t="str">
            <v>Data split-8;Reg-89</v>
          </cell>
          <cell r="B980">
            <v>-1.2</v>
          </cell>
          <cell r="C980">
            <v>1.1000000000000001</v>
          </cell>
          <cell r="D980">
            <v>0</v>
          </cell>
          <cell r="E980">
            <v>0</v>
          </cell>
          <cell r="F980">
            <v>0</v>
          </cell>
          <cell r="G980">
            <v>0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1.1000000000000001E-3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 t="b">
            <v>0</v>
          </cell>
        </row>
        <row r="981">
          <cell r="A981" t="str">
            <v>Data split-8;Reg-90</v>
          </cell>
          <cell r="B981">
            <v>-0.9</v>
          </cell>
          <cell r="C981">
            <v>0</v>
          </cell>
          <cell r="D981">
            <v>1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-2.2000000000000001E-3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 t="b">
            <v>1</v>
          </cell>
        </row>
        <row r="982">
          <cell r="A982" t="str">
            <v>Data split-8;Reg-91</v>
          </cell>
          <cell r="B982">
            <v>-0.88</v>
          </cell>
          <cell r="C982">
            <v>0</v>
          </cell>
          <cell r="D982">
            <v>0.98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-2.9E-4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 t="b">
            <v>1</v>
          </cell>
        </row>
        <row r="983">
          <cell r="A983" t="str">
            <v>Data split-8;Reg-92</v>
          </cell>
          <cell r="B983">
            <v>-1.2</v>
          </cell>
          <cell r="C983">
            <v>1.3</v>
          </cell>
          <cell r="D983">
            <v>0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-6.0000000000000001E-3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 t="b">
            <v>1</v>
          </cell>
        </row>
        <row r="984">
          <cell r="A984" t="str">
            <v>Data split-8;Reg-93</v>
          </cell>
          <cell r="B984">
            <v>-1.1000000000000001</v>
          </cell>
          <cell r="C984">
            <v>1.3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-1.6000000000000001E-3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 t="b">
            <v>1</v>
          </cell>
        </row>
        <row r="985">
          <cell r="A985" t="str">
            <v>Data split-8;Reg-94</v>
          </cell>
          <cell r="B985">
            <v>-0.91</v>
          </cell>
          <cell r="C985">
            <v>0</v>
          </cell>
          <cell r="D985">
            <v>0.92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5.8999999999999999E-3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 t="b">
            <v>0</v>
          </cell>
        </row>
        <row r="986">
          <cell r="A986" t="str">
            <v>Data split-8;Reg-95</v>
          </cell>
          <cell r="B986">
            <v>-0.98</v>
          </cell>
          <cell r="C986">
            <v>0</v>
          </cell>
          <cell r="D986">
            <v>0.91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1.6000000000000001E-3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 t="b">
            <v>0</v>
          </cell>
        </row>
        <row r="987">
          <cell r="A987" t="str">
            <v>Data split-8;Reg-96</v>
          </cell>
          <cell r="B987">
            <v>-1.3</v>
          </cell>
          <cell r="C987">
            <v>0.83</v>
          </cell>
          <cell r="D987">
            <v>0</v>
          </cell>
          <cell r="E987">
            <v>0.14000000000000001</v>
          </cell>
          <cell r="F987">
            <v>0</v>
          </cell>
          <cell r="G987">
            <v>0</v>
          </cell>
          <cell r="H987">
            <v>0</v>
          </cell>
          <cell r="I987">
            <v>0.43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 t="b">
            <v>0</v>
          </cell>
        </row>
        <row r="988">
          <cell r="A988" t="str">
            <v>Data split-8;Reg-97</v>
          </cell>
          <cell r="B988">
            <v>-2.2000000000000002</v>
          </cell>
          <cell r="C988">
            <v>0.41</v>
          </cell>
          <cell r="D988">
            <v>0</v>
          </cell>
          <cell r="E988">
            <v>0.22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13.5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 t="b">
            <v>0</v>
          </cell>
        </row>
        <row r="989">
          <cell r="A989" t="str">
            <v>Data split-8;Reg-98</v>
          </cell>
          <cell r="B989">
            <v>-2.7</v>
          </cell>
          <cell r="C989">
            <v>0.73</v>
          </cell>
          <cell r="D989">
            <v>0</v>
          </cell>
          <cell r="E989">
            <v>0</v>
          </cell>
          <cell r="F989">
            <v>-0.1</v>
          </cell>
          <cell r="G989">
            <v>0</v>
          </cell>
          <cell r="H989">
            <v>0</v>
          </cell>
          <cell r="I989">
            <v>2.2999999999999998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 t="b">
            <v>0</v>
          </cell>
        </row>
        <row r="990">
          <cell r="A990" t="str">
            <v>Data split-8;Reg-99</v>
          </cell>
          <cell r="B990">
            <v>-2.4</v>
          </cell>
          <cell r="C990">
            <v>0.82</v>
          </cell>
          <cell r="D990">
            <v>0</v>
          </cell>
          <cell r="E990">
            <v>0</v>
          </cell>
          <cell r="F990">
            <v>-0.02</v>
          </cell>
          <cell r="G990">
            <v>0</v>
          </cell>
          <cell r="H990">
            <v>0</v>
          </cell>
          <cell r="I990">
            <v>0</v>
          </cell>
          <cell r="J990">
            <v>13.5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0</v>
          </cell>
          <cell r="Q990">
            <v>0</v>
          </cell>
          <cell r="R990">
            <v>0</v>
          </cell>
          <cell r="S990">
            <v>0</v>
          </cell>
          <cell r="T990">
            <v>0</v>
          </cell>
          <cell r="U990" t="b">
            <v>0</v>
          </cell>
        </row>
        <row r="991">
          <cell r="A991" t="str">
            <v>Data split-8;Reg-100</v>
          </cell>
          <cell r="B991">
            <v>-1.4</v>
          </cell>
          <cell r="C991">
            <v>0</v>
          </cell>
          <cell r="D991">
            <v>0.86</v>
          </cell>
          <cell r="E991">
            <v>-0.22</v>
          </cell>
          <cell r="F991">
            <v>0</v>
          </cell>
          <cell r="G991">
            <v>0</v>
          </cell>
          <cell r="H991">
            <v>0</v>
          </cell>
          <cell r="I991">
            <v>1.3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 t="b">
            <v>0</v>
          </cell>
        </row>
        <row r="992">
          <cell r="A992" t="str">
            <v>Data split-8;Reg-101</v>
          </cell>
          <cell r="B992">
            <v>-2.2999999999999998</v>
          </cell>
          <cell r="C992">
            <v>0</v>
          </cell>
          <cell r="D992">
            <v>0.44</v>
          </cell>
          <cell r="E992">
            <v>0.1</v>
          </cell>
          <cell r="F992">
            <v>0</v>
          </cell>
          <cell r="G992">
            <v>0</v>
          </cell>
          <cell r="H992">
            <v>0</v>
          </cell>
          <cell r="I992">
            <v>0</v>
          </cell>
          <cell r="J992">
            <v>15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 t="b">
            <v>0</v>
          </cell>
        </row>
        <row r="993">
          <cell r="A993" t="str">
            <v>Data split-8;Reg-102</v>
          </cell>
          <cell r="B993">
            <v>-2.6</v>
          </cell>
          <cell r="C993">
            <v>0</v>
          </cell>
          <cell r="D993">
            <v>0.51</v>
          </cell>
          <cell r="E993">
            <v>0</v>
          </cell>
          <cell r="F993">
            <v>-9.9000000000000005E-2</v>
          </cell>
          <cell r="G993">
            <v>0</v>
          </cell>
          <cell r="H993">
            <v>0</v>
          </cell>
          <cell r="I993">
            <v>2.5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 t="b">
            <v>0</v>
          </cell>
        </row>
        <row r="994">
          <cell r="A994" t="str">
            <v>Data split-8;Reg-103</v>
          </cell>
          <cell r="B994">
            <v>-2.4</v>
          </cell>
          <cell r="C994">
            <v>0</v>
          </cell>
          <cell r="D994">
            <v>0.57999999999999996</v>
          </cell>
          <cell r="E994">
            <v>0</v>
          </cell>
          <cell r="F994">
            <v>-9.1000000000000004E-3</v>
          </cell>
          <cell r="G994">
            <v>0</v>
          </cell>
          <cell r="H994">
            <v>0</v>
          </cell>
          <cell r="I994">
            <v>0</v>
          </cell>
          <cell r="J994">
            <v>15.5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 t="b">
            <v>0</v>
          </cell>
        </row>
        <row r="995">
          <cell r="A995" t="str">
            <v>Data split-8;Reg-104</v>
          </cell>
          <cell r="B995">
            <v>-1</v>
          </cell>
          <cell r="C995">
            <v>0.66</v>
          </cell>
          <cell r="D995">
            <v>0</v>
          </cell>
          <cell r="E995">
            <v>0.25</v>
          </cell>
          <cell r="F995">
            <v>0</v>
          </cell>
          <cell r="G995">
            <v>0</v>
          </cell>
          <cell r="H995">
            <v>0</v>
          </cell>
          <cell r="I995">
            <v>0</v>
          </cell>
          <cell r="J995">
            <v>0</v>
          </cell>
          <cell r="K995">
            <v>0.26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 t="b">
            <v>0</v>
          </cell>
        </row>
        <row r="996">
          <cell r="A996" t="str">
            <v>Data split-8;Reg-105</v>
          </cell>
          <cell r="B996">
            <v>-1.1000000000000001</v>
          </cell>
          <cell r="C996">
            <v>0.61</v>
          </cell>
          <cell r="D996">
            <v>0</v>
          </cell>
          <cell r="E996">
            <v>0.31</v>
          </cell>
          <cell r="F996">
            <v>0</v>
          </cell>
          <cell r="G996">
            <v>0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1.9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 t="b">
            <v>0</v>
          </cell>
        </row>
        <row r="997">
          <cell r="A997" t="str">
            <v>Data split-8;Reg-106</v>
          </cell>
          <cell r="B997">
            <v>-1.1000000000000001</v>
          </cell>
          <cell r="C997">
            <v>1.1000000000000001</v>
          </cell>
          <cell r="D997">
            <v>0</v>
          </cell>
          <cell r="E997">
            <v>0</v>
          </cell>
          <cell r="F997">
            <v>-1.4E-2</v>
          </cell>
          <cell r="G997">
            <v>0</v>
          </cell>
          <cell r="H997">
            <v>0</v>
          </cell>
          <cell r="I997">
            <v>0</v>
          </cell>
          <cell r="J997">
            <v>0</v>
          </cell>
          <cell r="K997">
            <v>0.19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 t="b">
            <v>0</v>
          </cell>
        </row>
        <row r="998">
          <cell r="A998" t="str">
            <v>Data split-8;Reg-107</v>
          </cell>
          <cell r="B998">
            <v>-1.1000000000000001</v>
          </cell>
          <cell r="C998">
            <v>1.2</v>
          </cell>
          <cell r="D998">
            <v>0</v>
          </cell>
          <cell r="E998">
            <v>0</v>
          </cell>
          <cell r="F998">
            <v>-7.4000000000000003E-3</v>
          </cell>
          <cell r="G998">
            <v>0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1.1000000000000001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 t="b">
            <v>0</v>
          </cell>
        </row>
        <row r="999">
          <cell r="A999" t="str">
            <v>Data split-8;Reg-108</v>
          </cell>
          <cell r="B999">
            <v>-0.81</v>
          </cell>
          <cell r="C999">
            <v>0</v>
          </cell>
          <cell r="D999">
            <v>0.56999999999999995</v>
          </cell>
          <cell r="E999">
            <v>0.18</v>
          </cell>
          <cell r="F999">
            <v>0</v>
          </cell>
          <cell r="G999">
            <v>0</v>
          </cell>
          <cell r="H999">
            <v>0</v>
          </cell>
          <cell r="I999">
            <v>0</v>
          </cell>
          <cell r="J999">
            <v>0</v>
          </cell>
          <cell r="K999">
            <v>0.37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 t="b">
            <v>0</v>
          </cell>
        </row>
        <row r="1000">
          <cell r="A1000" t="str">
            <v>Data split-8;Reg-109</v>
          </cell>
          <cell r="B1000">
            <v>-0.9</v>
          </cell>
          <cell r="C1000">
            <v>0</v>
          </cell>
          <cell r="D1000">
            <v>0.49</v>
          </cell>
          <cell r="E1000">
            <v>0.28000000000000003</v>
          </cell>
          <cell r="F1000">
            <v>0</v>
          </cell>
          <cell r="G1000">
            <v>0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2.4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 t="b">
            <v>0</v>
          </cell>
        </row>
        <row r="1001">
          <cell r="A1001" t="str">
            <v>Data split-8;Reg-110</v>
          </cell>
          <cell r="B1001">
            <v>-0.73</v>
          </cell>
          <cell r="C1001">
            <v>0</v>
          </cell>
          <cell r="D1001">
            <v>0.78</v>
          </cell>
          <cell r="E1001">
            <v>0</v>
          </cell>
          <cell r="F1001">
            <v>5.8999999999999999E-3</v>
          </cell>
          <cell r="G1001">
            <v>0</v>
          </cell>
          <cell r="H1001">
            <v>0</v>
          </cell>
          <cell r="I1001">
            <v>0</v>
          </cell>
          <cell r="J1001">
            <v>0</v>
          </cell>
          <cell r="K1001">
            <v>0.35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 t="b">
            <v>0</v>
          </cell>
        </row>
        <row r="1002">
          <cell r="A1002" t="str">
            <v>Data split-8;Reg-111</v>
          </cell>
          <cell r="B1002">
            <v>-0.71</v>
          </cell>
          <cell r="C1002">
            <v>0</v>
          </cell>
          <cell r="D1002">
            <v>0.8</v>
          </cell>
          <cell r="E1002">
            <v>0</v>
          </cell>
          <cell r="F1002">
            <v>1.7999999999999999E-2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2.1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 t="b">
            <v>0</v>
          </cell>
        </row>
        <row r="1003">
          <cell r="A1003" t="str">
            <v>Data split-8;Reg-112</v>
          </cell>
          <cell r="B1003">
            <v>-2</v>
          </cell>
          <cell r="C1003">
            <v>0.76</v>
          </cell>
          <cell r="D1003">
            <v>0</v>
          </cell>
          <cell r="E1003">
            <v>0</v>
          </cell>
          <cell r="F1003">
            <v>0</v>
          </cell>
          <cell r="G1003">
            <v>0.4</v>
          </cell>
          <cell r="H1003">
            <v>0</v>
          </cell>
          <cell r="I1003">
            <v>7.1999999999999998E-3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 t="b">
            <v>0</v>
          </cell>
        </row>
        <row r="1004">
          <cell r="A1004" t="str">
            <v>Data split-8;Reg-113</v>
          </cell>
          <cell r="B1004">
            <v>-2.8</v>
          </cell>
          <cell r="C1004">
            <v>0.43</v>
          </cell>
          <cell r="D1004">
            <v>0</v>
          </cell>
          <cell r="E1004">
            <v>0</v>
          </cell>
          <cell r="F1004">
            <v>0</v>
          </cell>
          <cell r="G1004">
            <v>0.32</v>
          </cell>
          <cell r="H1004">
            <v>0</v>
          </cell>
          <cell r="I1004">
            <v>0</v>
          </cell>
          <cell r="J1004">
            <v>11.9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 t="b">
            <v>0</v>
          </cell>
        </row>
        <row r="1005">
          <cell r="A1005" t="str">
            <v>Data split-8;Reg-114</v>
          </cell>
          <cell r="B1005">
            <v>-1.5</v>
          </cell>
          <cell r="C1005">
            <v>0.82</v>
          </cell>
          <cell r="D1005">
            <v>0</v>
          </cell>
          <cell r="E1005">
            <v>0</v>
          </cell>
          <cell r="F1005">
            <v>0</v>
          </cell>
          <cell r="G1005">
            <v>0</v>
          </cell>
          <cell r="H1005">
            <v>0.47</v>
          </cell>
          <cell r="I1005">
            <v>-0.25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 t="b">
            <v>1</v>
          </cell>
        </row>
        <row r="1006">
          <cell r="A1006" t="str">
            <v>Data split-8;Reg-115</v>
          </cell>
          <cell r="B1006">
            <v>-2.2999999999999998</v>
          </cell>
          <cell r="C1006">
            <v>0.5</v>
          </cell>
          <cell r="D1006">
            <v>0</v>
          </cell>
          <cell r="E1006">
            <v>0</v>
          </cell>
          <cell r="F1006">
            <v>0</v>
          </cell>
          <cell r="G1006">
            <v>0</v>
          </cell>
          <cell r="H1006">
            <v>0.3</v>
          </cell>
          <cell r="I1006">
            <v>0</v>
          </cell>
          <cell r="J1006">
            <v>11.1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 t="b">
            <v>0</v>
          </cell>
        </row>
        <row r="1007">
          <cell r="A1007" t="str">
            <v>Data split-8;Reg-116</v>
          </cell>
          <cell r="B1007">
            <v>-1.6</v>
          </cell>
          <cell r="C1007">
            <v>0</v>
          </cell>
          <cell r="D1007">
            <v>0.59</v>
          </cell>
          <cell r="E1007">
            <v>0</v>
          </cell>
          <cell r="F1007">
            <v>0</v>
          </cell>
          <cell r="G1007">
            <v>0.16</v>
          </cell>
          <cell r="H1007">
            <v>0</v>
          </cell>
          <cell r="I1007">
            <v>0.76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 t="b">
            <v>0</v>
          </cell>
        </row>
        <row r="1008">
          <cell r="A1008" t="str">
            <v>Data split-8;Reg-117</v>
          </cell>
          <cell r="B1008">
            <v>-2.7</v>
          </cell>
          <cell r="C1008">
            <v>0</v>
          </cell>
          <cell r="D1008">
            <v>0.4</v>
          </cell>
          <cell r="E1008">
            <v>0</v>
          </cell>
          <cell r="F1008">
            <v>0</v>
          </cell>
          <cell r="G1008">
            <v>0.22</v>
          </cell>
          <cell r="H1008">
            <v>0</v>
          </cell>
          <cell r="I1008">
            <v>0</v>
          </cell>
          <cell r="J1008">
            <v>13.5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 t="b">
            <v>0</v>
          </cell>
        </row>
        <row r="1009">
          <cell r="A1009" t="str">
            <v>Data split-8;Reg-118</v>
          </cell>
          <cell r="B1009">
            <v>-1.3</v>
          </cell>
          <cell r="C1009">
            <v>0</v>
          </cell>
          <cell r="D1009">
            <v>0.62</v>
          </cell>
          <cell r="E1009">
            <v>0</v>
          </cell>
          <cell r="F1009">
            <v>0</v>
          </cell>
          <cell r="G1009">
            <v>0</v>
          </cell>
          <cell r="H1009">
            <v>0.11</v>
          </cell>
          <cell r="I1009">
            <v>0.84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 t="b">
            <v>0</v>
          </cell>
        </row>
        <row r="1010">
          <cell r="A1010" t="str">
            <v>Data split-8;Reg-119</v>
          </cell>
          <cell r="B1010">
            <v>-2.2999999999999998</v>
          </cell>
          <cell r="C1010">
            <v>0</v>
          </cell>
          <cell r="D1010">
            <v>0.44</v>
          </cell>
          <cell r="E1010">
            <v>0</v>
          </cell>
          <cell r="F1010">
            <v>0</v>
          </cell>
          <cell r="G1010">
            <v>0</v>
          </cell>
          <cell r="H1010">
            <v>0.19</v>
          </cell>
          <cell r="I1010">
            <v>0</v>
          </cell>
          <cell r="J1010">
            <v>13.7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 t="b">
            <v>0</v>
          </cell>
        </row>
        <row r="1011">
          <cell r="A1011" t="str">
            <v>Data split-8;Reg-120</v>
          </cell>
          <cell r="B1011">
            <v>-1.9</v>
          </cell>
          <cell r="C1011">
            <v>0.59</v>
          </cell>
          <cell r="D1011">
            <v>0</v>
          </cell>
          <cell r="E1011">
            <v>0</v>
          </cell>
          <cell r="F1011">
            <v>0</v>
          </cell>
          <cell r="G1011">
            <v>0.42</v>
          </cell>
          <cell r="H1011">
            <v>0</v>
          </cell>
          <cell r="I1011">
            <v>0</v>
          </cell>
          <cell r="J1011">
            <v>0</v>
          </cell>
          <cell r="K1011">
            <v>0.22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 t="b">
            <v>0</v>
          </cell>
        </row>
        <row r="1012">
          <cell r="A1012" t="str">
            <v>Data split-8;Reg-121</v>
          </cell>
          <cell r="B1012">
            <v>-2.1</v>
          </cell>
          <cell r="C1012">
            <v>0.53</v>
          </cell>
          <cell r="D1012">
            <v>0</v>
          </cell>
          <cell r="E1012">
            <v>0</v>
          </cell>
          <cell r="F1012">
            <v>0</v>
          </cell>
          <cell r="G1012">
            <v>0.48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1.8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 t="b">
            <v>0</v>
          </cell>
        </row>
        <row r="1013">
          <cell r="A1013" t="str">
            <v>Data split-8;Reg-122</v>
          </cell>
          <cell r="B1013">
            <v>-1.4</v>
          </cell>
          <cell r="C1013">
            <v>0.65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0.41</v>
          </cell>
          <cell r="I1013">
            <v>0</v>
          </cell>
          <cell r="J1013">
            <v>0</v>
          </cell>
          <cell r="K1013">
            <v>0.2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 t="b">
            <v>0</v>
          </cell>
        </row>
        <row r="1014">
          <cell r="A1014" t="str">
            <v>Data split-8;Reg-123</v>
          </cell>
          <cell r="B1014">
            <v>-1.5</v>
          </cell>
          <cell r="C1014">
            <v>0.61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0.45</v>
          </cell>
          <cell r="I1014">
            <v>0</v>
          </cell>
          <cell r="J1014">
            <v>0</v>
          </cell>
          <cell r="K1014">
            <v>0</v>
          </cell>
          <cell r="L1014">
            <v>1.6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 t="b">
            <v>0</v>
          </cell>
        </row>
        <row r="1015">
          <cell r="A1015" t="str">
            <v>Data split-8;Reg-124</v>
          </cell>
          <cell r="B1015">
            <v>-1.7</v>
          </cell>
          <cell r="C1015">
            <v>0</v>
          </cell>
          <cell r="D1015">
            <v>0.46</v>
          </cell>
          <cell r="E1015">
            <v>0</v>
          </cell>
          <cell r="F1015">
            <v>0</v>
          </cell>
          <cell r="G1015">
            <v>0.39</v>
          </cell>
          <cell r="H1015">
            <v>0</v>
          </cell>
          <cell r="I1015">
            <v>0</v>
          </cell>
          <cell r="J1015">
            <v>0</v>
          </cell>
          <cell r="K1015">
            <v>0.32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 t="b">
            <v>0</v>
          </cell>
        </row>
        <row r="1016">
          <cell r="A1016" t="str">
            <v>Data split-8;Reg-125</v>
          </cell>
          <cell r="B1016">
            <v>-2</v>
          </cell>
          <cell r="C1016">
            <v>0</v>
          </cell>
          <cell r="D1016">
            <v>0.41</v>
          </cell>
          <cell r="E1016">
            <v>0</v>
          </cell>
          <cell r="F1016">
            <v>0</v>
          </cell>
          <cell r="G1016">
            <v>0.47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2.1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 t="b">
            <v>0</v>
          </cell>
        </row>
        <row r="1017">
          <cell r="A1017" t="str">
            <v>Data split-8;Reg-126</v>
          </cell>
          <cell r="B1017">
            <v>-1.2</v>
          </cell>
          <cell r="C1017">
            <v>0</v>
          </cell>
          <cell r="D1017">
            <v>0.5</v>
          </cell>
          <cell r="E1017">
            <v>0</v>
          </cell>
          <cell r="F1017">
            <v>0</v>
          </cell>
          <cell r="G1017">
            <v>0</v>
          </cell>
          <cell r="H1017">
            <v>0.36</v>
          </cell>
          <cell r="I1017">
            <v>0</v>
          </cell>
          <cell r="J1017">
            <v>0</v>
          </cell>
          <cell r="K1017">
            <v>0.32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 t="b">
            <v>0</v>
          </cell>
        </row>
        <row r="1018">
          <cell r="A1018" t="str">
            <v>Data split-8;Reg-127</v>
          </cell>
          <cell r="B1018">
            <v>-1.3</v>
          </cell>
          <cell r="C1018">
            <v>0</v>
          </cell>
          <cell r="D1018">
            <v>0.47</v>
          </cell>
          <cell r="E1018">
            <v>0</v>
          </cell>
          <cell r="F1018">
            <v>0</v>
          </cell>
          <cell r="G1018">
            <v>0</v>
          </cell>
          <cell r="H1018">
            <v>0.44</v>
          </cell>
          <cell r="I1018">
            <v>0</v>
          </cell>
          <cell r="J1018">
            <v>0</v>
          </cell>
          <cell r="K1018">
            <v>0</v>
          </cell>
          <cell r="L1018">
            <v>2.1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 t="b">
            <v>0</v>
          </cell>
        </row>
        <row r="1019">
          <cell r="A1019" t="str">
            <v>Data split-9;Reg-1</v>
          </cell>
          <cell r="B1019">
            <v>-1.1000000000000001</v>
          </cell>
          <cell r="C1019">
            <v>0.72</v>
          </cell>
          <cell r="D1019">
            <v>0</v>
          </cell>
          <cell r="E1019">
            <v>0</v>
          </cell>
          <cell r="F1019">
            <v>0</v>
          </cell>
          <cell r="G1019">
            <v>0</v>
          </cell>
          <cell r="H1019">
            <v>0.69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-2.1000000000000001E-2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 t="b">
            <v>1</v>
          </cell>
        </row>
        <row r="1020">
          <cell r="A1020" t="str">
            <v>Data split-9;Reg-2</v>
          </cell>
          <cell r="B1020">
            <v>-4.7</v>
          </cell>
          <cell r="C1020">
            <v>0.47</v>
          </cell>
          <cell r="D1020">
            <v>0</v>
          </cell>
          <cell r="E1020">
            <v>0</v>
          </cell>
          <cell r="F1020">
            <v>-7.6999999999999999E-2</v>
          </cell>
          <cell r="G1020">
            <v>1.5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-6.7999999999999996E-3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 t="b">
            <v>0</v>
          </cell>
        </row>
        <row r="1021">
          <cell r="A1021" t="str">
            <v>Data split-9;Reg-3</v>
          </cell>
          <cell r="B1021">
            <v>-2.5</v>
          </cell>
          <cell r="C1021">
            <v>0.52</v>
          </cell>
          <cell r="D1021">
            <v>0</v>
          </cell>
          <cell r="E1021">
            <v>0</v>
          </cell>
          <cell r="F1021">
            <v>-4.1000000000000002E-2</v>
          </cell>
          <cell r="G1021">
            <v>0</v>
          </cell>
          <cell r="H1021">
            <v>1.4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-3.4000000000000002E-2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 t="b">
            <v>0</v>
          </cell>
        </row>
        <row r="1022">
          <cell r="A1022" t="str">
            <v>Data split-9;Reg-4</v>
          </cell>
          <cell r="B1022">
            <v>-2.1</v>
          </cell>
          <cell r="C1022">
            <v>0.49</v>
          </cell>
          <cell r="D1022">
            <v>0</v>
          </cell>
          <cell r="E1022">
            <v>0</v>
          </cell>
          <cell r="F1022">
            <v>-4.5999999999999999E-2</v>
          </cell>
          <cell r="G1022">
            <v>0</v>
          </cell>
          <cell r="H1022">
            <v>1.6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-9.1000000000000004E-3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 t="b">
            <v>0</v>
          </cell>
        </row>
        <row r="1023">
          <cell r="A1023" t="str">
            <v>Data split-9;Reg-5</v>
          </cell>
          <cell r="B1023">
            <v>-4.4000000000000004</v>
          </cell>
          <cell r="C1023">
            <v>0</v>
          </cell>
          <cell r="D1023">
            <v>0.5</v>
          </cell>
          <cell r="E1023">
            <v>0</v>
          </cell>
          <cell r="F1023">
            <v>-4.3999999999999997E-2</v>
          </cell>
          <cell r="G1023">
            <v>1.4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-9.1999999999999998E-3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 t="b">
            <v>0</v>
          </cell>
        </row>
        <row r="1024">
          <cell r="A1024" t="str">
            <v>Data split-9;Reg-6</v>
          </cell>
          <cell r="B1024">
            <v>-2</v>
          </cell>
          <cell r="C1024">
            <v>0</v>
          </cell>
          <cell r="D1024">
            <v>0.52</v>
          </cell>
          <cell r="E1024">
            <v>0</v>
          </cell>
          <cell r="F1024">
            <v>-1.2999999999999999E-2</v>
          </cell>
          <cell r="G1024">
            <v>0</v>
          </cell>
          <cell r="H1024">
            <v>1.5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-1.0999999999999999E-2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 t="b">
            <v>0</v>
          </cell>
        </row>
        <row r="1025">
          <cell r="A1025" t="str">
            <v>Data split-9;Reg-7</v>
          </cell>
          <cell r="B1025">
            <v>-1.6</v>
          </cell>
          <cell r="C1025">
            <v>0.52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0.57999999999999996</v>
          </cell>
          <cell r="I1025">
            <v>0.92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-2.9000000000000001E-2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 t="b">
            <v>0</v>
          </cell>
        </row>
        <row r="1026">
          <cell r="A1026" t="str">
            <v>Data split-9;Reg-8</v>
          </cell>
          <cell r="B1026">
            <v>-1.2</v>
          </cell>
          <cell r="C1026">
            <v>0.59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0.55000000000000004</v>
          </cell>
          <cell r="I1026">
            <v>0.79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-6.3E-3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 t="b">
            <v>0</v>
          </cell>
        </row>
        <row r="1027">
          <cell r="A1027" t="str">
            <v>Data split-9;Reg-9</v>
          </cell>
          <cell r="B1027">
            <v>1.1000000000000001</v>
          </cell>
          <cell r="C1027">
            <v>0.83</v>
          </cell>
          <cell r="D1027">
            <v>0</v>
          </cell>
          <cell r="E1027">
            <v>0</v>
          </cell>
          <cell r="F1027">
            <v>0</v>
          </cell>
          <cell r="G1027">
            <v>-0.34</v>
          </cell>
          <cell r="H1027">
            <v>0</v>
          </cell>
          <cell r="I1027">
            <v>-0.19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9.1999999999999998E-3</v>
          </cell>
          <cell r="S1027">
            <v>0</v>
          </cell>
          <cell r="T1027">
            <v>0</v>
          </cell>
          <cell r="U1027" t="b">
            <v>0</v>
          </cell>
        </row>
        <row r="1028">
          <cell r="A1028" t="str">
            <v>Data split-9;Reg-10</v>
          </cell>
          <cell r="B1028">
            <v>-0.86</v>
          </cell>
          <cell r="C1028">
            <v>0.6</v>
          </cell>
          <cell r="D1028">
            <v>0</v>
          </cell>
          <cell r="E1028">
            <v>0</v>
          </cell>
          <cell r="F1028">
            <v>0</v>
          </cell>
          <cell r="G1028">
            <v>0</v>
          </cell>
          <cell r="H1028">
            <v>0.69</v>
          </cell>
          <cell r="I1028">
            <v>0</v>
          </cell>
          <cell r="J1028">
            <v>0</v>
          </cell>
          <cell r="K1028">
            <v>0.18</v>
          </cell>
          <cell r="L1028">
            <v>0</v>
          </cell>
          <cell r="M1028">
            <v>0</v>
          </cell>
          <cell r="N1028">
            <v>0</v>
          </cell>
          <cell r="O1028">
            <v>-2.1000000000000001E-2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 t="b">
            <v>0</v>
          </cell>
        </row>
        <row r="1029">
          <cell r="A1029" t="str">
            <v>Data split-9;Reg-11</v>
          </cell>
          <cell r="B1029">
            <v>-0.68</v>
          </cell>
          <cell r="C1029">
            <v>1</v>
          </cell>
          <cell r="D1029">
            <v>0</v>
          </cell>
          <cell r="E1029">
            <v>0</v>
          </cell>
          <cell r="F1029">
            <v>0</v>
          </cell>
          <cell r="G1029">
            <v>0</v>
          </cell>
          <cell r="H1029">
            <v>0</v>
          </cell>
          <cell r="I1029">
            <v>0.17</v>
          </cell>
          <cell r="J1029">
            <v>0</v>
          </cell>
          <cell r="K1029">
            <v>0.15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 t="b">
            <v>0</v>
          </cell>
        </row>
        <row r="1030">
          <cell r="A1030" t="str">
            <v>Data split-9;Reg-12</v>
          </cell>
          <cell r="B1030">
            <v>-0.79</v>
          </cell>
          <cell r="C1030">
            <v>1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0</v>
          </cell>
          <cell r="I1030">
            <v>0.26</v>
          </cell>
          <cell r="J1030">
            <v>0</v>
          </cell>
          <cell r="K1030">
            <v>0</v>
          </cell>
          <cell r="L1030">
            <v>1.1000000000000001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 t="b">
            <v>0</v>
          </cell>
        </row>
        <row r="1031">
          <cell r="A1031" t="str">
            <v>Data split-9;Reg-13</v>
          </cell>
          <cell r="B1031">
            <v>-3.3</v>
          </cell>
          <cell r="C1031">
            <v>0.82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0</v>
          </cell>
          <cell r="I1031">
            <v>0</v>
          </cell>
          <cell r="J1031">
            <v>14.1</v>
          </cell>
          <cell r="K1031">
            <v>-0.23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 t="b">
            <v>0</v>
          </cell>
        </row>
        <row r="1032">
          <cell r="A1032" t="str">
            <v>Data split-9;Reg-14</v>
          </cell>
          <cell r="B1032">
            <v>-2.8</v>
          </cell>
          <cell r="C1032">
            <v>0.79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0</v>
          </cell>
          <cell r="I1032">
            <v>0</v>
          </cell>
          <cell r="J1032">
            <v>12.3</v>
          </cell>
          <cell r="K1032">
            <v>0</v>
          </cell>
          <cell r="L1032">
            <v>-0.8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 t="b">
            <v>0</v>
          </cell>
        </row>
        <row r="1033">
          <cell r="A1033" t="str">
            <v>Data split-9;Reg-15</v>
          </cell>
          <cell r="B1033">
            <v>0.15</v>
          </cell>
          <cell r="C1033">
            <v>0.92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0</v>
          </cell>
          <cell r="I1033">
            <v>-0.19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1.7999999999999999E-2</v>
          </cell>
          <cell r="R1033">
            <v>0</v>
          </cell>
          <cell r="S1033">
            <v>0</v>
          </cell>
          <cell r="T1033">
            <v>0</v>
          </cell>
          <cell r="U1033" t="b">
            <v>0</v>
          </cell>
        </row>
        <row r="1034">
          <cell r="A1034" t="str">
            <v>Data split-9;Reg-16</v>
          </cell>
          <cell r="B1034">
            <v>0.28999999999999998</v>
          </cell>
          <cell r="C1034">
            <v>0.79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0</v>
          </cell>
          <cell r="I1034">
            <v>-0.35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6.3E-3</v>
          </cell>
          <cell r="S1034">
            <v>0</v>
          </cell>
          <cell r="T1034">
            <v>0</v>
          </cell>
          <cell r="U1034" t="b">
            <v>0</v>
          </cell>
        </row>
        <row r="1035">
          <cell r="A1035" t="str">
            <v>Data split-9;Reg-17</v>
          </cell>
          <cell r="B1035">
            <v>-1.5</v>
          </cell>
          <cell r="C1035">
            <v>0.57999999999999996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0</v>
          </cell>
          <cell r="I1035">
            <v>0</v>
          </cell>
          <cell r="J1035">
            <v>8.6999999999999993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1.4E-2</v>
          </cell>
          <cell r="R1035">
            <v>0</v>
          </cell>
          <cell r="S1035">
            <v>0</v>
          </cell>
          <cell r="T1035">
            <v>0</v>
          </cell>
          <cell r="U1035" t="b">
            <v>0</v>
          </cell>
        </row>
        <row r="1036">
          <cell r="A1036" t="str">
            <v>Data split-9;Reg-18</v>
          </cell>
          <cell r="B1036">
            <v>-1.4</v>
          </cell>
          <cell r="C1036">
            <v>0.4</v>
          </cell>
          <cell r="D1036">
            <v>0</v>
          </cell>
          <cell r="E1036">
            <v>0</v>
          </cell>
          <cell r="F1036">
            <v>0</v>
          </cell>
          <cell r="G1036">
            <v>0</v>
          </cell>
          <cell r="H1036">
            <v>0</v>
          </cell>
          <cell r="I1036">
            <v>0</v>
          </cell>
          <cell r="J1036">
            <v>8.6999999999999993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5.1000000000000004E-3</v>
          </cell>
          <cell r="S1036">
            <v>0</v>
          </cell>
          <cell r="T1036">
            <v>0</v>
          </cell>
          <cell r="U1036" t="b">
            <v>0</v>
          </cell>
        </row>
        <row r="1037">
          <cell r="A1037" t="str">
            <v>Data split-9;Reg-19</v>
          </cell>
          <cell r="B1037">
            <v>3.3000000000000002E-2</v>
          </cell>
          <cell r="C1037">
            <v>0.84</v>
          </cell>
          <cell r="D1037">
            <v>0</v>
          </cell>
          <cell r="E1037">
            <v>0</v>
          </cell>
          <cell r="F1037">
            <v>0</v>
          </cell>
          <cell r="G1037">
            <v>0</v>
          </cell>
          <cell r="H1037">
            <v>0</v>
          </cell>
          <cell r="I1037">
            <v>0</v>
          </cell>
          <cell r="J1037">
            <v>0</v>
          </cell>
          <cell r="K1037">
            <v>0.13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1.2999999999999999E-2</v>
          </cell>
          <cell r="T1037">
            <v>0</v>
          </cell>
          <cell r="U1037" t="b">
            <v>0</v>
          </cell>
        </row>
        <row r="1038">
          <cell r="A1038" t="str">
            <v>Data split-9;Reg-20</v>
          </cell>
          <cell r="B1038">
            <v>0.15</v>
          </cell>
          <cell r="C1038">
            <v>0.66</v>
          </cell>
          <cell r="D1038">
            <v>0</v>
          </cell>
          <cell r="E1038">
            <v>0</v>
          </cell>
          <cell r="F1038">
            <v>0</v>
          </cell>
          <cell r="G1038">
            <v>0</v>
          </cell>
          <cell r="H1038">
            <v>0</v>
          </cell>
          <cell r="I1038">
            <v>0</v>
          </cell>
          <cell r="J1038">
            <v>0</v>
          </cell>
          <cell r="K1038">
            <v>0.12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4.8999999999999998E-3</v>
          </cell>
          <cell r="U1038" t="b">
            <v>0</v>
          </cell>
        </row>
        <row r="1039">
          <cell r="A1039" t="str">
            <v>Data split-9;Reg-21</v>
          </cell>
          <cell r="B1039">
            <v>6.7000000000000004E-2</v>
          </cell>
          <cell r="C1039">
            <v>0.8</v>
          </cell>
          <cell r="D1039">
            <v>0</v>
          </cell>
          <cell r="E1039">
            <v>0</v>
          </cell>
          <cell r="F1039">
            <v>0</v>
          </cell>
          <cell r="G1039">
            <v>0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1.2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1.4E-2</v>
          </cell>
          <cell r="T1039">
            <v>0</v>
          </cell>
          <cell r="U1039" t="b">
            <v>0</v>
          </cell>
        </row>
        <row r="1040">
          <cell r="A1040" t="str">
            <v>Data split-9;Reg-22</v>
          </cell>
          <cell r="B1040">
            <v>0.19</v>
          </cell>
          <cell r="C1040">
            <v>0.62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1.3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5.1999999999999998E-3</v>
          </cell>
          <cell r="U1040" t="b">
            <v>0</v>
          </cell>
        </row>
        <row r="1041">
          <cell r="A1041" t="str">
            <v>Data split-9;Reg-23</v>
          </cell>
          <cell r="B1041">
            <v>-0.9</v>
          </cell>
          <cell r="C1041">
            <v>0</v>
          </cell>
          <cell r="D1041">
            <v>0.86</v>
          </cell>
          <cell r="E1041">
            <v>0</v>
          </cell>
          <cell r="F1041">
            <v>0</v>
          </cell>
          <cell r="G1041">
            <v>0</v>
          </cell>
          <cell r="H1041">
            <v>0</v>
          </cell>
          <cell r="I1041">
            <v>0.16</v>
          </cell>
          <cell r="J1041">
            <v>0</v>
          </cell>
          <cell r="K1041">
            <v>0.23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 t="b">
            <v>0</v>
          </cell>
        </row>
        <row r="1042">
          <cell r="A1042" t="str">
            <v>Data split-9;Reg-24</v>
          </cell>
          <cell r="B1042">
            <v>-1.1000000000000001</v>
          </cell>
          <cell r="C1042">
            <v>0</v>
          </cell>
          <cell r="D1042">
            <v>0.84</v>
          </cell>
          <cell r="E1042">
            <v>0</v>
          </cell>
          <cell r="F1042">
            <v>0</v>
          </cell>
          <cell r="G1042">
            <v>0</v>
          </cell>
          <cell r="H1042">
            <v>0</v>
          </cell>
          <cell r="I1042">
            <v>0.3</v>
          </cell>
          <cell r="J1042">
            <v>0</v>
          </cell>
          <cell r="K1042">
            <v>0</v>
          </cell>
          <cell r="L1042">
            <v>1.5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 t="b">
            <v>0</v>
          </cell>
        </row>
        <row r="1043">
          <cell r="A1043" t="str">
            <v>Data split-9;Reg-25</v>
          </cell>
          <cell r="B1043">
            <v>-3</v>
          </cell>
          <cell r="C1043">
            <v>0</v>
          </cell>
          <cell r="D1043">
            <v>0.73</v>
          </cell>
          <cell r="E1043">
            <v>0</v>
          </cell>
          <cell r="F1043">
            <v>0</v>
          </cell>
          <cell r="G1043">
            <v>0</v>
          </cell>
          <cell r="H1043">
            <v>0</v>
          </cell>
          <cell r="I1043">
            <v>0</v>
          </cell>
          <cell r="J1043">
            <v>11.5</v>
          </cell>
          <cell r="K1043">
            <v>-0.09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 t="b">
            <v>0</v>
          </cell>
        </row>
        <row r="1044">
          <cell r="A1044" t="str">
            <v>Data split-9;Reg-26</v>
          </cell>
          <cell r="B1044">
            <v>-2.7</v>
          </cell>
          <cell r="C1044">
            <v>0</v>
          </cell>
          <cell r="D1044">
            <v>0.73</v>
          </cell>
          <cell r="E1044">
            <v>0</v>
          </cell>
          <cell r="F1044">
            <v>0</v>
          </cell>
          <cell r="G1044">
            <v>0</v>
          </cell>
          <cell r="H1044">
            <v>0</v>
          </cell>
          <cell r="I1044">
            <v>0</v>
          </cell>
          <cell r="J1044">
            <v>10.1</v>
          </cell>
          <cell r="K1044">
            <v>0</v>
          </cell>
          <cell r="L1044">
            <v>-0.15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 t="b">
            <v>0</v>
          </cell>
        </row>
        <row r="1045">
          <cell r="A1045" t="str">
            <v>Data split-9;Reg-27</v>
          </cell>
          <cell r="B1045">
            <v>-0.97</v>
          </cell>
          <cell r="C1045">
            <v>0</v>
          </cell>
          <cell r="D1045">
            <v>0.82</v>
          </cell>
          <cell r="E1045">
            <v>0</v>
          </cell>
          <cell r="F1045">
            <v>0</v>
          </cell>
          <cell r="G1045">
            <v>0</v>
          </cell>
          <cell r="H1045">
            <v>0</v>
          </cell>
          <cell r="I1045">
            <v>0.37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4.4000000000000003E-3</v>
          </cell>
          <cell r="R1045">
            <v>0</v>
          </cell>
          <cell r="S1045">
            <v>0</v>
          </cell>
          <cell r="T1045">
            <v>0</v>
          </cell>
          <cell r="U1045" t="b">
            <v>0</v>
          </cell>
        </row>
        <row r="1046">
          <cell r="A1046" t="str">
            <v>Data split-9;Reg-28</v>
          </cell>
          <cell r="B1046">
            <v>-0.43</v>
          </cell>
          <cell r="C1046">
            <v>0</v>
          </cell>
          <cell r="D1046">
            <v>0.68</v>
          </cell>
          <cell r="E1046">
            <v>0</v>
          </cell>
          <cell r="F1046">
            <v>0</v>
          </cell>
          <cell r="G1046">
            <v>0</v>
          </cell>
          <cell r="H1046">
            <v>0</v>
          </cell>
          <cell r="I1046">
            <v>0.14000000000000001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3.8E-3</v>
          </cell>
          <cell r="S1046">
            <v>0</v>
          </cell>
          <cell r="T1046">
            <v>0</v>
          </cell>
          <cell r="U1046" t="b">
            <v>0</v>
          </cell>
        </row>
        <row r="1047">
          <cell r="A1047" t="str">
            <v>Data split-9;Reg-29</v>
          </cell>
          <cell r="B1047">
            <v>-2.2000000000000002</v>
          </cell>
          <cell r="C1047">
            <v>0</v>
          </cell>
          <cell r="D1047">
            <v>0.62</v>
          </cell>
          <cell r="E1047">
            <v>0</v>
          </cell>
          <cell r="F1047">
            <v>0</v>
          </cell>
          <cell r="G1047">
            <v>0</v>
          </cell>
          <cell r="H1047">
            <v>0</v>
          </cell>
          <cell r="I1047">
            <v>0</v>
          </cell>
          <cell r="J1047">
            <v>9.1999999999999993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7.0000000000000001E-3</v>
          </cell>
          <cell r="R1047">
            <v>0</v>
          </cell>
          <cell r="S1047">
            <v>0</v>
          </cell>
          <cell r="T1047">
            <v>0</v>
          </cell>
          <cell r="U1047" t="b">
            <v>0</v>
          </cell>
        </row>
        <row r="1048">
          <cell r="A1048" t="str">
            <v>Data split-9;Reg-30</v>
          </cell>
          <cell r="B1048">
            <v>-1.8</v>
          </cell>
          <cell r="C1048">
            <v>0</v>
          </cell>
          <cell r="D1048">
            <v>0.45</v>
          </cell>
          <cell r="E1048">
            <v>0</v>
          </cell>
          <cell r="F1048">
            <v>0</v>
          </cell>
          <cell r="G1048">
            <v>0</v>
          </cell>
          <cell r="H1048">
            <v>0</v>
          </cell>
          <cell r="I1048">
            <v>0</v>
          </cell>
          <cell r="J1048">
            <v>9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3.8E-3</v>
          </cell>
          <cell r="S1048">
            <v>0</v>
          </cell>
          <cell r="T1048">
            <v>0</v>
          </cell>
          <cell r="U1048" t="b">
            <v>0</v>
          </cell>
        </row>
        <row r="1049">
          <cell r="A1049" t="str">
            <v>Data split-9;Reg-31</v>
          </cell>
          <cell r="B1049">
            <v>-0.6</v>
          </cell>
          <cell r="C1049">
            <v>0</v>
          </cell>
          <cell r="D1049">
            <v>0.84</v>
          </cell>
          <cell r="E1049">
            <v>0</v>
          </cell>
          <cell r="F1049">
            <v>0</v>
          </cell>
          <cell r="G1049">
            <v>0</v>
          </cell>
          <cell r="H1049">
            <v>0</v>
          </cell>
          <cell r="I1049">
            <v>0</v>
          </cell>
          <cell r="J1049">
            <v>0</v>
          </cell>
          <cell r="K1049">
            <v>0.25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3.8E-3</v>
          </cell>
          <cell r="T1049">
            <v>0</v>
          </cell>
          <cell r="U1049" t="b">
            <v>0</v>
          </cell>
        </row>
        <row r="1050">
          <cell r="A1050" t="str">
            <v>Data split-9;Reg-32</v>
          </cell>
          <cell r="B1050">
            <v>-0.26</v>
          </cell>
          <cell r="C1050">
            <v>0</v>
          </cell>
          <cell r="D1050">
            <v>0.68</v>
          </cell>
          <cell r="E1050">
            <v>0</v>
          </cell>
          <cell r="F1050">
            <v>0</v>
          </cell>
          <cell r="G1050">
            <v>0</v>
          </cell>
          <cell r="H1050">
            <v>0</v>
          </cell>
          <cell r="I1050">
            <v>0</v>
          </cell>
          <cell r="J1050">
            <v>0</v>
          </cell>
          <cell r="K1050">
            <v>0.22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3.0000000000000001E-3</v>
          </cell>
          <cell r="U1050" t="b">
            <v>0</v>
          </cell>
        </row>
        <row r="1051">
          <cell r="A1051" t="str">
            <v>Data split-9;Reg-33</v>
          </cell>
          <cell r="B1051">
            <v>-0.54</v>
          </cell>
          <cell r="C1051">
            <v>0</v>
          </cell>
          <cell r="D1051">
            <v>0.81</v>
          </cell>
          <cell r="E1051">
            <v>0</v>
          </cell>
          <cell r="F1051">
            <v>0</v>
          </cell>
          <cell r="G1051">
            <v>0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1.6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7.0000000000000001E-3</v>
          </cell>
          <cell r="T1051">
            <v>0</v>
          </cell>
          <cell r="U1051" t="b">
            <v>0</v>
          </cell>
        </row>
        <row r="1052">
          <cell r="A1052" t="str">
            <v>Data split-9;Reg-34</v>
          </cell>
          <cell r="B1052">
            <v>-0.23</v>
          </cell>
          <cell r="C1052">
            <v>0</v>
          </cell>
          <cell r="D1052">
            <v>0.64</v>
          </cell>
          <cell r="E1052">
            <v>0</v>
          </cell>
          <cell r="F1052">
            <v>0</v>
          </cell>
          <cell r="G1052">
            <v>0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1.6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3.7000000000000002E-3</v>
          </cell>
          <cell r="U1052" t="b">
            <v>0</v>
          </cell>
        </row>
        <row r="1053">
          <cell r="A1053" t="str">
            <v>Data split-9;Reg-35</v>
          </cell>
          <cell r="B1053">
            <v>0.45</v>
          </cell>
          <cell r="C1053">
            <v>0.89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0</v>
          </cell>
          <cell r="I1053">
            <v>-0.4</v>
          </cell>
          <cell r="J1053">
            <v>0</v>
          </cell>
          <cell r="K1053">
            <v>0.17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1.7999999999999999E-2</v>
          </cell>
          <cell r="R1053">
            <v>0</v>
          </cell>
          <cell r="S1053">
            <v>0</v>
          </cell>
          <cell r="T1053">
            <v>0</v>
          </cell>
          <cell r="U1053" t="b">
            <v>0</v>
          </cell>
        </row>
        <row r="1054">
          <cell r="A1054" t="str">
            <v>Data split-9;Reg-36</v>
          </cell>
          <cell r="B1054">
            <v>0.66</v>
          </cell>
          <cell r="C1054">
            <v>0.75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0</v>
          </cell>
          <cell r="I1054">
            <v>-0.6</v>
          </cell>
          <cell r="J1054">
            <v>0</v>
          </cell>
          <cell r="K1054">
            <v>0.2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6.4999999999999997E-3</v>
          </cell>
          <cell r="S1054">
            <v>0</v>
          </cell>
          <cell r="T1054">
            <v>0</v>
          </cell>
          <cell r="U1054" t="b">
            <v>0</v>
          </cell>
        </row>
        <row r="1055">
          <cell r="A1055" t="str">
            <v>Data split-9;Reg-37</v>
          </cell>
          <cell r="B1055">
            <v>0.4</v>
          </cell>
          <cell r="C1055">
            <v>0.85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0</v>
          </cell>
          <cell r="I1055">
            <v>-0.33</v>
          </cell>
          <cell r="J1055">
            <v>0</v>
          </cell>
          <cell r="K1055">
            <v>0</v>
          </cell>
          <cell r="L1055">
            <v>1.3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1.9E-2</v>
          </cell>
          <cell r="R1055">
            <v>0</v>
          </cell>
          <cell r="S1055">
            <v>0</v>
          </cell>
          <cell r="T1055">
            <v>0</v>
          </cell>
          <cell r="U1055" t="b">
            <v>0</v>
          </cell>
        </row>
        <row r="1056">
          <cell r="A1056" t="str">
            <v>Data split-9;Reg-38</v>
          </cell>
          <cell r="B1056">
            <v>0.56999999999999995</v>
          </cell>
          <cell r="C1056">
            <v>0.71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0</v>
          </cell>
          <cell r="I1056">
            <v>-0.52</v>
          </cell>
          <cell r="J1056">
            <v>0</v>
          </cell>
          <cell r="K1056">
            <v>0</v>
          </cell>
          <cell r="L1056">
            <v>1.5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6.7999999999999996E-3</v>
          </cell>
          <cell r="S1056">
            <v>0</v>
          </cell>
          <cell r="T1056">
            <v>0</v>
          </cell>
          <cell r="U1056" t="b">
            <v>0</v>
          </cell>
        </row>
        <row r="1057">
          <cell r="A1057" t="str">
            <v>Data split-9;Reg-39</v>
          </cell>
          <cell r="B1057">
            <v>-2.8</v>
          </cell>
          <cell r="C1057">
            <v>0.51</v>
          </cell>
          <cell r="D1057">
            <v>0</v>
          </cell>
          <cell r="E1057">
            <v>0</v>
          </cell>
          <cell r="F1057">
            <v>0</v>
          </cell>
          <cell r="G1057">
            <v>0</v>
          </cell>
          <cell r="H1057">
            <v>0</v>
          </cell>
          <cell r="I1057">
            <v>0</v>
          </cell>
          <cell r="J1057">
            <v>15</v>
          </cell>
          <cell r="K1057">
            <v>-0.32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1.6E-2</v>
          </cell>
          <cell r="R1057">
            <v>0</v>
          </cell>
          <cell r="S1057">
            <v>0</v>
          </cell>
          <cell r="T1057">
            <v>0</v>
          </cell>
          <cell r="U1057" t="b">
            <v>0</v>
          </cell>
        </row>
        <row r="1058">
          <cell r="A1058" t="str">
            <v>Data split-9;Reg-40</v>
          </cell>
          <cell r="B1058">
            <v>-2.7</v>
          </cell>
          <cell r="C1058">
            <v>0.34</v>
          </cell>
          <cell r="D1058">
            <v>0</v>
          </cell>
          <cell r="E1058">
            <v>0</v>
          </cell>
          <cell r="F1058">
            <v>0</v>
          </cell>
          <cell r="G1058">
            <v>0</v>
          </cell>
          <cell r="H1058">
            <v>0</v>
          </cell>
          <cell r="I1058">
            <v>0</v>
          </cell>
          <cell r="J1058">
            <v>15</v>
          </cell>
          <cell r="K1058">
            <v>-0.32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5.4000000000000003E-3</v>
          </cell>
          <cell r="S1058">
            <v>0</v>
          </cell>
          <cell r="T1058">
            <v>0</v>
          </cell>
          <cell r="U1058" t="b">
            <v>0</v>
          </cell>
        </row>
        <row r="1059">
          <cell r="A1059" t="str">
            <v>Data split-9;Reg-41</v>
          </cell>
          <cell r="B1059">
            <v>-1.9</v>
          </cell>
          <cell r="C1059">
            <v>0.55000000000000004</v>
          </cell>
          <cell r="D1059">
            <v>0</v>
          </cell>
          <cell r="E1059">
            <v>0</v>
          </cell>
          <cell r="F1059">
            <v>0</v>
          </cell>
          <cell r="G1059">
            <v>0</v>
          </cell>
          <cell r="H1059">
            <v>0</v>
          </cell>
          <cell r="I1059">
            <v>0</v>
          </cell>
          <cell r="J1059">
            <v>10.6</v>
          </cell>
          <cell r="K1059">
            <v>0</v>
          </cell>
          <cell r="L1059">
            <v>-0.55000000000000004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1.4E-2</v>
          </cell>
          <cell r="R1059">
            <v>0</v>
          </cell>
          <cell r="S1059">
            <v>0</v>
          </cell>
          <cell r="T1059">
            <v>0</v>
          </cell>
          <cell r="U1059" t="b">
            <v>0</v>
          </cell>
        </row>
        <row r="1060">
          <cell r="A1060" t="str">
            <v>Data split-9;Reg-42</v>
          </cell>
          <cell r="B1060">
            <v>-1.6</v>
          </cell>
          <cell r="C1060">
            <v>0.39</v>
          </cell>
          <cell r="D1060">
            <v>0</v>
          </cell>
          <cell r="E1060">
            <v>0</v>
          </cell>
          <cell r="F1060">
            <v>0</v>
          </cell>
          <cell r="G1060">
            <v>0</v>
          </cell>
          <cell r="H1060">
            <v>0</v>
          </cell>
          <cell r="I1060">
            <v>0</v>
          </cell>
          <cell r="J1060">
            <v>9.8000000000000007</v>
          </cell>
          <cell r="K1060">
            <v>0</v>
          </cell>
          <cell r="L1060">
            <v>-0.32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5.1000000000000004E-3</v>
          </cell>
          <cell r="S1060">
            <v>0</v>
          </cell>
          <cell r="T1060">
            <v>0</v>
          </cell>
          <cell r="U1060" t="b">
            <v>0</v>
          </cell>
        </row>
        <row r="1061">
          <cell r="A1061" t="str">
            <v>Data split-9;Reg-43</v>
          </cell>
          <cell r="B1061">
            <v>0.45</v>
          </cell>
          <cell r="C1061">
            <v>0.9</v>
          </cell>
          <cell r="D1061">
            <v>0</v>
          </cell>
          <cell r="E1061">
            <v>0</v>
          </cell>
          <cell r="F1061">
            <v>0</v>
          </cell>
          <cell r="G1061">
            <v>0</v>
          </cell>
          <cell r="H1061">
            <v>0</v>
          </cell>
          <cell r="I1061">
            <v>-0.41</v>
          </cell>
          <cell r="J1061">
            <v>0</v>
          </cell>
          <cell r="K1061">
            <v>0.17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1.7000000000000001E-2</v>
          </cell>
          <cell r="T1061">
            <v>0</v>
          </cell>
          <cell r="U1061" t="b">
            <v>0</v>
          </cell>
        </row>
        <row r="1062">
          <cell r="A1062" t="str">
            <v>Data split-9;Reg-44</v>
          </cell>
          <cell r="B1062">
            <v>0.75</v>
          </cell>
          <cell r="C1062">
            <v>0.76</v>
          </cell>
          <cell r="D1062">
            <v>0</v>
          </cell>
          <cell r="E1062">
            <v>0</v>
          </cell>
          <cell r="F1062">
            <v>0</v>
          </cell>
          <cell r="G1062">
            <v>0</v>
          </cell>
          <cell r="H1062">
            <v>0</v>
          </cell>
          <cell r="I1062">
            <v>-0.66</v>
          </cell>
          <cell r="J1062">
            <v>0</v>
          </cell>
          <cell r="K1062">
            <v>0.21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6.4000000000000003E-3</v>
          </cell>
          <cell r="U1062" t="b">
            <v>0</v>
          </cell>
        </row>
        <row r="1063">
          <cell r="A1063" t="str">
            <v>Data split-9;Reg-45</v>
          </cell>
          <cell r="B1063">
            <v>0.41</v>
          </cell>
          <cell r="C1063">
            <v>0.87</v>
          </cell>
          <cell r="D1063">
            <v>0</v>
          </cell>
          <cell r="E1063">
            <v>0</v>
          </cell>
          <cell r="F1063">
            <v>0</v>
          </cell>
          <cell r="G1063">
            <v>0</v>
          </cell>
          <cell r="H1063">
            <v>0</v>
          </cell>
          <cell r="I1063">
            <v>-0.35</v>
          </cell>
          <cell r="J1063">
            <v>0</v>
          </cell>
          <cell r="K1063">
            <v>0</v>
          </cell>
          <cell r="L1063">
            <v>1.3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1.7999999999999999E-2</v>
          </cell>
          <cell r="T1063">
            <v>0</v>
          </cell>
          <cell r="U1063" t="b">
            <v>0</v>
          </cell>
        </row>
        <row r="1064">
          <cell r="A1064" t="str">
            <v>Data split-9;Reg-46</v>
          </cell>
          <cell r="B1064">
            <v>0.67</v>
          </cell>
          <cell r="C1064">
            <v>0.72</v>
          </cell>
          <cell r="D1064">
            <v>0</v>
          </cell>
          <cell r="E1064">
            <v>0</v>
          </cell>
          <cell r="F1064">
            <v>0</v>
          </cell>
          <cell r="G1064">
            <v>0</v>
          </cell>
          <cell r="H1064">
            <v>0</v>
          </cell>
          <cell r="I1064">
            <v>-0.59</v>
          </cell>
          <cell r="J1064">
            <v>0</v>
          </cell>
          <cell r="K1064">
            <v>0</v>
          </cell>
          <cell r="L1064">
            <v>1.6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6.7000000000000002E-3</v>
          </cell>
          <cell r="U1064" t="b">
            <v>0</v>
          </cell>
        </row>
        <row r="1065">
          <cell r="A1065" t="str">
            <v>Data split-9;Reg-47</v>
          </cell>
          <cell r="B1065">
            <v>-2.8</v>
          </cell>
          <cell r="C1065">
            <v>0.52</v>
          </cell>
          <cell r="D1065">
            <v>0</v>
          </cell>
          <cell r="E1065">
            <v>0</v>
          </cell>
          <cell r="F1065">
            <v>0</v>
          </cell>
          <cell r="G1065">
            <v>0</v>
          </cell>
          <cell r="H1065">
            <v>0</v>
          </cell>
          <cell r="I1065">
            <v>0</v>
          </cell>
          <cell r="J1065">
            <v>15.2</v>
          </cell>
          <cell r="K1065">
            <v>-0.32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1.4999999999999999E-2</v>
          </cell>
          <cell r="T1065">
            <v>0</v>
          </cell>
          <cell r="U1065" t="b">
            <v>0</v>
          </cell>
        </row>
        <row r="1066">
          <cell r="A1066" t="str">
            <v>Data split-9;Reg-48</v>
          </cell>
          <cell r="B1066">
            <v>-2.7</v>
          </cell>
          <cell r="C1066">
            <v>0.35</v>
          </cell>
          <cell r="D1066">
            <v>0</v>
          </cell>
          <cell r="E1066">
            <v>0</v>
          </cell>
          <cell r="F1066">
            <v>0</v>
          </cell>
          <cell r="G1066">
            <v>0</v>
          </cell>
          <cell r="H1066">
            <v>0</v>
          </cell>
          <cell r="I1066">
            <v>0</v>
          </cell>
          <cell r="J1066">
            <v>15.2</v>
          </cell>
          <cell r="K1066">
            <v>-0.33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5.1999999999999998E-3</v>
          </cell>
          <cell r="U1066" t="b">
            <v>0</v>
          </cell>
        </row>
        <row r="1067">
          <cell r="A1067" t="str">
            <v>Data split-9;Reg-49</v>
          </cell>
          <cell r="B1067">
            <v>-1.9</v>
          </cell>
          <cell r="C1067">
            <v>0.56999999999999995</v>
          </cell>
          <cell r="D1067">
            <v>0</v>
          </cell>
          <cell r="E1067">
            <v>0</v>
          </cell>
          <cell r="F1067">
            <v>0</v>
          </cell>
          <cell r="G1067">
            <v>0</v>
          </cell>
          <cell r="H1067">
            <v>0</v>
          </cell>
          <cell r="I1067">
            <v>0</v>
          </cell>
          <cell r="J1067">
            <v>10.8</v>
          </cell>
          <cell r="K1067">
            <v>0</v>
          </cell>
          <cell r="L1067">
            <v>-0.55000000000000004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1.2E-2</v>
          </cell>
          <cell r="T1067">
            <v>0</v>
          </cell>
          <cell r="U1067" t="b">
            <v>0</v>
          </cell>
        </row>
        <row r="1068">
          <cell r="A1068" t="str">
            <v>Data split-9;Reg-50</v>
          </cell>
          <cell r="B1068">
            <v>-1.6</v>
          </cell>
          <cell r="C1068">
            <v>0.4</v>
          </cell>
          <cell r="D1068">
            <v>0</v>
          </cell>
          <cell r="E1068">
            <v>0</v>
          </cell>
          <cell r="F1068">
            <v>0</v>
          </cell>
          <cell r="G1068">
            <v>0</v>
          </cell>
          <cell r="H1068">
            <v>0</v>
          </cell>
          <cell r="I1068">
            <v>0</v>
          </cell>
          <cell r="J1068">
            <v>9.9</v>
          </cell>
          <cell r="K1068">
            <v>0</v>
          </cell>
          <cell r="L1068">
            <v>-0.31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4.7000000000000002E-3</v>
          </cell>
          <cell r="U1068" t="b">
            <v>0</v>
          </cell>
        </row>
        <row r="1069">
          <cell r="A1069" t="str">
            <v>Data split-9;Reg-51</v>
          </cell>
          <cell r="B1069">
            <v>-0.57999999999999996</v>
          </cell>
          <cell r="C1069">
            <v>0</v>
          </cell>
          <cell r="D1069">
            <v>0.81</v>
          </cell>
          <cell r="E1069">
            <v>0</v>
          </cell>
          <cell r="F1069">
            <v>0</v>
          </cell>
          <cell r="G1069">
            <v>0</v>
          </cell>
          <cell r="H1069">
            <v>0</v>
          </cell>
          <cell r="I1069">
            <v>4.7E-2</v>
          </cell>
          <cell r="J1069">
            <v>0</v>
          </cell>
          <cell r="K1069">
            <v>0.24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4.7999999999999996E-3</v>
          </cell>
          <cell r="R1069">
            <v>0</v>
          </cell>
          <cell r="S1069">
            <v>0</v>
          </cell>
          <cell r="T1069">
            <v>0</v>
          </cell>
          <cell r="U1069" t="b">
            <v>0</v>
          </cell>
        </row>
        <row r="1070">
          <cell r="A1070" t="str">
            <v>Data split-9;Reg-52</v>
          </cell>
          <cell r="B1070">
            <v>1.9E-2</v>
          </cell>
          <cell r="C1070">
            <v>0</v>
          </cell>
          <cell r="D1070">
            <v>0.66</v>
          </cell>
          <cell r="E1070">
            <v>0</v>
          </cell>
          <cell r="F1070">
            <v>0</v>
          </cell>
          <cell r="G1070">
            <v>0</v>
          </cell>
          <cell r="H1070">
            <v>0</v>
          </cell>
          <cell r="I1070">
            <v>-0.22</v>
          </cell>
          <cell r="J1070">
            <v>0</v>
          </cell>
          <cell r="K1070">
            <v>0.25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4.0000000000000001E-3</v>
          </cell>
          <cell r="S1070">
            <v>0</v>
          </cell>
          <cell r="T1070">
            <v>0</v>
          </cell>
          <cell r="U1070" t="b">
            <v>0</v>
          </cell>
        </row>
        <row r="1071">
          <cell r="A1071" t="str">
            <v>Data split-9;Reg-53</v>
          </cell>
          <cell r="B1071">
            <v>-0.67</v>
          </cell>
          <cell r="C1071">
            <v>0</v>
          </cell>
          <cell r="D1071">
            <v>0.78</v>
          </cell>
          <cell r="E1071">
            <v>0</v>
          </cell>
          <cell r="F1071">
            <v>0</v>
          </cell>
          <cell r="G1071">
            <v>0</v>
          </cell>
          <cell r="H1071">
            <v>0</v>
          </cell>
          <cell r="I1071">
            <v>0.15</v>
          </cell>
          <cell r="J1071">
            <v>0</v>
          </cell>
          <cell r="K1071">
            <v>0</v>
          </cell>
          <cell r="L1071">
            <v>1.5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6.1999999999999998E-3</v>
          </cell>
          <cell r="R1071">
            <v>0</v>
          </cell>
          <cell r="S1071">
            <v>0</v>
          </cell>
          <cell r="T1071">
            <v>0</v>
          </cell>
          <cell r="U1071" t="b">
            <v>0</v>
          </cell>
        </row>
        <row r="1072">
          <cell r="A1072" t="str">
            <v>Data split-9;Reg-54</v>
          </cell>
          <cell r="B1072">
            <v>-8.7999999999999995E-2</v>
          </cell>
          <cell r="C1072">
            <v>0</v>
          </cell>
          <cell r="D1072">
            <v>0.63</v>
          </cell>
          <cell r="E1072">
            <v>0</v>
          </cell>
          <cell r="F1072">
            <v>0</v>
          </cell>
          <cell r="G1072">
            <v>0</v>
          </cell>
          <cell r="H1072">
            <v>0</v>
          </cell>
          <cell r="I1072">
            <v>-0.11</v>
          </cell>
          <cell r="J1072">
            <v>0</v>
          </cell>
          <cell r="K1072">
            <v>0</v>
          </cell>
          <cell r="L1072">
            <v>1.7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4.4000000000000003E-3</v>
          </cell>
          <cell r="S1072">
            <v>0</v>
          </cell>
          <cell r="T1072">
            <v>0</v>
          </cell>
          <cell r="U1072" t="b">
            <v>0</v>
          </cell>
        </row>
        <row r="1073">
          <cell r="A1073" t="str">
            <v>Data split-9;Reg-55</v>
          </cell>
          <cell r="B1073">
            <v>-2.8</v>
          </cell>
          <cell r="C1073">
            <v>0</v>
          </cell>
          <cell r="D1073">
            <v>0.56000000000000005</v>
          </cell>
          <cell r="E1073">
            <v>0</v>
          </cell>
          <cell r="F1073">
            <v>0</v>
          </cell>
          <cell r="G1073">
            <v>0</v>
          </cell>
          <cell r="H1073">
            <v>0</v>
          </cell>
          <cell r="I1073">
            <v>0</v>
          </cell>
          <cell r="J1073">
            <v>12.8</v>
          </cell>
          <cell r="K1073">
            <v>-0.18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9.1000000000000004E-3</v>
          </cell>
          <cell r="R1073">
            <v>0</v>
          </cell>
          <cell r="S1073">
            <v>0</v>
          </cell>
          <cell r="T1073">
            <v>0</v>
          </cell>
          <cell r="U1073" t="b">
            <v>0</v>
          </cell>
        </row>
        <row r="1074">
          <cell r="A1074" t="str">
            <v>Data split-9;Reg-56</v>
          </cell>
          <cell r="B1074">
            <v>-2.7</v>
          </cell>
          <cell r="C1074">
            <v>0</v>
          </cell>
          <cell r="D1074">
            <v>0.37</v>
          </cell>
          <cell r="E1074">
            <v>0</v>
          </cell>
          <cell r="F1074">
            <v>0</v>
          </cell>
          <cell r="G1074">
            <v>0</v>
          </cell>
          <cell r="H1074">
            <v>0</v>
          </cell>
          <cell r="I1074">
            <v>0</v>
          </cell>
          <cell r="J1074">
            <v>13.8</v>
          </cell>
          <cell r="K1074">
            <v>-0.23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4.4000000000000003E-3</v>
          </cell>
          <cell r="S1074">
            <v>0</v>
          </cell>
          <cell r="T1074">
            <v>0</v>
          </cell>
          <cell r="U1074" t="b">
            <v>0</v>
          </cell>
        </row>
        <row r="1075">
          <cell r="A1075" t="str">
            <v>Data split-9;Reg-57</v>
          </cell>
          <cell r="B1075">
            <v>-2.2000000000000002</v>
          </cell>
          <cell r="C1075">
            <v>0</v>
          </cell>
          <cell r="D1075">
            <v>0.61</v>
          </cell>
          <cell r="E1075">
            <v>0</v>
          </cell>
          <cell r="F1075">
            <v>0</v>
          </cell>
          <cell r="G1075">
            <v>0</v>
          </cell>
          <cell r="H1075">
            <v>0</v>
          </cell>
          <cell r="I1075">
            <v>0</v>
          </cell>
          <cell r="J1075">
            <v>9.6999999999999993</v>
          </cell>
          <cell r="K1075">
            <v>0</v>
          </cell>
          <cell r="L1075">
            <v>-0.14000000000000001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7.0000000000000001E-3</v>
          </cell>
          <cell r="R1075">
            <v>0</v>
          </cell>
          <cell r="S1075">
            <v>0</v>
          </cell>
          <cell r="T1075">
            <v>0</v>
          </cell>
          <cell r="U1075" t="b">
            <v>0</v>
          </cell>
        </row>
        <row r="1076">
          <cell r="A1076" t="str">
            <v>Data split-9;Reg-58</v>
          </cell>
          <cell r="B1076">
            <v>-1.9</v>
          </cell>
          <cell r="C1076">
            <v>0</v>
          </cell>
          <cell r="D1076">
            <v>0.45</v>
          </cell>
          <cell r="E1076">
            <v>0</v>
          </cell>
          <cell r="F1076">
            <v>0</v>
          </cell>
          <cell r="G1076">
            <v>0</v>
          </cell>
          <cell r="H1076">
            <v>0</v>
          </cell>
          <cell r="I1076">
            <v>0</v>
          </cell>
          <cell r="J1076">
            <v>9.1999999999999993</v>
          </cell>
          <cell r="K1076">
            <v>0</v>
          </cell>
          <cell r="L1076">
            <v>-6.0999999999999999E-2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3.8E-3</v>
          </cell>
          <cell r="S1076">
            <v>0</v>
          </cell>
          <cell r="T1076">
            <v>0</v>
          </cell>
          <cell r="U1076" t="b">
            <v>0</v>
          </cell>
        </row>
        <row r="1077">
          <cell r="A1077" t="str">
            <v>Data split-9;Reg-59</v>
          </cell>
          <cell r="B1077">
            <v>-0.71</v>
          </cell>
          <cell r="C1077">
            <v>0</v>
          </cell>
          <cell r="D1077">
            <v>0.83</v>
          </cell>
          <cell r="E1077">
            <v>0</v>
          </cell>
          <cell r="F1077">
            <v>0</v>
          </cell>
          <cell r="G1077">
            <v>0</v>
          </cell>
          <cell r="H1077">
            <v>0</v>
          </cell>
          <cell r="I1077">
            <v>8.8999999999999996E-2</v>
          </cell>
          <cell r="J1077">
            <v>0</v>
          </cell>
          <cell r="K1077">
            <v>0.24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2.7000000000000001E-3</v>
          </cell>
          <cell r="T1077">
            <v>0</v>
          </cell>
          <cell r="U1077" t="b">
            <v>0</v>
          </cell>
        </row>
        <row r="1078">
          <cell r="A1078" t="str">
            <v>Data split-9;Reg-60</v>
          </cell>
          <cell r="B1078">
            <v>0.01</v>
          </cell>
          <cell r="C1078">
            <v>0</v>
          </cell>
          <cell r="D1078">
            <v>0.68</v>
          </cell>
          <cell r="E1078">
            <v>0</v>
          </cell>
          <cell r="F1078">
            <v>0</v>
          </cell>
          <cell r="G1078">
            <v>0</v>
          </cell>
          <cell r="H1078">
            <v>0</v>
          </cell>
          <cell r="I1078">
            <v>-0.23</v>
          </cell>
          <cell r="J1078">
            <v>0</v>
          </cell>
          <cell r="K1078">
            <v>0.25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3.7000000000000002E-3</v>
          </cell>
          <cell r="U1078" t="b">
            <v>0</v>
          </cell>
        </row>
        <row r="1079">
          <cell r="A1079" t="str">
            <v>Data split-9;Reg-61</v>
          </cell>
          <cell r="B1079">
            <v>-0.78</v>
          </cell>
          <cell r="C1079">
            <v>0</v>
          </cell>
          <cell r="D1079">
            <v>0.8</v>
          </cell>
          <cell r="E1079">
            <v>0</v>
          </cell>
          <cell r="F1079">
            <v>0</v>
          </cell>
          <cell r="G1079">
            <v>0</v>
          </cell>
          <cell r="H1079">
            <v>0</v>
          </cell>
          <cell r="I1079">
            <v>0.18</v>
          </cell>
          <cell r="J1079">
            <v>0</v>
          </cell>
          <cell r="K1079">
            <v>0</v>
          </cell>
          <cell r="L1079">
            <v>1.5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4.4000000000000003E-3</v>
          </cell>
          <cell r="T1079">
            <v>0</v>
          </cell>
          <cell r="U1079" t="b">
            <v>0</v>
          </cell>
        </row>
        <row r="1080">
          <cell r="A1080" t="str">
            <v>Data split-9;Reg-62</v>
          </cell>
          <cell r="B1080">
            <v>-7.1999999999999995E-2</v>
          </cell>
          <cell r="C1080">
            <v>0</v>
          </cell>
          <cell r="D1080">
            <v>0.65</v>
          </cell>
          <cell r="E1080">
            <v>0</v>
          </cell>
          <cell r="F1080">
            <v>0</v>
          </cell>
          <cell r="G1080">
            <v>0</v>
          </cell>
          <cell r="H1080">
            <v>0</v>
          </cell>
          <cell r="I1080">
            <v>-0.14000000000000001</v>
          </cell>
          <cell r="J1080">
            <v>0</v>
          </cell>
          <cell r="K1080">
            <v>0</v>
          </cell>
          <cell r="L1080">
            <v>1.7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4.1999999999999997E-3</v>
          </cell>
          <cell r="U1080" t="b">
            <v>0</v>
          </cell>
        </row>
        <row r="1081">
          <cell r="A1081" t="str">
            <v>Data split-9;Reg-63</v>
          </cell>
          <cell r="B1081">
            <v>-2.8</v>
          </cell>
          <cell r="C1081">
            <v>0</v>
          </cell>
          <cell r="D1081">
            <v>0.57999999999999996</v>
          </cell>
          <cell r="E1081">
            <v>0</v>
          </cell>
          <cell r="F1081">
            <v>0</v>
          </cell>
          <cell r="G1081">
            <v>0</v>
          </cell>
          <cell r="H1081">
            <v>0</v>
          </cell>
          <cell r="I1081">
            <v>0</v>
          </cell>
          <cell r="J1081">
            <v>12.7</v>
          </cell>
          <cell r="K1081">
            <v>-0.17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7.7000000000000002E-3</v>
          </cell>
          <cell r="T1081">
            <v>0</v>
          </cell>
          <cell r="U1081" t="b">
            <v>0</v>
          </cell>
        </row>
        <row r="1082">
          <cell r="A1082" t="str">
            <v>Data split-9;Reg-64</v>
          </cell>
          <cell r="B1082">
            <v>-2.7</v>
          </cell>
          <cell r="C1082">
            <v>0</v>
          </cell>
          <cell r="D1082">
            <v>0.4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13.8</v>
          </cell>
          <cell r="K1082">
            <v>-0.23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4.0000000000000001E-3</v>
          </cell>
          <cell r="U1082" t="b">
            <v>0</v>
          </cell>
        </row>
        <row r="1083">
          <cell r="A1083" t="str">
            <v>Data split-9;Reg-65</v>
          </cell>
          <cell r="B1083">
            <v>-2.2999999999999998</v>
          </cell>
          <cell r="C1083">
            <v>0</v>
          </cell>
          <cell r="D1083">
            <v>0.64</v>
          </cell>
          <cell r="E1083">
            <v>0</v>
          </cell>
          <cell r="F1083">
            <v>0</v>
          </cell>
          <cell r="G1083">
            <v>0</v>
          </cell>
          <cell r="H1083">
            <v>0</v>
          </cell>
          <cell r="I1083">
            <v>0</v>
          </cell>
          <cell r="J1083">
            <v>9.6999999999999993</v>
          </cell>
          <cell r="K1083">
            <v>0</v>
          </cell>
          <cell r="L1083">
            <v>-0.12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5.5999999999999999E-3</v>
          </cell>
          <cell r="T1083">
            <v>0</v>
          </cell>
          <cell r="U1083" t="b">
            <v>0</v>
          </cell>
        </row>
        <row r="1084">
          <cell r="A1084" t="str">
            <v>Data split-9;Reg-66</v>
          </cell>
          <cell r="B1084">
            <v>-1.9</v>
          </cell>
          <cell r="C1084">
            <v>0</v>
          </cell>
          <cell r="D1084">
            <v>0.47</v>
          </cell>
          <cell r="E1084">
            <v>0</v>
          </cell>
          <cell r="F1084">
            <v>0</v>
          </cell>
          <cell r="G1084">
            <v>0</v>
          </cell>
          <cell r="H1084">
            <v>0</v>
          </cell>
          <cell r="I1084">
            <v>0</v>
          </cell>
          <cell r="J1084">
            <v>9.1999999999999993</v>
          </cell>
          <cell r="K1084">
            <v>0</v>
          </cell>
          <cell r="L1084">
            <v>-3.1E-2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3.3999999999999998E-3</v>
          </cell>
          <cell r="U1084" t="b">
            <v>0</v>
          </cell>
        </row>
        <row r="1085">
          <cell r="A1085" t="str">
            <v>Data split-9;Reg-67</v>
          </cell>
          <cell r="B1085">
            <v>-1.2</v>
          </cell>
          <cell r="C1085">
            <v>0.8</v>
          </cell>
          <cell r="D1085">
            <v>0</v>
          </cell>
          <cell r="E1085">
            <v>0</v>
          </cell>
          <cell r="F1085">
            <v>0</v>
          </cell>
          <cell r="G1085">
            <v>0.36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 t="b">
            <v>1</v>
          </cell>
        </row>
        <row r="1086">
          <cell r="A1086" t="str">
            <v>Data split-9;Reg-68</v>
          </cell>
          <cell r="B1086">
            <v>-3.7</v>
          </cell>
          <cell r="C1086">
            <v>0.66</v>
          </cell>
          <cell r="D1086">
            <v>0</v>
          </cell>
          <cell r="E1086">
            <v>0</v>
          </cell>
          <cell r="F1086">
            <v>-9.2999999999999999E-2</v>
          </cell>
          <cell r="G1086">
            <v>0.92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 t="b">
            <v>0</v>
          </cell>
        </row>
        <row r="1087">
          <cell r="A1087" t="str">
            <v>Data split-9;Reg-69</v>
          </cell>
          <cell r="B1087">
            <v>-2.8</v>
          </cell>
          <cell r="C1087">
            <v>0.41</v>
          </cell>
          <cell r="D1087">
            <v>0</v>
          </cell>
          <cell r="E1087">
            <v>0</v>
          </cell>
          <cell r="F1087">
            <v>0</v>
          </cell>
          <cell r="G1087">
            <v>0.37</v>
          </cell>
          <cell r="H1087">
            <v>0</v>
          </cell>
          <cell r="I1087">
            <v>0</v>
          </cell>
          <cell r="J1087">
            <v>9.6999999999999993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 t="b">
            <v>0</v>
          </cell>
        </row>
        <row r="1088">
          <cell r="A1088" t="str">
            <v>Data split-9;Reg-70</v>
          </cell>
          <cell r="B1088">
            <v>-3.2</v>
          </cell>
          <cell r="C1088">
            <v>0.4</v>
          </cell>
          <cell r="D1088">
            <v>0</v>
          </cell>
          <cell r="E1088">
            <v>0</v>
          </cell>
          <cell r="F1088">
            <v>0</v>
          </cell>
          <cell r="G1088">
            <v>0.47</v>
          </cell>
          <cell r="H1088">
            <v>0</v>
          </cell>
          <cell r="I1088">
            <v>0</v>
          </cell>
          <cell r="J1088">
            <v>10.1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-5.7000000000000002E-3</v>
          </cell>
          <cell r="T1088">
            <v>0</v>
          </cell>
          <cell r="U1088" t="b">
            <v>0</v>
          </cell>
        </row>
        <row r="1089">
          <cell r="A1089" t="str">
            <v>Data split-9;Reg-71</v>
          </cell>
          <cell r="B1089">
            <v>-1.5</v>
          </cell>
          <cell r="C1089">
            <v>0.64</v>
          </cell>
          <cell r="D1089">
            <v>0</v>
          </cell>
          <cell r="E1089">
            <v>0</v>
          </cell>
          <cell r="F1089">
            <v>-4.3999999999999997E-2</v>
          </cell>
          <cell r="G1089">
            <v>0</v>
          </cell>
          <cell r="H1089">
            <v>0.63</v>
          </cell>
          <cell r="I1089">
            <v>0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-8.0999999999999996E-4</v>
          </cell>
          <cell r="T1089">
            <v>0</v>
          </cell>
          <cell r="U1089" t="b">
            <v>0</v>
          </cell>
        </row>
        <row r="1090">
          <cell r="A1090" t="str">
            <v>Data split-9;Reg-72</v>
          </cell>
          <cell r="B1090">
            <v>-0.84</v>
          </cell>
          <cell r="C1090">
            <v>0.97</v>
          </cell>
          <cell r="D1090">
            <v>0</v>
          </cell>
          <cell r="E1090">
            <v>0.15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 t="b">
            <v>1</v>
          </cell>
        </row>
        <row r="1091">
          <cell r="A1091" t="str">
            <v>Data split-9;Reg-73</v>
          </cell>
          <cell r="B1091">
            <v>-1.2</v>
          </cell>
          <cell r="C1091">
            <v>1.3</v>
          </cell>
          <cell r="D1091">
            <v>0</v>
          </cell>
          <cell r="E1091">
            <v>0</v>
          </cell>
          <cell r="F1091">
            <v>-2.1000000000000001E-2</v>
          </cell>
          <cell r="G1091">
            <v>0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 t="b">
            <v>0</v>
          </cell>
        </row>
        <row r="1092">
          <cell r="A1092" t="str">
            <v>Data split-9;Reg-74</v>
          </cell>
          <cell r="B1092">
            <v>-1.1000000000000001</v>
          </cell>
          <cell r="C1092">
            <v>0</v>
          </cell>
          <cell r="D1092">
            <v>1.2</v>
          </cell>
          <cell r="E1092">
            <v>-9.6000000000000002E-2</v>
          </cell>
          <cell r="F1092">
            <v>0</v>
          </cell>
          <cell r="G1092">
            <v>0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 t="b">
            <v>0</v>
          </cell>
        </row>
        <row r="1093">
          <cell r="A1093" t="str">
            <v>Data split-9;Reg-75</v>
          </cell>
          <cell r="B1093">
            <v>-1.1000000000000001</v>
          </cell>
          <cell r="C1093">
            <v>0</v>
          </cell>
          <cell r="D1093">
            <v>1</v>
          </cell>
          <cell r="E1093">
            <v>0</v>
          </cell>
          <cell r="F1093">
            <v>-1.1000000000000001E-3</v>
          </cell>
          <cell r="G1093">
            <v>0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 t="b">
            <v>0</v>
          </cell>
        </row>
        <row r="1094">
          <cell r="A1094" t="str">
            <v>Data split-9;Reg-76</v>
          </cell>
          <cell r="B1094">
            <v>-1.2</v>
          </cell>
          <cell r="C1094">
            <v>0.8</v>
          </cell>
          <cell r="D1094">
            <v>0</v>
          </cell>
          <cell r="E1094">
            <v>0</v>
          </cell>
          <cell r="F1094">
            <v>0</v>
          </cell>
          <cell r="G1094">
            <v>0.36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 t="b">
            <v>1</v>
          </cell>
        </row>
        <row r="1095">
          <cell r="A1095" t="str">
            <v>Data split-9;Reg-77</v>
          </cell>
          <cell r="B1095">
            <v>-0.7</v>
          </cell>
          <cell r="C1095">
            <v>0.8</v>
          </cell>
          <cell r="D1095">
            <v>0</v>
          </cell>
          <cell r="E1095">
            <v>0</v>
          </cell>
          <cell r="F1095">
            <v>0</v>
          </cell>
          <cell r="G1095">
            <v>0</v>
          </cell>
          <cell r="H1095">
            <v>0.37</v>
          </cell>
          <cell r="I1095">
            <v>0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 t="b">
            <v>1</v>
          </cell>
        </row>
        <row r="1096">
          <cell r="A1096" t="str">
            <v>Data split-9;Reg-78</v>
          </cell>
          <cell r="B1096">
            <v>-1.3</v>
          </cell>
          <cell r="C1096">
            <v>0</v>
          </cell>
          <cell r="D1096">
            <v>0.77</v>
          </cell>
          <cell r="E1096">
            <v>0</v>
          </cell>
          <cell r="F1096">
            <v>0</v>
          </cell>
          <cell r="G1096">
            <v>0.27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 t="b">
            <v>1</v>
          </cell>
        </row>
        <row r="1097">
          <cell r="A1097" t="str">
            <v>Data split-9;Reg-79</v>
          </cell>
          <cell r="B1097">
            <v>-0.93</v>
          </cell>
          <cell r="C1097">
            <v>0</v>
          </cell>
          <cell r="D1097">
            <v>0.81</v>
          </cell>
          <cell r="E1097">
            <v>0</v>
          </cell>
          <cell r="F1097">
            <v>0</v>
          </cell>
          <cell r="G1097">
            <v>0</v>
          </cell>
          <cell r="H1097">
            <v>0.24</v>
          </cell>
          <cell r="I1097">
            <v>0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 t="b">
            <v>1</v>
          </cell>
        </row>
        <row r="1098">
          <cell r="A1098" t="str">
            <v>Data split-9;Reg-80</v>
          </cell>
          <cell r="B1098">
            <v>-0.93</v>
          </cell>
          <cell r="C1098">
            <v>1</v>
          </cell>
          <cell r="D1098">
            <v>0</v>
          </cell>
          <cell r="E1098">
            <v>0</v>
          </cell>
          <cell r="F1098">
            <v>0</v>
          </cell>
          <cell r="G1098">
            <v>0</v>
          </cell>
          <cell r="H1098">
            <v>0</v>
          </cell>
          <cell r="I1098">
            <v>0.34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 t="b">
            <v>0</v>
          </cell>
        </row>
        <row r="1099">
          <cell r="A1099" t="str">
            <v>Data split-9;Reg-81</v>
          </cell>
          <cell r="B1099">
            <v>-2.2999999999999998</v>
          </cell>
          <cell r="C1099">
            <v>0.84</v>
          </cell>
          <cell r="D1099">
            <v>0</v>
          </cell>
          <cell r="E1099">
            <v>0</v>
          </cell>
          <cell r="F1099">
            <v>0</v>
          </cell>
          <cell r="G1099">
            <v>0</v>
          </cell>
          <cell r="H1099">
            <v>0</v>
          </cell>
          <cell r="I1099">
            <v>0</v>
          </cell>
          <cell r="J1099">
            <v>9.5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 t="b">
            <v>0</v>
          </cell>
        </row>
        <row r="1100">
          <cell r="A1100" t="str">
            <v>Data split-9;Reg-82</v>
          </cell>
          <cell r="B1100">
            <v>-1.3</v>
          </cell>
          <cell r="C1100">
            <v>0</v>
          </cell>
          <cell r="D1100">
            <v>0.86</v>
          </cell>
          <cell r="E1100">
            <v>0</v>
          </cell>
          <cell r="F1100">
            <v>0</v>
          </cell>
          <cell r="G1100">
            <v>0</v>
          </cell>
          <cell r="H1100">
            <v>0</v>
          </cell>
          <cell r="I1100">
            <v>0.48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 t="b">
            <v>0</v>
          </cell>
        </row>
        <row r="1101">
          <cell r="A1101" t="str">
            <v>Data split-9;Reg-83</v>
          </cell>
          <cell r="B1101">
            <v>-2.6</v>
          </cell>
          <cell r="C1101">
            <v>0</v>
          </cell>
          <cell r="D1101">
            <v>0.74</v>
          </cell>
          <cell r="E1101">
            <v>0</v>
          </cell>
          <cell r="F1101">
            <v>0</v>
          </cell>
          <cell r="G1101">
            <v>0</v>
          </cell>
          <cell r="H1101">
            <v>0</v>
          </cell>
          <cell r="I1101">
            <v>0</v>
          </cell>
          <cell r="J1101">
            <v>9.6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 t="b">
            <v>0</v>
          </cell>
        </row>
        <row r="1102">
          <cell r="A1102" t="str">
            <v>Data split-9;Reg-84</v>
          </cell>
          <cell r="B1102">
            <v>-0.59</v>
          </cell>
          <cell r="C1102">
            <v>1.1000000000000001</v>
          </cell>
          <cell r="D1102">
            <v>0</v>
          </cell>
          <cell r="E1102">
            <v>0</v>
          </cell>
          <cell r="F1102">
            <v>0</v>
          </cell>
          <cell r="G1102">
            <v>0</v>
          </cell>
          <cell r="H1102">
            <v>0</v>
          </cell>
          <cell r="I1102">
            <v>0</v>
          </cell>
          <cell r="J1102">
            <v>0</v>
          </cell>
          <cell r="K1102">
            <v>0.18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 t="b">
            <v>0</v>
          </cell>
        </row>
        <row r="1103">
          <cell r="A1103" t="str">
            <v>Data split-9;Reg-85</v>
          </cell>
          <cell r="B1103">
            <v>-0.69</v>
          </cell>
          <cell r="C1103">
            <v>1.1000000000000001</v>
          </cell>
          <cell r="D1103">
            <v>0</v>
          </cell>
          <cell r="E1103">
            <v>0</v>
          </cell>
          <cell r="F1103">
            <v>0</v>
          </cell>
          <cell r="G1103">
            <v>0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1.2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 t="b">
            <v>0</v>
          </cell>
        </row>
        <row r="1104">
          <cell r="A1104" t="str">
            <v>Data split-9;Reg-86</v>
          </cell>
          <cell r="B1104">
            <v>-0.8</v>
          </cell>
          <cell r="C1104">
            <v>0</v>
          </cell>
          <cell r="D1104">
            <v>0.9</v>
          </cell>
          <cell r="E1104">
            <v>0</v>
          </cell>
          <cell r="F1104">
            <v>0</v>
          </cell>
          <cell r="G1104">
            <v>0</v>
          </cell>
          <cell r="H1104">
            <v>0</v>
          </cell>
          <cell r="I1104">
            <v>0</v>
          </cell>
          <cell r="J1104">
            <v>0</v>
          </cell>
          <cell r="K1104">
            <v>0.27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 t="b">
            <v>0</v>
          </cell>
        </row>
        <row r="1105">
          <cell r="A1105" t="str">
            <v>Data split-9;Reg-87</v>
          </cell>
          <cell r="B1105">
            <v>-0.96</v>
          </cell>
          <cell r="C1105">
            <v>0</v>
          </cell>
          <cell r="D1105">
            <v>0.94</v>
          </cell>
          <cell r="E1105">
            <v>0</v>
          </cell>
          <cell r="F1105">
            <v>0</v>
          </cell>
          <cell r="G1105">
            <v>0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1.7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 t="b">
            <v>0</v>
          </cell>
        </row>
        <row r="1106">
          <cell r="A1106" t="str">
            <v>Data split-9;Reg-88</v>
          </cell>
          <cell r="B1106">
            <v>-0.79</v>
          </cell>
          <cell r="C1106">
            <v>1.2</v>
          </cell>
          <cell r="D1106">
            <v>0</v>
          </cell>
          <cell r="E1106">
            <v>0</v>
          </cell>
          <cell r="F1106">
            <v>0</v>
          </cell>
          <cell r="G1106">
            <v>0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0</v>
          </cell>
          <cell r="M1106">
            <v>4.2000000000000002E-4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 t="b">
            <v>0</v>
          </cell>
        </row>
        <row r="1107">
          <cell r="A1107" t="str">
            <v>Data split-9;Reg-89</v>
          </cell>
          <cell r="B1107">
            <v>-0.76</v>
          </cell>
          <cell r="C1107">
            <v>1.2</v>
          </cell>
          <cell r="D1107">
            <v>0</v>
          </cell>
          <cell r="E1107">
            <v>0</v>
          </cell>
          <cell r="F1107">
            <v>0</v>
          </cell>
          <cell r="G1107">
            <v>0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5.6999999999999998E-4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 t="b">
            <v>0</v>
          </cell>
        </row>
        <row r="1108">
          <cell r="A1108" t="str">
            <v>Data split-9;Reg-90</v>
          </cell>
          <cell r="B1108">
            <v>-1.4</v>
          </cell>
          <cell r="C1108">
            <v>0</v>
          </cell>
          <cell r="D1108">
            <v>1.2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0</v>
          </cell>
          <cell r="M1108">
            <v>-6.8999999999999999E-3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 t="b">
            <v>1</v>
          </cell>
        </row>
        <row r="1109">
          <cell r="A1109" t="str">
            <v>Data split-9;Reg-91</v>
          </cell>
          <cell r="B1109">
            <v>-1.3</v>
          </cell>
          <cell r="C1109">
            <v>0</v>
          </cell>
          <cell r="D1109">
            <v>1.1000000000000001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-1.4E-3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 t="b">
            <v>1</v>
          </cell>
        </row>
        <row r="1110">
          <cell r="A1110" t="str">
            <v>Data split-9;Reg-92</v>
          </cell>
          <cell r="B1110">
            <v>-0.97</v>
          </cell>
          <cell r="C1110">
            <v>1.3</v>
          </cell>
          <cell r="D1110">
            <v>0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-7.1000000000000004E-3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 t="b">
            <v>1</v>
          </cell>
        </row>
        <row r="1111">
          <cell r="A1111" t="str">
            <v>Data split-9;Reg-93</v>
          </cell>
          <cell r="B1111">
            <v>-0.88</v>
          </cell>
          <cell r="C1111">
            <v>1.3</v>
          </cell>
          <cell r="D1111">
            <v>0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-1.6000000000000001E-3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 t="b">
            <v>1</v>
          </cell>
        </row>
        <row r="1112">
          <cell r="A1112" t="str">
            <v>Data split-9;Reg-94</v>
          </cell>
          <cell r="B1112">
            <v>-1.1000000000000001</v>
          </cell>
          <cell r="C1112">
            <v>0</v>
          </cell>
          <cell r="D1112">
            <v>1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1E-3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 t="b">
            <v>0</v>
          </cell>
        </row>
        <row r="1113">
          <cell r="A1113" t="str">
            <v>Data split-9;Reg-95</v>
          </cell>
          <cell r="B1113">
            <v>-1.1000000000000001</v>
          </cell>
          <cell r="C1113">
            <v>0</v>
          </cell>
          <cell r="D1113">
            <v>1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5.5000000000000003E-4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 t="b">
            <v>0</v>
          </cell>
        </row>
        <row r="1114">
          <cell r="A1114" t="str">
            <v>Data split-9;Reg-96</v>
          </cell>
          <cell r="B1114">
            <v>-0.9</v>
          </cell>
          <cell r="C1114">
            <v>0.93</v>
          </cell>
          <cell r="D1114">
            <v>0</v>
          </cell>
          <cell r="E1114">
            <v>0.11</v>
          </cell>
          <cell r="F1114">
            <v>0</v>
          </cell>
          <cell r="G1114">
            <v>0</v>
          </cell>
          <cell r="H1114">
            <v>0</v>
          </cell>
          <cell r="I1114">
            <v>0.2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 t="b">
            <v>0</v>
          </cell>
        </row>
        <row r="1115">
          <cell r="A1115" t="str">
            <v>Data split-9;Reg-97</v>
          </cell>
          <cell r="B1115">
            <v>-2.5</v>
          </cell>
          <cell r="C1115">
            <v>0.51</v>
          </cell>
          <cell r="D1115">
            <v>0</v>
          </cell>
          <cell r="E1115">
            <v>0.2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10.199999999999999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 t="b">
            <v>0</v>
          </cell>
        </row>
        <row r="1116">
          <cell r="A1116" t="str">
            <v>Data split-9;Reg-98</v>
          </cell>
          <cell r="B1116">
            <v>-2.8</v>
          </cell>
          <cell r="C1116">
            <v>0.91</v>
          </cell>
          <cell r="D1116">
            <v>0</v>
          </cell>
          <cell r="E1116">
            <v>0</v>
          </cell>
          <cell r="F1116">
            <v>-7.5999999999999998E-2</v>
          </cell>
          <cell r="G1116">
            <v>0</v>
          </cell>
          <cell r="H1116">
            <v>0</v>
          </cell>
          <cell r="I1116">
            <v>1.6</v>
          </cell>
          <cell r="J1116">
            <v>0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 t="b">
            <v>0</v>
          </cell>
        </row>
        <row r="1117">
          <cell r="A1117" t="str">
            <v>Data split-9;Reg-99</v>
          </cell>
          <cell r="B1117">
            <v>-2.6</v>
          </cell>
          <cell r="C1117">
            <v>0.94</v>
          </cell>
          <cell r="D1117">
            <v>0</v>
          </cell>
          <cell r="E1117">
            <v>0</v>
          </cell>
          <cell r="F1117">
            <v>-1.7000000000000001E-2</v>
          </cell>
          <cell r="G1117">
            <v>0</v>
          </cell>
          <cell r="H1117">
            <v>0</v>
          </cell>
          <cell r="I1117">
            <v>0</v>
          </cell>
          <cell r="J1117">
            <v>9.1999999999999993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 t="b">
            <v>0</v>
          </cell>
        </row>
        <row r="1118">
          <cell r="A1118" t="str">
            <v>Data split-9;Reg-100</v>
          </cell>
          <cell r="B1118">
            <v>-1.5</v>
          </cell>
          <cell r="C1118">
            <v>0</v>
          </cell>
          <cell r="D1118">
            <v>1.2</v>
          </cell>
          <cell r="E1118">
            <v>-0.32</v>
          </cell>
          <cell r="F1118">
            <v>0</v>
          </cell>
          <cell r="G1118">
            <v>0</v>
          </cell>
          <cell r="H1118">
            <v>0</v>
          </cell>
          <cell r="I1118">
            <v>0.8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 t="b">
            <v>0</v>
          </cell>
        </row>
        <row r="1119">
          <cell r="A1119" t="str">
            <v>Data split-9;Reg-101</v>
          </cell>
          <cell r="B1119">
            <v>-2.6</v>
          </cell>
          <cell r="C1119">
            <v>0</v>
          </cell>
          <cell r="D1119">
            <v>0.79</v>
          </cell>
          <cell r="E1119">
            <v>-3.5999999999999997E-2</v>
          </cell>
          <cell r="F1119">
            <v>0</v>
          </cell>
          <cell r="G1119">
            <v>0</v>
          </cell>
          <cell r="H1119">
            <v>0</v>
          </cell>
          <cell r="I1119">
            <v>0</v>
          </cell>
          <cell r="J1119">
            <v>9.5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 t="b">
            <v>0</v>
          </cell>
        </row>
        <row r="1120">
          <cell r="A1120" t="str">
            <v>Data split-9;Reg-102</v>
          </cell>
          <cell r="B1120">
            <v>-2.7</v>
          </cell>
          <cell r="C1120">
            <v>0</v>
          </cell>
          <cell r="D1120">
            <v>0.75</v>
          </cell>
          <cell r="E1120">
            <v>0</v>
          </cell>
          <cell r="F1120">
            <v>-5.8999999999999997E-2</v>
          </cell>
          <cell r="G1120">
            <v>0</v>
          </cell>
          <cell r="H1120">
            <v>0</v>
          </cell>
          <cell r="I1120">
            <v>1.5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 t="b">
            <v>0</v>
          </cell>
        </row>
        <row r="1121">
          <cell r="A1121" t="str">
            <v>Data split-9;Reg-103</v>
          </cell>
          <cell r="B1121">
            <v>-2.7</v>
          </cell>
          <cell r="C1121">
            <v>0</v>
          </cell>
          <cell r="D1121">
            <v>0.76</v>
          </cell>
          <cell r="E1121">
            <v>0</v>
          </cell>
          <cell r="F1121">
            <v>-6.0000000000000001E-3</v>
          </cell>
          <cell r="G1121">
            <v>0</v>
          </cell>
          <cell r="H1121">
            <v>0</v>
          </cell>
          <cell r="I1121">
            <v>0</v>
          </cell>
          <cell r="J1121">
            <v>9.6999999999999993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 t="b">
            <v>0</v>
          </cell>
        </row>
        <row r="1122">
          <cell r="A1122" t="str">
            <v>Data split-9;Reg-104</v>
          </cell>
          <cell r="B1122">
            <v>-0.55000000000000004</v>
          </cell>
          <cell r="C1122">
            <v>0.73</v>
          </cell>
          <cell r="D1122">
            <v>0</v>
          </cell>
          <cell r="E1122">
            <v>0.2</v>
          </cell>
          <cell r="F1122">
            <v>0</v>
          </cell>
          <cell r="G1122">
            <v>0</v>
          </cell>
          <cell r="H1122">
            <v>0</v>
          </cell>
          <cell r="I1122">
            <v>0</v>
          </cell>
          <cell r="J1122">
            <v>0</v>
          </cell>
          <cell r="K1122">
            <v>0.24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 t="b">
            <v>0</v>
          </cell>
        </row>
        <row r="1123">
          <cell r="A1123" t="str">
            <v>Data split-9;Reg-105</v>
          </cell>
          <cell r="B1123">
            <v>-0.66</v>
          </cell>
          <cell r="C1123">
            <v>0.62</v>
          </cell>
          <cell r="D1123">
            <v>0</v>
          </cell>
          <cell r="E1123">
            <v>0.28000000000000003</v>
          </cell>
          <cell r="F1123">
            <v>0</v>
          </cell>
          <cell r="G1123">
            <v>0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1.9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 t="b">
            <v>0</v>
          </cell>
        </row>
        <row r="1124">
          <cell r="A1124" t="str">
            <v>Data split-9;Reg-106</v>
          </cell>
          <cell r="B1124">
            <v>-0.99</v>
          </cell>
          <cell r="C1124">
            <v>1.2</v>
          </cell>
          <cell r="D1124">
            <v>0</v>
          </cell>
          <cell r="E1124">
            <v>0</v>
          </cell>
          <cell r="F1124">
            <v>-2.1000000000000001E-2</v>
          </cell>
          <cell r="G1124">
            <v>0</v>
          </cell>
          <cell r="H1124">
            <v>0</v>
          </cell>
          <cell r="I1124">
            <v>0</v>
          </cell>
          <cell r="J1124">
            <v>0</v>
          </cell>
          <cell r="K1124">
            <v>0.18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 t="b">
            <v>0</v>
          </cell>
        </row>
        <row r="1125">
          <cell r="A1125" t="str">
            <v>Data split-9;Reg-107</v>
          </cell>
          <cell r="B1125">
            <v>-0.98</v>
          </cell>
          <cell r="C1125">
            <v>1.2</v>
          </cell>
          <cell r="D1125">
            <v>0</v>
          </cell>
          <cell r="E1125">
            <v>0</v>
          </cell>
          <cell r="F1125">
            <v>-1.4E-2</v>
          </cell>
          <cell r="G1125">
            <v>0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1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 t="b">
            <v>0</v>
          </cell>
        </row>
        <row r="1126">
          <cell r="A1126" t="str">
            <v>Data split-9;Reg-108</v>
          </cell>
          <cell r="B1126">
            <v>-0.82</v>
          </cell>
          <cell r="C1126">
            <v>0</v>
          </cell>
          <cell r="D1126">
            <v>0.96</v>
          </cell>
          <cell r="E1126">
            <v>-4.2000000000000003E-2</v>
          </cell>
          <cell r="F1126">
            <v>0</v>
          </cell>
          <cell r="G1126">
            <v>0</v>
          </cell>
          <cell r="H1126">
            <v>0</v>
          </cell>
          <cell r="I1126">
            <v>0</v>
          </cell>
          <cell r="J1126">
            <v>0</v>
          </cell>
          <cell r="K1126">
            <v>0.26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 t="b">
            <v>0</v>
          </cell>
        </row>
        <row r="1127">
          <cell r="A1127" t="str">
            <v>Data split-9;Reg-109</v>
          </cell>
          <cell r="B1127">
            <v>-0.93</v>
          </cell>
          <cell r="C1127">
            <v>0</v>
          </cell>
          <cell r="D1127">
            <v>0.86</v>
          </cell>
          <cell r="E1127">
            <v>5.5E-2</v>
          </cell>
          <cell r="F1127">
            <v>0</v>
          </cell>
          <cell r="G1127">
            <v>0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1.8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 t="b">
            <v>0</v>
          </cell>
        </row>
        <row r="1128">
          <cell r="A1128" t="str">
            <v>Data split-9;Reg-110</v>
          </cell>
          <cell r="B1128">
            <v>-0.9</v>
          </cell>
          <cell r="C1128">
            <v>0</v>
          </cell>
          <cell r="D1128">
            <v>0.92</v>
          </cell>
          <cell r="E1128">
            <v>0</v>
          </cell>
          <cell r="F1128">
            <v>-6.0000000000000001E-3</v>
          </cell>
          <cell r="G1128">
            <v>0</v>
          </cell>
          <cell r="H1128">
            <v>0</v>
          </cell>
          <cell r="I1128">
            <v>0</v>
          </cell>
          <cell r="J1128">
            <v>0</v>
          </cell>
          <cell r="K1128">
            <v>0.27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 t="b">
            <v>0</v>
          </cell>
        </row>
        <row r="1129">
          <cell r="A1129" t="str">
            <v>Data split-9;Reg-111</v>
          </cell>
          <cell r="B1129">
            <v>-0.88</v>
          </cell>
          <cell r="C1129">
            <v>0</v>
          </cell>
          <cell r="D1129">
            <v>0.92</v>
          </cell>
          <cell r="E1129">
            <v>0</v>
          </cell>
          <cell r="F1129">
            <v>4.3E-3</v>
          </cell>
          <cell r="G1129">
            <v>0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1.7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 t="b">
            <v>0</v>
          </cell>
        </row>
        <row r="1130">
          <cell r="A1130" t="str">
            <v>Data split-9;Reg-112</v>
          </cell>
          <cell r="B1130">
            <v>-1.2</v>
          </cell>
          <cell r="C1130">
            <v>0.84</v>
          </cell>
          <cell r="D1130">
            <v>0</v>
          </cell>
          <cell r="E1130">
            <v>0</v>
          </cell>
          <cell r="F1130">
            <v>0</v>
          </cell>
          <cell r="G1130">
            <v>0.43</v>
          </cell>
          <cell r="H1130">
            <v>0</v>
          </cell>
          <cell r="I1130">
            <v>-0.28000000000000003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 t="b">
            <v>1</v>
          </cell>
        </row>
        <row r="1131">
          <cell r="A1131" t="str">
            <v>Data split-9;Reg-113</v>
          </cell>
          <cell r="B1131">
            <v>-2.8</v>
          </cell>
          <cell r="C1131">
            <v>0.41</v>
          </cell>
          <cell r="D1131">
            <v>0</v>
          </cell>
          <cell r="E1131">
            <v>0</v>
          </cell>
          <cell r="F1131">
            <v>0</v>
          </cell>
          <cell r="G1131">
            <v>0.37</v>
          </cell>
          <cell r="H1131">
            <v>0</v>
          </cell>
          <cell r="I1131">
            <v>0</v>
          </cell>
          <cell r="J1131">
            <v>9.6999999999999993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 t="b">
            <v>0</v>
          </cell>
        </row>
        <row r="1132">
          <cell r="A1132" t="str">
            <v>Data split-9;Reg-114</v>
          </cell>
          <cell r="B1132">
            <v>-0.59</v>
          </cell>
          <cell r="C1132">
            <v>0.85</v>
          </cell>
          <cell r="D1132">
            <v>0</v>
          </cell>
          <cell r="E1132">
            <v>0</v>
          </cell>
          <cell r="F1132">
            <v>0</v>
          </cell>
          <cell r="G1132">
            <v>0</v>
          </cell>
          <cell r="H1132">
            <v>0.43</v>
          </cell>
          <cell r="I1132">
            <v>-0.26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 t="b">
            <v>1</v>
          </cell>
        </row>
        <row r="1133">
          <cell r="A1133" t="str">
            <v>Data split-9;Reg-115</v>
          </cell>
          <cell r="B1133">
            <v>-2.2000000000000002</v>
          </cell>
          <cell r="C1133">
            <v>0.44</v>
          </cell>
          <cell r="D1133">
            <v>0</v>
          </cell>
          <cell r="E1133">
            <v>0</v>
          </cell>
          <cell r="F1133">
            <v>0</v>
          </cell>
          <cell r="G1133">
            <v>0</v>
          </cell>
          <cell r="H1133">
            <v>0.37</v>
          </cell>
          <cell r="I1133">
            <v>0</v>
          </cell>
          <cell r="J1133">
            <v>9.5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 t="b">
            <v>0</v>
          </cell>
        </row>
        <row r="1134">
          <cell r="A1134" t="str">
            <v>Data split-9;Reg-116</v>
          </cell>
          <cell r="B1134">
            <v>-1.3</v>
          </cell>
          <cell r="C1134">
            <v>0</v>
          </cell>
          <cell r="D1134">
            <v>0.76</v>
          </cell>
          <cell r="E1134">
            <v>0</v>
          </cell>
          <cell r="F1134">
            <v>0</v>
          </cell>
          <cell r="G1134">
            <v>0.2</v>
          </cell>
          <cell r="H1134">
            <v>0</v>
          </cell>
          <cell r="I1134">
            <v>0.2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 t="b">
            <v>0</v>
          </cell>
        </row>
        <row r="1135">
          <cell r="A1135" t="str">
            <v>Data split-9;Reg-117</v>
          </cell>
          <cell r="B1135">
            <v>-2.8</v>
          </cell>
          <cell r="C1135">
            <v>0</v>
          </cell>
          <cell r="D1135">
            <v>0.51</v>
          </cell>
          <cell r="E1135">
            <v>0</v>
          </cell>
          <cell r="F1135">
            <v>0</v>
          </cell>
          <cell r="G1135">
            <v>0.24</v>
          </cell>
          <cell r="H1135">
            <v>0</v>
          </cell>
          <cell r="I1135">
            <v>0</v>
          </cell>
          <cell r="J1135">
            <v>9.3000000000000007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 t="b">
            <v>0</v>
          </cell>
        </row>
        <row r="1136">
          <cell r="A1136" t="str">
            <v>Data split-9;Reg-118</v>
          </cell>
          <cell r="B1136">
            <v>-1.1000000000000001</v>
          </cell>
          <cell r="C1136">
            <v>0</v>
          </cell>
          <cell r="D1136">
            <v>0.8</v>
          </cell>
          <cell r="E1136">
            <v>0</v>
          </cell>
          <cell r="F1136">
            <v>0</v>
          </cell>
          <cell r="G1136">
            <v>0</v>
          </cell>
          <cell r="H1136">
            <v>0.13</v>
          </cell>
          <cell r="I1136">
            <v>0.32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 t="b">
            <v>0</v>
          </cell>
        </row>
        <row r="1137">
          <cell r="A1137" t="str">
            <v>Data split-9;Reg-119</v>
          </cell>
          <cell r="B1137">
            <v>-2.4</v>
          </cell>
          <cell r="C1137">
            <v>0</v>
          </cell>
          <cell r="D1137">
            <v>0.54</v>
          </cell>
          <cell r="E1137">
            <v>0</v>
          </cell>
          <cell r="F1137">
            <v>0</v>
          </cell>
          <cell r="G1137">
            <v>0</v>
          </cell>
          <cell r="H1137">
            <v>0.22</v>
          </cell>
          <cell r="I1137">
            <v>0</v>
          </cell>
          <cell r="J1137">
            <v>9.4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 t="b">
            <v>0</v>
          </cell>
        </row>
        <row r="1138">
          <cell r="A1138" t="str">
            <v>Data split-9;Reg-120</v>
          </cell>
          <cell r="B1138">
            <v>-0.99</v>
          </cell>
          <cell r="C1138">
            <v>0.67</v>
          </cell>
          <cell r="D1138">
            <v>0</v>
          </cell>
          <cell r="E1138">
            <v>0</v>
          </cell>
          <cell r="F1138">
            <v>0</v>
          </cell>
          <cell r="G1138">
            <v>0.36</v>
          </cell>
          <cell r="H1138">
            <v>0</v>
          </cell>
          <cell r="I1138">
            <v>0</v>
          </cell>
          <cell r="J1138">
            <v>0</v>
          </cell>
          <cell r="K1138">
            <v>0.18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 t="b">
            <v>0</v>
          </cell>
        </row>
        <row r="1139">
          <cell r="A1139" t="str">
            <v>Data split-9;Reg-121</v>
          </cell>
          <cell r="B1139">
            <v>-1.1000000000000001</v>
          </cell>
          <cell r="C1139">
            <v>0.57999999999999996</v>
          </cell>
          <cell r="D1139">
            <v>0</v>
          </cell>
          <cell r="E1139">
            <v>0</v>
          </cell>
          <cell r="F1139">
            <v>0</v>
          </cell>
          <cell r="G1139">
            <v>0.43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1.7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 t="b">
            <v>0</v>
          </cell>
        </row>
        <row r="1140">
          <cell r="A1140" t="str">
            <v>Data split-9;Reg-122</v>
          </cell>
          <cell r="B1140">
            <v>-0.48</v>
          </cell>
          <cell r="C1140">
            <v>0.69</v>
          </cell>
          <cell r="D1140">
            <v>0</v>
          </cell>
          <cell r="E1140">
            <v>0</v>
          </cell>
          <cell r="F1140">
            <v>0</v>
          </cell>
          <cell r="G1140">
            <v>0</v>
          </cell>
          <cell r="H1140">
            <v>0.36</v>
          </cell>
          <cell r="I1140">
            <v>0</v>
          </cell>
          <cell r="J1140">
            <v>0</v>
          </cell>
          <cell r="K1140">
            <v>0.18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 t="b">
            <v>0</v>
          </cell>
        </row>
        <row r="1141">
          <cell r="A1141" t="str">
            <v>Data split-9;Reg-123</v>
          </cell>
          <cell r="B1141">
            <v>-0.52</v>
          </cell>
          <cell r="C1141">
            <v>0.61</v>
          </cell>
          <cell r="D1141">
            <v>0</v>
          </cell>
          <cell r="E1141">
            <v>0</v>
          </cell>
          <cell r="F1141">
            <v>0</v>
          </cell>
          <cell r="G1141">
            <v>0</v>
          </cell>
          <cell r="H1141">
            <v>0.43</v>
          </cell>
          <cell r="I1141">
            <v>0</v>
          </cell>
          <cell r="J1141">
            <v>0</v>
          </cell>
          <cell r="K1141">
            <v>0</v>
          </cell>
          <cell r="L1141">
            <v>1.6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 t="b">
            <v>0</v>
          </cell>
        </row>
        <row r="1142">
          <cell r="A1142" t="str">
            <v>Data split-9;Reg-124</v>
          </cell>
          <cell r="B1142">
            <v>-1</v>
          </cell>
          <cell r="C1142">
            <v>0</v>
          </cell>
          <cell r="D1142">
            <v>0.69</v>
          </cell>
          <cell r="E1142">
            <v>0</v>
          </cell>
          <cell r="F1142">
            <v>0</v>
          </cell>
          <cell r="G1142">
            <v>0.23</v>
          </cell>
          <cell r="H1142">
            <v>0</v>
          </cell>
          <cell r="I1142">
            <v>0</v>
          </cell>
          <cell r="J1142">
            <v>0</v>
          </cell>
          <cell r="K1142">
            <v>0.24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 t="b">
            <v>0</v>
          </cell>
        </row>
        <row r="1143">
          <cell r="A1143" t="str">
            <v>Data split-9;Reg-125</v>
          </cell>
          <cell r="B1143">
            <v>-1.2</v>
          </cell>
          <cell r="C1143">
            <v>0</v>
          </cell>
          <cell r="D1143">
            <v>0.63</v>
          </cell>
          <cell r="E1143">
            <v>0</v>
          </cell>
          <cell r="F1143">
            <v>0</v>
          </cell>
          <cell r="G1143">
            <v>0.31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1.8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 t="b">
            <v>0</v>
          </cell>
        </row>
        <row r="1144">
          <cell r="A1144" t="str">
            <v>Data split-9;Reg-126</v>
          </cell>
          <cell r="B1144">
            <v>-0.7</v>
          </cell>
          <cell r="C1144">
            <v>0</v>
          </cell>
          <cell r="D1144">
            <v>0.72</v>
          </cell>
          <cell r="E1144">
            <v>0</v>
          </cell>
          <cell r="F1144">
            <v>0</v>
          </cell>
          <cell r="G1144">
            <v>0</v>
          </cell>
          <cell r="H1144">
            <v>0.2</v>
          </cell>
          <cell r="I1144">
            <v>0</v>
          </cell>
          <cell r="J1144">
            <v>0</v>
          </cell>
          <cell r="K1144">
            <v>0.25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 t="b">
            <v>0</v>
          </cell>
        </row>
        <row r="1145">
          <cell r="A1145" t="str">
            <v>Data split-9;Reg-127</v>
          </cell>
          <cell r="B1145">
            <v>-0.77</v>
          </cell>
          <cell r="C1145">
            <v>0</v>
          </cell>
          <cell r="D1145">
            <v>0.66</v>
          </cell>
          <cell r="E1145">
            <v>0</v>
          </cell>
          <cell r="F1145">
            <v>0</v>
          </cell>
          <cell r="G1145">
            <v>0</v>
          </cell>
          <cell r="H1145">
            <v>0.28999999999999998</v>
          </cell>
          <cell r="I1145">
            <v>0</v>
          </cell>
          <cell r="J1145">
            <v>0</v>
          </cell>
          <cell r="K1145">
            <v>0</v>
          </cell>
          <cell r="L1145">
            <v>1.8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 t="b">
            <v>0</v>
          </cell>
        </row>
        <row r="1146">
          <cell r="A1146" t="str">
            <v>Data split-10;Reg-1</v>
          </cell>
          <cell r="B1146">
            <v>-0.56999999999999995</v>
          </cell>
          <cell r="C1146">
            <v>0.61</v>
          </cell>
          <cell r="D1146">
            <v>0</v>
          </cell>
          <cell r="E1146">
            <v>0</v>
          </cell>
          <cell r="F1146">
            <v>0</v>
          </cell>
          <cell r="G1146">
            <v>0</v>
          </cell>
          <cell r="H1146">
            <v>0.56999999999999995</v>
          </cell>
          <cell r="I1146">
            <v>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-1.2E-2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 t="b">
            <v>1</v>
          </cell>
        </row>
        <row r="1147">
          <cell r="A1147" t="str">
            <v>Data split-10;Reg-2</v>
          </cell>
          <cell r="B1147">
            <v>-2.8</v>
          </cell>
          <cell r="C1147">
            <v>0.28999999999999998</v>
          </cell>
          <cell r="D1147">
            <v>0</v>
          </cell>
          <cell r="E1147">
            <v>0</v>
          </cell>
          <cell r="F1147">
            <v>-4.1000000000000002E-2</v>
          </cell>
          <cell r="G1147">
            <v>1.2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-5.4000000000000003E-3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 t="b">
            <v>0</v>
          </cell>
        </row>
        <row r="1148">
          <cell r="A1148" t="str">
            <v>Data split-10;Reg-3</v>
          </cell>
          <cell r="B1148">
            <v>-2.4</v>
          </cell>
          <cell r="C1148">
            <v>0.34</v>
          </cell>
          <cell r="D1148">
            <v>0</v>
          </cell>
          <cell r="E1148">
            <v>0</v>
          </cell>
          <cell r="F1148">
            <v>-9.7999999999999997E-3</v>
          </cell>
          <cell r="G1148">
            <v>0</v>
          </cell>
          <cell r="H1148">
            <v>1.8</v>
          </cell>
          <cell r="I1148">
            <v>0</v>
          </cell>
          <cell r="J1148">
            <v>0</v>
          </cell>
          <cell r="K1148">
            <v>0</v>
          </cell>
          <cell r="L1148">
            <v>0</v>
          </cell>
          <cell r="M1148">
            <v>-5.8999999999999997E-2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 t="b">
            <v>0</v>
          </cell>
        </row>
        <row r="1149">
          <cell r="A1149" t="str">
            <v>Data split-10;Reg-4</v>
          </cell>
          <cell r="B1149">
            <v>-3.3</v>
          </cell>
          <cell r="C1149">
            <v>0.45</v>
          </cell>
          <cell r="D1149">
            <v>0</v>
          </cell>
          <cell r="E1149">
            <v>0</v>
          </cell>
          <cell r="F1149">
            <v>-1.0999999999999999E-2</v>
          </cell>
          <cell r="G1149">
            <v>0</v>
          </cell>
          <cell r="H1149">
            <v>2.7</v>
          </cell>
          <cell r="I1149">
            <v>0</v>
          </cell>
          <cell r="J1149">
            <v>0</v>
          </cell>
          <cell r="K1149">
            <v>0</v>
          </cell>
          <cell r="L1149">
            <v>0</v>
          </cell>
          <cell r="M1149">
            <v>0</v>
          </cell>
          <cell r="N1149">
            <v>-2.5000000000000001E-2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 t="b">
            <v>0</v>
          </cell>
        </row>
        <row r="1150">
          <cell r="A1150" t="str">
            <v>Data split-10;Reg-5</v>
          </cell>
          <cell r="B1150">
            <v>-2.8</v>
          </cell>
          <cell r="C1150">
            <v>0</v>
          </cell>
          <cell r="D1150">
            <v>0.36</v>
          </cell>
          <cell r="E1150">
            <v>0</v>
          </cell>
          <cell r="F1150">
            <v>-1.2999999999999999E-2</v>
          </cell>
          <cell r="G1150">
            <v>1.2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-8.0999999999999996E-3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 t="b">
            <v>0</v>
          </cell>
        </row>
        <row r="1151">
          <cell r="A1151" t="str">
            <v>Data split-10;Reg-6</v>
          </cell>
          <cell r="B1151">
            <v>-3.1</v>
          </cell>
          <cell r="C1151">
            <v>0</v>
          </cell>
          <cell r="D1151">
            <v>0.45</v>
          </cell>
          <cell r="E1151">
            <v>0</v>
          </cell>
          <cell r="F1151">
            <v>2.3E-2</v>
          </cell>
          <cell r="G1151">
            <v>0</v>
          </cell>
          <cell r="H1151">
            <v>2.7</v>
          </cell>
          <cell r="I1151">
            <v>0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-2.8000000000000001E-2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 t="b">
            <v>1</v>
          </cell>
        </row>
        <row r="1152">
          <cell r="A1152" t="str">
            <v>Data split-10;Reg-7</v>
          </cell>
          <cell r="B1152">
            <v>-0.98</v>
          </cell>
          <cell r="C1152">
            <v>0.56000000000000005</v>
          </cell>
          <cell r="D1152">
            <v>0</v>
          </cell>
          <cell r="E1152">
            <v>0</v>
          </cell>
          <cell r="F1152">
            <v>0</v>
          </cell>
          <cell r="G1152">
            <v>0</v>
          </cell>
          <cell r="H1152">
            <v>0.48</v>
          </cell>
          <cell r="I1152">
            <v>0.51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-1.7000000000000001E-2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 t="b">
            <v>0</v>
          </cell>
        </row>
        <row r="1153">
          <cell r="A1153" t="str">
            <v>Data split-10;Reg-8</v>
          </cell>
          <cell r="B1153">
            <v>-0.75</v>
          </cell>
          <cell r="C1153">
            <v>0.62</v>
          </cell>
          <cell r="D1153">
            <v>0</v>
          </cell>
          <cell r="E1153">
            <v>0</v>
          </cell>
          <cell r="F1153">
            <v>0</v>
          </cell>
          <cell r="G1153">
            <v>0</v>
          </cell>
          <cell r="H1153">
            <v>0.47</v>
          </cell>
          <cell r="I1153">
            <v>0.34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-3.2000000000000002E-3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 t="b">
            <v>0</v>
          </cell>
        </row>
        <row r="1154">
          <cell r="A1154" t="str">
            <v>Data split-10;Reg-9</v>
          </cell>
          <cell r="B1154">
            <v>-1</v>
          </cell>
          <cell r="C1154">
            <v>0.47</v>
          </cell>
          <cell r="D1154">
            <v>0</v>
          </cell>
          <cell r="E1154">
            <v>0</v>
          </cell>
          <cell r="F1154">
            <v>0</v>
          </cell>
          <cell r="G1154">
            <v>0.6</v>
          </cell>
          <cell r="H1154">
            <v>0</v>
          </cell>
          <cell r="I1154">
            <v>-0.11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-8.8000000000000003E-4</v>
          </cell>
          <cell r="S1154">
            <v>0</v>
          </cell>
          <cell r="T1154">
            <v>0</v>
          </cell>
          <cell r="U1154" t="b">
            <v>1</v>
          </cell>
        </row>
        <row r="1155">
          <cell r="A1155" t="str">
            <v>Data split-10;Reg-10</v>
          </cell>
          <cell r="B1155">
            <v>-0.61</v>
          </cell>
          <cell r="C1155">
            <v>0.87</v>
          </cell>
          <cell r="D1155">
            <v>0</v>
          </cell>
          <cell r="E1155">
            <v>0</v>
          </cell>
          <cell r="F1155">
            <v>0</v>
          </cell>
          <cell r="G1155">
            <v>0</v>
          </cell>
          <cell r="H1155">
            <v>0.66</v>
          </cell>
          <cell r="I1155">
            <v>0</v>
          </cell>
          <cell r="J1155">
            <v>0</v>
          </cell>
          <cell r="K1155">
            <v>-1</v>
          </cell>
          <cell r="L1155">
            <v>0</v>
          </cell>
          <cell r="M1155">
            <v>0</v>
          </cell>
          <cell r="N1155">
            <v>0</v>
          </cell>
          <cell r="O1155">
            <v>-1E-3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 t="b">
            <v>1</v>
          </cell>
        </row>
        <row r="1156">
          <cell r="A1156" t="str">
            <v>Data split-10;Reg-11</v>
          </cell>
          <cell r="B1156">
            <v>-1.6</v>
          </cell>
          <cell r="C1156">
            <v>1</v>
          </cell>
          <cell r="D1156">
            <v>0</v>
          </cell>
          <cell r="E1156">
            <v>0</v>
          </cell>
          <cell r="F1156">
            <v>0</v>
          </cell>
          <cell r="G1156">
            <v>0</v>
          </cell>
          <cell r="H1156">
            <v>0</v>
          </cell>
          <cell r="I1156">
            <v>1.4</v>
          </cell>
          <cell r="J1156">
            <v>0</v>
          </cell>
          <cell r="K1156">
            <v>-1.2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 t="b">
            <v>0</v>
          </cell>
        </row>
        <row r="1157">
          <cell r="A1157" t="str">
            <v>Data split-10;Reg-12</v>
          </cell>
          <cell r="B1157">
            <v>-0.72</v>
          </cell>
          <cell r="C1157">
            <v>0.81</v>
          </cell>
          <cell r="D1157">
            <v>0</v>
          </cell>
          <cell r="E1157">
            <v>0</v>
          </cell>
          <cell r="F1157">
            <v>0</v>
          </cell>
          <cell r="G1157">
            <v>0</v>
          </cell>
          <cell r="H1157">
            <v>0</v>
          </cell>
          <cell r="I1157">
            <v>0.69</v>
          </cell>
          <cell r="J1157">
            <v>0</v>
          </cell>
          <cell r="K1157">
            <v>0</v>
          </cell>
          <cell r="L1157">
            <v>-1.5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 t="b">
            <v>0</v>
          </cell>
        </row>
        <row r="1158">
          <cell r="A1158" t="str">
            <v>Data split-10;Reg-13</v>
          </cell>
          <cell r="B1158">
            <v>-2.8</v>
          </cell>
          <cell r="C1158">
            <v>0.76</v>
          </cell>
          <cell r="D1158">
            <v>0</v>
          </cell>
          <cell r="E1158">
            <v>0</v>
          </cell>
          <cell r="F1158">
            <v>0</v>
          </cell>
          <cell r="G1158">
            <v>0</v>
          </cell>
          <cell r="H1158">
            <v>0</v>
          </cell>
          <cell r="I1158">
            <v>0</v>
          </cell>
          <cell r="J1158">
            <v>11.9</v>
          </cell>
          <cell r="K1158">
            <v>-0.18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 t="b">
            <v>0</v>
          </cell>
        </row>
        <row r="1159">
          <cell r="A1159" t="str">
            <v>Data split-10;Reg-14</v>
          </cell>
          <cell r="B1159">
            <v>-2.4</v>
          </cell>
          <cell r="C1159">
            <v>0.9</v>
          </cell>
          <cell r="D1159">
            <v>0</v>
          </cell>
          <cell r="E1159">
            <v>0</v>
          </cell>
          <cell r="F1159">
            <v>0</v>
          </cell>
          <cell r="G1159">
            <v>0</v>
          </cell>
          <cell r="H1159">
            <v>0</v>
          </cell>
          <cell r="I1159">
            <v>0</v>
          </cell>
          <cell r="J1159">
            <v>13.3</v>
          </cell>
          <cell r="K1159">
            <v>0</v>
          </cell>
          <cell r="L1159">
            <v>-7.4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 t="b">
            <v>0</v>
          </cell>
        </row>
        <row r="1160">
          <cell r="A1160" t="str">
            <v>Data split-10;Reg-15</v>
          </cell>
          <cell r="B1160">
            <v>-3.7999999999999999E-2</v>
          </cell>
          <cell r="C1160">
            <v>0.73</v>
          </cell>
          <cell r="D1160">
            <v>0</v>
          </cell>
          <cell r="E1160">
            <v>0</v>
          </cell>
          <cell r="F1160">
            <v>0</v>
          </cell>
          <cell r="G1160">
            <v>0</v>
          </cell>
          <cell r="H1160">
            <v>0</v>
          </cell>
          <cell r="I1160">
            <v>0.11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1.6E-2</v>
          </cell>
          <cell r="R1160">
            <v>0</v>
          </cell>
          <cell r="S1160">
            <v>0</v>
          </cell>
          <cell r="T1160">
            <v>0</v>
          </cell>
          <cell r="U1160" t="b">
            <v>0</v>
          </cell>
        </row>
        <row r="1161">
          <cell r="A1161" t="str">
            <v>Data split-10;Reg-16</v>
          </cell>
          <cell r="B1161">
            <v>0.04</v>
          </cell>
          <cell r="C1161">
            <v>0.65</v>
          </cell>
          <cell r="D1161">
            <v>0</v>
          </cell>
          <cell r="E1161">
            <v>0</v>
          </cell>
          <cell r="F1161">
            <v>0</v>
          </cell>
          <cell r="G1161">
            <v>0</v>
          </cell>
          <cell r="H1161">
            <v>0</v>
          </cell>
          <cell r="I1161">
            <v>9.5999999999999992E-3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4.8999999999999998E-3</v>
          </cell>
          <cell r="S1161">
            <v>0</v>
          </cell>
          <cell r="T1161">
            <v>0</v>
          </cell>
          <cell r="U1161" t="b">
            <v>0</v>
          </cell>
        </row>
        <row r="1162">
          <cell r="A1162" t="str">
            <v>Data split-10;Reg-17</v>
          </cell>
          <cell r="B1162">
            <v>-1.6</v>
          </cell>
          <cell r="C1162">
            <v>0.56000000000000005</v>
          </cell>
          <cell r="D1162">
            <v>0</v>
          </cell>
          <cell r="E1162">
            <v>0</v>
          </cell>
          <cell r="F1162">
            <v>0</v>
          </cell>
          <cell r="G1162">
            <v>0</v>
          </cell>
          <cell r="H1162">
            <v>0</v>
          </cell>
          <cell r="I1162">
            <v>0</v>
          </cell>
          <cell r="J1162">
            <v>8.1999999999999993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1.4E-2</v>
          </cell>
          <cell r="R1162">
            <v>0</v>
          </cell>
          <cell r="S1162">
            <v>0</v>
          </cell>
          <cell r="T1162">
            <v>0</v>
          </cell>
          <cell r="U1162" t="b">
            <v>0</v>
          </cell>
        </row>
        <row r="1163">
          <cell r="A1163" t="str">
            <v>Data split-10;Reg-18</v>
          </cell>
          <cell r="B1163">
            <v>-1.6</v>
          </cell>
          <cell r="C1163">
            <v>0.48</v>
          </cell>
          <cell r="D1163">
            <v>0</v>
          </cell>
          <cell r="E1163">
            <v>0</v>
          </cell>
          <cell r="F1163">
            <v>0</v>
          </cell>
          <cell r="G1163">
            <v>0</v>
          </cell>
          <cell r="H1163">
            <v>0</v>
          </cell>
          <cell r="I1163">
            <v>0</v>
          </cell>
          <cell r="J1163">
            <v>7.9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4.1999999999999997E-3</v>
          </cell>
          <cell r="S1163">
            <v>0</v>
          </cell>
          <cell r="T1163">
            <v>0</v>
          </cell>
          <cell r="U1163" t="b">
            <v>0</v>
          </cell>
        </row>
        <row r="1164">
          <cell r="A1164" t="str">
            <v>Data split-10;Reg-19</v>
          </cell>
          <cell r="B1164">
            <v>0.2</v>
          </cell>
          <cell r="C1164">
            <v>1</v>
          </cell>
          <cell r="D1164">
            <v>0</v>
          </cell>
          <cell r="E1164">
            <v>0</v>
          </cell>
          <cell r="F1164">
            <v>0</v>
          </cell>
          <cell r="G1164">
            <v>0</v>
          </cell>
          <cell r="H1164">
            <v>0</v>
          </cell>
          <cell r="I1164">
            <v>0</v>
          </cell>
          <cell r="J1164">
            <v>0</v>
          </cell>
          <cell r="K1164">
            <v>-0.91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2.4E-2</v>
          </cell>
          <cell r="T1164">
            <v>0</v>
          </cell>
          <cell r="U1164" t="b">
            <v>0</v>
          </cell>
        </row>
        <row r="1165">
          <cell r="A1165" t="str">
            <v>Data split-10;Reg-20</v>
          </cell>
          <cell r="B1165">
            <v>0.19</v>
          </cell>
          <cell r="C1165">
            <v>0.93</v>
          </cell>
          <cell r="D1165">
            <v>0</v>
          </cell>
          <cell r="E1165">
            <v>0</v>
          </cell>
          <cell r="F1165">
            <v>0</v>
          </cell>
          <cell r="G1165">
            <v>0</v>
          </cell>
          <cell r="H1165">
            <v>0</v>
          </cell>
          <cell r="I1165">
            <v>0</v>
          </cell>
          <cell r="J1165">
            <v>0</v>
          </cell>
          <cell r="K1165">
            <v>-1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7.0000000000000001E-3</v>
          </cell>
          <cell r="U1165" t="b">
            <v>0</v>
          </cell>
        </row>
        <row r="1166">
          <cell r="A1166" t="str">
            <v>Data split-10;Reg-21</v>
          </cell>
          <cell r="B1166">
            <v>0.18</v>
          </cell>
          <cell r="C1166">
            <v>0.78</v>
          </cell>
          <cell r="D1166">
            <v>0</v>
          </cell>
          <cell r="E1166">
            <v>0</v>
          </cell>
          <cell r="F1166">
            <v>0</v>
          </cell>
          <cell r="G1166">
            <v>0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-0.81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1.6E-2</v>
          </cell>
          <cell r="T1166">
            <v>0</v>
          </cell>
          <cell r="U1166" t="b">
            <v>0</v>
          </cell>
        </row>
        <row r="1167">
          <cell r="A1167" t="str">
            <v>Data split-10;Reg-22</v>
          </cell>
          <cell r="B1167">
            <v>0.27</v>
          </cell>
          <cell r="C1167">
            <v>0.71</v>
          </cell>
          <cell r="D1167">
            <v>0</v>
          </cell>
          <cell r="E1167">
            <v>0</v>
          </cell>
          <cell r="F1167">
            <v>0</v>
          </cell>
          <cell r="G1167">
            <v>0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-1.5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4.7000000000000002E-3</v>
          </cell>
          <cell r="U1167" t="b">
            <v>0</v>
          </cell>
        </row>
        <row r="1168">
          <cell r="A1168" t="str">
            <v>Data split-10;Reg-23</v>
          </cell>
          <cell r="B1168">
            <v>-0.91</v>
          </cell>
          <cell r="C1168">
            <v>0</v>
          </cell>
          <cell r="D1168">
            <v>0.65</v>
          </cell>
          <cell r="E1168">
            <v>0</v>
          </cell>
          <cell r="F1168">
            <v>0</v>
          </cell>
          <cell r="G1168">
            <v>0</v>
          </cell>
          <cell r="H1168">
            <v>0</v>
          </cell>
          <cell r="I1168">
            <v>0.86</v>
          </cell>
          <cell r="J1168">
            <v>0</v>
          </cell>
          <cell r="K1168">
            <v>-0.2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 t="b">
            <v>0</v>
          </cell>
        </row>
        <row r="1169">
          <cell r="A1169" t="str">
            <v>Data split-10;Reg-24</v>
          </cell>
          <cell r="B1169">
            <v>-1</v>
          </cell>
          <cell r="C1169">
            <v>0</v>
          </cell>
          <cell r="D1169">
            <v>0.59</v>
          </cell>
          <cell r="E1169">
            <v>0</v>
          </cell>
          <cell r="F1169">
            <v>0</v>
          </cell>
          <cell r="G1169">
            <v>0</v>
          </cell>
          <cell r="H1169">
            <v>0</v>
          </cell>
          <cell r="I1169">
            <v>0.63</v>
          </cell>
          <cell r="J1169">
            <v>0</v>
          </cell>
          <cell r="K1169">
            <v>0</v>
          </cell>
          <cell r="L1169">
            <v>2.6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 t="b">
            <v>0</v>
          </cell>
        </row>
        <row r="1170">
          <cell r="A1170" t="str">
            <v>Data split-10;Reg-25</v>
          </cell>
          <cell r="B1170">
            <v>-2</v>
          </cell>
          <cell r="C1170">
            <v>0</v>
          </cell>
          <cell r="D1170">
            <v>0.56000000000000005</v>
          </cell>
          <cell r="E1170">
            <v>0</v>
          </cell>
          <cell r="F1170">
            <v>0</v>
          </cell>
          <cell r="G1170">
            <v>0</v>
          </cell>
          <cell r="H1170">
            <v>0</v>
          </cell>
          <cell r="I1170">
            <v>0</v>
          </cell>
          <cell r="J1170">
            <v>8.4</v>
          </cell>
          <cell r="K1170">
            <v>0.25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 t="b">
            <v>0</v>
          </cell>
        </row>
        <row r="1171">
          <cell r="A1171" t="str">
            <v>Data split-10;Reg-26</v>
          </cell>
          <cell r="B1171">
            <v>-2.2999999999999998</v>
          </cell>
          <cell r="C1171">
            <v>0</v>
          </cell>
          <cell r="D1171">
            <v>0.56999999999999995</v>
          </cell>
          <cell r="E1171">
            <v>0</v>
          </cell>
          <cell r="F1171">
            <v>0</v>
          </cell>
          <cell r="G1171">
            <v>0</v>
          </cell>
          <cell r="H1171">
            <v>0</v>
          </cell>
          <cell r="I1171">
            <v>0</v>
          </cell>
          <cell r="J1171">
            <v>9.1</v>
          </cell>
          <cell r="K1171">
            <v>0</v>
          </cell>
          <cell r="L1171">
            <v>2.1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 t="b">
            <v>0</v>
          </cell>
        </row>
        <row r="1172">
          <cell r="A1172" t="str">
            <v>Data split-10;Reg-27</v>
          </cell>
          <cell r="B1172">
            <v>-0.66</v>
          </cell>
          <cell r="C1172">
            <v>0</v>
          </cell>
          <cell r="D1172">
            <v>0.62</v>
          </cell>
          <cell r="E1172">
            <v>0</v>
          </cell>
          <cell r="F1172">
            <v>0</v>
          </cell>
          <cell r="G1172">
            <v>0</v>
          </cell>
          <cell r="H1172">
            <v>0</v>
          </cell>
          <cell r="I1172">
            <v>0.63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2.7000000000000001E-3</v>
          </cell>
          <cell r="R1172">
            <v>0</v>
          </cell>
          <cell r="S1172">
            <v>0</v>
          </cell>
          <cell r="T1172">
            <v>0</v>
          </cell>
          <cell r="U1172" t="b">
            <v>0</v>
          </cell>
        </row>
        <row r="1173">
          <cell r="A1173" t="str">
            <v>Data split-10;Reg-28</v>
          </cell>
          <cell r="B1173">
            <v>-0.37</v>
          </cell>
          <cell r="C1173">
            <v>0</v>
          </cell>
          <cell r="D1173">
            <v>0.56000000000000005</v>
          </cell>
          <cell r="E1173">
            <v>0</v>
          </cell>
          <cell r="F1173">
            <v>0</v>
          </cell>
          <cell r="G1173">
            <v>0</v>
          </cell>
          <cell r="H1173">
            <v>0</v>
          </cell>
          <cell r="I1173">
            <v>0.45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2.3999999999999998E-3</v>
          </cell>
          <cell r="S1173">
            <v>0</v>
          </cell>
          <cell r="T1173">
            <v>0</v>
          </cell>
          <cell r="U1173" t="b">
            <v>0</v>
          </cell>
        </row>
        <row r="1174">
          <cell r="A1174" t="str">
            <v>Data split-10;Reg-29</v>
          </cell>
          <cell r="B1174">
            <v>-1.8</v>
          </cell>
          <cell r="C1174">
            <v>0</v>
          </cell>
          <cell r="D1174">
            <v>0.51</v>
          </cell>
          <cell r="E1174">
            <v>0</v>
          </cell>
          <cell r="F1174">
            <v>0</v>
          </cell>
          <cell r="G1174">
            <v>0</v>
          </cell>
          <cell r="H1174">
            <v>0</v>
          </cell>
          <cell r="I1174">
            <v>0</v>
          </cell>
          <cell r="J1174">
            <v>9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8.9999999999999993E-3</v>
          </cell>
          <cell r="R1174">
            <v>0</v>
          </cell>
          <cell r="S1174">
            <v>0</v>
          </cell>
          <cell r="T1174">
            <v>0</v>
          </cell>
          <cell r="U1174" t="b">
            <v>0</v>
          </cell>
        </row>
        <row r="1175">
          <cell r="A1175" t="str">
            <v>Data split-10;Reg-30</v>
          </cell>
          <cell r="B1175">
            <v>-1.7</v>
          </cell>
          <cell r="C1175">
            <v>0</v>
          </cell>
          <cell r="D1175">
            <v>0.43</v>
          </cell>
          <cell r="E1175">
            <v>0</v>
          </cell>
          <cell r="F1175">
            <v>0</v>
          </cell>
          <cell r="G1175">
            <v>0</v>
          </cell>
          <cell r="H1175">
            <v>0</v>
          </cell>
          <cell r="I1175">
            <v>0</v>
          </cell>
          <cell r="J1175">
            <v>8.6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3.3999999999999998E-3</v>
          </cell>
          <cell r="S1175">
            <v>0</v>
          </cell>
          <cell r="T1175">
            <v>0</v>
          </cell>
          <cell r="U1175" t="b">
            <v>0</v>
          </cell>
        </row>
        <row r="1176">
          <cell r="A1176" t="str">
            <v>Data split-10;Reg-31</v>
          </cell>
          <cell r="B1176">
            <v>-7.9000000000000001E-2</v>
          </cell>
          <cell r="C1176">
            <v>0</v>
          </cell>
          <cell r="D1176">
            <v>0.64</v>
          </cell>
          <cell r="E1176">
            <v>0</v>
          </cell>
          <cell r="F1176">
            <v>0</v>
          </cell>
          <cell r="G1176">
            <v>0</v>
          </cell>
          <cell r="H1176">
            <v>0</v>
          </cell>
          <cell r="I1176">
            <v>0</v>
          </cell>
          <cell r="J1176">
            <v>0</v>
          </cell>
          <cell r="K1176">
            <v>0.38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5.4999999999999997E-3</v>
          </cell>
          <cell r="T1176">
            <v>0</v>
          </cell>
          <cell r="U1176" t="b">
            <v>0</v>
          </cell>
        </row>
        <row r="1177">
          <cell r="A1177" t="str">
            <v>Data split-10;Reg-32</v>
          </cell>
          <cell r="B1177">
            <v>0.09</v>
          </cell>
          <cell r="C1177">
            <v>0</v>
          </cell>
          <cell r="D1177">
            <v>0.57999999999999996</v>
          </cell>
          <cell r="E1177">
            <v>0</v>
          </cell>
          <cell r="F1177">
            <v>0</v>
          </cell>
          <cell r="G1177">
            <v>0</v>
          </cell>
          <cell r="H1177">
            <v>0</v>
          </cell>
          <cell r="I1177">
            <v>0</v>
          </cell>
          <cell r="J1177">
            <v>0</v>
          </cell>
          <cell r="K1177">
            <v>0.19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3.0000000000000001E-3</v>
          </cell>
          <cell r="U1177" t="b">
            <v>0</v>
          </cell>
        </row>
        <row r="1178">
          <cell r="A1178" t="str">
            <v>Data split-10;Reg-33</v>
          </cell>
          <cell r="B1178">
            <v>-0.65</v>
          </cell>
          <cell r="C1178">
            <v>0</v>
          </cell>
          <cell r="D1178">
            <v>0.53</v>
          </cell>
          <cell r="E1178">
            <v>0</v>
          </cell>
          <cell r="F1178">
            <v>0</v>
          </cell>
          <cell r="G1178">
            <v>0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6.5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9.1999999999999998E-3</v>
          </cell>
          <cell r="T1178">
            <v>0</v>
          </cell>
          <cell r="U1178" t="b">
            <v>0</v>
          </cell>
        </row>
        <row r="1179">
          <cell r="A1179" t="str">
            <v>Data split-10;Reg-34</v>
          </cell>
          <cell r="B1179">
            <v>-0.48</v>
          </cell>
          <cell r="C1179">
            <v>0</v>
          </cell>
          <cell r="D1179">
            <v>0.48</v>
          </cell>
          <cell r="E1179">
            <v>0</v>
          </cell>
          <cell r="F1179">
            <v>0</v>
          </cell>
          <cell r="G1179">
            <v>0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5.5</v>
          </cell>
          <cell r="M1179">
            <v>0</v>
          </cell>
          <cell r="N1179">
            <v>0</v>
          </cell>
          <cell r="O1179">
            <v>0</v>
          </cell>
          <cell r="P1179">
            <v>0</v>
          </cell>
          <cell r="Q1179">
            <v>0</v>
          </cell>
          <cell r="R1179">
            <v>0</v>
          </cell>
          <cell r="S1179">
            <v>0</v>
          </cell>
          <cell r="T1179">
            <v>3.2000000000000002E-3</v>
          </cell>
          <cell r="U1179" t="b">
            <v>0</v>
          </cell>
        </row>
        <row r="1180">
          <cell r="A1180" t="str">
            <v>Data split-10;Reg-35</v>
          </cell>
          <cell r="B1180">
            <v>-0.78</v>
          </cell>
          <cell r="C1180">
            <v>1.1000000000000001</v>
          </cell>
          <cell r="D1180">
            <v>0</v>
          </cell>
          <cell r="E1180">
            <v>0</v>
          </cell>
          <cell r="F1180">
            <v>0</v>
          </cell>
          <cell r="G1180">
            <v>0</v>
          </cell>
          <cell r="H1180">
            <v>0</v>
          </cell>
          <cell r="I1180">
            <v>0.94</v>
          </cell>
          <cell r="J1180">
            <v>0</v>
          </cell>
          <cell r="K1180">
            <v>-1.6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0.02</v>
          </cell>
          <cell r="R1180">
            <v>0</v>
          </cell>
          <cell r="S1180">
            <v>0</v>
          </cell>
          <cell r="T1180">
            <v>0</v>
          </cell>
          <cell r="U1180" t="b">
            <v>0</v>
          </cell>
        </row>
        <row r="1181">
          <cell r="A1181" t="str">
            <v>Data split-10;Reg-36</v>
          </cell>
          <cell r="B1181">
            <v>-0.77</v>
          </cell>
          <cell r="C1181">
            <v>0.98</v>
          </cell>
          <cell r="D1181">
            <v>0</v>
          </cell>
          <cell r="E1181">
            <v>0</v>
          </cell>
          <cell r="F1181">
            <v>0</v>
          </cell>
          <cell r="G1181">
            <v>0</v>
          </cell>
          <cell r="H1181">
            <v>0</v>
          </cell>
          <cell r="I1181">
            <v>0.88</v>
          </cell>
          <cell r="J1181">
            <v>0</v>
          </cell>
          <cell r="K1181">
            <v>-1.6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5.8999999999999999E-3</v>
          </cell>
          <cell r="S1181">
            <v>0</v>
          </cell>
          <cell r="T1181">
            <v>0</v>
          </cell>
          <cell r="U1181" t="b">
            <v>0</v>
          </cell>
        </row>
        <row r="1182">
          <cell r="A1182" t="str">
            <v>Data split-10;Reg-37</v>
          </cell>
          <cell r="B1182">
            <v>6.3E-2</v>
          </cell>
          <cell r="C1182">
            <v>0.77</v>
          </cell>
          <cell r="D1182">
            <v>0</v>
          </cell>
          <cell r="E1182">
            <v>0</v>
          </cell>
          <cell r="F1182">
            <v>0</v>
          </cell>
          <cell r="G1182">
            <v>0</v>
          </cell>
          <cell r="H1182">
            <v>0</v>
          </cell>
          <cell r="I1182">
            <v>0.13</v>
          </cell>
          <cell r="J1182">
            <v>0</v>
          </cell>
          <cell r="K1182">
            <v>0</v>
          </cell>
          <cell r="L1182">
            <v>-1.2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1.6E-2</v>
          </cell>
          <cell r="R1182">
            <v>0</v>
          </cell>
          <cell r="S1182">
            <v>0</v>
          </cell>
          <cell r="T1182">
            <v>0</v>
          </cell>
          <cell r="U1182" t="b">
            <v>0</v>
          </cell>
        </row>
        <row r="1183">
          <cell r="A1183" t="str">
            <v>Data split-10;Reg-38</v>
          </cell>
          <cell r="B1183">
            <v>0.15</v>
          </cell>
          <cell r="C1183">
            <v>0.69</v>
          </cell>
          <cell r="D1183">
            <v>0</v>
          </cell>
          <cell r="E1183">
            <v>0</v>
          </cell>
          <cell r="F1183">
            <v>0</v>
          </cell>
          <cell r="G1183">
            <v>0</v>
          </cell>
          <cell r="H1183">
            <v>0</v>
          </cell>
          <cell r="I1183">
            <v>2.5999999999999999E-2</v>
          </cell>
          <cell r="J1183">
            <v>0</v>
          </cell>
          <cell r="K1183">
            <v>0</v>
          </cell>
          <cell r="L1183">
            <v>-1.3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4.8999999999999998E-3</v>
          </cell>
          <cell r="S1183">
            <v>0</v>
          </cell>
          <cell r="T1183">
            <v>0</v>
          </cell>
          <cell r="U1183" t="b">
            <v>0</v>
          </cell>
        </row>
        <row r="1184">
          <cell r="A1184" t="str">
            <v>Data split-10;Reg-39</v>
          </cell>
          <cell r="B1184">
            <v>-2</v>
          </cell>
          <cell r="C1184">
            <v>0.85</v>
          </cell>
          <cell r="D1184">
            <v>0</v>
          </cell>
          <cell r="E1184">
            <v>0</v>
          </cell>
          <cell r="F1184">
            <v>0</v>
          </cell>
          <cell r="G1184">
            <v>0</v>
          </cell>
          <cell r="H1184">
            <v>0</v>
          </cell>
          <cell r="I1184">
            <v>0</v>
          </cell>
          <cell r="J1184">
            <v>10.199999999999999</v>
          </cell>
          <cell r="K1184">
            <v>-1.1000000000000001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2.3E-2</v>
          </cell>
          <cell r="R1184">
            <v>0</v>
          </cell>
          <cell r="S1184">
            <v>0</v>
          </cell>
          <cell r="T1184">
            <v>0</v>
          </cell>
          <cell r="U1184" t="b">
            <v>0</v>
          </cell>
        </row>
        <row r="1185">
          <cell r="A1185" t="str">
            <v>Data split-10;Reg-40</v>
          </cell>
          <cell r="B1185">
            <v>-2.1</v>
          </cell>
          <cell r="C1185">
            <v>0.77</v>
          </cell>
          <cell r="D1185">
            <v>0</v>
          </cell>
          <cell r="E1185">
            <v>0</v>
          </cell>
          <cell r="F1185">
            <v>0</v>
          </cell>
          <cell r="G1185">
            <v>0</v>
          </cell>
          <cell r="H1185">
            <v>0</v>
          </cell>
          <cell r="I1185">
            <v>0</v>
          </cell>
          <cell r="J1185">
            <v>10.3</v>
          </cell>
          <cell r="K1185">
            <v>-1.2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6.4999999999999997E-3</v>
          </cell>
          <cell r="S1185">
            <v>0</v>
          </cell>
          <cell r="T1185">
            <v>0</v>
          </cell>
          <cell r="U1185" t="b">
            <v>0</v>
          </cell>
        </row>
        <row r="1186">
          <cell r="A1186" t="str">
            <v>Data split-10;Reg-41</v>
          </cell>
          <cell r="B1186">
            <v>-1.3</v>
          </cell>
          <cell r="C1186">
            <v>0.78</v>
          </cell>
          <cell r="D1186">
            <v>0</v>
          </cell>
          <cell r="E1186">
            <v>0</v>
          </cell>
          <cell r="F1186">
            <v>0</v>
          </cell>
          <cell r="G1186">
            <v>0</v>
          </cell>
          <cell r="H1186">
            <v>0</v>
          </cell>
          <cell r="I1186">
            <v>0</v>
          </cell>
          <cell r="J1186">
            <v>10.3</v>
          </cell>
          <cell r="K1186">
            <v>0</v>
          </cell>
          <cell r="L1186">
            <v>-8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1.4E-2</v>
          </cell>
          <cell r="R1186">
            <v>0</v>
          </cell>
          <cell r="S1186">
            <v>0</v>
          </cell>
          <cell r="T1186">
            <v>0</v>
          </cell>
          <cell r="U1186" t="b">
            <v>0</v>
          </cell>
        </row>
        <row r="1187">
          <cell r="A1187" t="str">
            <v>Data split-10;Reg-42</v>
          </cell>
          <cell r="B1187">
            <v>-1.2</v>
          </cell>
          <cell r="C1187">
            <v>0.7</v>
          </cell>
          <cell r="D1187">
            <v>0</v>
          </cell>
          <cell r="E1187">
            <v>0</v>
          </cell>
          <cell r="F1187">
            <v>0</v>
          </cell>
          <cell r="G1187">
            <v>0</v>
          </cell>
          <cell r="H1187">
            <v>0</v>
          </cell>
          <cell r="I1187">
            <v>0</v>
          </cell>
          <cell r="J1187">
            <v>10.1</v>
          </cell>
          <cell r="K1187">
            <v>0</v>
          </cell>
          <cell r="L1187">
            <v>-8.4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4.3E-3</v>
          </cell>
          <cell r="S1187">
            <v>0</v>
          </cell>
          <cell r="T1187">
            <v>0</v>
          </cell>
          <cell r="U1187" t="b">
            <v>0</v>
          </cell>
        </row>
        <row r="1188">
          <cell r="A1188" t="str">
            <v>Data split-10;Reg-43</v>
          </cell>
          <cell r="B1188">
            <v>-0.76</v>
          </cell>
          <cell r="C1188">
            <v>1.1000000000000001</v>
          </cell>
          <cell r="D1188">
            <v>0</v>
          </cell>
          <cell r="E1188">
            <v>0</v>
          </cell>
          <cell r="F1188">
            <v>0</v>
          </cell>
          <cell r="G1188">
            <v>0</v>
          </cell>
          <cell r="H1188">
            <v>0</v>
          </cell>
          <cell r="I1188">
            <v>0.99</v>
          </cell>
          <cell r="J1188">
            <v>0</v>
          </cell>
          <cell r="K1188">
            <v>-1.7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1.9E-2</v>
          </cell>
          <cell r="T1188">
            <v>0</v>
          </cell>
          <cell r="U1188" t="b">
            <v>0</v>
          </cell>
        </row>
        <row r="1189">
          <cell r="A1189" t="str">
            <v>Data split-10;Reg-44</v>
          </cell>
          <cell r="B1189">
            <v>-0.7</v>
          </cell>
          <cell r="C1189">
            <v>0.99</v>
          </cell>
          <cell r="D1189">
            <v>0</v>
          </cell>
          <cell r="E1189">
            <v>0</v>
          </cell>
          <cell r="F1189">
            <v>0</v>
          </cell>
          <cell r="G1189">
            <v>0</v>
          </cell>
          <cell r="H1189">
            <v>0</v>
          </cell>
          <cell r="I1189">
            <v>0.96</v>
          </cell>
          <cell r="J1189">
            <v>0</v>
          </cell>
          <cell r="K1189">
            <v>-1.8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5.8999999999999999E-3</v>
          </cell>
          <cell r="U1189" t="b">
            <v>0</v>
          </cell>
        </row>
        <row r="1190">
          <cell r="A1190" t="str">
            <v>Data split-10;Reg-45</v>
          </cell>
          <cell r="B1190">
            <v>4.2999999999999997E-2</v>
          </cell>
          <cell r="C1190">
            <v>0.77</v>
          </cell>
          <cell r="D1190">
            <v>0</v>
          </cell>
          <cell r="E1190">
            <v>0</v>
          </cell>
          <cell r="F1190">
            <v>0</v>
          </cell>
          <cell r="G1190">
            <v>0</v>
          </cell>
          <cell r="H1190">
            <v>0</v>
          </cell>
          <cell r="I1190">
            <v>0.2</v>
          </cell>
          <cell r="J1190">
            <v>0</v>
          </cell>
          <cell r="K1190">
            <v>0</v>
          </cell>
          <cell r="L1190">
            <v>-1.5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1.2999999999999999E-2</v>
          </cell>
          <cell r="T1190">
            <v>0</v>
          </cell>
          <cell r="U1190" t="b">
            <v>0</v>
          </cell>
        </row>
        <row r="1191">
          <cell r="A1191" t="str">
            <v>Data split-10;Reg-46</v>
          </cell>
          <cell r="B1191">
            <v>0.21</v>
          </cell>
          <cell r="C1191">
            <v>0.7</v>
          </cell>
          <cell r="D1191">
            <v>0</v>
          </cell>
          <cell r="E1191">
            <v>0</v>
          </cell>
          <cell r="F1191">
            <v>0</v>
          </cell>
          <cell r="G1191">
            <v>0</v>
          </cell>
          <cell r="H1191">
            <v>0</v>
          </cell>
          <cell r="I1191">
            <v>9.5000000000000001E-2</v>
          </cell>
          <cell r="J1191">
            <v>0</v>
          </cell>
          <cell r="K1191">
            <v>0</v>
          </cell>
          <cell r="L1191">
            <v>-1.8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4.4000000000000003E-3</v>
          </cell>
          <cell r="U1191" t="b">
            <v>0</v>
          </cell>
        </row>
        <row r="1192">
          <cell r="A1192" t="str">
            <v>Data split-10;Reg-47</v>
          </cell>
          <cell r="B1192">
            <v>-2</v>
          </cell>
          <cell r="C1192">
            <v>0.86</v>
          </cell>
          <cell r="D1192">
            <v>0</v>
          </cell>
          <cell r="E1192">
            <v>0</v>
          </cell>
          <cell r="F1192">
            <v>0</v>
          </cell>
          <cell r="G1192">
            <v>0</v>
          </cell>
          <cell r="H1192">
            <v>0</v>
          </cell>
          <cell r="I1192">
            <v>0</v>
          </cell>
          <cell r="J1192">
            <v>10.6</v>
          </cell>
          <cell r="K1192">
            <v>-1.2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2.3E-2</v>
          </cell>
          <cell r="T1192">
            <v>0</v>
          </cell>
          <cell r="U1192" t="b">
            <v>0</v>
          </cell>
        </row>
        <row r="1193">
          <cell r="A1193" t="str">
            <v>Data split-10;Reg-48</v>
          </cell>
          <cell r="B1193">
            <v>-2.1</v>
          </cell>
          <cell r="C1193">
            <v>0.76</v>
          </cell>
          <cell r="D1193">
            <v>0</v>
          </cell>
          <cell r="E1193">
            <v>0</v>
          </cell>
          <cell r="F1193">
            <v>0</v>
          </cell>
          <cell r="G1193">
            <v>0</v>
          </cell>
          <cell r="H1193">
            <v>0</v>
          </cell>
          <cell r="I1193">
            <v>0</v>
          </cell>
          <cell r="J1193">
            <v>11</v>
          </cell>
          <cell r="K1193">
            <v>-1.3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6.7000000000000002E-3</v>
          </cell>
          <cell r="U1193" t="b">
            <v>0</v>
          </cell>
        </row>
        <row r="1194">
          <cell r="A1194" t="str">
            <v>Data split-10;Reg-49</v>
          </cell>
          <cell r="B1194">
            <v>-1.4</v>
          </cell>
          <cell r="C1194">
            <v>0.79</v>
          </cell>
          <cell r="D1194">
            <v>0</v>
          </cell>
          <cell r="E1194">
            <v>0</v>
          </cell>
          <cell r="F1194">
            <v>0</v>
          </cell>
          <cell r="G1194">
            <v>0</v>
          </cell>
          <cell r="H1194">
            <v>0</v>
          </cell>
          <cell r="I1194">
            <v>0</v>
          </cell>
          <cell r="J1194">
            <v>10.8</v>
          </cell>
          <cell r="K1194">
            <v>0</v>
          </cell>
          <cell r="L1194">
            <v>-8.4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1.2999999999999999E-2</v>
          </cell>
          <cell r="T1194">
            <v>0</v>
          </cell>
          <cell r="U1194" t="b">
            <v>0</v>
          </cell>
        </row>
        <row r="1195">
          <cell r="A1195" t="str">
            <v>Data split-10;Reg-50</v>
          </cell>
          <cell r="B1195">
            <v>-1.2</v>
          </cell>
          <cell r="C1195">
            <v>0.71</v>
          </cell>
          <cell r="D1195">
            <v>0</v>
          </cell>
          <cell r="E1195">
            <v>0</v>
          </cell>
          <cell r="F1195">
            <v>0</v>
          </cell>
          <cell r="G1195">
            <v>0</v>
          </cell>
          <cell r="H1195">
            <v>0</v>
          </cell>
          <cell r="I1195">
            <v>0</v>
          </cell>
          <cell r="J1195">
            <v>10.8</v>
          </cell>
          <cell r="K1195">
            <v>0</v>
          </cell>
          <cell r="L1195">
            <v>-9.1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4.0000000000000001E-3</v>
          </cell>
          <cell r="U1195" t="b">
            <v>0</v>
          </cell>
        </row>
        <row r="1196">
          <cell r="A1196" t="str">
            <v>Data split-10;Reg-51</v>
          </cell>
          <cell r="B1196">
            <v>-0.76</v>
          </cell>
          <cell r="C1196">
            <v>0</v>
          </cell>
          <cell r="D1196">
            <v>0.64</v>
          </cell>
          <cell r="E1196">
            <v>0</v>
          </cell>
          <cell r="F1196">
            <v>0</v>
          </cell>
          <cell r="G1196">
            <v>0</v>
          </cell>
          <cell r="H1196">
            <v>0</v>
          </cell>
          <cell r="I1196">
            <v>0.79</v>
          </cell>
          <cell r="J1196">
            <v>0</v>
          </cell>
          <cell r="K1196">
            <v>-0.21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2.8999999999999998E-3</v>
          </cell>
          <cell r="R1196">
            <v>0</v>
          </cell>
          <cell r="S1196">
            <v>0</v>
          </cell>
          <cell r="T1196">
            <v>0</v>
          </cell>
          <cell r="U1196" t="b">
            <v>0</v>
          </cell>
        </row>
        <row r="1197">
          <cell r="A1197" t="str">
            <v>Data split-10;Reg-52</v>
          </cell>
          <cell r="B1197">
            <v>-0.5</v>
          </cell>
          <cell r="C1197">
            <v>0</v>
          </cell>
          <cell r="D1197">
            <v>0.57999999999999996</v>
          </cell>
          <cell r="E1197">
            <v>0</v>
          </cell>
          <cell r="F1197">
            <v>0</v>
          </cell>
          <cell r="G1197">
            <v>0</v>
          </cell>
          <cell r="H1197">
            <v>0</v>
          </cell>
          <cell r="I1197">
            <v>0.65</v>
          </cell>
          <cell r="J1197">
            <v>0</v>
          </cell>
          <cell r="K1197">
            <v>-0.27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2.5000000000000001E-3</v>
          </cell>
          <cell r="S1197">
            <v>0</v>
          </cell>
          <cell r="T1197">
            <v>0</v>
          </cell>
          <cell r="U1197" t="b">
            <v>0</v>
          </cell>
        </row>
        <row r="1198">
          <cell r="A1198" t="str">
            <v>Data split-10;Reg-53</v>
          </cell>
          <cell r="B1198">
            <v>-0.87</v>
          </cell>
          <cell r="C1198">
            <v>0</v>
          </cell>
          <cell r="D1198">
            <v>0.55000000000000004</v>
          </cell>
          <cell r="E1198">
            <v>0</v>
          </cell>
          <cell r="F1198">
            <v>0</v>
          </cell>
          <cell r="G1198">
            <v>0</v>
          </cell>
          <cell r="H1198">
            <v>0</v>
          </cell>
          <cell r="I1198">
            <v>0.5</v>
          </cell>
          <cell r="J1198">
            <v>0</v>
          </cell>
          <cell r="K1198">
            <v>0</v>
          </cell>
          <cell r="L1198">
            <v>3.3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4.1999999999999997E-3</v>
          </cell>
          <cell r="R1198">
            <v>0</v>
          </cell>
          <cell r="S1198">
            <v>0</v>
          </cell>
          <cell r="T1198">
            <v>0</v>
          </cell>
          <cell r="U1198" t="b">
            <v>0</v>
          </cell>
        </row>
        <row r="1199">
          <cell r="A1199" t="str">
            <v>Data split-10;Reg-54</v>
          </cell>
          <cell r="B1199">
            <v>-0.67</v>
          </cell>
          <cell r="C1199">
            <v>0</v>
          </cell>
          <cell r="D1199">
            <v>0.47</v>
          </cell>
          <cell r="E1199">
            <v>0</v>
          </cell>
          <cell r="F1199">
            <v>0</v>
          </cell>
          <cell r="G1199">
            <v>0</v>
          </cell>
          <cell r="H1199">
            <v>0</v>
          </cell>
          <cell r="I1199">
            <v>0.3</v>
          </cell>
          <cell r="J1199">
            <v>0</v>
          </cell>
          <cell r="K1199">
            <v>0</v>
          </cell>
          <cell r="L1199">
            <v>4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2.7000000000000001E-3</v>
          </cell>
          <cell r="S1199">
            <v>0</v>
          </cell>
          <cell r="T1199">
            <v>0</v>
          </cell>
          <cell r="U1199" t="b">
            <v>0</v>
          </cell>
        </row>
        <row r="1200">
          <cell r="A1200" t="str">
            <v>Data split-10;Reg-55</v>
          </cell>
          <cell r="B1200">
            <v>-1.8</v>
          </cell>
          <cell r="C1200">
            <v>0</v>
          </cell>
          <cell r="D1200">
            <v>0.5</v>
          </cell>
          <cell r="E1200">
            <v>0</v>
          </cell>
          <cell r="F1200">
            <v>0</v>
          </cell>
          <cell r="G1200">
            <v>0</v>
          </cell>
          <cell r="H1200">
            <v>0</v>
          </cell>
          <cell r="I1200">
            <v>0</v>
          </cell>
          <cell r="J1200">
            <v>8.9</v>
          </cell>
          <cell r="K1200">
            <v>2.7E-2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8.6999999999999994E-3</v>
          </cell>
          <cell r="R1200">
            <v>0</v>
          </cell>
          <cell r="S1200">
            <v>0</v>
          </cell>
          <cell r="T1200">
            <v>0</v>
          </cell>
          <cell r="U1200" t="b">
            <v>0</v>
          </cell>
        </row>
        <row r="1201">
          <cell r="A1201" t="str">
            <v>Data split-10;Reg-56</v>
          </cell>
          <cell r="B1201">
            <v>-1.8</v>
          </cell>
          <cell r="C1201">
            <v>0</v>
          </cell>
          <cell r="D1201">
            <v>0.43</v>
          </cell>
          <cell r="E1201">
            <v>0</v>
          </cell>
          <cell r="F1201">
            <v>0</v>
          </cell>
          <cell r="G1201">
            <v>0</v>
          </cell>
          <cell r="H1201">
            <v>0</v>
          </cell>
          <cell r="I1201">
            <v>0</v>
          </cell>
          <cell r="J1201">
            <v>9.6</v>
          </cell>
          <cell r="K1201">
            <v>-0.17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3.8E-3</v>
          </cell>
          <cell r="S1201">
            <v>0</v>
          </cell>
          <cell r="T1201">
            <v>0</v>
          </cell>
          <cell r="U1201" t="b">
            <v>0</v>
          </cell>
        </row>
        <row r="1202">
          <cell r="A1202" t="str">
            <v>Data split-10;Reg-57</v>
          </cell>
          <cell r="B1202">
            <v>-1.8</v>
          </cell>
          <cell r="C1202">
            <v>0</v>
          </cell>
          <cell r="D1202">
            <v>0.47</v>
          </cell>
          <cell r="E1202">
            <v>0</v>
          </cell>
          <cell r="F1202">
            <v>0</v>
          </cell>
          <cell r="G1202">
            <v>0</v>
          </cell>
          <cell r="H1202">
            <v>0</v>
          </cell>
          <cell r="I1202">
            <v>0</v>
          </cell>
          <cell r="J1202">
            <v>8</v>
          </cell>
          <cell r="K1202">
            <v>0</v>
          </cell>
          <cell r="L1202">
            <v>2.2000000000000002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8.9999999999999993E-3</v>
          </cell>
          <cell r="R1202">
            <v>0</v>
          </cell>
          <cell r="S1202">
            <v>0</v>
          </cell>
          <cell r="T1202">
            <v>0</v>
          </cell>
          <cell r="U1202" t="b">
            <v>0</v>
          </cell>
        </row>
        <row r="1203">
          <cell r="A1203" t="str">
            <v>Data split-10;Reg-58</v>
          </cell>
          <cell r="B1203">
            <v>-1.7</v>
          </cell>
          <cell r="C1203">
            <v>0</v>
          </cell>
          <cell r="D1203">
            <v>0.4</v>
          </cell>
          <cell r="E1203">
            <v>0</v>
          </cell>
          <cell r="F1203">
            <v>0</v>
          </cell>
          <cell r="G1203">
            <v>0</v>
          </cell>
          <cell r="H1203">
            <v>0</v>
          </cell>
          <cell r="I1203">
            <v>0</v>
          </cell>
          <cell r="J1203">
            <v>8</v>
          </cell>
          <cell r="K1203">
            <v>0</v>
          </cell>
          <cell r="L1203">
            <v>1.4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3.3E-3</v>
          </cell>
          <cell r="S1203">
            <v>0</v>
          </cell>
          <cell r="T1203">
            <v>0</v>
          </cell>
          <cell r="U1203" t="b">
            <v>0</v>
          </cell>
        </row>
        <row r="1204">
          <cell r="A1204" t="str">
            <v>Data split-10;Reg-59</v>
          </cell>
          <cell r="B1204">
            <v>-0.88</v>
          </cell>
          <cell r="C1204">
            <v>0</v>
          </cell>
          <cell r="D1204">
            <v>0.65</v>
          </cell>
          <cell r="E1204">
            <v>0</v>
          </cell>
          <cell r="F1204">
            <v>0</v>
          </cell>
          <cell r="G1204">
            <v>0</v>
          </cell>
          <cell r="H1204">
            <v>0</v>
          </cell>
          <cell r="I1204">
            <v>0.84</v>
          </cell>
          <cell r="J1204">
            <v>0</v>
          </cell>
          <cell r="K1204">
            <v>-0.2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4.8000000000000001E-4</v>
          </cell>
          <cell r="T1204">
            <v>0</v>
          </cell>
          <cell r="U1204" t="b">
            <v>0</v>
          </cell>
        </row>
        <row r="1205">
          <cell r="A1205" t="str">
            <v>Data split-10;Reg-60</v>
          </cell>
          <cell r="B1205">
            <v>-0.55000000000000004</v>
          </cell>
          <cell r="C1205">
            <v>0</v>
          </cell>
          <cell r="D1205">
            <v>0.6</v>
          </cell>
          <cell r="E1205">
            <v>0</v>
          </cell>
          <cell r="F1205">
            <v>0</v>
          </cell>
          <cell r="G1205">
            <v>0</v>
          </cell>
          <cell r="H1205">
            <v>0</v>
          </cell>
          <cell r="I1205">
            <v>0.71</v>
          </cell>
          <cell r="J1205">
            <v>0</v>
          </cell>
          <cell r="K1205">
            <v>-0.31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2.0999999999999999E-3</v>
          </cell>
          <cell r="U1205" t="b">
            <v>0</v>
          </cell>
        </row>
        <row r="1206">
          <cell r="A1206" t="str">
            <v>Data split-10;Reg-61</v>
          </cell>
          <cell r="B1206">
            <v>-0.98</v>
          </cell>
          <cell r="C1206">
            <v>0</v>
          </cell>
          <cell r="D1206">
            <v>0.57999999999999996</v>
          </cell>
          <cell r="E1206">
            <v>0</v>
          </cell>
          <cell r="F1206">
            <v>0</v>
          </cell>
          <cell r="G1206">
            <v>0</v>
          </cell>
          <cell r="H1206">
            <v>0</v>
          </cell>
          <cell r="I1206">
            <v>0.6</v>
          </cell>
          <cell r="J1206">
            <v>0</v>
          </cell>
          <cell r="K1206">
            <v>0</v>
          </cell>
          <cell r="L1206">
            <v>2.7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1.1000000000000001E-3</v>
          </cell>
          <cell r="T1206">
            <v>0</v>
          </cell>
          <cell r="U1206" t="b">
            <v>0</v>
          </cell>
        </row>
        <row r="1207">
          <cell r="A1207" t="str">
            <v>Data split-10;Reg-62</v>
          </cell>
          <cell r="B1207">
            <v>-0.68</v>
          </cell>
          <cell r="C1207">
            <v>0</v>
          </cell>
          <cell r="D1207">
            <v>0.51</v>
          </cell>
          <cell r="E1207">
            <v>0</v>
          </cell>
          <cell r="F1207">
            <v>0</v>
          </cell>
          <cell r="G1207">
            <v>0</v>
          </cell>
          <cell r="H1207">
            <v>0</v>
          </cell>
          <cell r="I1207">
            <v>0.39</v>
          </cell>
          <cell r="J1207">
            <v>0</v>
          </cell>
          <cell r="K1207">
            <v>0</v>
          </cell>
          <cell r="L1207">
            <v>3.3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1.9E-3</v>
          </cell>
          <cell r="U1207" t="b">
            <v>0</v>
          </cell>
        </row>
        <row r="1208">
          <cell r="A1208" t="str">
            <v>Data split-10;Reg-63</v>
          </cell>
          <cell r="B1208">
            <v>-1.8</v>
          </cell>
          <cell r="C1208">
            <v>0</v>
          </cell>
          <cell r="D1208">
            <v>0.52</v>
          </cell>
          <cell r="E1208">
            <v>0</v>
          </cell>
          <cell r="F1208">
            <v>0</v>
          </cell>
          <cell r="G1208">
            <v>0</v>
          </cell>
          <cell r="H1208">
            <v>0</v>
          </cell>
          <cell r="I1208">
            <v>0</v>
          </cell>
          <cell r="J1208">
            <v>8.9</v>
          </cell>
          <cell r="K1208">
            <v>3.5000000000000003E-2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7.3000000000000001E-3</v>
          </cell>
          <cell r="T1208">
            <v>0</v>
          </cell>
          <cell r="U1208" t="b">
            <v>0</v>
          </cell>
        </row>
        <row r="1209">
          <cell r="A1209" t="str">
            <v>Data split-10;Reg-64</v>
          </cell>
          <cell r="B1209">
            <v>-1.8</v>
          </cell>
          <cell r="C1209">
            <v>0</v>
          </cell>
          <cell r="D1209">
            <v>0.44</v>
          </cell>
          <cell r="E1209">
            <v>0</v>
          </cell>
          <cell r="F1209">
            <v>0</v>
          </cell>
          <cell r="G1209">
            <v>0</v>
          </cell>
          <cell r="H1209">
            <v>0</v>
          </cell>
          <cell r="I1209">
            <v>0</v>
          </cell>
          <cell r="J1209">
            <v>9.9</v>
          </cell>
          <cell r="K1209">
            <v>-0.23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3.8E-3</v>
          </cell>
          <cell r="U1209" t="b">
            <v>0</v>
          </cell>
        </row>
        <row r="1210">
          <cell r="A1210" t="str">
            <v>Data split-10;Reg-65</v>
          </cell>
          <cell r="B1210">
            <v>-1.9</v>
          </cell>
          <cell r="C1210">
            <v>0</v>
          </cell>
          <cell r="D1210">
            <v>0.49</v>
          </cell>
          <cell r="E1210">
            <v>0</v>
          </cell>
          <cell r="F1210">
            <v>0</v>
          </cell>
          <cell r="G1210">
            <v>0</v>
          </cell>
          <cell r="H1210">
            <v>0</v>
          </cell>
          <cell r="I1210">
            <v>0</v>
          </cell>
          <cell r="J1210">
            <v>8.3000000000000007</v>
          </cell>
          <cell r="K1210">
            <v>0</v>
          </cell>
          <cell r="L1210">
            <v>1.8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7.6E-3</v>
          </cell>
          <cell r="T1210">
            <v>0</v>
          </cell>
          <cell r="U1210" t="b">
            <v>0</v>
          </cell>
        </row>
        <row r="1211">
          <cell r="A1211" t="str">
            <v>Data split-10;Reg-66</v>
          </cell>
          <cell r="B1211">
            <v>-1.7</v>
          </cell>
          <cell r="C1211">
            <v>0</v>
          </cell>
          <cell r="D1211">
            <v>0.43</v>
          </cell>
          <cell r="E1211">
            <v>0</v>
          </cell>
          <cell r="F1211">
            <v>0</v>
          </cell>
          <cell r="G1211">
            <v>0</v>
          </cell>
          <cell r="H1211">
            <v>0</v>
          </cell>
          <cell r="I1211">
            <v>0</v>
          </cell>
          <cell r="J1211">
            <v>8.4</v>
          </cell>
          <cell r="K1211">
            <v>0</v>
          </cell>
          <cell r="L1211">
            <v>0.7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3.0000000000000001E-3</v>
          </cell>
          <cell r="U1211" t="b">
            <v>0</v>
          </cell>
        </row>
        <row r="1212">
          <cell r="A1212" t="str">
            <v>Data split-10;Reg-67</v>
          </cell>
          <cell r="B1212">
            <v>-0.9</v>
          </cell>
          <cell r="C1212">
            <v>0.48</v>
          </cell>
          <cell r="D1212">
            <v>0</v>
          </cell>
          <cell r="E1212">
            <v>0</v>
          </cell>
          <cell r="F1212">
            <v>0</v>
          </cell>
          <cell r="G1212">
            <v>0.49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 t="b">
            <v>1</v>
          </cell>
        </row>
        <row r="1213">
          <cell r="A1213" t="str">
            <v>Data split-10;Reg-68</v>
          </cell>
          <cell r="B1213">
            <v>-1.8</v>
          </cell>
          <cell r="C1213">
            <v>0.38</v>
          </cell>
          <cell r="D1213">
            <v>0</v>
          </cell>
          <cell r="E1213">
            <v>0</v>
          </cell>
          <cell r="F1213">
            <v>-4.7E-2</v>
          </cell>
          <cell r="G1213">
            <v>0.76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 t="b">
            <v>0</v>
          </cell>
        </row>
        <row r="1214">
          <cell r="A1214" t="str">
            <v>Data split-10;Reg-69</v>
          </cell>
          <cell r="B1214">
            <v>-2.2999999999999998</v>
          </cell>
          <cell r="C1214">
            <v>0.33</v>
          </cell>
          <cell r="D1214">
            <v>0</v>
          </cell>
          <cell r="E1214">
            <v>0</v>
          </cell>
          <cell r="F1214">
            <v>0</v>
          </cell>
          <cell r="G1214">
            <v>0.42</v>
          </cell>
          <cell r="H1214">
            <v>0</v>
          </cell>
          <cell r="I1214">
            <v>0</v>
          </cell>
          <cell r="J1214">
            <v>7.5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 t="b">
            <v>0</v>
          </cell>
        </row>
        <row r="1215">
          <cell r="A1215" t="str">
            <v>Data split-10;Reg-70</v>
          </cell>
          <cell r="B1215">
            <v>-4</v>
          </cell>
          <cell r="C1215">
            <v>0.13</v>
          </cell>
          <cell r="D1215">
            <v>0</v>
          </cell>
          <cell r="E1215">
            <v>0</v>
          </cell>
          <cell r="F1215">
            <v>0</v>
          </cell>
          <cell r="G1215">
            <v>1</v>
          </cell>
          <cell r="H1215">
            <v>0</v>
          </cell>
          <cell r="I1215">
            <v>0</v>
          </cell>
          <cell r="J1215">
            <v>8.3000000000000007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-2.8000000000000001E-2</v>
          </cell>
          <cell r="T1215">
            <v>0</v>
          </cell>
          <cell r="U1215" t="b">
            <v>0</v>
          </cell>
        </row>
        <row r="1216">
          <cell r="A1216" t="str">
            <v>Data split-10;Reg-71</v>
          </cell>
          <cell r="B1216">
            <v>-2.1</v>
          </cell>
          <cell r="C1216">
            <v>0.42</v>
          </cell>
          <cell r="D1216">
            <v>0</v>
          </cell>
          <cell r="E1216">
            <v>0</v>
          </cell>
          <cell r="F1216">
            <v>-9.3000000000000005E-4</v>
          </cell>
          <cell r="G1216">
            <v>0</v>
          </cell>
          <cell r="H1216">
            <v>1.5</v>
          </cell>
          <cell r="I1216">
            <v>0</v>
          </cell>
          <cell r="J1216">
            <v>0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-5.3999999999999999E-2</v>
          </cell>
          <cell r="T1216">
            <v>0</v>
          </cell>
          <cell r="U1216" t="b">
            <v>0</v>
          </cell>
        </row>
        <row r="1217">
          <cell r="A1217" t="str">
            <v>Data split-10;Reg-72</v>
          </cell>
          <cell r="B1217">
            <v>-0.34</v>
          </cell>
          <cell r="C1217">
            <v>0.4</v>
          </cell>
          <cell r="D1217">
            <v>0</v>
          </cell>
          <cell r="E1217">
            <v>0.39</v>
          </cell>
          <cell r="F1217">
            <v>0</v>
          </cell>
          <cell r="G1217">
            <v>0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 t="b">
            <v>1</v>
          </cell>
        </row>
        <row r="1218">
          <cell r="A1218" t="str">
            <v>Data split-10;Reg-73</v>
          </cell>
          <cell r="B1218">
            <v>-0.17</v>
          </cell>
          <cell r="C1218">
            <v>0.94</v>
          </cell>
          <cell r="D1218">
            <v>0</v>
          </cell>
          <cell r="E1218">
            <v>0</v>
          </cell>
          <cell r="F1218">
            <v>1.9E-2</v>
          </cell>
          <cell r="G1218">
            <v>0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 t="b">
            <v>1</v>
          </cell>
        </row>
        <row r="1219">
          <cell r="A1219" t="str">
            <v>Data split-10;Reg-74</v>
          </cell>
          <cell r="B1219">
            <v>-0.2</v>
          </cell>
          <cell r="C1219">
            <v>0</v>
          </cell>
          <cell r="D1219">
            <v>0.37</v>
          </cell>
          <cell r="E1219">
            <v>0.36</v>
          </cell>
          <cell r="F1219">
            <v>0</v>
          </cell>
          <cell r="G1219">
            <v>0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 t="b">
            <v>1</v>
          </cell>
        </row>
        <row r="1220">
          <cell r="A1220" t="str">
            <v>Data split-10;Reg-75</v>
          </cell>
          <cell r="B1220">
            <v>9.4E-2</v>
          </cell>
          <cell r="C1220">
            <v>0</v>
          </cell>
          <cell r="D1220">
            <v>0.75</v>
          </cell>
          <cell r="E1220">
            <v>0</v>
          </cell>
          <cell r="F1220">
            <v>3.2000000000000001E-2</v>
          </cell>
          <cell r="G1220">
            <v>0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 t="b">
            <v>0</v>
          </cell>
        </row>
        <row r="1221">
          <cell r="A1221" t="str">
            <v>Data split-10;Reg-76</v>
          </cell>
          <cell r="B1221">
            <v>-0.9</v>
          </cell>
          <cell r="C1221">
            <v>0.48</v>
          </cell>
          <cell r="D1221">
            <v>0</v>
          </cell>
          <cell r="E1221">
            <v>0</v>
          </cell>
          <cell r="F1221">
            <v>0</v>
          </cell>
          <cell r="G1221">
            <v>0.49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 t="b">
            <v>1</v>
          </cell>
        </row>
        <row r="1222">
          <cell r="A1222" t="str">
            <v>Data split-10;Reg-77</v>
          </cell>
          <cell r="B1222">
            <v>-0.38</v>
          </cell>
          <cell r="C1222">
            <v>0.6</v>
          </cell>
          <cell r="D1222">
            <v>0</v>
          </cell>
          <cell r="E1222">
            <v>0</v>
          </cell>
          <cell r="F1222">
            <v>0</v>
          </cell>
          <cell r="G1222">
            <v>0</v>
          </cell>
          <cell r="H1222">
            <v>0.44</v>
          </cell>
          <cell r="I1222">
            <v>0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 t="b">
            <v>1</v>
          </cell>
        </row>
        <row r="1223">
          <cell r="A1223" t="str">
            <v>Data split-10;Reg-78</v>
          </cell>
          <cell r="B1223">
            <v>-0.79</v>
          </cell>
          <cell r="C1223">
            <v>0</v>
          </cell>
          <cell r="D1223">
            <v>0.45</v>
          </cell>
          <cell r="E1223">
            <v>0</v>
          </cell>
          <cell r="F1223">
            <v>0</v>
          </cell>
          <cell r="G1223">
            <v>0.44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 t="b">
            <v>1</v>
          </cell>
        </row>
        <row r="1224">
          <cell r="A1224" t="str">
            <v>Data split-10;Reg-79</v>
          </cell>
          <cell r="B1224">
            <v>-0.24</v>
          </cell>
          <cell r="C1224">
            <v>0</v>
          </cell>
          <cell r="D1224">
            <v>0.54</v>
          </cell>
          <cell r="E1224">
            <v>0</v>
          </cell>
          <cell r="F1224">
            <v>0</v>
          </cell>
          <cell r="G1224">
            <v>0</v>
          </cell>
          <cell r="H1224">
            <v>0.37</v>
          </cell>
          <cell r="I1224">
            <v>0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 t="b">
            <v>1</v>
          </cell>
        </row>
        <row r="1225">
          <cell r="A1225" t="str">
            <v>Data split-10;Reg-80</v>
          </cell>
          <cell r="B1225">
            <v>-0.85</v>
          </cell>
          <cell r="C1225">
            <v>0.76</v>
          </cell>
          <cell r="D1225">
            <v>0</v>
          </cell>
          <cell r="E1225">
            <v>0</v>
          </cell>
          <cell r="F1225">
            <v>0</v>
          </cell>
          <cell r="G1225">
            <v>0</v>
          </cell>
          <cell r="H1225">
            <v>0</v>
          </cell>
          <cell r="I1225">
            <v>0.67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 t="b">
            <v>0</v>
          </cell>
        </row>
        <row r="1226">
          <cell r="A1226" t="str">
            <v>Data split-10;Reg-81</v>
          </cell>
          <cell r="B1226">
            <v>-2.6</v>
          </cell>
          <cell r="C1226">
            <v>0.69</v>
          </cell>
          <cell r="D1226">
            <v>0</v>
          </cell>
          <cell r="E1226">
            <v>0</v>
          </cell>
          <cell r="F1226">
            <v>0</v>
          </cell>
          <cell r="G1226">
            <v>0</v>
          </cell>
          <cell r="H1226">
            <v>0</v>
          </cell>
          <cell r="I1226">
            <v>0</v>
          </cell>
          <cell r="J1226">
            <v>11.3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 t="b">
            <v>0</v>
          </cell>
        </row>
        <row r="1227">
          <cell r="A1227" t="str">
            <v>Data split-10;Reg-82</v>
          </cell>
          <cell r="B1227">
            <v>-0.8</v>
          </cell>
          <cell r="C1227">
            <v>0</v>
          </cell>
          <cell r="D1227">
            <v>0.63</v>
          </cell>
          <cell r="E1227">
            <v>0</v>
          </cell>
          <cell r="F1227">
            <v>0</v>
          </cell>
          <cell r="G1227">
            <v>0</v>
          </cell>
          <cell r="H1227">
            <v>0</v>
          </cell>
          <cell r="I1227">
            <v>0.7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 t="b">
            <v>0</v>
          </cell>
        </row>
        <row r="1228">
          <cell r="A1228" t="str">
            <v>Data split-10;Reg-83</v>
          </cell>
          <cell r="B1228">
            <v>-2.2999999999999998</v>
          </cell>
          <cell r="C1228">
            <v>0</v>
          </cell>
          <cell r="D1228">
            <v>0.61</v>
          </cell>
          <cell r="E1228">
            <v>0</v>
          </cell>
          <cell r="F1228">
            <v>0</v>
          </cell>
          <cell r="G1228">
            <v>0</v>
          </cell>
          <cell r="H1228">
            <v>0</v>
          </cell>
          <cell r="I1228">
            <v>0</v>
          </cell>
          <cell r="J1228">
            <v>10.1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 t="b">
            <v>0</v>
          </cell>
        </row>
        <row r="1229">
          <cell r="A1229" t="str">
            <v>Data split-10;Reg-84</v>
          </cell>
          <cell r="B1229">
            <v>-0.4</v>
          </cell>
          <cell r="C1229">
            <v>0.94</v>
          </cell>
          <cell r="D1229">
            <v>0</v>
          </cell>
          <cell r="E1229">
            <v>0</v>
          </cell>
          <cell r="F1229">
            <v>0</v>
          </cell>
          <cell r="G1229">
            <v>0</v>
          </cell>
          <cell r="H1229">
            <v>0</v>
          </cell>
          <cell r="I1229">
            <v>0</v>
          </cell>
          <cell r="J1229">
            <v>0</v>
          </cell>
          <cell r="K1229">
            <v>0.2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 t="b">
            <v>0</v>
          </cell>
        </row>
        <row r="1230">
          <cell r="A1230" t="str">
            <v>Data split-10;Reg-85</v>
          </cell>
          <cell r="B1230">
            <v>-0.7</v>
          </cell>
          <cell r="C1230">
            <v>0.93</v>
          </cell>
          <cell r="D1230">
            <v>0</v>
          </cell>
          <cell r="E1230">
            <v>0</v>
          </cell>
          <cell r="F1230">
            <v>0</v>
          </cell>
          <cell r="G1230">
            <v>0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2.8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 t="b">
            <v>0</v>
          </cell>
        </row>
        <row r="1231">
          <cell r="A1231" t="str">
            <v>Data split-10;Reg-86</v>
          </cell>
          <cell r="B1231">
            <v>-0.28000000000000003</v>
          </cell>
          <cell r="C1231">
            <v>0</v>
          </cell>
          <cell r="D1231">
            <v>0.67</v>
          </cell>
          <cell r="E1231">
            <v>0</v>
          </cell>
          <cell r="F1231">
            <v>0</v>
          </cell>
          <cell r="G1231">
            <v>0</v>
          </cell>
          <cell r="H1231">
            <v>0</v>
          </cell>
          <cell r="I1231">
            <v>0</v>
          </cell>
          <cell r="J1231">
            <v>0</v>
          </cell>
          <cell r="K1231">
            <v>0.53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 t="b">
            <v>0</v>
          </cell>
        </row>
        <row r="1232">
          <cell r="A1232" t="str">
            <v>Data split-10;Reg-87</v>
          </cell>
          <cell r="B1232">
            <v>-1.1000000000000001</v>
          </cell>
          <cell r="C1232">
            <v>0</v>
          </cell>
          <cell r="D1232">
            <v>0.64</v>
          </cell>
          <cell r="E1232">
            <v>0</v>
          </cell>
          <cell r="F1232">
            <v>0</v>
          </cell>
          <cell r="G1232">
            <v>0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7.6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 t="b">
            <v>0</v>
          </cell>
        </row>
        <row r="1233">
          <cell r="A1233" t="str">
            <v>Data split-10;Reg-88</v>
          </cell>
          <cell r="B1233">
            <v>2.4E-2</v>
          </cell>
          <cell r="C1233">
            <v>0.79</v>
          </cell>
          <cell r="D1233">
            <v>0</v>
          </cell>
          <cell r="E1233">
            <v>0</v>
          </cell>
          <cell r="F1233">
            <v>0</v>
          </cell>
          <cell r="G1233">
            <v>0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0</v>
          </cell>
          <cell r="M1233">
            <v>1.2999999999999999E-2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 t="b">
            <v>0</v>
          </cell>
        </row>
        <row r="1234">
          <cell r="A1234" t="str">
            <v>Data split-10;Reg-89</v>
          </cell>
          <cell r="B1234">
            <v>4.2999999999999997E-2</v>
          </cell>
          <cell r="C1234">
            <v>0.7</v>
          </cell>
          <cell r="D1234">
            <v>0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4.0000000000000001E-3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 t="b">
            <v>0</v>
          </cell>
        </row>
        <row r="1235">
          <cell r="A1235" t="str">
            <v>Data split-10;Reg-90</v>
          </cell>
          <cell r="B1235">
            <v>4.7E-2</v>
          </cell>
          <cell r="C1235">
            <v>0</v>
          </cell>
          <cell r="D1235">
            <v>0.72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0</v>
          </cell>
          <cell r="M1235">
            <v>8.6999999999999994E-3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 t="b">
            <v>0</v>
          </cell>
        </row>
        <row r="1236">
          <cell r="A1236" t="str">
            <v>Data split-10;Reg-91</v>
          </cell>
          <cell r="B1236">
            <v>9.7000000000000003E-2</v>
          </cell>
          <cell r="C1236">
            <v>0</v>
          </cell>
          <cell r="D1236">
            <v>0.63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3.0999999999999999E-3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 t="b">
            <v>0</v>
          </cell>
        </row>
        <row r="1237">
          <cell r="A1237" t="str">
            <v>Data split-10;Reg-92</v>
          </cell>
          <cell r="B1237">
            <v>-0.41</v>
          </cell>
          <cell r="C1237">
            <v>1</v>
          </cell>
          <cell r="D1237">
            <v>0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1.6000000000000001E-3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 t="b">
            <v>0</v>
          </cell>
        </row>
        <row r="1238">
          <cell r="A1238" t="str">
            <v>Data split-10;Reg-93</v>
          </cell>
          <cell r="B1238">
            <v>-0.42</v>
          </cell>
          <cell r="C1238">
            <v>1</v>
          </cell>
          <cell r="D1238">
            <v>0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3.6999999999999999E-4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 t="b">
            <v>0</v>
          </cell>
        </row>
        <row r="1239">
          <cell r="A1239" t="str">
            <v>Data split-10;Reg-94</v>
          </cell>
          <cell r="B1239">
            <v>-0.21</v>
          </cell>
          <cell r="C1239">
            <v>0</v>
          </cell>
          <cell r="D1239">
            <v>0.76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1.0999999999999999E-2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 t="b">
            <v>0</v>
          </cell>
        </row>
        <row r="1240">
          <cell r="A1240" t="str">
            <v>Data split-10;Reg-95</v>
          </cell>
          <cell r="B1240">
            <v>-0.28999999999999998</v>
          </cell>
          <cell r="C1240">
            <v>0</v>
          </cell>
          <cell r="D1240">
            <v>0.74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2.8999999999999998E-3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 t="b">
            <v>0</v>
          </cell>
        </row>
        <row r="1241">
          <cell r="A1241" t="str">
            <v>Data split-10;Reg-96</v>
          </cell>
          <cell r="B1241">
            <v>-0.39</v>
          </cell>
          <cell r="C1241">
            <v>0.4</v>
          </cell>
          <cell r="D1241">
            <v>0</v>
          </cell>
          <cell r="E1241">
            <v>0.38</v>
          </cell>
          <cell r="F1241">
            <v>0</v>
          </cell>
          <cell r="G1241">
            <v>0</v>
          </cell>
          <cell r="H1241">
            <v>0</v>
          </cell>
          <cell r="I1241">
            <v>7.5999999999999998E-2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 t="b">
            <v>0</v>
          </cell>
        </row>
        <row r="1242">
          <cell r="A1242" t="str">
            <v>Data split-10;Reg-97</v>
          </cell>
          <cell r="B1242">
            <v>-1.5</v>
          </cell>
          <cell r="C1242">
            <v>0.34</v>
          </cell>
          <cell r="D1242">
            <v>0</v>
          </cell>
          <cell r="E1242">
            <v>0.32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6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 t="b">
            <v>0</v>
          </cell>
        </row>
        <row r="1243">
          <cell r="A1243" t="str">
            <v>Data split-10;Reg-98</v>
          </cell>
          <cell r="B1243">
            <v>-1.9</v>
          </cell>
          <cell r="C1243">
            <v>0.68</v>
          </cell>
          <cell r="D1243">
            <v>0</v>
          </cell>
          <cell r="E1243">
            <v>0</v>
          </cell>
          <cell r="F1243">
            <v>-4.3999999999999997E-2</v>
          </cell>
          <cell r="G1243">
            <v>0</v>
          </cell>
          <cell r="H1243">
            <v>0</v>
          </cell>
          <cell r="I1243">
            <v>1.4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 t="b">
            <v>0</v>
          </cell>
        </row>
        <row r="1244">
          <cell r="A1244" t="str">
            <v>Data split-10;Reg-99</v>
          </cell>
          <cell r="B1244">
            <v>-2.5</v>
          </cell>
          <cell r="C1244">
            <v>0.69</v>
          </cell>
          <cell r="D1244">
            <v>0</v>
          </cell>
          <cell r="E1244">
            <v>0</v>
          </cell>
          <cell r="F1244">
            <v>3.3999999999999998E-3</v>
          </cell>
          <cell r="G1244">
            <v>0</v>
          </cell>
          <cell r="H1244">
            <v>0</v>
          </cell>
          <cell r="I1244">
            <v>0</v>
          </cell>
          <cell r="J1244">
            <v>11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 t="b">
            <v>0</v>
          </cell>
        </row>
        <row r="1245">
          <cell r="A1245" t="str">
            <v>Data split-10;Reg-100</v>
          </cell>
          <cell r="B1245">
            <v>-0.61</v>
          </cell>
          <cell r="C1245">
            <v>0</v>
          </cell>
          <cell r="D1245">
            <v>0.48</v>
          </cell>
          <cell r="E1245">
            <v>0.16</v>
          </cell>
          <cell r="F1245">
            <v>0</v>
          </cell>
          <cell r="G1245">
            <v>0</v>
          </cell>
          <cell r="H1245">
            <v>0</v>
          </cell>
          <cell r="I1245">
            <v>0.49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 t="b">
            <v>0</v>
          </cell>
        </row>
        <row r="1246">
          <cell r="A1246" t="str">
            <v>Data split-10;Reg-101</v>
          </cell>
          <cell r="B1246">
            <v>-1.7</v>
          </cell>
          <cell r="C1246">
            <v>0</v>
          </cell>
          <cell r="D1246">
            <v>0.34</v>
          </cell>
          <cell r="E1246">
            <v>0.24</v>
          </cell>
          <cell r="F1246">
            <v>0</v>
          </cell>
          <cell r="G1246">
            <v>0</v>
          </cell>
          <cell r="H1246">
            <v>0</v>
          </cell>
          <cell r="I1246">
            <v>0</v>
          </cell>
          <cell r="J1246">
            <v>7.4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 t="b">
            <v>0</v>
          </cell>
        </row>
        <row r="1247">
          <cell r="A1247" t="str">
            <v>Data split-10;Reg-102</v>
          </cell>
          <cell r="B1247">
            <v>-1</v>
          </cell>
          <cell r="C1247">
            <v>0</v>
          </cell>
          <cell r="D1247">
            <v>0.62</v>
          </cell>
          <cell r="E1247">
            <v>0</v>
          </cell>
          <cell r="F1247">
            <v>-8.2000000000000007E-3</v>
          </cell>
          <cell r="G1247">
            <v>0</v>
          </cell>
          <cell r="H1247">
            <v>0</v>
          </cell>
          <cell r="I1247">
            <v>0.84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 t="b">
            <v>0</v>
          </cell>
        </row>
        <row r="1248">
          <cell r="A1248" t="str">
            <v>Data split-10;Reg-103</v>
          </cell>
          <cell r="B1248">
            <v>-1.6</v>
          </cell>
          <cell r="C1248">
            <v>0</v>
          </cell>
          <cell r="D1248">
            <v>0.61</v>
          </cell>
          <cell r="E1248">
            <v>0</v>
          </cell>
          <cell r="F1248">
            <v>1.9E-2</v>
          </cell>
          <cell r="G1248">
            <v>0</v>
          </cell>
          <cell r="H1248">
            <v>0</v>
          </cell>
          <cell r="I1248">
            <v>0</v>
          </cell>
          <cell r="J1248">
            <v>7.5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 t="b">
            <v>0</v>
          </cell>
        </row>
        <row r="1249">
          <cell r="A1249" t="str">
            <v>Data split-10;Reg-104</v>
          </cell>
          <cell r="B1249">
            <v>-0.43</v>
          </cell>
          <cell r="C1249">
            <v>0.52</v>
          </cell>
          <cell r="D1249">
            <v>0</v>
          </cell>
          <cell r="E1249">
            <v>0.45</v>
          </cell>
          <cell r="F1249">
            <v>0</v>
          </cell>
          <cell r="G1249">
            <v>0</v>
          </cell>
          <cell r="H1249">
            <v>0</v>
          </cell>
          <cell r="I1249">
            <v>0</v>
          </cell>
          <cell r="J1249">
            <v>0</v>
          </cell>
          <cell r="K1249">
            <v>-0.46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 t="b">
            <v>1</v>
          </cell>
        </row>
        <row r="1250">
          <cell r="A1250" t="str">
            <v>Data split-10;Reg-105</v>
          </cell>
          <cell r="B1250">
            <v>-0.24</v>
          </cell>
          <cell r="C1250">
            <v>0.44</v>
          </cell>
          <cell r="D1250">
            <v>0</v>
          </cell>
          <cell r="E1250">
            <v>0.4</v>
          </cell>
          <cell r="F1250">
            <v>0</v>
          </cell>
          <cell r="G1250">
            <v>0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-1.1000000000000001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 t="b">
            <v>1</v>
          </cell>
        </row>
        <row r="1251">
          <cell r="A1251" t="str">
            <v>Data split-10;Reg-106</v>
          </cell>
          <cell r="B1251">
            <v>-2E-3</v>
          </cell>
          <cell r="C1251">
            <v>1.1000000000000001</v>
          </cell>
          <cell r="D1251">
            <v>0</v>
          </cell>
          <cell r="E1251">
            <v>0</v>
          </cell>
          <cell r="F1251">
            <v>4.1000000000000002E-2</v>
          </cell>
          <cell r="G1251">
            <v>0</v>
          </cell>
          <cell r="H1251">
            <v>0</v>
          </cell>
          <cell r="I1251">
            <v>0</v>
          </cell>
          <cell r="J1251">
            <v>0</v>
          </cell>
          <cell r="K1251">
            <v>-0.66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 t="b">
            <v>1</v>
          </cell>
        </row>
        <row r="1252">
          <cell r="A1252" t="str">
            <v>Data split-10;Reg-107</v>
          </cell>
          <cell r="B1252">
            <v>-0.31</v>
          </cell>
          <cell r="C1252">
            <v>0.9</v>
          </cell>
          <cell r="D1252">
            <v>0</v>
          </cell>
          <cell r="E1252">
            <v>0</v>
          </cell>
          <cell r="F1252">
            <v>1.7999999999999999E-2</v>
          </cell>
          <cell r="G1252">
            <v>0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1.4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 t="b">
            <v>0</v>
          </cell>
        </row>
        <row r="1253">
          <cell r="A1253" t="str">
            <v>Data split-10;Reg-108</v>
          </cell>
          <cell r="B1253">
            <v>-0.22</v>
          </cell>
          <cell r="C1253">
            <v>0</v>
          </cell>
          <cell r="D1253">
            <v>0.39</v>
          </cell>
          <cell r="E1253">
            <v>0.3</v>
          </cell>
          <cell r="F1253">
            <v>0</v>
          </cell>
          <cell r="G1253">
            <v>0</v>
          </cell>
          <cell r="H1253">
            <v>0</v>
          </cell>
          <cell r="I1253">
            <v>0</v>
          </cell>
          <cell r="J1253">
            <v>0</v>
          </cell>
          <cell r="K1253">
            <v>0.17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 t="b">
            <v>0</v>
          </cell>
        </row>
        <row r="1254">
          <cell r="A1254" t="str">
            <v>Data split-10;Reg-109</v>
          </cell>
          <cell r="B1254">
            <v>-0.73</v>
          </cell>
          <cell r="C1254">
            <v>0</v>
          </cell>
          <cell r="D1254">
            <v>0.3</v>
          </cell>
          <cell r="E1254">
            <v>0.31</v>
          </cell>
          <cell r="F1254">
            <v>0</v>
          </cell>
          <cell r="G1254">
            <v>0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4.7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 t="b">
            <v>0</v>
          </cell>
        </row>
        <row r="1255">
          <cell r="A1255" t="str">
            <v>Data split-10;Reg-110</v>
          </cell>
          <cell r="B1255">
            <v>8.5999999999999993E-2</v>
          </cell>
          <cell r="C1255">
            <v>0</v>
          </cell>
          <cell r="D1255">
            <v>0.74</v>
          </cell>
          <cell r="E1255">
            <v>0</v>
          </cell>
          <cell r="F1255">
            <v>3.1E-2</v>
          </cell>
          <cell r="G1255">
            <v>0</v>
          </cell>
          <cell r="H1255">
            <v>0</v>
          </cell>
          <cell r="I1255">
            <v>0</v>
          </cell>
          <cell r="J1255">
            <v>0</v>
          </cell>
          <cell r="K1255">
            <v>1.7000000000000001E-2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 t="b">
            <v>0</v>
          </cell>
        </row>
        <row r="1256">
          <cell r="A1256" t="str">
            <v>Data split-10;Reg-111</v>
          </cell>
          <cell r="B1256">
            <v>-0.41</v>
          </cell>
          <cell r="C1256">
            <v>0</v>
          </cell>
          <cell r="D1256">
            <v>0.65</v>
          </cell>
          <cell r="E1256">
            <v>0</v>
          </cell>
          <cell r="F1256">
            <v>2.7E-2</v>
          </cell>
          <cell r="G1256">
            <v>0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4.0999999999999996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 t="b">
            <v>0</v>
          </cell>
        </row>
        <row r="1257">
          <cell r="A1257" t="str">
            <v>Data split-10;Reg-112</v>
          </cell>
          <cell r="B1257">
            <v>-0.86</v>
          </cell>
          <cell r="C1257">
            <v>0.49</v>
          </cell>
          <cell r="D1257">
            <v>0</v>
          </cell>
          <cell r="E1257">
            <v>0</v>
          </cell>
          <cell r="F1257">
            <v>0</v>
          </cell>
          <cell r="G1257">
            <v>0.52</v>
          </cell>
          <cell r="H1257">
            <v>0</v>
          </cell>
          <cell r="I1257">
            <v>-0.11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 t="b">
            <v>1</v>
          </cell>
        </row>
        <row r="1258">
          <cell r="A1258" t="str">
            <v>Data split-10;Reg-113</v>
          </cell>
          <cell r="B1258">
            <v>-2.2999999999999998</v>
          </cell>
          <cell r="C1258">
            <v>0.33</v>
          </cell>
          <cell r="D1258">
            <v>0</v>
          </cell>
          <cell r="E1258">
            <v>0</v>
          </cell>
          <cell r="F1258">
            <v>0</v>
          </cell>
          <cell r="G1258">
            <v>0.42</v>
          </cell>
          <cell r="H1258">
            <v>0</v>
          </cell>
          <cell r="I1258">
            <v>0</v>
          </cell>
          <cell r="J1258">
            <v>7.5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 t="b">
            <v>0</v>
          </cell>
        </row>
        <row r="1259">
          <cell r="A1259" t="str">
            <v>Data split-10;Reg-114</v>
          </cell>
          <cell r="B1259">
            <v>-0.28000000000000003</v>
          </cell>
          <cell r="C1259">
            <v>0.61</v>
          </cell>
          <cell r="D1259">
            <v>0</v>
          </cell>
          <cell r="E1259">
            <v>0</v>
          </cell>
          <cell r="F1259">
            <v>0</v>
          </cell>
          <cell r="G1259">
            <v>0</v>
          </cell>
          <cell r="H1259">
            <v>0.48</v>
          </cell>
          <cell r="I1259">
            <v>-0.15</v>
          </cell>
          <cell r="J1259">
            <v>0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 t="b">
            <v>1</v>
          </cell>
        </row>
        <row r="1260">
          <cell r="A1260" t="str">
            <v>Data split-10;Reg-115</v>
          </cell>
          <cell r="B1260">
            <v>-1.8</v>
          </cell>
          <cell r="C1260">
            <v>0.46</v>
          </cell>
          <cell r="D1260">
            <v>0</v>
          </cell>
          <cell r="E1260">
            <v>0</v>
          </cell>
          <cell r="F1260">
            <v>0</v>
          </cell>
          <cell r="G1260">
            <v>0</v>
          </cell>
          <cell r="H1260">
            <v>0.37</v>
          </cell>
          <cell r="I1260">
            <v>0</v>
          </cell>
          <cell r="J1260">
            <v>7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 t="b">
            <v>0</v>
          </cell>
        </row>
        <row r="1261">
          <cell r="A1261" t="str">
            <v>Data split-10;Reg-116</v>
          </cell>
          <cell r="B1261">
            <v>-0.82</v>
          </cell>
          <cell r="C1261">
            <v>0</v>
          </cell>
          <cell r="D1261">
            <v>0.45</v>
          </cell>
          <cell r="E1261">
            <v>0</v>
          </cell>
          <cell r="F1261">
            <v>0</v>
          </cell>
          <cell r="G1261">
            <v>0.4</v>
          </cell>
          <cell r="H1261">
            <v>0</v>
          </cell>
          <cell r="I1261">
            <v>9.9000000000000005E-2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 t="b">
            <v>0</v>
          </cell>
        </row>
        <row r="1262">
          <cell r="A1262" t="str">
            <v>Data split-10;Reg-117</v>
          </cell>
          <cell r="B1262">
            <v>-2.1</v>
          </cell>
          <cell r="C1262">
            <v>0</v>
          </cell>
          <cell r="D1262">
            <v>0.34</v>
          </cell>
          <cell r="E1262">
            <v>0</v>
          </cell>
          <cell r="F1262">
            <v>0</v>
          </cell>
          <cell r="G1262">
            <v>0.38</v>
          </cell>
          <cell r="H1262">
            <v>0</v>
          </cell>
          <cell r="I1262">
            <v>0</v>
          </cell>
          <cell r="J1262">
            <v>6.7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 t="b">
            <v>0</v>
          </cell>
        </row>
        <row r="1263">
          <cell r="A1263" t="str">
            <v>Data split-10;Reg-118</v>
          </cell>
          <cell r="B1263">
            <v>-0.49</v>
          </cell>
          <cell r="C1263">
            <v>0</v>
          </cell>
          <cell r="D1263">
            <v>0.54</v>
          </cell>
          <cell r="E1263">
            <v>0</v>
          </cell>
          <cell r="F1263">
            <v>0</v>
          </cell>
          <cell r="G1263">
            <v>0</v>
          </cell>
          <cell r="H1263">
            <v>0.26</v>
          </cell>
          <cell r="I1263">
            <v>0.33</v>
          </cell>
          <cell r="J1263">
            <v>0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 t="b">
            <v>0</v>
          </cell>
        </row>
        <row r="1264">
          <cell r="A1264" t="str">
            <v>Data split-10;Reg-119</v>
          </cell>
          <cell r="B1264">
            <v>-1.8</v>
          </cell>
          <cell r="C1264">
            <v>0</v>
          </cell>
          <cell r="D1264">
            <v>0.42</v>
          </cell>
          <cell r="E1264">
            <v>0</v>
          </cell>
          <cell r="F1264">
            <v>0</v>
          </cell>
          <cell r="G1264">
            <v>0</v>
          </cell>
          <cell r="H1264">
            <v>0.3</v>
          </cell>
          <cell r="I1264">
            <v>0</v>
          </cell>
          <cell r="J1264">
            <v>7.5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 t="b">
            <v>0</v>
          </cell>
        </row>
        <row r="1265">
          <cell r="A1265" t="str">
            <v>Data split-10;Reg-120</v>
          </cell>
          <cell r="B1265">
            <v>-1.4</v>
          </cell>
          <cell r="C1265">
            <v>0.74</v>
          </cell>
          <cell r="D1265">
            <v>0</v>
          </cell>
          <cell r="E1265">
            <v>0</v>
          </cell>
          <cell r="F1265">
            <v>0</v>
          </cell>
          <cell r="G1265">
            <v>0.74</v>
          </cell>
          <cell r="H1265">
            <v>0</v>
          </cell>
          <cell r="I1265">
            <v>0</v>
          </cell>
          <cell r="J1265">
            <v>0</v>
          </cell>
          <cell r="K1265">
            <v>-1.2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 t="b">
            <v>1</v>
          </cell>
        </row>
        <row r="1266">
          <cell r="A1266" t="str">
            <v>Data split-10;Reg-121</v>
          </cell>
          <cell r="B1266">
            <v>-0.7</v>
          </cell>
          <cell r="C1266">
            <v>0.55000000000000004</v>
          </cell>
          <cell r="D1266">
            <v>0</v>
          </cell>
          <cell r="E1266">
            <v>0</v>
          </cell>
          <cell r="F1266">
            <v>0</v>
          </cell>
          <cell r="G1266">
            <v>0.5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-2.2999999999999998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 t="b">
            <v>1</v>
          </cell>
        </row>
        <row r="1267">
          <cell r="A1267" t="str">
            <v>Data split-10;Reg-122</v>
          </cell>
          <cell r="B1267">
            <v>-0.6</v>
          </cell>
          <cell r="C1267">
            <v>0.88</v>
          </cell>
          <cell r="D1267">
            <v>0</v>
          </cell>
          <cell r="E1267">
            <v>0</v>
          </cell>
          <cell r="F1267">
            <v>0</v>
          </cell>
          <cell r="G1267">
            <v>0</v>
          </cell>
          <cell r="H1267">
            <v>0.66</v>
          </cell>
          <cell r="I1267">
            <v>0</v>
          </cell>
          <cell r="J1267">
            <v>0</v>
          </cell>
          <cell r="K1267">
            <v>-1.1000000000000001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 t="b">
            <v>1</v>
          </cell>
        </row>
        <row r="1268">
          <cell r="A1268" t="str">
            <v>Data split-10;Reg-123</v>
          </cell>
          <cell r="B1268">
            <v>-0.21</v>
          </cell>
          <cell r="C1268">
            <v>0.66</v>
          </cell>
          <cell r="D1268">
            <v>0</v>
          </cell>
          <cell r="E1268">
            <v>0</v>
          </cell>
          <cell r="F1268">
            <v>0</v>
          </cell>
          <cell r="G1268">
            <v>0</v>
          </cell>
          <cell r="H1268">
            <v>0.44</v>
          </cell>
          <cell r="I1268">
            <v>0</v>
          </cell>
          <cell r="J1268">
            <v>0</v>
          </cell>
          <cell r="K1268">
            <v>0</v>
          </cell>
          <cell r="L1268">
            <v>-1.8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 t="b">
            <v>1</v>
          </cell>
        </row>
        <row r="1269">
          <cell r="A1269" t="str">
            <v>Data split-10;Reg-124</v>
          </cell>
          <cell r="B1269">
            <v>-0.91</v>
          </cell>
          <cell r="C1269">
            <v>0</v>
          </cell>
          <cell r="D1269">
            <v>0.46</v>
          </cell>
          <cell r="E1269">
            <v>0</v>
          </cell>
          <cell r="F1269">
            <v>0</v>
          </cell>
          <cell r="G1269">
            <v>0.55000000000000004</v>
          </cell>
          <cell r="H1269">
            <v>0</v>
          </cell>
          <cell r="I1269">
            <v>0</v>
          </cell>
          <cell r="J1269">
            <v>0</v>
          </cell>
          <cell r="K1269">
            <v>-0.36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 t="b">
            <v>1</v>
          </cell>
        </row>
        <row r="1270">
          <cell r="A1270" t="str">
            <v>Data split-10;Reg-125</v>
          </cell>
          <cell r="B1270">
            <v>-0.98</v>
          </cell>
          <cell r="C1270">
            <v>0</v>
          </cell>
          <cell r="D1270">
            <v>0.41</v>
          </cell>
          <cell r="E1270">
            <v>0</v>
          </cell>
          <cell r="F1270">
            <v>0</v>
          </cell>
          <cell r="G1270">
            <v>0.42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2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 t="b">
            <v>0</v>
          </cell>
        </row>
        <row r="1271">
          <cell r="A1271" t="str">
            <v>Data split-10;Reg-126</v>
          </cell>
          <cell r="B1271">
            <v>-0.24</v>
          </cell>
          <cell r="C1271">
            <v>0</v>
          </cell>
          <cell r="D1271">
            <v>0.54</v>
          </cell>
          <cell r="E1271">
            <v>0</v>
          </cell>
          <cell r="F1271">
            <v>0</v>
          </cell>
          <cell r="G1271">
            <v>0</v>
          </cell>
          <cell r="H1271">
            <v>0.36</v>
          </cell>
          <cell r="I1271">
            <v>0</v>
          </cell>
          <cell r="J1271">
            <v>0</v>
          </cell>
          <cell r="K1271">
            <v>3.2000000000000001E-2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 t="b">
            <v>0</v>
          </cell>
        </row>
        <row r="1272">
          <cell r="A1272" t="str">
            <v>Data split-10;Reg-127</v>
          </cell>
          <cell r="B1272">
            <v>-0.76</v>
          </cell>
          <cell r="C1272">
            <v>0</v>
          </cell>
          <cell r="D1272">
            <v>0.44</v>
          </cell>
          <cell r="E1272">
            <v>0</v>
          </cell>
          <cell r="F1272">
            <v>0</v>
          </cell>
          <cell r="G1272">
            <v>0</v>
          </cell>
          <cell r="H1272">
            <v>0.34</v>
          </cell>
          <cell r="I1272">
            <v>0</v>
          </cell>
          <cell r="J1272">
            <v>0</v>
          </cell>
          <cell r="K1272">
            <v>0</v>
          </cell>
          <cell r="L1272">
            <v>4.8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 t="b">
            <v>0</v>
          </cell>
        </row>
        <row r="1273">
          <cell r="A1273" t="str">
            <v>Data split-11;Reg-1</v>
          </cell>
          <cell r="B1273">
            <v>-0.6</v>
          </cell>
          <cell r="C1273">
            <v>0.7</v>
          </cell>
          <cell r="D1273">
            <v>0</v>
          </cell>
          <cell r="E1273">
            <v>0</v>
          </cell>
          <cell r="F1273">
            <v>0</v>
          </cell>
          <cell r="G1273">
            <v>0</v>
          </cell>
          <cell r="H1273">
            <v>0.59</v>
          </cell>
          <cell r="I1273">
            <v>0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-1.2999999999999999E-2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 t="b">
            <v>1</v>
          </cell>
        </row>
        <row r="1274">
          <cell r="A1274" t="str">
            <v>Data split-11;Reg-2</v>
          </cell>
          <cell r="B1274">
            <v>-3.6</v>
          </cell>
          <cell r="C1274">
            <v>0.11</v>
          </cell>
          <cell r="D1274">
            <v>0</v>
          </cell>
          <cell r="E1274">
            <v>0</v>
          </cell>
          <cell r="F1274">
            <v>-1.6E-2</v>
          </cell>
          <cell r="G1274">
            <v>2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-1.4E-2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 t="b">
            <v>0</v>
          </cell>
        </row>
        <row r="1275">
          <cell r="A1275" t="str">
            <v>Data split-11;Reg-3</v>
          </cell>
          <cell r="B1275">
            <v>-2.2000000000000002</v>
          </cell>
          <cell r="C1275">
            <v>0.35</v>
          </cell>
          <cell r="D1275">
            <v>0</v>
          </cell>
          <cell r="E1275">
            <v>0</v>
          </cell>
          <cell r="F1275">
            <v>1.9E-3</v>
          </cell>
          <cell r="G1275">
            <v>0</v>
          </cell>
          <cell r="H1275">
            <v>1.8</v>
          </cell>
          <cell r="I1275">
            <v>0</v>
          </cell>
          <cell r="J1275">
            <v>0</v>
          </cell>
          <cell r="K1275">
            <v>0</v>
          </cell>
          <cell r="L1275">
            <v>0</v>
          </cell>
          <cell r="M1275">
            <v>-5.7000000000000002E-2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 t="b">
            <v>1</v>
          </cell>
        </row>
        <row r="1276">
          <cell r="A1276" t="str">
            <v>Data split-11;Reg-4</v>
          </cell>
          <cell r="B1276">
            <v>-1.5</v>
          </cell>
          <cell r="C1276">
            <v>0.42</v>
          </cell>
          <cell r="D1276">
            <v>0</v>
          </cell>
          <cell r="E1276">
            <v>0</v>
          </cell>
          <cell r="F1276">
            <v>-1.7999999999999999E-2</v>
          </cell>
          <cell r="G1276">
            <v>0</v>
          </cell>
          <cell r="H1276">
            <v>1.8</v>
          </cell>
          <cell r="I1276">
            <v>0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-1.2999999999999999E-2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 t="b">
            <v>0</v>
          </cell>
        </row>
        <row r="1277">
          <cell r="A1277" t="str">
            <v>Data split-11;Reg-5</v>
          </cell>
          <cell r="B1277">
            <v>-3.7</v>
          </cell>
          <cell r="C1277">
            <v>0</v>
          </cell>
          <cell r="D1277">
            <v>0.19</v>
          </cell>
          <cell r="E1277">
            <v>0</v>
          </cell>
          <cell r="F1277">
            <v>-2.8999999999999998E-3</v>
          </cell>
          <cell r="G1277">
            <v>1.9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-1.4999999999999999E-2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 t="b">
            <v>0</v>
          </cell>
        </row>
        <row r="1278">
          <cell r="A1278" t="str">
            <v>Data split-11;Reg-6</v>
          </cell>
          <cell r="B1278">
            <v>-1.6</v>
          </cell>
          <cell r="C1278">
            <v>0</v>
          </cell>
          <cell r="D1278">
            <v>0.36</v>
          </cell>
          <cell r="E1278">
            <v>0</v>
          </cell>
          <cell r="F1278">
            <v>7.4999999999999997E-3</v>
          </cell>
          <cell r="G1278">
            <v>0</v>
          </cell>
          <cell r="H1278">
            <v>1.9</v>
          </cell>
          <cell r="I1278">
            <v>0</v>
          </cell>
          <cell r="J1278">
            <v>0</v>
          </cell>
          <cell r="K1278">
            <v>0</v>
          </cell>
          <cell r="L1278">
            <v>0</v>
          </cell>
          <cell r="M1278">
            <v>0</v>
          </cell>
          <cell r="N1278">
            <v>-1.6E-2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 t="b">
            <v>1</v>
          </cell>
        </row>
        <row r="1279">
          <cell r="A1279" t="str">
            <v>Data split-11;Reg-7</v>
          </cell>
          <cell r="B1279">
            <v>-3</v>
          </cell>
          <cell r="C1279">
            <v>0.49</v>
          </cell>
          <cell r="D1279">
            <v>0</v>
          </cell>
          <cell r="E1279">
            <v>0</v>
          </cell>
          <cell r="F1279">
            <v>0</v>
          </cell>
          <cell r="G1279">
            <v>0</v>
          </cell>
          <cell r="H1279">
            <v>0.38</v>
          </cell>
          <cell r="I1279">
            <v>1.4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-2.4E-2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 t="b">
            <v>0</v>
          </cell>
        </row>
        <row r="1280">
          <cell r="A1280" t="str">
            <v>Data split-11;Reg-8</v>
          </cell>
          <cell r="B1280">
            <v>-2.7</v>
          </cell>
          <cell r="C1280">
            <v>0.56000000000000005</v>
          </cell>
          <cell r="D1280">
            <v>0</v>
          </cell>
          <cell r="E1280">
            <v>0</v>
          </cell>
          <cell r="F1280">
            <v>0</v>
          </cell>
          <cell r="G1280">
            <v>0</v>
          </cell>
          <cell r="H1280">
            <v>0.34</v>
          </cell>
          <cell r="I1280">
            <v>1.3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-5.1999999999999998E-3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 t="b">
            <v>0</v>
          </cell>
        </row>
        <row r="1281">
          <cell r="A1281" t="str">
            <v>Data split-11;Reg-9</v>
          </cell>
          <cell r="B1281">
            <v>1.3</v>
          </cell>
          <cell r="C1281">
            <v>0.76</v>
          </cell>
          <cell r="D1281">
            <v>0</v>
          </cell>
          <cell r="E1281">
            <v>0</v>
          </cell>
          <cell r="F1281">
            <v>0</v>
          </cell>
          <cell r="G1281">
            <v>-0.5</v>
          </cell>
          <cell r="H1281">
            <v>0</v>
          </cell>
          <cell r="I1281">
            <v>0.45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8.8999999999999999E-3</v>
          </cell>
          <cell r="S1281">
            <v>0</v>
          </cell>
          <cell r="T1281">
            <v>0</v>
          </cell>
          <cell r="U1281" t="b">
            <v>0</v>
          </cell>
        </row>
        <row r="1282">
          <cell r="A1282" t="str">
            <v>Data split-11;Reg-10</v>
          </cell>
          <cell r="B1282">
            <v>-0.24</v>
          </cell>
          <cell r="C1282">
            <v>0.56999999999999995</v>
          </cell>
          <cell r="D1282">
            <v>0</v>
          </cell>
          <cell r="E1282">
            <v>0</v>
          </cell>
          <cell r="F1282">
            <v>0</v>
          </cell>
          <cell r="G1282">
            <v>0</v>
          </cell>
          <cell r="H1282">
            <v>0.56000000000000005</v>
          </cell>
          <cell r="I1282">
            <v>0</v>
          </cell>
          <cell r="J1282">
            <v>0</v>
          </cell>
          <cell r="K1282">
            <v>0.25</v>
          </cell>
          <cell r="L1282">
            <v>0</v>
          </cell>
          <cell r="M1282">
            <v>0</v>
          </cell>
          <cell r="N1282">
            <v>0</v>
          </cell>
          <cell r="O1282">
            <v>-1.2999999999999999E-2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 t="b">
            <v>0</v>
          </cell>
        </row>
        <row r="1283">
          <cell r="A1283" t="str">
            <v>Data split-11;Reg-11</v>
          </cell>
          <cell r="B1283">
            <v>-1.2</v>
          </cell>
          <cell r="C1283">
            <v>0.77</v>
          </cell>
          <cell r="D1283">
            <v>0</v>
          </cell>
          <cell r="E1283">
            <v>0</v>
          </cell>
          <cell r="F1283">
            <v>0</v>
          </cell>
          <cell r="G1283">
            <v>0</v>
          </cell>
          <cell r="H1283">
            <v>0</v>
          </cell>
          <cell r="I1283">
            <v>0.75</v>
          </cell>
          <cell r="J1283">
            <v>0</v>
          </cell>
          <cell r="K1283">
            <v>0.15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 t="b">
            <v>0</v>
          </cell>
        </row>
        <row r="1284">
          <cell r="A1284" t="str">
            <v>Data split-11;Reg-12</v>
          </cell>
          <cell r="B1284">
            <v>-1.4</v>
          </cell>
          <cell r="C1284">
            <v>0.76</v>
          </cell>
          <cell r="D1284">
            <v>0</v>
          </cell>
          <cell r="E1284">
            <v>0</v>
          </cell>
          <cell r="F1284">
            <v>0</v>
          </cell>
          <cell r="G1284">
            <v>0</v>
          </cell>
          <cell r="H1284">
            <v>0</v>
          </cell>
          <cell r="I1284">
            <v>0.81</v>
          </cell>
          <cell r="J1284">
            <v>0</v>
          </cell>
          <cell r="K1284">
            <v>0</v>
          </cell>
          <cell r="L1284">
            <v>1.1000000000000001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 t="b">
            <v>0</v>
          </cell>
        </row>
        <row r="1285">
          <cell r="A1285" t="str">
            <v>Data split-11;Reg-13</v>
          </cell>
          <cell r="B1285">
            <v>-13.4</v>
          </cell>
          <cell r="C1285">
            <v>0.45</v>
          </cell>
          <cell r="D1285">
            <v>0</v>
          </cell>
          <cell r="E1285">
            <v>0</v>
          </cell>
          <cell r="F1285">
            <v>0</v>
          </cell>
          <cell r="G1285">
            <v>0</v>
          </cell>
          <cell r="H1285">
            <v>0</v>
          </cell>
          <cell r="I1285">
            <v>0</v>
          </cell>
          <cell r="J1285">
            <v>36.4</v>
          </cell>
          <cell r="K1285">
            <v>-0.86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 t="b">
            <v>0</v>
          </cell>
        </row>
        <row r="1286">
          <cell r="A1286" t="str">
            <v>Data split-11;Reg-14</v>
          </cell>
          <cell r="B1286">
            <v>-10.8</v>
          </cell>
          <cell r="C1286">
            <v>0.37</v>
          </cell>
          <cell r="D1286">
            <v>0</v>
          </cell>
          <cell r="E1286">
            <v>0</v>
          </cell>
          <cell r="F1286">
            <v>0</v>
          </cell>
          <cell r="G1286">
            <v>0</v>
          </cell>
          <cell r="H1286">
            <v>0</v>
          </cell>
          <cell r="I1286">
            <v>0</v>
          </cell>
          <cell r="J1286">
            <v>31</v>
          </cell>
          <cell r="K1286">
            <v>0</v>
          </cell>
          <cell r="L1286">
            <v>-3.8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 t="b">
            <v>0</v>
          </cell>
        </row>
        <row r="1287">
          <cell r="A1287" t="str">
            <v>Data split-11;Reg-15</v>
          </cell>
          <cell r="B1287">
            <v>-0.64</v>
          </cell>
          <cell r="C1287">
            <v>0.75</v>
          </cell>
          <cell r="D1287">
            <v>0</v>
          </cell>
          <cell r="E1287">
            <v>0</v>
          </cell>
          <cell r="F1287">
            <v>0</v>
          </cell>
          <cell r="G1287">
            <v>0</v>
          </cell>
          <cell r="H1287">
            <v>0</v>
          </cell>
          <cell r="I1287">
            <v>0.6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8.8999999999999999E-3</v>
          </cell>
          <cell r="R1287">
            <v>0</v>
          </cell>
          <cell r="S1287">
            <v>0</v>
          </cell>
          <cell r="T1287">
            <v>0</v>
          </cell>
          <cell r="U1287" t="b">
            <v>0</v>
          </cell>
        </row>
        <row r="1288">
          <cell r="A1288" t="str">
            <v>Data split-11;Reg-16</v>
          </cell>
          <cell r="B1288">
            <v>8.5000000000000006E-2</v>
          </cell>
          <cell r="C1288">
            <v>0.65</v>
          </cell>
          <cell r="D1288">
            <v>0</v>
          </cell>
          <cell r="E1288">
            <v>0</v>
          </cell>
          <cell r="F1288">
            <v>0</v>
          </cell>
          <cell r="G1288">
            <v>0</v>
          </cell>
          <cell r="H1288">
            <v>0</v>
          </cell>
          <cell r="I1288">
            <v>0.35</v>
          </cell>
          <cell r="J1288">
            <v>0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4.1999999999999997E-3</v>
          </cell>
          <cell r="S1288">
            <v>0</v>
          </cell>
          <cell r="T1288">
            <v>0</v>
          </cell>
          <cell r="U1288" t="b">
            <v>0</v>
          </cell>
        </row>
        <row r="1289">
          <cell r="A1289" t="str">
            <v>Data split-11;Reg-17</v>
          </cell>
          <cell r="B1289">
            <v>-4</v>
          </cell>
          <cell r="C1289">
            <v>0.52</v>
          </cell>
          <cell r="D1289">
            <v>0</v>
          </cell>
          <cell r="E1289">
            <v>0</v>
          </cell>
          <cell r="F1289">
            <v>0</v>
          </cell>
          <cell r="G1289">
            <v>0</v>
          </cell>
          <cell r="H1289">
            <v>0</v>
          </cell>
          <cell r="I1289">
            <v>0</v>
          </cell>
          <cell r="J1289">
            <v>13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9.9000000000000008E-3</v>
          </cell>
          <cell r="R1289">
            <v>0</v>
          </cell>
          <cell r="S1289">
            <v>0</v>
          </cell>
          <cell r="T1289">
            <v>0</v>
          </cell>
          <cell r="U1289" t="b">
            <v>0</v>
          </cell>
        </row>
        <row r="1290">
          <cell r="A1290" t="str">
            <v>Data split-11;Reg-18</v>
          </cell>
          <cell r="B1290">
            <v>-3.5</v>
          </cell>
          <cell r="C1290">
            <v>0.4</v>
          </cell>
          <cell r="D1290">
            <v>0</v>
          </cell>
          <cell r="E1290">
            <v>0</v>
          </cell>
          <cell r="F1290">
            <v>0</v>
          </cell>
          <cell r="G1290">
            <v>0</v>
          </cell>
          <cell r="H1290">
            <v>0</v>
          </cell>
          <cell r="I1290">
            <v>0</v>
          </cell>
          <cell r="J1290">
            <v>12.3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3.8999999999999998E-3</v>
          </cell>
          <cell r="S1290">
            <v>0</v>
          </cell>
          <cell r="T1290">
            <v>0</v>
          </cell>
          <cell r="U1290" t="b">
            <v>0</v>
          </cell>
        </row>
        <row r="1291">
          <cell r="A1291" t="str">
            <v>Data split-11;Reg-19</v>
          </cell>
          <cell r="B1291">
            <v>0.69</v>
          </cell>
          <cell r="C1291">
            <v>0.79</v>
          </cell>
          <cell r="D1291">
            <v>0</v>
          </cell>
          <cell r="E1291">
            <v>0</v>
          </cell>
          <cell r="F1291">
            <v>0</v>
          </cell>
          <cell r="G1291">
            <v>0</v>
          </cell>
          <cell r="H1291">
            <v>0</v>
          </cell>
          <cell r="I1291">
            <v>0</v>
          </cell>
          <cell r="J1291">
            <v>0</v>
          </cell>
          <cell r="K1291">
            <v>0.21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1.2E-2</v>
          </cell>
          <cell r="T1291">
            <v>0</v>
          </cell>
          <cell r="U1291" t="b">
            <v>0</v>
          </cell>
        </row>
        <row r="1292">
          <cell r="A1292" t="str">
            <v>Data split-11;Reg-20</v>
          </cell>
          <cell r="B1292">
            <v>0.93</v>
          </cell>
          <cell r="C1292">
            <v>0.65</v>
          </cell>
          <cell r="D1292">
            <v>0</v>
          </cell>
          <cell r="E1292">
            <v>0</v>
          </cell>
          <cell r="F1292">
            <v>0</v>
          </cell>
          <cell r="G1292">
            <v>0</v>
          </cell>
          <cell r="H1292">
            <v>0</v>
          </cell>
          <cell r="I1292">
            <v>0</v>
          </cell>
          <cell r="J1292">
            <v>0</v>
          </cell>
          <cell r="K1292">
            <v>0.2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4.4000000000000003E-3</v>
          </cell>
          <cell r="U1292" t="b">
            <v>0</v>
          </cell>
        </row>
        <row r="1293">
          <cell r="A1293" t="str">
            <v>Data split-11;Reg-21</v>
          </cell>
          <cell r="B1293">
            <v>0.65</v>
          </cell>
          <cell r="C1293">
            <v>0.79</v>
          </cell>
          <cell r="D1293">
            <v>0</v>
          </cell>
          <cell r="E1293">
            <v>0</v>
          </cell>
          <cell r="F1293">
            <v>0</v>
          </cell>
          <cell r="G1293">
            <v>0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1.4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1.4E-2</v>
          </cell>
          <cell r="T1293">
            <v>0</v>
          </cell>
          <cell r="U1293" t="b">
            <v>0</v>
          </cell>
        </row>
        <row r="1294">
          <cell r="A1294" t="str">
            <v>Data split-11;Reg-22</v>
          </cell>
          <cell r="B1294">
            <v>0.89</v>
          </cell>
          <cell r="C1294">
            <v>0.63</v>
          </cell>
          <cell r="D1294">
            <v>0</v>
          </cell>
          <cell r="E1294">
            <v>0</v>
          </cell>
          <cell r="F1294">
            <v>0</v>
          </cell>
          <cell r="G1294">
            <v>0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1.4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4.7999999999999996E-3</v>
          </cell>
          <cell r="U1294" t="b">
            <v>0</v>
          </cell>
        </row>
        <row r="1295">
          <cell r="A1295" t="str">
            <v>Data split-11;Reg-23</v>
          </cell>
          <cell r="B1295">
            <v>-1.9</v>
          </cell>
          <cell r="C1295">
            <v>0</v>
          </cell>
          <cell r="D1295">
            <v>0.59</v>
          </cell>
          <cell r="E1295">
            <v>0</v>
          </cell>
          <cell r="F1295">
            <v>0</v>
          </cell>
          <cell r="G1295">
            <v>0</v>
          </cell>
          <cell r="H1295">
            <v>0</v>
          </cell>
          <cell r="I1295">
            <v>0.86</v>
          </cell>
          <cell r="J1295">
            <v>0</v>
          </cell>
          <cell r="K1295">
            <v>0.2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 t="b">
            <v>0</v>
          </cell>
        </row>
        <row r="1296">
          <cell r="A1296" t="str">
            <v>Data split-11;Reg-24</v>
          </cell>
          <cell r="B1296">
            <v>-2.2000000000000002</v>
          </cell>
          <cell r="C1296">
            <v>0</v>
          </cell>
          <cell r="D1296">
            <v>0.59</v>
          </cell>
          <cell r="E1296">
            <v>0</v>
          </cell>
          <cell r="F1296">
            <v>0</v>
          </cell>
          <cell r="G1296">
            <v>0</v>
          </cell>
          <cell r="H1296">
            <v>0</v>
          </cell>
          <cell r="I1296">
            <v>0.95</v>
          </cell>
          <cell r="J1296">
            <v>0</v>
          </cell>
          <cell r="K1296">
            <v>0</v>
          </cell>
          <cell r="L1296">
            <v>1.3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 t="b">
            <v>0</v>
          </cell>
        </row>
        <row r="1297">
          <cell r="A1297" t="str">
            <v>Data split-11;Reg-25</v>
          </cell>
          <cell r="B1297">
            <v>-13.7</v>
          </cell>
          <cell r="C1297">
            <v>0</v>
          </cell>
          <cell r="D1297">
            <v>0.4</v>
          </cell>
          <cell r="E1297">
            <v>0</v>
          </cell>
          <cell r="F1297">
            <v>0</v>
          </cell>
          <cell r="G1297">
            <v>0</v>
          </cell>
          <cell r="H1297">
            <v>0</v>
          </cell>
          <cell r="I1297">
            <v>0</v>
          </cell>
          <cell r="J1297">
            <v>35.700000000000003</v>
          </cell>
          <cell r="K1297">
            <v>-0.83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 t="b">
            <v>0</v>
          </cell>
        </row>
        <row r="1298">
          <cell r="A1298" t="str">
            <v>Data split-11;Reg-26</v>
          </cell>
          <cell r="B1298">
            <v>-10.8</v>
          </cell>
          <cell r="C1298">
            <v>0</v>
          </cell>
          <cell r="D1298">
            <v>0.37</v>
          </cell>
          <cell r="E1298">
            <v>0</v>
          </cell>
          <cell r="F1298">
            <v>0</v>
          </cell>
          <cell r="G1298">
            <v>0</v>
          </cell>
          <cell r="H1298">
            <v>0</v>
          </cell>
          <cell r="I1298">
            <v>0</v>
          </cell>
          <cell r="J1298">
            <v>29.3</v>
          </cell>
          <cell r="K1298">
            <v>0</v>
          </cell>
          <cell r="L1298">
            <v>-3.5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 t="b">
            <v>0</v>
          </cell>
        </row>
        <row r="1299">
          <cell r="A1299" t="str">
            <v>Data split-11;Reg-27</v>
          </cell>
          <cell r="B1299">
            <v>-3</v>
          </cell>
          <cell r="C1299">
            <v>0</v>
          </cell>
          <cell r="D1299">
            <v>0.63</v>
          </cell>
          <cell r="E1299">
            <v>0</v>
          </cell>
          <cell r="F1299">
            <v>0</v>
          </cell>
          <cell r="G1299">
            <v>0</v>
          </cell>
          <cell r="H1299">
            <v>0</v>
          </cell>
          <cell r="I1299">
            <v>1.3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-4.0000000000000001E-3</v>
          </cell>
          <cell r="R1299">
            <v>0</v>
          </cell>
          <cell r="S1299">
            <v>0</v>
          </cell>
          <cell r="T1299">
            <v>0</v>
          </cell>
          <cell r="U1299" t="b">
            <v>0</v>
          </cell>
        </row>
        <row r="1300">
          <cell r="A1300" t="str">
            <v>Data split-11;Reg-28</v>
          </cell>
          <cell r="B1300">
            <v>-1.7</v>
          </cell>
          <cell r="C1300">
            <v>0</v>
          </cell>
          <cell r="D1300">
            <v>0.54</v>
          </cell>
          <cell r="E1300">
            <v>0</v>
          </cell>
          <cell r="F1300">
            <v>0</v>
          </cell>
          <cell r="G1300">
            <v>0</v>
          </cell>
          <cell r="H1300">
            <v>0</v>
          </cell>
          <cell r="I1300">
            <v>0.92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1.8E-3</v>
          </cell>
          <cell r="S1300">
            <v>0</v>
          </cell>
          <cell r="T1300">
            <v>0</v>
          </cell>
          <cell r="U1300" t="b">
            <v>0</v>
          </cell>
        </row>
        <row r="1301">
          <cell r="A1301" t="str">
            <v>Data split-11;Reg-29</v>
          </cell>
          <cell r="B1301">
            <v>-5.7</v>
          </cell>
          <cell r="C1301">
            <v>0</v>
          </cell>
          <cell r="D1301">
            <v>0.48</v>
          </cell>
          <cell r="E1301">
            <v>0</v>
          </cell>
          <cell r="F1301">
            <v>0</v>
          </cell>
          <cell r="G1301">
            <v>0</v>
          </cell>
          <cell r="H1301">
            <v>0</v>
          </cell>
          <cell r="I1301">
            <v>0</v>
          </cell>
          <cell r="J1301">
            <v>15.5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3.8999999999999998E-3</v>
          </cell>
          <cell r="R1301">
            <v>0</v>
          </cell>
          <cell r="S1301">
            <v>0</v>
          </cell>
          <cell r="T1301">
            <v>0</v>
          </cell>
          <cell r="U1301" t="b">
            <v>0</v>
          </cell>
        </row>
        <row r="1302">
          <cell r="A1302" t="str">
            <v>Data split-11;Reg-30</v>
          </cell>
          <cell r="B1302">
            <v>-4.8</v>
          </cell>
          <cell r="C1302">
            <v>0</v>
          </cell>
          <cell r="D1302">
            <v>0.37</v>
          </cell>
          <cell r="E1302">
            <v>0</v>
          </cell>
          <cell r="F1302">
            <v>0</v>
          </cell>
          <cell r="G1302">
            <v>0</v>
          </cell>
          <cell r="H1302">
            <v>0</v>
          </cell>
          <cell r="I1302">
            <v>0</v>
          </cell>
          <cell r="J1302">
            <v>14.4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2.7000000000000001E-3</v>
          </cell>
          <cell r="S1302">
            <v>0</v>
          </cell>
          <cell r="T1302">
            <v>0</v>
          </cell>
          <cell r="U1302" t="b">
            <v>0</v>
          </cell>
        </row>
        <row r="1303">
          <cell r="A1303" t="str">
            <v>Data split-11;Reg-31</v>
          </cell>
          <cell r="B1303">
            <v>5.6000000000000001E-2</v>
          </cell>
          <cell r="C1303">
            <v>0</v>
          </cell>
          <cell r="D1303">
            <v>0.67</v>
          </cell>
          <cell r="E1303">
            <v>0</v>
          </cell>
          <cell r="F1303">
            <v>0</v>
          </cell>
          <cell r="G1303">
            <v>0</v>
          </cell>
          <cell r="H1303">
            <v>0</v>
          </cell>
          <cell r="I1303">
            <v>0</v>
          </cell>
          <cell r="J1303">
            <v>0</v>
          </cell>
          <cell r="K1303">
            <v>0.35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6.8999999999999999E-3</v>
          </cell>
          <cell r="T1303">
            <v>0</v>
          </cell>
          <cell r="U1303" t="b">
            <v>0</v>
          </cell>
        </row>
        <row r="1304">
          <cell r="A1304" t="str">
            <v>Data split-11;Reg-32</v>
          </cell>
          <cell r="B1304">
            <v>0.56000000000000005</v>
          </cell>
          <cell r="C1304">
            <v>0</v>
          </cell>
          <cell r="D1304">
            <v>0.53</v>
          </cell>
          <cell r="E1304">
            <v>0</v>
          </cell>
          <cell r="F1304">
            <v>0</v>
          </cell>
          <cell r="G1304">
            <v>0</v>
          </cell>
          <cell r="H1304">
            <v>0</v>
          </cell>
          <cell r="I1304">
            <v>0</v>
          </cell>
          <cell r="J1304">
            <v>0</v>
          </cell>
          <cell r="K1304">
            <v>0.32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3.5999999999999999E-3</v>
          </cell>
          <cell r="U1304" t="b">
            <v>0</v>
          </cell>
        </row>
        <row r="1305">
          <cell r="A1305" t="str">
            <v>Data split-11;Reg-33</v>
          </cell>
          <cell r="B1305">
            <v>6.6000000000000003E-2</v>
          </cell>
          <cell r="C1305">
            <v>0</v>
          </cell>
          <cell r="D1305">
            <v>0.66</v>
          </cell>
          <cell r="E1305">
            <v>0</v>
          </cell>
          <cell r="F1305">
            <v>0</v>
          </cell>
          <cell r="G1305">
            <v>0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1.9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1.0999999999999999E-2</v>
          </cell>
          <cell r="T1305">
            <v>0</v>
          </cell>
          <cell r="U1305" t="b">
            <v>0</v>
          </cell>
        </row>
        <row r="1306">
          <cell r="A1306" t="str">
            <v>Data split-11;Reg-34</v>
          </cell>
          <cell r="B1306">
            <v>0.55000000000000004</v>
          </cell>
          <cell r="C1306">
            <v>0</v>
          </cell>
          <cell r="D1306">
            <v>0.52</v>
          </cell>
          <cell r="E1306">
            <v>0</v>
          </cell>
          <cell r="F1306">
            <v>0</v>
          </cell>
          <cell r="G1306">
            <v>0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1.9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4.4999999999999997E-3</v>
          </cell>
          <cell r="U1306" t="b">
            <v>0</v>
          </cell>
        </row>
        <row r="1307">
          <cell r="A1307" t="str">
            <v>Data split-11;Reg-35</v>
          </cell>
          <cell r="B1307">
            <v>-0.1</v>
          </cell>
          <cell r="C1307">
            <v>0.72</v>
          </cell>
          <cell r="D1307">
            <v>0</v>
          </cell>
          <cell r="E1307">
            <v>0</v>
          </cell>
          <cell r="F1307">
            <v>0</v>
          </cell>
          <cell r="G1307">
            <v>0</v>
          </cell>
          <cell r="H1307">
            <v>0</v>
          </cell>
          <cell r="I1307">
            <v>0.39</v>
          </cell>
          <cell r="J1307">
            <v>0</v>
          </cell>
          <cell r="K1307">
            <v>0.16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9.4999999999999998E-3</v>
          </cell>
          <cell r="R1307">
            <v>0</v>
          </cell>
          <cell r="S1307">
            <v>0</v>
          </cell>
          <cell r="T1307">
            <v>0</v>
          </cell>
          <cell r="U1307" t="b">
            <v>0</v>
          </cell>
        </row>
        <row r="1308">
          <cell r="A1308" t="str">
            <v>Data split-11;Reg-36</v>
          </cell>
          <cell r="B1308">
            <v>0.75</v>
          </cell>
          <cell r="C1308">
            <v>0.61</v>
          </cell>
          <cell r="D1308">
            <v>0</v>
          </cell>
          <cell r="E1308">
            <v>0</v>
          </cell>
          <cell r="F1308">
            <v>0</v>
          </cell>
          <cell r="G1308">
            <v>0</v>
          </cell>
          <cell r="H1308">
            <v>0</v>
          </cell>
          <cell r="I1308">
            <v>0.1</v>
          </cell>
          <cell r="J1308">
            <v>0</v>
          </cell>
          <cell r="K1308">
            <v>0.18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4.4999999999999997E-3</v>
          </cell>
          <cell r="S1308">
            <v>0</v>
          </cell>
          <cell r="T1308">
            <v>0</v>
          </cell>
          <cell r="U1308" t="b">
            <v>0</v>
          </cell>
        </row>
        <row r="1309">
          <cell r="A1309" t="str">
            <v>Data split-11;Reg-37</v>
          </cell>
          <cell r="B1309">
            <v>-0.2</v>
          </cell>
          <cell r="C1309">
            <v>0.7</v>
          </cell>
          <cell r="D1309">
            <v>0</v>
          </cell>
          <cell r="E1309">
            <v>0</v>
          </cell>
          <cell r="F1309">
            <v>0</v>
          </cell>
          <cell r="G1309">
            <v>0</v>
          </cell>
          <cell r="H1309">
            <v>0</v>
          </cell>
          <cell r="I1309">
            <v>0.43</v>
          </cell>
          <cell r="J1309">
            <v>0</v>
          </cell>
          <cell r="K1309">
            <v>0</v>
          </cell>
          <cell r="L1309">
            <v>1.2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0.01</v>
          </cell>
          <cell r="R1309">
            <v>0</v>
          </cell>
          <cell r="S1309">
            <v>0</v>
          </cell>
          <cell r="T1309">
            <v>0</v>
          </cell>
          <cell r="U1309" t="b">
            <v>0</v>
          </cell>
        </row>
        <row r="1310">
          <cell r="A1310" t="str">
            <v>Data split-11;Reg-38</v>
          </cell>
          <cell r="B1310">
            <v>0.62</v>
          </cell>
          <cell r="C1310">
            <v>0.6</v>
          </cell>
          <cell r="D1310">
            <v>0</v>
          </cell>
          <cell r="E1310">
            <v>0</v>
          </cell>
          <cell r="F1310">
            <v>0</v>
          </cell>
          <cell r="G1310">
            <v>0</v>
          </cell>
          <cell r="H1310">
            <v>0</v>
          </cell>
          <cell r="I1310">
            <v>0.15</v>
          </cell>
          <cell r="J1310">
            <v>0</v>
          </cell>
          <cell r="K1310">
            <v>0</v>
          </cell>
          <cell r="L1310">
            <v>1.3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4.7000000000000002E-3</v>
          </cell>
          <cell r="S1310">
            <v>0</v>
          </cell>
          <cell r="T1310">
            <v>0</v>
          </cell>
          <cell r="U1310" t="b">
            <v>0</v>
          </cell>
        </row>
        <row r="1311">
          <cell r="A1311" t="str">
            <v>Data split-11;Reg-39</v>
          </cell>
          <cell r="B1311">
            <v>-12.2</v>
          </cell>
          <cell r="C1311">
            <v>0.32</v>
          </cell>
          <cell r="D1311">
            <v>0</v>
          </cell>
          <cell r="E1311">
            <v>0</v>
          </cell>
          <cell r="F1311">
            <v>0</v>
          </cell>
          <cell r="G1311">
            <v>0</v>
          </cell>
          <cell r="H1311">
            <v>0</v>
          </cell>
          <cell r="I1311">
            <v>0</v>
          </cell>
          <cell r="J1311">
            <v>34.799999999999997</v>
          </cell>
          <cell r="K1311">
            <v>-0.87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0.01</v>
          </cell>
          <cell r="R1311">
            <v>0</v>
          </cell>
          <cell r="S1311">
            <v>0</v>
          </cell>
          <cell r="T1311">
            <v>0</v>
          </cell>
          <cell r="U1311" t="b">
            <v>0</v>
          </cell>
        </row>
        <row r="1312">
          <cell r="A1312" t="str">
            <v>Data split-11;Reg-40</v>
          </cell>
          <cell r="B1312">
            <v>-11.5</v>
          </cell>
          <cell r="C1312">
            <v>0.23</v>
          </cell>
          <cell r="D1312">
            <v>0</v>
          </cell>
          <cell r="E1312">
            <v>0</v>
          </cell>
          <cell r="F1312">
            <v>0</v>
          </cell>
          <cell r="G1312">
            <v>0</v>
          </cell>
          <cell r="H1312">
            <v>0</v>
          </cell>
          <cell r="I1312">
            <v>0</v>
          </cell>
          <cell r="J1312">
            <v>33.299999999999997</v>
          </cell>
          <cell r="K1312">
            <v>-0.83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3.7000000000000002E-3</v>
          </cell>
          <cell r="S1312">
            <v>0</v>
          </cell>
          <cell r="T1312">
            <v>0</v>
          </cell>
          <cell r="U1312" t="b">
            <v>0</v>
          </cell>
        </row>
        <row r="1313">
          <cell r="A1313" t="str">
            <v>Data split-11;Reg-41</v>
          </cell>
          <cell r="B1313">
            <v>-9.6999999999999993</v>
          </cell>
          <cell r="C1313">
            <v>0.34</v>
          </cell>
          <cell r="D1313">
            <v>0</v>
          </cell>
          <cell r="E1313">
            <v>0</v>
          </cell>
          <cell r="F1313">
            <v>0</v>
          </cell>
          <cell r="G1313">
            <v>0</v>
          </cell>
          <cell r="H1313">
            <v>0</v>
          </cell>
          <cell r="I1313">
            <v>0</v>
          </cell>
          <cell r="J1313">
            <v>28.6</v>
          </cell>
          <cell r="K1313">
            <v>0</v>
          </cell>
          <cell r="L1313">
            <v>-3.5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4.5999999999999999E-3</v>
          </cell>
          <cell r="R1313">
            <v>0</v>
          </cell>
          <cell r="S1313">
            <v>0</v>
          </cell>
          <cell r="T1313">
            <v>0</v>
          </cell>
          <cell r="U1313" t="b">
            <v>0</v>
          </cell>
        </row>
        <row r="1314">
          <cell r="A1314" t="str">
            <v>Data split-11;Reg-42</v>
          </cell>
          <cell r="B1314">
            <v>-8.3000000000000007</v>
          </cell>
          <cell r="C1314">
            <v>0.27</v>
          </cell>
          <cell r="D1314">
            <v>0</v>
          </cell>
          <cell r="E1314">
            <v>0</v>
          </cell>
          <cell r="F1314">
            <v>0</v>
          </cell>
          <cell r="G1314">
            <v>0</v>
          </cell>
          <cell r="H1314">
            <v>0</v>
          </cell>
          <cell r="I1314">
            <v>0</v>
          </cell>
          <cell r="J1314">
            <v>25.5</v>
          </cell>
          <cell r="K1314">
            <v>0</v>
          </cell>
          <cell r="L1314">
            <v>-2.9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2.7000000000000001E-3</v>
          </cell>
          <cell r="S1314">
            <v>0</v>
          </cell>
          <cell r="T1314">
            <v>0</v>
          </cell>
          <cell r="U1314" t="b">
            <v>0</v>
          </cell>
        </row>
        <row r="1315">
          <cell r="A1315" t="str">
            <v>Data split-11;Reg-43</v>
          </cell>
          <cell r="B1315">
            <v>-0.39</v>
          </cell>
          <cell r="C1315">
            <v>0.73</v>
          </cell>
          <cell r="D1315">
            <v>0</v>
          </cell>
          <cell r="E1315">
            <v>0</v>
          </cell>
          <cell r="F1315">
            <v>0</v>
          </cell>
          <cell r="G1315">
            <v>0</v>
          </cell>
          <cell r="H1315">
            <v>0</v>
          </cell>
          <cell r="I1315">
            <v>0.48</v>
          </cell>
          <cell r="J1315">
            <v>0</v>
          </cell>
          <cell r="K1315">
            <v>0.16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6.7999999999999996E-3</v>
          </cell>
          <cell r="T1315">
            <v>0</v>
          </cell>
          <cell r="U1315" t="b">
            <v>0</v>
          </cell>
        </row>
        <row r="1316">
          <cell r="A1316" t="str">
            <v>Data split-11;Reg-44</v>
          </cell>
          <cell r="B1316">
            <v>0.6</v>
          </cell>
          <cell r="C1316">
            <v>0.63</v>
          </cell>
          <cell r="D1316">
            <v>0</v>
          </cell>
          <cell r="E1316">
            <v>0</v>
          </cell>
          <cell r="F1316">
            <v>0</v>
          </cell>
          <cell r="G1316">
            <v>0</v>
          </cell>
          <cell r="H1316">
            <v>0</v>
          </cell>
          <cell r="I1316">
            <v>0.15</v>
          </cell>
          <cell r="J1316">
            <v>0</v>
          </cell>
          <cell r="K1316">
            <v>0.18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4.0000000000000001E-3</v>
          </cell>
          <cell r="U1316" t="b">
            <v>0</v>
          </cell>
        </row>
        <row r="1317">
          <cell r="A1317" t="str">
            <v>Data split-11;Reg-45</v>
          </cell>
          <cell r="B1317">
            <v>-0.46</v>
          </cell>
          <cell r="C1317">
            <v>0.72</v>
          </cell>
          <cell r="D1317">
            <v>0</v>
          </cell>
          <cell r="E1317">
            <v>0</v>
          </cell>
          <cell r="F1317">
            <v>0</v>
          </cell>
          <cell r="G1317">
            <v>0</v>
          </cell>
          <cell r="H1317">
            <v>0</v>
          </cell>
          <cell r="I1317">
            <v>0.51</v>
          </cell>
          <cell r="J1317">
            <v>0</v>
          </cell>
          <cell r="K1317">
            <v>0</v>
          </cell>
          <cell r="L1317">
            <v>1.2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7.7000000000000002E-3</v>
          </cell>
          <cell r="T1317">
            <v>0</v>
          </cell>
          <cell r="U1317" t="b">
            <v>0</v>
          </cell>
        </row>
        <row r="1318">
          <cell r="A1318" t="str">
            <v>Data split-11;Reg-46</v>
          </cell>
          <cell r="B1318">
            <v>0.49</v>
          </cell>
          <cell r="C1318">
            <v>0.61</v>
          </cell>
          <cell r="D1318">
            <v>0</v>
          </cell>
          <cell r="E1318">
            <v>0</v>
          </cell>
          <cell r="F1318">
            <v>0</v>
          </cell>
          <cell r="G1318">
            <v>0</v>
          </cell>
          <cell r="H1318">
            <v>0</v>
          </cell>
          <cell r="I1318">
            <v>0.19</v>
          </cell>
          <cell r="J1318">
            <v>0</v>
          </cell>
          <cell r="K1318">
            <v>0</v>
          </cell>
          <cell r="L1318">
            <v>1.3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4.3E-3</v>
          </cell>
          <cell r="U1318" t="b">
            <v>0</v>
          </cell>
        </row>
        <row r="1319">
          <cell r="A1319" t="str">
            <v>Data split-11;Reg-47</v>
          </cell>
          <cell r="B1319">
            <v>-12.4</v>
          </cell>
          <cell r="C1319">
            <v>0.33</v>
          </cell>
          <cell r="D1319">
            <v>0</v>
          </cell>
          <cell r="E1319">
            <v>0</v>
          </cell>
          <cell r="F1319">
            <v>0</v>
          </cell>
          <cell r="G1319">
            <v>0</v>
          </cell>
          <cell r="H1319">
            <v>0</v>
          </cell>
          <cell r="I1319">
            <v>0</v>
          </cell>
          <cell r="J1319">
            <v>35.200000000000003</v>
          </cell>
          <cell r="K1319">
            <v>-0.87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8.8999999999999999E-3</v>
          </cell>
          <cell r="T1319">
            <v>0</v>
          </cell>
          <cell r="U1319" t="b">
            <v>0</v>
          </cell>
        </row>
        <row r="1320">
          <cell r="A1320" t="str">
            <v>Data split-11;Reg-48</v>
          </cell>
          <cell r="B1320">
            <v>-11.7</v>
          </cell>
          <cell r="C1320">
            <v>0.23</v>
          </cell>
          <cell r="D1320">
            <v>0</v>
          </cell>
          <cell r="E1320">
            <v>0</v>
          </cell>
          <cell r="F1320">
            <v>0</v>
          </cell>
          <cell r="G1320">
            <v>0</v>
          </cell>
          <cell r="H1320">
            <v>0</v>
          </cell>
          <cell r="I1320">
            <v>0</v>
          </cell>
          <cell r="J1320">
            <v>33.9</v>
          </cell>
          <cell r="K1320">
            <v>-0.84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3.3999999999999998E-3</v>
          </cell>
          <cell r="U1320" t="b">
            <v>0</v>
          </cell>
        </row>
        <row r="1321">
          <cell r="A1321" t="str">
            <v>Data split-11;Reg-49</v>
          </cell>
          <cell r="B1321">
            <v>-10.1</v>
          </cell>
          <cell r="C1321">
            <v>0.35</v>
          </cell>
          <cell r="D1321">
            <v>0</v>
          </cell>
          <cell r="E1321">
            <v>0</v>
          </cell>
          <cell r="F1321">
            <v>0</v>
          </cell>
          <cell r="G1321">
            <v>0</v>
          </cell>
          <cell r="H1321">
            <v>0</v>
          </cell>
          <cell r="I1321">
            <v>0</v>
          </cell>
          <cell r="J1321">
            <v>29.4</v>
          </cell>
          <cell r="K1321">
            <v>0</v>
          </cell>
          <cell r="L1321">
            <v>-3.6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3.0999999999999999E-3</v>
          </cell>
          <cell r="T1321">
            <v>0</v>
          </cell>
          <cell r="U1321" t="b">
            <v>0</v>
          </cell>
        </row>
        <row r="1322">
          <cell r="A1322" t="str">
            <v>Data split-11;Reg-50</v>
          </cell>
          <cell r="B1322">
            <v>-8.6999999999999993</v>
          </cell>
          <cell r="C1322">
            <v>0.28000000000000003</v>
          </cell>
          <cell r="D1322">
            <v>0</v>
          </cell>
          <cell r="E1322">
            <v>0</v>
          </cell>
          <cell r="F1322">
            <v>0</v>
          </cell>
          <cell r="G1322">
            <v>0</v>
          </cell>
          <cell r="H1322">
            <v>0</v>
          </cell>
          <cell r="I1322">
            <v>0</v>
          </cell>
          <cell r="J1322">
            <v>26.3</v>
          </cell>
          <cell r="K1322">
            <v>0</v>
          </cell>
          <cell r="L1322">
            <v>-3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2.3E-3</v>
          </cell>
          <cell r="U1322" t="b">
            <v>0</v>
          </cell>
        </row>
        <row r="1323">
          <cell r="A1323" t="str">
            <v>Data split-11;Reg-51</v>
          </cell>
          <cell r="B1323">
            <v>-2.2999999999999998</v>
          </cell>
          <cell r="C1323">
            <v>0</v>
          </cell>
          <cell r="D1323">
            <v>0.62</v>
          </cell>
          <cell r="E1323">
            <v>0</v>
          </cell>
          <cell r="F1323">
            <v>0</v>
          </cell>
          <cell r="G1323">
            <v>0</v>
          </cell>
          <cell r="H1323">
            <v>0</v>
          </cell>
          <cell r="I1323">
            <v>0.96</v>
          </cell>
          <cell r="J1323">
            <v>0</v>
          </cell>
          <cell r="K1323">
            <v>0.19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-3.0999999999999999E-3</v>
          </cell>
          <cell r="R1323">
            <v>0</v>
          </cell>
          <cell r="S1323">
            <v>0</v>
          </cell>
          <cell r="T1323">
            <v>0</v>
          </cell>
          <cell r="U1323" t="b">
            <v>0</v>
          </cell>
        </row>
        <row r="1324">
          <cell r="A1324" t="str">
            <v>Data split-11;Reg-52</v>
          </cell>
          <cell r="B1324">
            <v>-0.83</v>
          </cell>
          <cell r="C1324">
            <v>0</v>
          </cell>
          <cell r="D1324">
            <v>0.51</v>
          </cell>
          <cell r="E1324">
            <v>0</v>
          </cell>
          <cell r="F1324">
            <v>0</v>
          </cell>
          <cell r="G1324">
            <v>0</v>
          </cell>
          <cell r="H1324">
            <v>0</v>
          </cell>
          <cell r="I1324">
            <v>0.59</v>
          </cell>
          <cell r="J1324">
            <v>0</v>
          </cell>
          <cell r="K1324">
            <v>0.21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2.2000000000000001E-3</v>
          </cell>
          <cell r="S1324">
            <v>0</v>
          </cell>
          <cell r="T1324">
            <v>0</v>
          </cell>
          <cell r="U1324" t="b">
            <v>0</v>
          </cell>
        </row>
        <row r="1325">
          <cell r="A1325" t="str">
            <v>Data split-11;Reg-53</v>
          </cell>
          <cell r="B1325">
            <v>-2.4</v>
          </cell>
          <cell r="C1325">
            <v>0</v>
          </cell>
          <cell r="D1325">
            <v>0.61</v>
          </cell>
          <cell r="E1325">
            <v>0</v>
          </cell>
          <cell r="F1325">
            <v>0</v>
          </cell>
          <cell r="G1325">
            <v>0</v>
          </cell>
          <cell r="H1325">
            <v>0</v>
          </cell>
          <cell r="I1325">
            <v>1</v>
          </cell>
          <cell r="J1325">
            <v>0</v>
          </cell>
          <cell r="K1325">
            <v>0</v>
          </cell>
          <cell r="L1325">
            <v>1.3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-2.0999999999999999E-3</v>
          </cell>
          <cell r="R1325">
            <v>0</v>
          </cell>
          <cell r="S1325">
            <v>0</v>
          </cell>
          <cell r="T1325">
            <v>0</v>
          </cell>
          <cell r="U1325" t="b">
            <v>0</v>
          </cell>
        </row>
        <row r="1326">
          <cell r="A1326" t="str">
            <v>Data split-11;Reg-54</v>
          </cell>
          <cell r="B1326">
            <v>-0.97</v>
          </cell>
          <cell r="C1326">
            <v>0</v>
          </cell>
          <cell r="D1326">
            <v>0.49</v>
          </cell>
          <cell r="E1326">
            <v>0</v>
          </cell>
          <cell r="F1326">
            <v>0</v>
          </cell>
          <cell r="G1326">
            <v>0</v>
          </cell>
          <cell r="H1326">
            <v>0</v>
          </cell>
          <cell r="I1326">
            <v>0.64</v>
          </cell>
          <cell r="J1326">
            <v>0</v>
          </cell>
          <cell r="K1326">
            <v>0</v>
          </cell>
          <cell r="L1326">
            <v>1.5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2.5000000000000001E-3</v>
          </cell>
          <cell r="S1326">
            <v>0</v>
          </cell>
          <cell r="T1326">
            <v>0</v>
          </cell>
          <cell r="U1326" t="b">
            <v>0</v>
          </cell>
        </row>
        <row r="1327">
          <cell r="A1327" t="str">
            <v>Data split-11;Reg-55</v>
          </cell>
          <cell r="B1327">
            <v>-13.1</v>
          </cell>
          <cell r="C1327">
            <v>0</v>
          </cell>
          <cell r="D1327">
            <v>0.34</v>
          </cell>
          <cell r="E1327">
            <v>0</v>
          </cell>
          <cell r="F1327">
            <v>0</v>
          </cell>
          <cell r="G1327">
            <v>0</v>
          </cell>
          <cell r="H1327">
            <v>0</v>
          </cell>
          <cell r="I1327">
            <v>0</v>
          </cell>
          <cell r="J1327">
            <v>35.200000000000003</v>
          </cell>
          <cell r="K1327">
            <v>-0.84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5.0000000000000001E-3</v>
          </cell>
          <cell r="R1327">
            <v>0</v>
          </cell>
          <cell r="S1327">
            <v>0</v>
          </cell>
          <cell r="T1327">
            <v>0</v>
          </cell>
          <cell r="U1327" t="b">
            <v>0</v>
          </cell>
        </row>
        <row r="1328">
          <cell r="A1328" t="str">
            <v>Data split-11;Reg-56</v>
          </cell>
          <cell r="B1328">
            <v>-12.2</v>
          </cell>
          <cell r="C1328">
            <v>0</v>
          </cell>
          <cell r="D1328">
            <v>0.26</v>
          </cell>
          <cell r="E1328">
            <v>0</v>
          </cell>
          <cell r="F1328">
            <v>0</v>
          </cell>
          <cell r="G1328">
            <v>0</v>
          </cell>
          <cell r="H1328">
            <v>0</v>
          </cell>
          <cell r="I1328">
            <v>0</v>
          </cell>
          <cell r="J1328">
            <v>33.799999999999997</v>
          </cell>
          <cell r="K1328">
            <v>-0.82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2.5999999999999999E-3</v>
          </cell>
          <cell r="S1328">
            <v>0</v>
          </cell>
          <cell r="T1328">
            <v>0</v>
          </cell>
          <cell r="U1328" t="b">
            <v>0</v>
          </cell>
        </row>
        <row r="1329">
          <cell r="A1329" t="str">
            <v>Data split-11;Reg-57</v>
          </cell>
          <cell r="B1329">
            <v>-11.2</v>
          </cell>
          <cell r="C1329">
            <v>0</v>
          </cell>
          <cell r="D1329">
            <v>0.38</v>
          </cell>
          <cell r="E1329">
            <v>0</v>
          </cell>
          <cell r="F1329">
            <v>0</v>
          </cell>
          <cell r="G1329">
            <v>0</v>
          </cell>
          <cell r="H1329">
            <v>0</v>
          </cell>
          <cell r="I1329">
            <v>0</v>
          </cell>
          <cell r="J1329">
            <v>30</v>
          </cell>
          <cell r="K1329">
            <v>0</v>
          </cell>
          <cell r="L1329">
            <v>-3.6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-1.8E-3</v>
          </cell>
          <cell r="R1329">
            <v>0</v>
          </cell>
          <cell r="S1329">
            <v>0</v>
          </cell>
          <cell r="T1329">
            <v>0</v>
          </cell>
          <cell r="U1329" t="b">
            <v>0</v>
          </cell>
        </row>
        <row r="1330">
          <cell r="A1330" t="str">
            <v>Data split-11;Reg-58</v>
          </cell>
          <cell r="B1330">
            <v>-9.6999999999999993</v>
          </cell>
          <cell r="C1330">
            <v>0</v>
          </cell>
          <cell r="D1330">
            <v>0.31</v>
          </cell>
          <cell r="E1330">
            <v>0</v>
          </cell>
          <cell r="F1330">
            <v>0</v>
          </cell>
          <cell r="G1330">
            <v>0</v>
          </cell>
          <cell r="H1330">
            <v>0</v>
          </cell>
          <cell r="I1330">
            <v>0</v>
          </cell>
          <cell r="J1330">
            <v>27.3</v>
          </cell>
          <cell r="K1330">
            <v>0</v>
          </cell>
          <cell r="L1330">
            <v>-3.1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1.1999999999999999E-3</v>
          </cell>
          <cell r="S1330">
            <v>0</v>
          </cell>
          <cell r="T1330">
            <v>0</v>
          </cell>
          <cell r="U1330" t="b">
            <v>0</v>
          </cell>
        </row>
        <row r="1331">
          <cell r="A1331" t="str">
            <v>Data split-11;Reg-59</v>
          </cell>
          <cell r="B1331">
            <v>-2.7</v>
          </cell>
          <cell r="C1331">
            <v>0</v>
          </cell>
          <cell r="D1331">
            <v>0.64</v>
          </cell>
          <cell r="E1331">
            <v>0</v>
          </cell>
          <cell r="F1331">
            <v>0</v>
          </cell>
          <cell r="G1331">
            <v>0</v>
          </cell>
          <cell r="H1331">
            <v>0</v>
          </cell>
          <cell r="I1331">
            <v>1.1000000000000001</v>
          </cell>
          <cell r="J1331">
            <v>0</v>
          </cell>
          <cell r="K1331">
            <v>0.19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-6.3E-3</v>
          </cell>
          <cell r="T1331">
            <v>0</v>
          </cell>
          <cell r="U1331" t="b">
            <v>0</v>
          </cell>
        </row>
        <row r="1332">
          <cell r="A1332" t="str">
            <v>Data split-11;Reg-60</v>
          </cell>
          <cell r="B1332">
            <v>-1.2</v>
          </cell>
          <cell r="C1332">
            <v>0</v>
          </cell>
          <cell r="D1332">
            <v>0.54</v>
          </cell>
          <cell r="E1332">
            <v>0</v>
          </cell>
          <cell r="F1332">
            <v>0</v>
          </cell>
          <cell r="G1332">
            <v>0</v>
          </cell>
          <cell r="H1332">
            <v>0</v>
          </cell>
          <cell r="I1332">
            <v>0.68</v>
          </cell>
          <cell r="J1332">
            <v>0</v>
          </cell>
          <cell r="K1332">
            <v>0.21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1.4E-3</v>
          </cell>
          <cell r="U1332" t="b">
            <v>0</v>
          </cell>
        </row>
        <row r="1333">
          <cell r="A1333" t="str">
            <v>Data split-11;Reg-61</v>
          </cell>
          <cell r="B1333">
            <v>-2.8</v>
          </cell>
          <cell r="C1333">
            <v>0</v>
          </cell>
          <cell r="D1333">
            <v>0.63</v>
          </cell>
          <cell r="E1333">
            <v>0</v>
          </cell>
          <cell r="F1333">
            <v>0</v>
          </cell>
          <cell r="G1333">
            <v>0</v>
          </cell>
          <cell r="H1333">
            <v>0</v>
          </cell>
          <cell r="I1333">
            <v>1.1000000000000001</v>
          </cell>
          <cell r="J1333">
            <v>0</v>
          </cell>
          <cell r="K1333">
            <v>0</v>
          </cell>
          <cell r="L1333">
            <v>1.3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-5.1999999999999998E-3</v>
          </cell>
          <cell r="T1333">
            <v>0</v>
          </cell>
          <cell r="U1333" t="b">
            <v>0</v>
          </cell>
        </row>
        <row r="1334">
          <cell r="A1334" t="str">
            <v>Data split-11;Reg-62</v>
          </cell>
          <cell r="B1334">
            <v>-1.3</v>
          </cell>
          <cell r="C1334">
            <v>0</v>
          </cell>
          <cell r="D1334">
            <v>0.52</v>
          </cell>
          <cell r="E1334">
            <v>0</v>
          </cell>
          <cell r="F1334">
            <v>0</v>
          </cell>
          <cell r="G1334">
            <v>0</v>
          </cell>
          <cell r="H1334">
            <v>0</v>
          </cell>
          <cell r="I1334">
            <v>0.72</v>
          </cell>
          <cell r="J1334">
            <v>0</v>
          </cell>
          <cell r="K1334">
            <v>0</v>
          </cell>
          <cell r="L1334">
            <v>1.4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1.8E-3</v>
          </cell>
          <cell r="U1334" t="b">
            <v>0</v>
          </cell>
        </row>
        <row r="1335">
          <cell r="A1335" t="str">
            <v>Data split-11;Reg-63</v>
          </cell>
          <cell r="B1335">
            <v>-13.2</v>
          </cell>
          <cell r="C1335">
            <v>0</v>
          </cell>
          <cell r="D1335">
            <v>0.35</v>
          </cell>
          <cell r="E1335">
            <v>0</v>
          </cell>
          <cell r="F1335">
            <v>0</v>
          </cell>
          <cell r="G1335">
            <v>0</v>
          </cell>
          <cell r="H1335">
            <v>0</v>
          </cell>
          <cell r="I1335">
            <v>0</v>
          </cell>
          <cell r="J1335">
            <v>35.299999999999997</v>
          </cell>
          <cell r="K1335">
            <v>-0.84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3.8999999999999998E-3</v>
          </cell>
          <cell r="T1335">
            <v>0</v>
          </cell>
          <cell r="U1335" t="b">
            <v>0</v>
          </cell>
        </row>
        <row r="1336">
          <cell r="A1336" t="str">
            <v>Data split-11;Reg-64</v>
          </cell>
          <cell r="B1336">
            <v>-12.4</v>
          </cell>
          <cell r="C1336">
            <v>0</v>
          </cell>
          <cell r="D1336">
            <v>0.27</v>
          </cell>
          <cell r="E1336">
            <v>0</v>
          </cell>
          <cell r="F1336">
            <v>0</v>
          </cell>
          <cell r="G1336">
            <v>0</v>
          </cell>
          <cell r="H1336">
            <v>0</v>
          </cell>
          <cell r="I1336">
            <v>0</v>
          </cell>
          <cell r="J1336">
            <v>34.200000000000003</v>
          </cell>
          <cell r="K1336">
            <v>-0.82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2.3E-3</v>
          </cell>
          <cell r="U1336" t="b">
            <v>0</v>
          </cell>
        </row>
        <row r="1337">
          <cell r="A1337" t="str">
            <v>Data split-11;Reg-65</v>
          </cell>
          <cell r="B1337">
            <v>-11.5</v>
          </cell>
          <cell r="C1337">
            <v>0</v>
          </cell>
          <cell r="D1337">
            <v>0.4</v>
          </cell>
          <cell r="E1337">
            <v>0</v>
          </cell>
          <cell r="F1337">
            <v>0</v>
          </cell>
          <cell r="G1337">
            <v>0</v>
          </cell>
          <cell r="H1337">
            <v>0</v>
          </cell>
          <cell r="I1337">
            <v>0</v>
          </cell>
          <cell r="J1337">
            <v>30.6</v>
          </cell>
          <cell r="K1337">
            <v>0</v>
          </cell>
          <cell r="L1337">
            <v>-3.7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-3.2000000000000002E-3</v>
          </cell>
          <cell r="T1337">
            <v>0</v>
          </cell>
          <cell r="U1337" t="b">
            <v>0</v>
          </cell>
        </row>
        <row r="1338">
          <cell r="A1338" t="str">
            <v>Data split-11;Reg-66</v>
          </cell>
          <cell r="B1338">
            <v>-10.1</v>
          </cell>
          <cell r="C1338">
            <v>0</v>
          </cell>
          <cell r="D1338">
            <v>0.33</v>
          </cell>
          <cell r="E1338">
            <v>0</v>
          </cell>
          <cell r="F1338">
            <v>0</v>
          </cell>
          <cell r="G1338">
            <v>0</v>
          </cell>
          <cell r="H1338">
            <v>0</v>
          </cell>
          <cell r="I1338">
            <v>0</v>
          </cell>
          <cell r="J1338">
            <v>28</v>
          </cell>
          <cell r="K1338">
            <v>0</v>
          </cell>
          <cell r="L1338">
            <v>-3.2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8.0000000000000004E-4</v>
          </cell>
          <cell r="U1338" t="b">
            <v>0</v>
          </cell>
        </row>
        <row r="1339">
          <cell r="A1339" t="str">
            <v>Data split-11;Reg-67</v>
          </cell>
          <cell r="B1339">
            <v>-0.66</v>
          </cell>
          <cell r="C1339">
            <v>0.7</v>
          </cell>
          <cell r="D1339">
            <v>0</v>
          </cell>
          <cell r="E1339">
            <v>0</v>
          </cell>
          <cell r="F1339">
            <v>0</v>
          </cell>
          <cell r="G1339">
            <v>0.42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 t="b">
            <v>1</v>
          </cell>
        </row>
        <row r="1340">
          <cell r="A1340" t="str">
            <v>Data split-11;Reg-68</v>
          </cell>
          <cell r="B1340">
            <v>-1.9</v>
          </cell>
          <cell r="C1340">
            <v>0.56000000000000005</v>
          </cell>
          <cell r="D1340">
            <v>0</v>
          </cell>
          <cell r="E1340">
            <v>0</v>
          </cell>
          <cell r="F1340">
            <v>-6.3E-2</v>
          </cell>
          <cell r="G1340">
            <v>0.78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 t="b">
            <v>0</v>
          </cell>
        </row>
        <row r="1341">
          <cell r="A1341" t="str">
            <v>Data split-11;Reg-69</v>
          </cell>
          <cell r="B1341">
            <v>-5.0999999999999996</v>
          </cell>
          <cell r="C1341">
            <v>0.3</v>
          </cell>
          <cell r="D1341">
            <v>0</v>
          </cell>
          <cell r="E1341">
            <v>0</v>
          </cell>
          <cell r="F1341">
            <v>0</v>
          </cell>
          <cell r="G1341">
            <v>0.36</v>
          </cell>
          <cell r="H1341">
            <v>0</v>
          </cell>
          <cell r="I1341">
            <v>0</v>
          </cell>
          <cell r="J1341">
            <v>13.7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 t="b">
            <v>0</v>
          </cell>
        </row>
        <row r="1342">
          <cell r="A1342" t="str">
            <v>Data split-11;Reg-70</v>
          </cell>
          <cell r="B1342">
            <v>-8.6999999999999993</v>
          </cell>
          <cell r="C1342">
            <v>5.1999999999999998E-2</v>
          </cell>
          <cell r="D1342">
            <v>0</v>
          </cell>
          <cell r="E1342">
            <v>0</v>
          </cell>
          <cell r="F1342">
            <v>0</v>
          </cell>
          <cell r="G1342">
            <v>1</v>
          </cell>
          <cell r="H1342">
            <v>0</v>
          </cell>
          <cell r="I1342">
            <v>0</v>
          </cell>
          <cell r="J1342">
            <v>17.2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-3.1E-2</v>
          </cell>
          <cell r="T1342">
            <v>0</v>
          </cell>
          <cell r="U1342" t="b">
            <v>0</v>
          </cell>
        </row>
        <row r="1343">
          <cell r="A1343" t="str">
            <v>Data split-11;Reg-71</v>
          </cell>
          <cell r="B1343">
            <v>-1.6</v>
          </cell>
          <cell r="C1343">
            <v>0.42</v>
          </cell>
          <cell r="D1343">
            <v>0</v>
          </cell>
          <cell r="E1343">
            <v>0</v>
          </cell>
          <cell r="F1343">
            <v>-4.2999999999999997E-2</v>
          </cell>
          <cell r="G1343">
            <v>0</v>
          </cell>
          <cell r="H1343">
            <v>1.1000000000000001</v>
          </cell>
          <cell r="I1343">
            <v>0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-1.6E-2</v>
          </cell>
          <cell r="T1343">
            <v>0</v>
          </cell>
          <cell r="U1343" t="b">
            <v>0</v>
          </cell>
        </row>
        <row r="1344">
          <cell r="A1344" t="str">
            <v>Data split-11;Reg-72</v>
          </cell>
          <cell r="B1344">
            <v>-0.68</v>
          </cell>
          <cell r="C1344">
            <v>0.89</v>
          </cell>
          <cell r="D1344">
            <v>0</v>
          </cell>
          <cell r="E1344">
            <v>0.17</v>
          </cell>
          <cell r="F1344">
            <v>0</v>
          </cell>
          <cell r="G1344">
            <v>0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 t="b">
            <v>1</v>
          </cell>
        </row>
        <row r="1345">
          <cell r="A1345" t="str">
            <v>Data split-11;Reg-73</v>
          </cell>
          <cell r="B1345">
            <v>-0.48</v>
          </cell>
          <cell r="C1345">
            <v>1.2</v>
          </cell>
          <cell r="D1345">
            <v>0</v>
          </cell>
          <cell r="E1345">
            <v>0</v>
          </cell>
          <cell r="F1345">
            <v>-2.5999999999999999E-3</v>
          </cell>
          <cell r="G1345">
            <v>0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 t="b">
            <v>0</v>
          </cell>
        </row>
        <row r="1346">
          <cell r="A1346" t="str">
            <v>Data split-11;Reg-74</v>
          </cell>
          <cell r="B1346">
            <v>-1</v>
          </cell>
          <cell r="C1346">
            <v>0</v>
          </cell>
          <cell r="D1346">
            <v>0.81</v>
          </cell>
          <cell r="E1346">
            <v>0.1</v>
          </cell>
          <cell r="F1346">
            <v>0</v>
          </cell>
          <cell r="G1346">
            <v>0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 t="b">
            <v>1</v>
          </cell>
        </row>
        <row r="1347">
          <cell r="A1347" t="str">
            <v>Data split-11;Reg-75</v>
          </cell>
          <cell r="B1347">
            <v>-0.79</v>
          </cell>
          <cell r="C1347">
            <v>0</v>
          </cell>
          <cell r="D1347">
            <v>0.9</v>
          </cell>
          <cell r="E1347">
            <v>0</v>
          </cell>
          <cell r="F1347">
            <v>1.4999999999999999E-2</v>
          </cell>
          <cell r="G1347">
            <v>0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 t="b">
            <v>1</v>
          </cell>
        </row>
        <row r="1348">
          <cell r="A1348" t="str">
            <v>Data split-11;Reg-76</v>
          </cell>
          <cell r="B1348">
            <v>-0.66</v>
          </cell>
          <cell r="C1348">
            <v>0.7</v>
          </cell>
          <cell r="D1348">
            <v>0</v>
          </cell>
          <cell r="E1348">
            <v>0</v>
          </cell>
          <cell r="F1348">
            <v>0</v>
          </cell>
          <cell r="G1348">
            <v>0.42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 t="b">
            <v>1</v>
          </cell>
        </row>
        <row r="1349">
          <cell r="A1349" t="str">
            <v>Data split-11;Reg-77</v>
          </cell>
          <cell r="B1349">
            <v>-0.22</v>
          </cell>
          <cell r="C1349">
            <v>0.74</v>
          </cell>
          <cell r="D1349">
            <v>0</v>
          </cell>
          <cell r="E1349">
            <v>0</v>
          </cell>
          <cell r="F1349">
            <v>0</v>
          </cell>
          <cell r="G1349">
            <v>0</v>
          </cell>
          <cell r="H1349">
            <v>0.4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 t="b">
            <v>1</v>
          </cell>
        </row>
        <row r="1350">
          <cell r="A1350" t="str">
            <v>Data split-11;Reg-78</v>
          </cell>
          <cell r="B1350">
            <v>-0.93</v>
          </cell>
          <cell r="C1350">
            <v>0</v>
          </cell>
          <cell r="D1350">
            <v>0.53</v>
          </cell>
          <cell r="E1350">
            <v>0</v>
          </cell>
          <cell r="F1350">
            <v>0</v>
          </cell>
          <cell r="G1350">
            <v>0.45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 t="b">
            <v>1</v>
          </cell>
        </row>
        <row r="1351">
          <cell r="A1351" t="str">
            <v>Data split-11;Reg-79</v>
          </cell>
          <cell r="B1351">
            <v>-0.46</v>
          </cell>
          <cell r="C1351">
            <v>0</v>
          </cell>
          <cell r="D1351">
            <v>0.59</v>
          </cell>
          <cell r="E1351">
            <v>0</v>
          </cell>
          <cell r="F1351">
            <v>0</v>
          </cell>
          <cell r="G1351">
            <v>0</v>
          </cell>
          <cell r="H1351">
            <v>0.41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 t="b">
            <v>1</v>
          </cell>
        </row>
        <row r="1352">
          <cell r="A1352" t="str">
            <v>Data split-11;Reg-80</v>
          </cell>
          <cell r="B1352">
            <v>-1.7</v>
          </cell>
          <cell r="C1352">
            <v>0.79</v>
          </cell>
          <cell r="D1352">
            <v>0</v>
          </cell>
          <cell r="E1352">
            <v>0</v>
          </cell>
          <cell r="F1352">
            <v>0</v>
          </cell>
          <cell r="G1352">
            <v>0</v>
          </cell>
          <cell r="H1352">
            <v>0</v>
          </cell>
          <cell r="I1352">
            <v>0.92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 t="b">
            <v>0</v>
          </cell>
        </row>
        <row r="1353">
          <cell r="A1353" t="str">
            <v>Data split-11;Reg-81</v>
          </cell>
          <cell r="B1353">
            <v>-5.2</v>
          </cell>
          <cell r="C1353">
            <v>0.65</v>
          </cell>
          <cell r="D1353">
            <v>0</v>
          </cell>
          <cell r="E1353">
            <v>0</v>
          </cell>
          <cell r="F1353">
            <v>0</v>
          </cell>
          <cell r="G1353">
            <v>0</v>
          </cell>
          <cell r="H1353">
            <v>0</v>
          </cell>
          <cell r="I1353">
            <v>0</v>
          </cell>
          <cell r="J1353">
            <v>14.7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 t="b">
            <v>0</v>
          </cell>
        </row>
        <row r="1354">
          <cell r="A1354" t="str">
            <v>Data split-11;Reg-82</v>
          </cell>
          <cell r="B1354">
            <v>-2.5</v>
          </cell>
          <cell r="C1354">
            <v>0</v>
          </cell>
          <cell r="D1354">
            <v>0.61</v>
          </cell>
          <cell r="E1354">
            <v>0</v>
          </cell>
          <cell r="F1354">
            <v>0</v>
          </cell>
          <cell r="G1354">
            <v>0</v>
          </cell>
          <cell r="H1354">
            <v>0</v>
          </cell>
          <cell r="I1354">
            <v>1.1000000000000001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 t="b">
            <v>0</v>
          </cell>
        </row>
        <row r="1355">
          <cell r="A1355" t="str">
            <v>Data split-11;Reg-83</v>
          </cell>
          <cell r="B1355">
            <v>-6.2</v>
          </cell>
          <cell r="C1355">
            <v>0</v>
          </cell>
          <cell r="D1355">
            <v>0.53</v>
          </cell>
          <cell r="E1355">
            <v>0</v>
          </cell>
          <cell r="F1355">
            <v>0</v>
          </cell>
          <cell r="G1355">
            <v>0</v>
          </cell>
          <cell r="H1355">
            <v>0</v>
          </cell>
          <cell r="I1355">
            <v>0</v>
          </cell>
          <cell r="J1355">
            <v>16.100000000000001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 t="b">
            <v>0</v>
          </cell>
        </row>
        <row r="1356">
          <cell r="A1356" t="str">
            <v>Data split-11;Reg-84</v>
          </cell>
          <cell r="B1356">
            <v>-2.5999999999999999E-2</v>
          </cell>
          <cell r="C1356">
            <v>0.97</v>
          </cell>
          <cell r="D1356">
            <v>0</v>
          </cell>
          <cell r="E1356">
            <v>0</v>
          </cell>
          <cell r="F1356">
            <v>0</v>
          </cell>
          <cell r="G1356">
            <v>0</v>
          </cell>
          <cell r="H1356">
            <v>0</v>
          </cell>
          <cell r="I1356">
            <v>0</v>
          </cell>
          <cell r="J1356">
            <v>0</v>
          </cell>
          <cell r="K1356">
            <v>0.28000000000000003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 t="b">
            <v>0</v>
          </cell>
        </row>
        <row r="1357">
          <cell r="A1357" t="str">
            <v>Data split-11;Reg-85</v>
          </cell>
          <cell r="B1357">
            <v>-0.28000000000000003</v>
          </cell>
          <cell r="C1357">
            <v>1</v>
          </cell>
          <cell r="D1357">
            <v>0</v>
          </cell>
          <cell r="E1357">
            <v>0</v>
          </cell>
          <cell r="F1357">
            <v>0</v>
          </cell>
          <cell r="G1357">
            <v>0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1.5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 t="b">
            <v>0</v>
          </cell>
        </row>
        <row r="1358">
          <cell r="A1358" t="str">
            <v>Data split-11;Reg-86</v>
          </cell>
          <cell r="B1358">
            <v>-0.48</v>
          </cell>
          <cell r="C1358">
            <v>0</v>
          </cell>
          <cell r="D1358">
            <v>0.76</v>
          </cell>
          <cell r="E1358">
            <v>0</v>
          </cell>
          <cell r="F1358">
            <v>0</v>
          </cell>
          <cell r="G1358">
            <v>0</v>
          </cell>
          <cell r="H1358">
            <v>0</v>
          </cell>
          <cell r="I1358">
            <v>0</v>
          </cell>
          <cell r="J1358">
            <v>0</v>
          </cell>
          <cell r="K1358">
            <v>0.39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 t="b">
            <v>0</v>
          </cell>
        </row>
        <row r="1359">
          <cell r="A1359" t="str">
            <v>Data split-11;Reg-87</v>
          </cell>
          <cell r="B1359">
            <v>-0.85</v>
          </cell>
          <cell r="C1359">
            <v>0</v>
          </cell>
          <cell r="D1359">
            <v>0.83</v>
          </cell>
          <cell r="E1359">
            <v>0</v>
          </cell>
          <cell r="F1359">
            <v>0</v>
          </cell>
          <cell r="G1359">
            <v>0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2.1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 t="b">
            <v>0</v>
          </cell>
        </row>
        <row r="1360">
          <cell r="A1360" t="str">
            <v>Data split-11;Reg-88</v>
          </cell>
          <cell r="B1360">
            <v>-0.32</v>
          </cell>
          <cell r="C1360">
            <v>1.1000000000000001</v>
          </cell>
          <cell r="D1360">
            <v>0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0</v>
          </cell>
          <cell r="M1360">
            <v>2.5000000000000001E-3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 t="b">
            <v>0</v>
          </cell>
        </row>
        <row r="1361">
          <cell r="A1361" t="str">
            <v>Data split-11;Reg-89</v>
          </cell>
          <cell r="B1361">
            <v>-0.32</v>
          </cell>
          <cell r="C1361">
            <v>1.1000000000000001</v>
          </cell>
          <cell r="D1361">
            <v>0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8.5999999999999998E-4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 t="b">
            <v>0</v>
          </cell>
        </row>
        <row r="1362">
          <cell r="A1362" t="str">
            <v>Data split-11;Reg-90</v>
          </cell>
          <cell r="B1362">
            <v>-1.1000000000000001</v>
          </cell>
          <cell r="C1362">
            <v>0</v>
          </cell>
          <cell r="D1362">
            <v>0.96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0</v>
          </cell>
          <cell r="M1362">
            <v>-1.4E-3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 t="b">
            <v>1</v>
          </cell>
        </row>
        <row r="1363">
          <cell r="A1363" t="str">
            <v>Data split-11;Reg-91</v>
          </cell>
          <cell r="B1363">
            <v>-1.1000000000000001</v>
          </cell>
          <cell r="C1363">
            <v>0</v>
          </cell>
          <cell r="D1363">
            <v>0.95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-1.4999999999999999E-4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 t="b">
            <v>1</v>
          </cell>
        </row>
        <row r="1364">
          <cell r="A1364" t="str">
            <v>Data split-11;Reg-92</v>
          </cell>
          <cell r="B1364">
            <v>-0.45</v>
          </cell>
          <cell r="C1364">
            <v>1.1000000000000001</v>
          </cell>
          <cell r="D1364">
            <v>0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-4.4000000000000002E-4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 t="b">
            <v>1</v>
          </cell>
        </row>
        <row r="1365">
          <cell r="A1365" t="str">
            <v>Data split-11;Reg-93</v>
          </cell>
          <cell r="B1365">
            <v>-0.43</v>
          </cell>
          <cell r="C1365">
            <v>1.1000000000000001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3.8000000000000002E-5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 t="b">
            <v>0</v>
          </cell>
        </row>
        <row r="1366">
          <cell r="A1366" t="str">
            <v>Data split-11;Reg-94</v>
          </cell>
          <cell r="B1366">
            <v>-0.81</v>
          </cell>
          <cell r="C1366">
            <v>0</v>
          </cell>
          <cell r="D1366">
            <v>0.88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7.7000000000000002E-3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 t="b">
            <v>0</v>
          </cell>
        </row>
        <row r="1367">
          <cell r="A1367" t="str">
            <v>Data split-11;Reg-95</v>
          </cell>
          <cell r="B1367">
            <v>-0.85</v>
          </cell>
          <cell r="C1367">
            <v>0</v>
          </cell>
          <cell r="D1367">
            <v>0.87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2.2000000000000001E-3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 t="b">
            <v>0</v>
          </cell>
        </row>
        <row r="1368">
          <cell r="A1368" t="str">
            <v>Data split-11;Reg-96</v>
          </cell>
          <cell r="B1368">
            <v>-1.7</v>
          </cell>
          <cell r="C1368">
            <v>0.73</v>
          </cell>
          <cell r="D1368">
            <v>0</v>
          </cell>
          <cell r="E1368">
            <v>5.8000000000000003E-2</v>
          </cell>
          <cell r="F1368">
            <v>0</v>
          </cell>
          <cell r="G1368">
            <v>0</v>
          </cell>
          <cell r="H1368">
            <v>0</v>
          </cell>
          <cell r="I1368">
            <v>0.86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 t="b">
            <v>0</v>
          </cell>
        </row>
        <row r="1369">
          <cell r="A1369" t="str">
            <v>Data split-11;Reg-97</v>
          </cell>
          <cell r="B1369">
            <v>-5.9</v>
          </cell>
          <cell r="C1369">
            <v>0.26</v>
          </cell>
          <cell r="D1369">
            <v>0</v>
          </cell>
          <cell r="E1369">
            <v>0.24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15.8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 t="b">
            <v>0</v>
          </cell>
        </row>
        <row r="1370">
          <cell r="A1370" t="str">
            <v>Data split-11;Reg-98</v>
          </cell>
          <cell r="B1370">
            <v>-5.3</v>
          </cell>
          <cell r="C1370">
            <v>0.61</v>
          </cell>
          <cell r="D1370">
            <v>0</v>
          </cell>
          <cell r="E1370">
            <v>0</v>
          </cell>
          <cell r="F1370">
            <v>-9.5000000000000001E-2</v>
          </cell>
          <cell r="G1370">
            <v>0</v>
          </cell>
          <cell r="H1370">
            <v>0</v>
          </cell>
          <cell r="I1370">
            <v>2.4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 t="b">
            <v>0</v>
          </cell>
        </row>
        <row r="1371">
          <cell r="A1371" t="str">
            <v>Data split-11;Reg-99</v>
          </cell>
          <cell r="B1371">
            <v>-5.4</v>
          </cell>
          <cell r="C1371">
            <v>0.68</v>
          </cell>
          <cell r="D1371">
            <v>0</v>
          </cell>
          <cell r="E1371">
            <v>0</v>
          </cell>
          <cell r="F1371">
            <v>-8.5000000000000006E-3</v>
          </cell>
          <cell r="G1371">
            <v>0</v>
          </cell>
          <cell r="H1371">
            <v>0</v>
          </cell>
          <cell r="I1371">
            <v>0</v>
          </cell>
          <cell r="J1371">
            <v>14.9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 t="b">
            <v>0</v>
          </cell>
        </row>
        <row r="1372">
          <cell r="A1372" t="str">
            <v>Data split-11;Reg-100</v>
          </cell>
          <cell r="B1372">
            <v>-2.9</v>
          </cell>
          <cell r="C1372">
            <v>0</v>
          </cell>
          <cell r="D1372">
            <v>0.86</v>
          </cell>
          <cell r="E1372">
            <v>-0.26</v>
          </cell>
          <cell r="F1372">
            <v>0</v>
          </cell>
          <cell r="G1372">
            <v>0</v>
          </cell>
          <cell r="H1372">
            <v>0</v>
          </cell>
          <cell r="I1372">
            <v>1.4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 t="b">
            <v>0</v>
          </cell>
        </row>
        <row r="1373">
          <cell r="A1373" t="str">
            <v>Data split-11;Reg-101</v>
          </cell>
          <cell r="B1373">
            <v>-6.3</v>
          </cell>
          <cell r="C1373">
            <v>0</v>
          </cell>
          <cell r="D1373">
            <v>0.36</v>
          </cell>
          <cell r="E1373">
            <v>0.13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16.2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 t="b">
            <v>0</v>
          </cell>
        </row>
        <row r="1374">
          <cell r="A1374" t="str">
            <v>Data split-11;Reg-102</v>
          </cell>
          <cell r="B1374">
            <v>-5.9</v>
          </cell>
          <cell r="C1374">
            <v>0</v>
          </cell>
          <cell r="D1374">
            <v>0.48</v>
          </cell>
          <cell r="E1374">
            <v>0</v>
          </cell>
          <cell r="F1374">
            <v>-9.2999999999999999E-2</v>
          </cell>
          <cell r="G1374">
            <v>0</v>
          </cell>
          <cell r="H1374">
            <v>0</v>
          </cell>
          <cell r="I1374">
            <v>2.5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 t="b">
            <v>0</v>
          </cell>
        </row>
        <row r="1375">
          <cell r="A1375" t="str">
            <v>Data split-11;Reg-103</v>
          </cell>
          <cell r="B1375">
            <v>-6.3</v>
          </cell>
          <cell r="C1375">
            <v>0</v>
          </cell>
          <cell r="D1375">
            <v>0.54</v>
          </cell>
          <cell r="E1375">
            <v>0</v>
          </cell>
          <cell r="F1375">
            <v>-4.0000000000000001E-3</v>
          </cell>
          <cell r="G1375">
            <v>0</v>
          </cell>
          <cell r="H1375">
            <v>0</v>
          </cell>
          <cell r="I1375">
            <v>0</v>
          </cell>
          <cell r="J1375">
            <v>16.3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 t="b">
            <v>0</v>
          </cell>
        </row>
        <row r="1376">
          <cell r="A1376" t="str">
            <v>Data split-11;Reg-104</v>
          </cell>
          <cell r="B1376">
            <v>-0.28999999999999998</v>
          </cell>
          <cell r="C1376">
            <v>0.61</v>
          </cell>
          <cell r="D1376">
            <v>0</v>
          </cell>
          <cell r="E1376">
            <v>0.22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0.33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 t="b">
            <v>0</v>
          </cell>
        </row>
        <row r="1377">
          <cell r="A1377" t="str">
            <v>Data split-11;Reg-105</v>
          </cell>
          <cell r="B1377">
            <v>-0.63</v>
          </cell>
          <cell r="C1377">
            <v>0.56999999999999995</v>
          </cell>
          <cell r="D1377">
            <v>0</v>
          </cell>
          <cell r="E1377">
            <v>0.28000000000000003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2.1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 t="b">
            <v>0</v>
          </cell>
        </row>
        <row r="1378">
          <cell r="A1378" t="str">
            <v>Data split-11;Reg-106</v>
          </cell>
          <cell r="B1378">
            <v>-9.2999999999999999E-2</v>
          </cell>
          <cell r="C1378">
            <v>0.99</v>
          </cell>
          <cell r="D1378">
            <v>0</v>
          </cell>
          <cell r="E1378">
            <v>0</v>
          </cell>
          <cell r="F1378">
            <v>-4.1999999999999997E-3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0.28000000000000003</v>
          </cell>
          <cell r="L1378">
            <v>0</v>
          </cell>
          <cell r="M1378">
            <v>0</v>
          </cell>
          <cell r="N1378">
            <v>0</v>
          </cell>
          <cell r="O1378">
            <v>0</v>
          </cell>
          <cell r="P1378">
            <v>0</v>
          </cell>
          <cell r="Q1378">
            <v>0</v>
          </cell>
          <cell r="R1378">
            <v>0</v>
          </cell>
          <cell r="S1378">
            <v>0</v>
          </cell>
          <cell r="T1378">
            <v>0</v>
          </cell>
          <cell r="U1378" t="b">
            <v>0</v>
          </cell>
        </row>
        <row r="1379">
          <cell r="A1379" t="str">
            <v>Data split-11;Reg-107</v>
          </cell>
          <cell r="B1379">
            <v>-0.2</v>
          </cell>
          <cell r="C1379">
            <v>1</v>
          </cell>
          <cell r="D1379">
            <v>0</v>
          </cell>
          <cell r="E1379">
            <v>0</v>
          </cell>
          <cell r="F1379">
            <v>4.4999999999999997E-3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1.5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 t="b">
            <v>0</v>
          </cell>
        </row>
        <row r="1380">
          <cell r="A1380" t="str">
            <v>Data split-11;Reg-108</v>
          </cell>
          <cell r="B1380">
            <v>-0.47</v>
          </cell>
          <cell r="C1380">
            <v>0</v>
          </cell>
          <cell r="D1380">
            <v>0.56000000000000005</v>
          </cell>
          <cell r="E1380">
            <v>0.15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0.41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 t="b">
            <v>0</v>
          </cell>
        </row>
        <row r="1381">
          <cell r="A1381" t="str">
            <v>Data split-11;Reg-109</v>
          </cell>
          <cell r="B1381">
            <v>-0.83</v>
          </cell>
          <cell r="C1381">
            <v>0</v>
          </cell>
          <cell r="D1381">
            <v>0.48</v>
          </cell>
          <cell r="E1381">
            <v>0.26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2.5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 t="b">
            <v>0</v>
          </cell>
        </row>
        <row r="1382">
          <cell r="A1382" t="str">
            <v>Data split-11;Reg-110</v>
          </cell>
          <cell r="B1382">
            <v>-0.38</v>
          </cell>
          <cell r="C1382">
            <v>0</v>
          </cell>
          <cell r="D1382">
            <v>0.74</v>
          </cell>
          <cell r="E1382">
            <v>0</v>
          </cell>
          <cell r="F1382">
            <v>6.8999999999999999E-3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0.39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 t="b">
            <v>0</v>
          </cell>
        </row>
        <row r="1383">
          <cell r="A1383" t="str">
            <v>Data split-11;Reg-111</v>
          </cell>
          <cell r="B1383">
            <v>-0.52</v>
          </cell>
          <cell r="C1383">
            <v>0</v>
          </cell>
          <cell r="D1383">
            <v>0.77</v>
          </cell>
          <cell r="E1383">
            <v>0</v>
          </cell>
          <cell r="F1383">
            <v>0.02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2.2000000000000002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 t="b">
            <v>0</v>
          </cell>
        </row>
        <row r="1384">
          <cell r="A1384" t="str">
            <v>Data split-11;Reg-112</v>
          </cell>
          <cell r="B1384">
            <v>-1.3</v>
          </cell>
          <cell r="C1384">
            <v>0.65</v>
          </cell>
          <cell r="D1384">
            <v>0</v>
          </cell>
          <cell r="E1384">
            <v>0</v>
          </cell>
          <cell r="F1384">
            <v>0</v>
          </cell>
          <cell r="G1384">
            <v>0.27</v>
          </cell>
          <cell r="H1384">
            <v>0</v>
          </cell>
          <cell r="I1384">
            <v>0.53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 t="b">
            <v>0</v>
          </cell>
        </row>
        <row r="1385">
          <cell r="A1385" t="str">
            <v>Data split-11;Reg-113</v>
          </cell>
          <cell r="B1385">
            <v>-5.0999999999999996</v>
          </cell>
          <cell r="C1385">
            <v>0.3</v>
          </cell>
          <cell r="D1385">
            <v>0</v>
          </cell>
          <cell r="E1385">
            <v>0</v>
          </cell>
          <cell r="F1385">
            <v>0</v>
          </cell>
          <cell r="G1385">
            <v>0.36</v>
          </cell>
          <cell r="H1385">
            <v>0</v>
          </cell>
          <cell r="I1385">
            <v>0</v>
          </cell>
          <cell r="J1385">
            <v>13.7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 t="b">
            <v>0</v>
          </cell>
        </row>
        <row r="1386">
          <cell r="A1386" t="str">
            <v>Data split-11;Reg-114</v>
          </cell>
          <cell r="B1386">
            <v>-0.91</v>
          </cell>
          <cell r="C1386">
            <v>0.68</v>
          </cell>
          <cell r="D1386">
            <v>0</v>
          </cell>
          <cell r="E1386">
            <v>0</v>
          </cell>
          <cell r="F1386">
            <v>0</v>
          </cell>
          <cell r="G1386">
            <v>0</v>
          </cell>
          <cell r="H1386">
            <v>0.28000000000000003</v>
          </cell>
          <cell r="I1386">
            <v>0.47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 t="b">
            <v>0</v>
          </cell>
        </row>
        <row r="1387">
          <cell r="A1387" t="str">
            <v>Data split-11;Reg-115</v>
          </cell>
          <cell r="B1387">
            <v>-4.5999999999999996</v>
          </cell>
          <cell r="C1387">
            <v>0.37</v>
          </cell>
          <cell r="D1387">
            <v>0</v>
          </cell>
          <cell r="E1387">
            <v>0</v>
          </cell>
          <cell r="F1387">
            <v>0</v>
          </cell>
          <cell r="G1387">
            <v>0</v>
          </cell>
          <cell r="H1387">
            <v>0.33</v>
          </cell>
          <cell r="I1387">
            <v>0</v>
          </cell>
          <cell r="J1387">
            <v>13.3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 t="b">
            <v>0</v>
          </cell>
        </row>
        <row r="1388">
          <cell r="A1388" t="str">
            <v>Data split-11;Reg-116</v>
          </cell>
          <cell r="B1388">
            <v>-2.4</v>
          </cell>
          <cell r="C1388">
            <v>0</v>
          </cell>
          <cell r="D1388">
            <v>0.57999999999999996</v>
          </cell>
          <cell r="E1388">
            <v>0</v>
          </cell>
          <cell r="F1388">
            <v>0</v>
          </cell>
          <cell r="G1388">
            <v>5.2999999999999999E-2</v>
          </cell>
          <cell r="H1388">
            <v>0</v>
          </cell>
          <cell r="I1388">
            <v>1.1000000000000001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 t="b">
            <v>0</v>
          </cell>
        </row>
        <row r="1389">
          <cell r="A1389" t="str">
            <v>Data split-11;Reg-117</v>
          </cell>
          <cell r="B1389">
            <v>-5.7</v>
          </cell>
          <cell r="C1389">
            <v>0</v>
          </cell>
          <cell r="D1389">
            <v>0.32</v>
          </cell>
          <cell r="E1389">
            <v>0</v>
          </cell>
          <cell r="F1389">
            <v>0</v>
          </cell>
          <cell r="G1389">
            <v>0.26</v>
          </cell>
          <cell r="H1389">
            <v>0</v>
          </cell>
          <cell r="I1389">
            <v>0</v>
          </cell>
          <cell r="J1389">
            <v>14.6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 t="b">
            <v>0</v>
          </cell>
        </row>
        <row r="1390">
          <cell r="A1390" t="str">
            <v>Data split-11;Reg-118</v>
          </cell>
          <cell r="B1390">
            <v>-2.5</v>
          </cell>
          <cell r="C1390">
            <v>0</v>
          </cell>
          <cell r="D1390">
            <v>0.6</v>
          </cell>
          <cell r="E1390">
            <v>0</v>
          </cell>
          <cell r="F1390">
            <v>0</v>
          </cell>
          <cell r="G1390">
            <v>0</v>
          </cell>
          <cell r="H1390">
            <v>1.0999999999999999E-2</v>
          </cell>
          <cell r="I1390">
            <v>1.1000000000000001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 t="b">
            <v>0</v>
          </cell>
        </row>
        <row r="1391">
          <cell r="A1391" t="str">
            <v>Data split-11;Reg-119</v>
          </cell>
          <cell r="B1391">
            <v>-5.5</v>
          </cell>
          <cell r="C1391">
            <v>0</v>
          </cell>
          <cell r="D1391">
            <v>0.36</v>
          </cell>
          <cell r="E1391">
            <v>0</v>
          </cell>
          <cell r="F1391">
            <v>0</v>
          </cell>
          <cell r="G1391">
            <v>0</v>
          </cell>
          <cell r="H1391">
            <v>0.24</v>
          </cell>
          <cell r="I1391">
            <v>0</v>
          </cell>
          <cell r="J1391">
            <v>14.9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 t="b">
            <v>0</v>
          </cell>
        </row>
        <row r="1392">
          <cell r="A1392" t="str">
            <v>Data split-11;Reg-120</v>
          </cell>
          <cell r="B1392">
            <v>-0.26</v>
          </cell>
          <cell r="C1392">
            <v>0.55000000000000004</v>
          </cell>
          <cell r="D1392">
            <v>0</v>
          </cell>
          <cell r="E1392">
            <v>0</v>
          </cell>
          <cell r="F1392">
            <v>0</v>
          </cell>
          <cell r="G1392">
            <v>0.41</v>
          </cell>
          <cell r="H1392">
            <v>0</v>
          </cell>
          <cell r="I1392">
            <v>0</v>
          </cell>
          <cell r="J1392">
            <v>0</v>
          </cell>
          <cell r="K1392">
            <v>0.27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 t="b">
            <v>0</v>
          </cell>
        </row>
        <row r="1393">
          <cell r="A1393" t="str">
            <v>Data split-11;Reg-121</v>
          </cell>
          <cell r="B1393">
            <v>-0.49</v>
          </cell>
          <cell r="C1393">
            <v>0.5</v>
          </cell>
          <cell r="D1393">
            <v>0</v>
          </cell>
          <cell r="E1393">
            <v>0</v>
          </cell>
          <cell r="F1393">
            <v>0</v>
          </cell>
          <cell r="G1393">
            <v>0.48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1.9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 t="b">
            <v>0</v>
          </cell>
        </row>
        <row r="1394">
          <cell r="A1394" t="str">
            <v>Data split-11;Reg-122</v>
          </cell>
          <cell r="B1394">
            <v>0.14000000000000001</v>
          </cell>
          <cell r="C1394">
            <v>0.61</v>
          </cell>
          <cell r="D1394">
            <v>0</v>
          </cell>
          <cell r="E1394">
            <v>0</v>
          </cell>
          <cell r="F1394">
            <v>0</v>
          </cell>
          <cell r="G1394">
            <v>0</v>
          </cell>
          <cell r="H1394">
            <v>0.38</v>
          </cell>
          <cell r="I1394">
            <v>0</v>
          </cell>
          <cell r="J1394">
            <v>0</v>
          </cell>
          <cell r="K1394">
            <v>0.25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 t="b">
            <v>0</v>
          </cell>
        </row>
        <row r="1395">
          <cell r="A1395" t="str">
            <v>Data split-11;Reg-123</v>
          </cell>
          <cell r="B1395">
            <v>-1.2999999999999999E-2</v>
          </cell>
          <cell r="C1395">
            <v>0.57999999999999996</v>
          </cell>
          <cell r="D1395">
            <v>0</v>
          </cell>
          <cell r="E1395">
            <v>0</v>
          </cell>
          <cell r="F1395">
            <v>0</v>
          </cell>
          <cell r="G1395">
            <v>0</v>
          </cell>
          <cell r="H1395">
            <v>0.44</v>
          </cell>
          <cell r="I1395">
            <v>0</v>
          </cell>
          <cell r="J1395">
            <v>0</v>
          </cell>
          <cell r="K1395">
            <v>0</v>
          </cell>
          <cell r="L1395">
            <v>1.8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 t="b">
            <v>0</v>
          </cell>
        </row>
        <row r="1396">
          <cell r="A1396" t="str">
            <v>Data split-11;Reg-124</v>
          </cell>
          <cell r="B1396">
            <v>-0.46</v>
          </cell>
          <cell r="C1396">
            <v>0</v>
          </cell>
          <cell r="D1396">
            <v>0.44</v>
          </cell>
          <cell r="E1396">
            <v>0</v>
          </cell>
          <cell r="F1396">
            <v>0</v>
          </cell>
          <cell r="G1396">
            <v>0.37</v>
          </cell>
          <cell r="H1396">
            <v>0</v>
          </cell>
          <cell r="I1396">
            <v>0</v>
          </cell>
          <cell r="J1396">
            <v>0</v>
          </cell>
          <cell r="K1396">
            <v>0.34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 t="b">
            <v>0</v>
          </cell>
        </row>
        <row r="1397">
          <cell r="A1397" t="str">
            <v>Data split-11;Reg-125</v>
          </cell>
          <cell r="B1397">
            <v>-0.73</v>
          </cell>
          <cell r="C1397">
            <v>0</v>
          </cell>
          <cell r="D1397">
            <v>0.4</v>
          </cell>
          <cell r="E1397">
            <v>0</v>
          </cell>
          <cell r="F1397">
            <v>0</v>
          </cell>
          <cell r="G1397">
            <v>0.48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2.2000000000000002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 t="b">
            <v>0</v>
          </cell>
        </row>
        <row r="1398">
          <cell r="A1398" t="str">
            <v>Data split-11;Reg-126</v>
          </cell>
          <cell r="B1398">
            <v>-7.8E-2</v>
          </cell>
          <cell r="C1398">
            <v>0</v>
          </cell>
          <cell r="D1398">
            <v>0.5</v>
          </cell>
          <cell r="E1398">
            <v>0</v>
          </cell>
          <cell r="F1398">
            <v>0</v>
          </cell>
          <cell r="G1398">
            <v>0</v>
          </cell>
          <cell r="H1398">
            <v>0.33</v>
          </cell>
          <cell r="I1398">
            <v>0</v>
          </cell>
          <cell r="J1398">
            <v>0</v>
          </cell>
          <cell r="K1398">
            <v>0.35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 t="b">
            <v>0</v>
          </cell>
        </row>
        <row r="1399">
          <cell r="A1399" t="str">
            <v>Data split-11;Reg-127</v>
          </cell>
          <cell r="B1399">
            <v>-0.25</v>
          </cell>
          <cell r="C1399">
            <v>0</v>
          </cell>
          <cell r="D1399">
            <v>0.47</v>
          </cell>
          <cell r="E1399">
            <v>0</v>
          </cell>
          <cell r="F1399">
            <v>0</v>
          </cell>
          <cell r="G1399">
            <v>0</v>
          </cell>
          <cell r="H1399">
            <v>0.43</v>
          </cell>
          <cell r="I1399">
            <v>0</v>
          </cell>
          <cell r="J1399">
            <v>0</v>
          </cell>
          <cell r="K1399">
            <v>0</v>
          </cell>
          <cell r="L1399">
            <v>2.2000000000000002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 t="b">
            <v>0</v>
          </cell>
        </row>
        <row r="1400">
          <cell r="A1400" t="str">
            <v>Data split-12;Reg-1</v>
          </cell>
          <cell r="B1400">
            <v>-5.5</v>
          </cell>
          <cell r="C1400">
            <v>0.38</v>
          </cell>
          <cell r="D1400">
            <v>0</v>
          </cell>
          <cell r="E1400">
            <v>0</v>
          </cell>
          <cell r="F1400">
            <v>0</v>
          </cell>
          <cell r="G1400">
            <v>0</v>
          </cell>
          <cell r="H1400">
            <v>0.97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-1.7000000000000001E-2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 t="b">
            <v>1</v>
          </cell>
        </row>
        <row r="1401">
          <cell r="A1401" t="str">
            <v>Data split-12;Reg-2</v>
          </cell>
          <cell r="B1401">
            <v>-7</v>
          </cell>
          <cell r="C1401">
            <v>9.6000000000000002E-2</v>
          </cell>
          <cell r="D1401">
            <v>0</v>
          </cell>
          <cell r="E1401">
            <v>0</v>
          </cell>
          <cell r="F1401">
            <v>-7.9000000000000001E-2</v>
          </cell>
          <cell r="G1401">
            <v>1.9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-7.3000000000000001E-3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 t="b">
            <v>0</v>
          </cell>
        </row>
        <row r="1402">
          <cell r="A1402" t="str">
            <v>Data split-12;Reg-3</v>
          </cell>
          <cell r="B1402">
            <v>-10.1</v>
          </cell>
          <cell r="C1402">
            <v>5.1999999999999998E-2</v>
          </cell>
          <cell r="D1402">
            <v>0</v>
          </cell>
          <cell r="E1402">
            <v>0</v>
          </cell>
          <cell r="F1402">
            <v>-0.05</v>
          </cell>
          <cell r="G1402">
            <v>0</v>
          </cell>
          <cell r="H1402">
            <v>2.1</v>
          </cell>
          <cell r="I1402">
            <v>0</v>
          </cell>
          <cell r="J1402">
            <v>0</v>
          </cell>
          <cell r="K1402">
            <v>0</v>
          </cell>
          <cell r="L1402">
            <v>0</v>
          </cell>
          <cell r="M1402">
            <v>-4.3999999999999997E-2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 t="b">
            <v>0</v>
          </cell>
        </row>
        <row r="1403">
          <cell r="A1403" t="str">
            <v>Data split-12;Reg-4</v>
          </cell>
          <cell r="B1403">
            <v>-7.5</v>
          </cell>
          <cell r="C1403">
            <v>0.17</v>
          </cell>
          <cell r="D1403">
            <v>0</v>
          </cell>
          <cell r="E1403">
            <v>0</v>
          </cell>
          <cell r="F1403">
            <v>-4.9000000000000002E-2</v>
          </cell>
          <cell r="G1403">
            <v>0</v>
          </cell>
          <cell r="H1403">
            <v>2.2000000000000002</v>
          </cell>
          <cell r="I1403">
            <v>0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-1.2E-2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 t="b">
            <v>0</v>
          </cell>
        </row>
        <row r="1404">
          <cell r="A1404" t="str">
            <v>Data split-12;Reg-5</v>
          </cell>
          <cell r="B1404">
            <v>-6.7</v>
          </cell>
          <cell r="C1404">
            <v>0</v>
          </cell>
          <cell r="D1404">
            <v>0.13</v>
          </cell>
          <cell r="E1404">
            <v>0</v>
          </cell>
          <cell r="F1404">
            <v>-6.6000000000000003E-2</v>
          </cell>
          <cell r="G1404">
            <v>1.8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-8.0999999999999996E-3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 t="b">
            <v>0</v>
          </cell>
        </row>
        <row r="1405">
          <cell r="A1405" t="str">
            <v>Data split-12;Reg-6</v>
          </cell>
          <cell r="B1405">
            <v>-7.4</v>
          </cell>
          <cell r="C1405">
            <v>0</v>
          </cell>
          <cell r="D1405">
            <v>0.18</v>
          </cell>
          <cell r="E1405">
            <v>0</v>
          </cell>
          <cell r="F1405">
            <v>-3.3000000000000002E-2</v>
          </cell>
          <cell r="G1405">
            <v>0</v>
          </cell>
          <cell r="H1405">
            <v>2.1</v>
          </cell>
          <cell r="I1405">
            <v>0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-1.2999999999999999E-2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 t="b">
            <v>0</v>
          </cell>
        </row>
        <row r="1406">
          <cell r="A1406" t="str">
            <v>Data split-12;Reg-7</v>
          </cell>
          <cell r="B1406">
            <v>-6.7</v>
          </cell>
          <cell r="C1406">
            <v>0.2</v>
          </cell>
          <cell r="D1406">
            <v>0</v>
          </cell>
          <cell r="E1406">
            <v>0</v>
          </cell>
          <cell r="F1406">
            <v>0</v>
          </cell>
          <cell r="G1406">
            <v>0</v>
          </cell>
          <cell r="H1406">
            <v>0.76</v>
          </cell>
          <cell r="I1406">
            <v>1.3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-2.9000000000000001E-2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 t="b">
            <v>0</v>
          </cell>
        </row>
        <row r="1407">
          <cell r="A1407" t="str">
            <v>Data split-12;Reg-8</v>
          </cell>
          <cell r="B1407">
            <v>-6.4</v>
          </cell>
          <cell r="C1407">
            <v>0.28000000000000003</v>
          </cell>
          <cell r="D1407">
            <v>0</v>
          </cell>
          <cell r="E1407">
            <v>0</v>
          </cell>
          <cell r="F1407">
            <v>0</v>
          </cell>
          <cell r="G1407">
            <v>0</v>
          </cell>
          <cell r="H1407">
            <v>0.71</v>
          </cell>
          <cell r="I1407">
            <v>1.3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-6.4999999999999997E-3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 t="b">
            <v>0</v>
          </cell>
        </row>
        <row r="1408">
          <cell r="A1408" t="str">
            <v>Data split-12;Reg-9</v>
          </cell>
          <cell r="B1408">
            <v>-1.2</v>
          </cell>
          <cell r="C1408">
            <v>0.55000000000000004</v>
          </cell>
          <cell r="D1408">
            <v>0</v>
          </cell>
          <cell r="E1408">
            <v>0</v>
          </cell>
          <cell r="F1408">
            <v>0</v>
          </cell>
          <cell r="G1408">
            <v>-0.37</v>
          </cell>
          <cell r="H1408">
            <v>0</v>
          </cell>
          <cell r="I1408">
            <v>0.28000000000000003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1.0999999999999999E-2</v>
          </cell>
          <cell r="S1408">
            <v>0</v>
          </cell>
          <cell r="T1408">
            <v>0</v>
          </cell>
          <cell r="U1408" t="b">
            <v>0</v>
          </cell>
        </row>
        <row r="1409">
          <cell r="A1409" t="str">
            <v>Data split-12;Reg-10</v>
          </cell>
          <cell r="B1409">
            <v>-4.9000000000000004</v>
          </cell>
          <cell r="C1409">
            <v>0.52</v>
          </cell>
          <cell r="D1409">
            <v>0</v>
          </cell>
          <cell r="E1409">
            <v>0</v>
          </cell>
          <cell r="F1409">
            <v>0</v>
          </cell>
          <cell r="G1409">
            <v>0</v>
          </cell>
          <cell r="H1409">
            <v>1</v>
          </cell>
          <cell r="I1409">
            <v>0</v>
          </cell>
          <cell r="J1409">
            <v>0</v>
          </cell>
          <cell r="K1409">
            <v>-0.68</v>
          </cell>
          <cell r="L1409">
            <v>0</v>
          </cell>
          <cell r="M1409">
            <v>0</v>
          </cell>
          <cell r="N1409">
            <v>0</v>
          </cell>
          <cell r="O1409">
            <v>-1.0999999999999999E-2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 t="b">
            <v>1</v>
          </cell>
        </row>
        <row r="1410">
          <cell r="A1410" t="str">
            <v>Data split-12;Reg-11</v>
          </cell>
          <cell r="B1410">
            <v>0.82</v>
          </cell>
          <cell r="C1410">
            <v>1</v>
          </cell>
          <cell r="D1410">
            <v>0</v>
          </cell>
          <cell r="E1410">
            <v>0</v>
          </cell>
          <cell r="F1410">
            <v>0</v>
          </cell>
          <cell r="G1410">
            <v>0</v>
          </cell>
          <cell r="H1410">
            <v>0</v>
          </cell>
          <cell r="I1410">
            <v>2.1</v>
          </cell>
          <cell r="J1410">
            <v>0</v>
          </cell>
          <cell r="K1410">
            <v>-1.5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 t="b">
            <v>0</v>
          </cell>
        </row>
        <row r="1411">
          <cell r="A1411" t="str">
            <v>Data split-12;Reg-12</v>
          </cell>
          <cell r="B1411">
            <v>-1.9</v>
          </cell>
          <cell r="C1411">
            <v>0.31</v>
          </cell>
          <cell r="D1411">
            <v>0</v>
          </cell>
          <cell r="E1411">
            <v>0</v>
          </cell>
          <cell r="F1411">
            <v>0</v>
          </cell>
          <cell r="G1411">
            <v>0</v>
          </cell>
          <cell r="H1411">
            <v>0</v>
          </cell>
          <cell r="I1411">
            <v>0.94</v>
          </cell>
          <cell r="J1411">
            <v>0</v>
          </cell>
          <cell r="K1411">
            <v>0</v>
          </cell>
          <cell r="L1411">
            <v>16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 t="b">
            <v>0</v>
          </cell>
        </row>
        <row r="1412">
          <cell r="A1412" t="str">
            <v>Data split-12;Reg-13</v>
          </cell>
          <cell r="B1412">
            <v>-7.7</v>
          </cell>
          <cell r="C1412">
            <v>0.15</v>
          </cell>
          <cell r="D1412">
            <v>0</v>
          </cell>
          <cell r="E1412">
            <v>0</v>
          </cell>
          <cell r="F1412">
            <v>0</v>
          </cell>
          <cell r="G1412">
            <v>0</v>
          </cell>
          <cell r="H1412">
            <v>0</v>
          </cell>
          <cell r="I1412">
            <v>0</v>
          </cell>
          <cell r="J1412">
            <v>44.6</v>
          </cell>
          <cell r="K1412">
            <v>-0.65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 t="b">
            <v>0</v>
          </cell>
        </row>
        <row r="1413">
          <cell r="A1413" t="str">
            <v>Data split-12;Reg-14</v>
          </cell>
          <cell r="B1413">
            <v>-7.4</v>
          </cell>
          <cell r="C1413">
            <v>-5.2999999999999999E-2</v>
          </cell>
          <cell r="D1413">
            <v>0</v>
          </cell>
          <cell r="E1413">
            <v>0</v>
          </cell>
          <cell r="F1413">
            <v>0</v>
          </cell>
          <cell r="G1413">
            <v>0</v>
          </cell>
          <cell r="H1413">
            <v>0</v>
          </cell>
          <cell r="I1413">
            <v>0</v>
          </cell>
          <cell r="J1413">
            <v>38.1</v>
          </cell>
          <cell r="K1413">
            <v>0</v>
          </cell>
          <cell r="L1413">
            <v>3.4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 t="b">
            <v>0</v>
          </cell>
        </row>
        <row r="1414">
          <cell r="A1414" t="str">
            <v>Data split-12;Reg-15</v>
          </cell>
          <cell r="B1414">
            <v>0.32</v>
          </cell>
          <cell r="C1414">
            <v>0.65</v>
          </cell>
          <cell r="D1414">
            <v>0</v>
          </cell>
          <cell r="E1414">
            <v>0</v>
          </cell>
          <cell r="F1414">
            <v>0</v>
          </cell>
          <cell r="G1414">
            <v>0</v>
          </cell>
          <cell r="H1414">
            <v>0</v>
          </cell>
          <cell r="I1414">
            <v>0.31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2.4E-2</v>
          </cell>
          <cell r="R1414">
            <v>0</v>
          </cell>
          <cell r="S1414">
            <v>0</v>
          </cell>
          <cell r="T1414">
            <v>0</v>
          </cell>
          <cell r="U1414" t="b">
            <v>0</v>
          </cell>
        </row>
        <row r="1415">
          <cell r="A1415" t="str">
            <v>Data split-12;Reg-16</v>
          </cell>
          <cell r="B1415">
            <v>-1.7</v>
          </cell>
          <cell r="C1415">
            <v>0.49</v>
          </cell>
          <cell r="D1415">
            <v>0</v>
          </cell>
          <cell r="E1415">
            <v>0</v>
          </cell>
          <cell r="F1415">
            <v>0</v>
          </cell>
          <cell r="G1415">
            <v>0</v>
          </cell>
          <cell r="H1415">
            <v>0</v>
          </cell>
          <cell r="I1415">
            <v>3.6999999999999998E-2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8.2000000000000007E-3</v>
          </cell>
          <cell r="S1415">
            <v>0</v>
          </cell>
          <cell r="T1415">
            <v>0</v>
          </cell>
          <cell r="U1415" t="b">
            <v>0</v>
          </cell>
        </row>
        <row r="1416">
          <cell r="A1416" t="str">
            <v>Data split-12;Reg-17</v>
          </cell>
          <cell r="B1416">
            <v>-6.1</v>
          </cell>
          <cell r="C1416">
            <v>1.7000000000000001E-2</v>
          </cell>
          <cell r="D1416">
            <v>0</v>
          </cell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31.8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1.2E-2</v>
          </cell>
          <cell r="R1416">
            <v>0</v>
          </cell>
          <cell r="S1416">
            <v>0</v>
          </cell>
          <cell r="T1416">
            <v>0</v>
          </cell>
          <cell r="U1416" t="b">
            <v>0</v>
          </cell>
        </row>
        <row r="1417">
          <cell r="A1417" t="str">
            <v>Data split-12;Reg-18</v>
          </cell>
          <cell r="B1417">
            <v>-6.4</v>
          </cell>
          <cell r="C1417">
            <v>-1.4999999999999999E-2</v>
          </cell>
          <cell r="D1417">
            <v>0</v>
          </cell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26.7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4.7999999999999996E-3</v>
          </cell>
          <cell r="S1417">
            <v>0</v>
          </cell>
          <cell r="T1417">
            <v>0</v>
          </cell>
          <cell r="U1417" t="b">
            <v>0</v>
          </cell>
        </row>
        <row r="1418">
          <cell r="A1418" t="str">
            <v>Data split-12;Reg-19</v>
          </cell>
          <cell r="B1418">
            <v>1</v>
          </cell>
          <cell r="C1418">
            <v>0.86</v>
          </cell>
          <cell r="D1418">
            <v>0</v>
          </cell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-0.52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2.9000000000000001E-2</v>
          </cell>
          <cell r="T1418">
            <v>0</v>
          </cell>
          <cell r="U1418" t="b">
            <v>0</v>
          </cell>
        </row>
        <row r="1419">
          <cell r="A1419" t="str">
            <v>Data split-12;Reg-20</v>
          </cell>
          <cell r="B1419">
            <v>-1.5</v>
          </cell>
          <cell r="C1419">
            <v>0.66</v>
          </cell>
          <cell r="D1419">
            <v>0</v>
          </cell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-0.85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0.01</v>
          </cell>
          <cell r="U1419" t="b">
            <v>0</v>
          </cell>
        </row>
        <row r="1420">
          <cell r="A1420" t="str">
            <v>Data split-12;Reg-21</v>
          </cell>
          <cell r="B1420">
            <v>-1.6</v>
          </cell>
          <cell r="C1420">
            <v>0.31</v>
          </cell>
          <cell r="D1420">
            <v>0</v>
          </cell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13.7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2.1999999999999999E-2</v>
          </cell>
          <cell r="T1420">
            <v>0</v>
          </cell>
          <cell r="U1420" t="b">
            <v>0</v>
          </cell>
        </row>
        <row r="1421">
          <cell r="A1421" t="str">
            <v>Data split-12;Reg-22</v>
          </cell>
          <cell r="B1421">
            <v>-2.8</v>
          </cell>
          <cell r="C1421">
            <v>0.21</v>
          </cell>
          <cell r="D1421">
            <v>0</v>
          </cell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9.1999999999999993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7.4999999999999997E-3</v>
          </cell>
          <cell r="U1421" t="b">
            <v>0</v>
          </cell>
        </row>
        <row r="1422">
          <cell r="A1422" t="str">
            <v>Data split-12;Reg-23</v>
          </cell>
          <cell r="B1422">
            <v>-2.1</v>
          </cell>
          <cell r="C1422">
            <v>0</v>
          </cell>
          <cell r="D1422">
            <v>0.59</v>
          </cell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1.7</v>
          </cell>
          <cell r="J1422">
            <v>0</v>
          </cell>
          <cell r="K1422">
            <v>-0.51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 t="b">
            <v>0</v>
          </cell>
        </row>
        <row r="1423">
          <cell r="A1423" t="str">
            <v>Data split-12;Reg-24</v>
          </cell>
          <cell r="B1423">
            <v>-3</v>
          </cell>
          <cell r="C1423">
            <v>0</v>
          </cell>
          <cell r="D1423">
            <v>0.4</v>
          </cell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0.88</v>
          </cell>
          <cell r="J1423">
            <v>0</v>
          </cell>
          <cell r="K1423">
            <v>0</v>
          </cell>
          <cell r="L1423">
            <v>11.9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 t="b">
            <v>0</v>
          </cell>
        </row>
        <row r="1424">
          <cell r="A1424" t="str">
            <v>Data split-12;Reg-25</v>
          </cell>
          <cell r="B1424">
            <v>-7.8</v>
          </cell>
          <cell r="C1424">
            <v>0</v>
          </cell>
          <cell r="D1424">
            <v>0.18</v>
          </cell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40.700000000000003</v>
          </cell>
          <cell r="K1424">
            <v>-0.52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 t="b">
            <v>0</v>
          </cell>
        </row>
        <row r="1425">
          <cell r="A1425" t="str">
            <v>Data split-12;Reg-26</v>
          </cell>
          <cell r="B1425">
            <v>-6.6</v>
          </cell>
          <cell r="C1425">
            <v>0</v>
          </cell>
          <cell r="D1425">
            <v>0.19</v>
          </cell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33.299999999999997</v>
          </cell>
          <cell r="K1425">
            <v>0</v>
          </cell>
          <cell r="L1425">
            <v>0.18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 t="b">
            <v>0</v>
          </cell>
        </row>
        <row r="1426">
          <cell r="A1426" t="str">
            <v>Data split-12;Reg-27</v>
          </cell>
          <cell r="B1426">
            <v>-1.7</v>
          </cell>
          <cell r="C1426">
            <v>0</v>
          </cell>
          <cell r="D1426">
            <v>0.45</v>
          </cell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0.95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1.2999999999999999E-2</v>
          </cell>
          <cell r="R1426">
            <v>0</v>
          </cell>
          <cell r="S1426">
            <v>0</v>
          </cell>
          <cell r="T1426">
            <v>0</v>
          </cell>
          <cell r="U1426" t="b">
            <v>0</v>
          </cell>
        </row>
        <row r="1427">
          <cell r="A1427" t="str">
            <v>Data split-12;Reg-28</v>
          </cell>
          <cell r="B1427">
            <v>-2.9</v>
          </cell>
          <cell r="C1427">
            <v>0</v>
          </cell>
          <cell r="D1427">
            <v>0.3</v>
          </cell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0.53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6.7999999999999996E-3</v>
          </cell>
          <cell r="S1427">
            <v>0</v>
          </cell>
          <cell r="T1427">
            <v>0</v>
          </cell>
          <cell r="U1427" t="b">
            <v>0</v>
          </cell>
        </row>
        <row r="1428">
          <cell r="A1428" t="str">
            <v>Data split-12;Reg-29</v>
          </cell>
          <cell r="B1428">
            <v>-6</v>
          </cell>
          <cell r="C1428">
            <v>0</v>
          </cell>
          <cell r="D1428">
            <v>0.11</v>
          </cell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29.5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0.01</v>
          </cell>
          <cell r="R1428">
            <v>0</v>
          </cell>
          <cell r="S1428">
            <v>0</v>
          </cell>
          <cell r="T1428">
            <v>0</v>
          </cell>
          <cell r="U1428" t="b">
            <v>0</v>
          </cell>
        </row>
        <row r="1429">
          <cell r="A1429" t="str">
            <v>Data split-12;Reg-30</v>
          </cell>
          <cell r="B1429">
            <v>-6.2</v>
          </cell>
          <cell r="C1429">
            <v>0</v>
          </cell>
          <cell r="D1429">
            <v>6.3E-2</v>
          </cell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25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4.4000000000000003E-3</v>
          </cell>
          <cell r="S1429">
            <v>0</v>
          </cell>
          <cell r="T1429">
            <v>0</v>
          </cell>
          <cell r="U1429" t="b">
            <v>0</v>
          </cell>
        </row>
        <row r="1430">
          <cell r="A1430" t="str">
            <v>Data split-12;Reg-31</v>
          </cell>
          <cell r="B1430">
            <v>-1.2</v>
          </cell>
          <cell r="C1430">
            <v>0</v>
          </cell>
          <cell r="D1430">
            <v>0.48</v>
          </cell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0.61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1.6E-2</v>
          </cell>
          <cell r="T1430">
            <v>0</v>
          </cell>
          <cell r="U1430" t="b">
            <v>0</v>
          </cell>
        </row>
        <row r="1431">
          <cell r="A1431" t="str">
            <v>Data split-12;Reg-32</v>
          </cell>
          <cell r="B1431">
            <v>-2.7</v>
          </cell>
          <cell r="C1431">
            <v>0</v>
          </cell>
          <cell r="D1431">
            <v>0.3</v>
          </cell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1.6E-2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8.5000000000000006E-3</v>
          </cell>
          <cell r="U1431" t="b">
            <v>0</v>
          </cell>
        </row>
        <row r="1432">
          <cell r="A1432" t="str">
            <v>Data split-12;Reg-33</v>
          </cell>
          <cell r="B1432">
            <v>-2.9</v>
          </cell>
          <cell r="C1432">
            <v>0</v>
          </cell>
          <cell r="D1432">
            <v>0.27</v>
          </cell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16.100000000000001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1.7000000000000001E-2</v>
          </cell>
          <cell r="T1432">
            <v>0</v>
          </cell>
          <cell r="U1432" t="b">
            <v>0</v>
          </cell>
        </row>
        <row r="1433">
          <cell r="A1433" t="str">
            <v>Data split-12;Reg-34</v>
          </cell>
          <cell r="B1433">
            <v>-3.6</v>
          </cell>
          <cell r="C1433">
            <v>0</v>
          </cell>
          <cell r="D1433">
            <v>0.18</v>
          </cell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11.4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6.6E-3</v>
          </cell>
          <cell r="U1433" t="b">
            <v>0</v>
          </cell>
        </row>
        <row r="1434">
          <cell r="A1434" t="str">
            <v>Data split-12;Reg-35</v>
          </cell>
          <cell r="B1434">
            <v>0.17</v>
          </cell>
          <cell r="C1434">
            <v>0.9</v>
          </cell>
          <cell r="D1434">
            <v>0</v>
          </cell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1.5</v>
          </cell>
          <cell r="J1434">
            <v>0</v>
          </cell>
          <cell r="K1434">
            <v>-1.8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2.5999999999999999E-2</v>
          </cell>
          <cell r="R1434">
            <v>0</v>
          </cell>
          <cell r="S1434">
            <v>0</v>
          </cell>
          <cell r="T1434">
            <v>0</v>
          </cell>
          <cell r="U1434" t="b">
            <v>0</v>
          </cell>
        </row>
        <row r="1435">
          <cell r="A1435" t="str">
            <v>Data split-12;Reg-36</v>
          </cell>
          <cell r="B1435">
            <v>-2</v>
          </cell>
          <cell r="C1435">
            <v>0.74</v>
          </cell>
          <cell r="D1435">
            <v>0</v>
          </cell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1.2</v>
          </cell>
          <cell r="J1435">
            <v>0</v>
          </cell>
          <cell r="K1435">
            <v>-1.8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8.6999999999999994E-3</v>
          </cell>
          <cell r="S1435">
            <v>0</v>
          </cell>
          <cell r="T1435">
            <v>0</v>
          </cell>
          <cell r="U1435" t="b">
            <v>0</v>
          </cell>
        </row>
        <row r="1436">
          <cell r="A1436" t="str">
            <v>Data split-12;Reg-37</v>
          </cell>
          <cell r="B1436">
            <v>-1.9</v>
          </cell>
          <cell r="C1436">
            <v>0.27</v>
          </cell>
          <cell r="D1436">
            <v>0</v>
          </cell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0.23</v>
          </cell>
          <cell r="J1436">
            <v>0</v>
          </cell>
          <cell r="K1436">
            <v>0</v>
          </cell>
          <cell r="L1436">
            <v>12.8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2.1999999999999999E-2</v>
          </cell>
          <cell r="R1436">
            <v>0</v>
          </cell>
          <cell r="S1436">
            <v>0</v>
          </cell>
          <cell r="T1436">
            <v>0</v>
          </cell>
          <cell r="U1436" t="b">
            <v>0</v>
          </cell>
        </row>
        <row r="1437">
          <cell r="A1437" t="str">
            <v>Data split-12;Reg-38</v>
          </cell>
          <cell r="B1437">
            <v>-3.2</v>
          </cell>
          <cell r="C1437">
            <v>0.22</v>
          </cell>
          <cell r="D1437">
            <v>0</v>
          </cell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6.6E-4</v>
          </cell>
          <cell r="J1437">
            <v>0</v>
          </cell>
          <cell r="K1437">
            <v>0</v>
          </cell>
          <cell r="L1437">
            <v>9.4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7.7999999999999996E-3</v>
          </cell>
          <cell r="S1437">
            <v>0</v>
          </cell>
          <cell r="T1437">
            <v>0</v>
          </cell>
          <cell r="U1437" t="b">
            <v>0</v>
          </cell>
        </row>
        <row r="1438">
          <cell r="A1438" t="str">
            <v>Data split-12;Reg-39</v>
          </cell>
          <cell r="B1438">
            <v>-6.7</v>
          </cell>
          <cell r="C1438">
            <v>0.22</v>
          </cell>
          <cell r="D1438">
            <v>0</v>
          </cell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36.799999999999997</v>
          </cell>
          <cell r="K1438">
            <v>-1.1000000000000001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1.7999999999999999E-2</v>
          </cell>
          <cell r="R1438">
            <v>0</v>
          </cell>
          <cell r="S1438">
            <v>0</v>
          </cell>
          <cell r="T1438">
            <v>0</v>
          </cell>
          <cell r="U1438" t="b">
            <v>0</v>
          </cell>
        </row>
        <row r="1439">
          <cell r="A1439" t="str">
            <v>Data split-12;Reg-40</v>
          </cell>
          <cell r="B1439">
            <v>-7.3</v>
          </cell>
          <cell r="C1439">
            <v>0.2</v>
          </cell>
          <cell r="D1439">
            <v>0</v>
          </cell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31.7</v>
          </cell>
          <cell r="K1439">
            <v>-1.2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6.4000000000000003E-3</v>
          </cell>
          <cell r="S1439">
            <v>0</v>
          </cell>
          <cell r="T1439">
            <v>0</v>
          </cell>
          <cell r="U1439" t="b">
            <v>0</v>
          </cell>
        </row>
        <row r="1440">
          <cell r="A1440" t="str">
            <v>Data split-12;Reg-41</v>
          </cell>
          <cell r="B1440">
            <v>-6.4</v>
          </cell>
          <cell r="C1440">
            <v>-5.5E-2</v>
          </cell>
          <cell r="D1440">
            <v>0</v>
          </cell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30.7</v>
          </cell>
          <cell r="K1440">
            <v>0</v>
          </cell>
          <cell r="L1440">
            <v>3.1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1.2E-2</v>
          </cell>
          <cell r="R1440">
            <v>0</v>
          </cell>
          <cell r="S1440">
            <v>0</v>
          </cell>
          <cell r="T1440">
            <v>0</v>
          </cell>
          <cell r="U1440" t="b">
            <v>0</v>
          </cell>
        </row>
        <row r="1441">
          <cell r="A1441" t="str">
            <v>Data split-12;Reg-42</v>
          </cell>
          <cell r="B1441">
            <v>-6.6</v>
          </cell>
          <cell r="C1441">
            <v>-6.0999999999999999E-2</v>
          </cell>
          <cell r="D1441">
            <v>0</v>
          </cell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26.1</v>
          </cell>
          <cell r="K1441">
            <v>0</v>
          </cell>
          <cell r="L1441">
            <v>2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4.7999999999999996E-3</v>
          </cell>
          <cell r="S1441">
            <v>0</v>
          </cell>
          <cell r="T1441">
            <v>0</v>
          </cell>
          <cell r="U1441" t="b">
            <v>0</v>
          </cell>
        </row>
        <row r="1442">
          <cell r="A1442" t="str">
            <v>Data split-12;Reg-43</v>
          </cell>
          <cell r="B1442">
            <v>0.34</v>
          </cell>
          <cell r="C1442">
            <v>0.9</v>
          </cell>
          <cell r="D1442">
            <v>0</v>
          </cell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1.7</v>
          </cell>
          <cell r="J1442">
            <v>0</v>
          </cell>
          <cell r="K1442">
            <v>-1.9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2.5000000000000001E-2</v>
          </cell>
          <cell r="T1442">
            <v>0</v>
          </cell>
          <cell r="U1442" t="b">
            <v>0</v>
          </cell>
        </row>
        <row r="1443">
          <cell r="A1443" t="str">
            <v>Data split-12;Reg-44</v>
          </cell>
          <cell r="B1443">
            <v>-1.8</v>
          </cell>
          <cell r="C1443">
            <v>0.71</v>
          </cell>
          <cell r="D1443">
            <v>0</v>
          </cell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1.5</v>
          </cell>
          <cell r="J1443">
            <v>0</v>
          </cell>
          <cell r="K1443">
            <v>-2.1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8.8999999999999999E-3</v>
          </cell>
          <cell r="U1443" t="b">
            <v>0</v>
          </cell>
        </row>
        <row r="1444">
          <cell r="A1444" t="str">
            <v>Data split-12;Reg-45</v>
          </cell>
          <cell r="B1444">
            <v>-1.7</v>
          </cell>
          <cell r="C1444">
            <v>0.26</v>
          </cell>
          <cell r="D1444">
            <v>0</v>
          </cell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0.35</v>
          </cell>
          <cell r="J1444">
            <v>0</v>
          </cell>
          <cell r="K1444">
            <v>0</v>
          </cell>
          <cell r="L1444">
            <v>13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1.9E-2</v>
          </cell>
          <cell r="T1444">
            <v>0</v>
          </cell>
          <cell r="U1444" t="b">
            <v>0</v>
          </cell>
        </row>
        <row r="1445">
          <cell r="A1445" t="str">
            <v>Data split-12;Reg-46</v>
          </cell>
          <cell r="B1445">
            <v>-2.8</v>
          </cell>
          <cell r="C1445">
            <v>0.19</v>
          </cell>
          <cell r="D1445">
            <v>0</v>
          </cell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0.12</v>
          </cell>
          <cell r="J1445">
            <v>0</v>
          </cell>
          <cell r="K1445">
            <v>0</v>
          </cell>
          <cell r="L1445">
            <v>9.1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7.1999999999999998E-3</v>
          </cell>
          <cell r="U1445" t="b">
            <v>0</v>
          </cell>
        </row>
        <row r="1446">
          <cell r="A1446" t="str">
            <v>Data split-12;Reg-47</v>
          </cell>
          <cell r="B1446">
            <v>-6.9</v>
          </cell>
          <cell r="C1446">
            <v>0.19</v>
          </cell>
          <cell r="D1446">
            <v>0</v>
          </cell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38.5</v>
          </cell>
          <cell r="K1446">
            <v>-1.1000000000000001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1.7000000000000001E-2</v>
          </cell>
          <cell r="T1446">
            <v>0</v>
          </cell>
          <cell r="U1446" t="b">
            <v>0</v>
          </cell>
        </row>
        <row r="1447">
          <cell r="A1447" t="str">
            <v>Data split-12;Reg-48</v>
          </cell>
          <cell r="B1447">
            <v>-7.7</v>
          </cell>
          <cell r="C1447">
            <v>0.13</v>
          </cell>
          <cell r="D1447">
            <v>0</v>
          </cell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34.1</v>
          </cell>
          <cell r="K1447">
            <v>-1.3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6.6E-3</v>
          </cell>
          <cell r="U1447" t="b">
            <v>0</v>
          </cell>
        </row>
        <row r="1448">
          <cell r="A1448" t="str">
            <v>Data split-12;Reg-49</v>
          </cell>
          <cell r="B1448">
            <v>-6.6</v>
          </cell>
          <cell r="C1448">
            <v>-7.1999999999999995E-2</v>
          </cell>
          <cell r="D1448">
            <v>0</v>
          </cell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32.700000000000003</v>
          </cell>
          <cell r="K1448">
            <v>0</v>
          </cell>
          <cell r="L1448">
            <v>2.8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9.7999999999999997E-3</v>
          </cell>
          <cell r="T1448">
            <v>0</v>
          </cell>
          <cell r="U1448" t="b">
            <v>0</v>
          </cell>
        </row>
        <row r="1449">
          <cell r="A1449" t="str">
            <v>Data split-12;Reg-50</v>
          </cell>
          <cell r="B1449">
            <v>-6.7</v>
          </cell>
          <cell r="C1449">
            <v>-9.5000000000000001E-2</v>
          </cell>
          <cell r="D1449">
            <v>0</v>
          </cell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29</v>
          </cell>
          <cell r="K1449">
            <v>0</v>
          </cell>
          <cell r="L1449">
            <v>1.1000000000000001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4.1999999999999997E-3</v>
          </cell>
          <cell r="U1449" t="b">
            <v>0</v>
          </cell>
        </row>
        <row r="1450">
          <cell r="A1450" t="str">
            <v>Data split-12;Reg-51</v>
          </cell>
          <cell r="B1450">
            <v>-2</v>
          </cell>
          <cell r="C1450">
            <v>0</v>
          </cell>
          <cell r="D1450">
            <v>0.48</v>
          </cell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1.5</v>
          </cell>
          <cell r="J1450">
            <v>0</v>
          </cell>
          <cell r="K1450">
            <v>-0.62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1.4E-2</v>
          </cell>
          <cell r="R1450">
            <v>0</v>
          </cell>
          <cell r="S1450">
            <v>0</v>
          </cell>
          <cell r="T1450">
            <v>0</v>
          </cell>
          <cell r="U1450" t="b">
            <v>0</v>
          </cell>
        </row>
        <row r="1451">
          <cell r="A1451" t="str">
            <v>Data split-12;Reg-52</v>
          </cell>
          <cell r="B1451">
            <v>-3.2</v>
          </cell>
          <cell r="C1451">
            <v>0</v>
          </cell>
          <cell r="D1451">
            <v>0.33</v>
          </cell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1.2</v>
          </cell>
          <cell r="J1451">
            <v>0</v>
          </cell>
          <cell r="K1451">
            <v>-0.79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7.1999999999999998E-3</v>
          </cell>
          <cell r="S1451">
            <v>0</v>
          </cell>
          <cell r="T1451">
            <v>0</v>
          </cell>
          <cell r="U1451" t="b">
            <v>0</v>
          </cell>
        </row>
        <row r="1452">
          <cell r="A1452" t="str">
            <v>Data split-12;Reg-53</v>
          </cell>
          <cell r="B1452">
            <v>-2.9</v>
          </cell>
          <cell r="C1452">
            <v>0</v>
          </cell>
          <cell r="D1452">
            <v>0.26</v>
          </cell>
          <cell r="E1452">
            <v>0</v>
          </cell>
          <cell r="F1452">
            <v>0</v>
          </cell>
          <cell r="G1452">
            <v>0</v>
          </cell>
          <cell r="H1452">
            <v>0</v>
          </cell>
          <cell r="I1452">
            <v>0.46</v>
          </cell>
          <cell r="J1452">
            <v>0</v>
          </cell>
          <cell r="K1452">
            <v>0</v>
          </cell>
          <cell r="L1452">
            <v>12.9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1.4999999999999999E-2</v>
          </cell>
          <cell r="R1452">
            <v>0</v>
          </cell>
          <cell r="S1452">
            <v>0</v>
          </cell>
          <cell r="T1452">
            <v>0</v>
          </cell>
          <cell r="U1452" t="b">
            <v>0</v>
          </cell>
        </row>
        <row r="1453">
          <cell r="A1453" t="str">
            <v>Data split-12;Reg-54</v>
          </cell>
          <cell r="B1453">
            <v>-3.9</v>
          </cell>
          <cell r="C1453">
            <v>0</v>
          </cell>
          <cell r="D1453">
            <v>0.15</v>
          </cell>
          <cell r="E1453">
            <v>0</v>
          </cell>
          <cell r="F1453">
            <v>0</v>
          </cell>
          <cell r="G1453">
            <v>0</v>
          </cell>
          <cell r="H1453">
            <v>0</v>
          </cell>
          <cell r="I1453">
            <v>0.16</v>
          </cell>
          <cell r="J1453">
            <v>0</v>
          </cell>
          <cell r="K1453">
            <v>0</v>
          </cell>
          <cell r="L1453">
            <v>11.2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6.6E-3</v>
          </cell>
          <cell r="S1453">
            <v>0</v>
          </cell>
          <cell r="T1453">
            <v>0</v>
          </cell>
          <cell r="U1453" t="b">
            <v>0</v>
          </cell>
        </row>
        <row r="1454">
          <cell r="A1454" t="str">
            <v>Data split-12;Reg-55</v>
          </cell>
          <cell r="B1454">
            <v>-7.6</v>
          </cell>
          <cell r="C1454">
            <v>0</v>
          </cell>
          <cell r="D1454">
            <v>5.6000000000000001E-2</v>
          </cell>
          <cell r="E1454">
            <v>0</v>
          </cell>
          <cell r="F1454">
            <v>0</v>
          </cell>
          <cell r="G1454">
            <v>0</v>
          </cell>
          <cell r="H1454">
            <v>0</v>
          </cell>
          <cell r="I1454">
            <v>0</v>
          </cell>
          <cell r="J1454">
            <v>39.6</v>
          </cell>
          <cell r="K1454">
            <v>-0.9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1.6E-2</v>
          </cell>
          <cell r="R1454">
            <v>0</v>
          </cell>
          <cell r="S1454">
            <v>0</v>
          </cell>
          <cell r="T1454">
            <v>0</v>
          </cell>
          <cell r="U1454" t="b">
            <v>0</v>
          </cell>
        </row>
        <row r="1455">
          <cell r="A1455" t="str">
            <v>Data split-12;Reg-56</v>
          </cell>
          <cell r="B1455">
            <v>-8.3000000000000007</v>
          </cell>
          <cell r="C1455">
            <v>0</v>
          </cell>
          <cell r="D1455">
            <v>-8.6E-3</v>
          </cell>
          <cell r="E1455">
            <v>0</v>
          </cell>
          <cell r="F1455">
            <v>0</v>
          </cell>
          <cell r="G1455">
            <v>0</v>
          </cell>
          <cell r="H1455">
            <v>0</v>
          </cell>
          <cell r="I1455">
            <v>0</v>
          </cell>
          <cell r="J1455">
            <v>35.799999999999997</v>
          </cell>
          <cell r="K1455">
            <v>-1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6.4000000000000003E-3</v>
          </cell>
          <cell r="S1455">
            <v>0</v>
          </cell>
          <cell r="T1455">
            <v>0</v>
          </cell>
          <cell r="U1455" t="b">
            <v>0</v>
          </cell>
        </row>
        <row r="1456">
          <cell r="A1456" t="str">
            <v>Data split-12;Reg-57</v>
          </cell>
          <cell r="B1456">
            <v>-6</v>
          </cell>
          <cell r="C1456">
            <v>0</v>
          </cell>
          <cell r="D1456">
            <v>0.11</v>
          </cell>
          <cell r="E1456">
            <v>0</v>
          </cell>
          <cell r="F1456">
            <v>0</v>
          </cell>
          <cell r="G1456">
            <v>0</v>
          </cell>
          <cell r="H1456">
            <v>0</v>
          </cell>
          <cell r="I1456">
            <v>0</v>
          </cell>
          <cell r="J1456">
            <v>28.9</v>
          </cell>
          <cell r="K1456">
            <v>0</v>
          </cell>
          <cell r="L1456">
            <v>0.77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0.01</v>
          </cell>
          <cell r="R1456">
            <v>0</v>
          </cell>
          <cell r="S1456">
            <v>0</v>
          </cell>
          <cell r="T1456">
            <v>0</v>
          </cell>
          <cell r="U1456" t="b">
            <v>0</v>
          </cell>
        </row>
        <row r="1457">
          <cell r="A1457" t="str">
            <v>Data split-12;Reg-58</v>
          </cell>
          <cell r="B1457">
            <v>-6.2</v>
          </cell>
          <cell r="C1457">
            <v>0</v>
          </cell>
          <cell r="D1457">
            <v>6.2E-2</v>
          </cell>
          <cell r="E1457">
            <v>0</v>
          </cell>
          <cell r="F1457">
            <v>0</v>
          </cell>
          <cell r="G1457">
            <v>0</v>
          </cell>
          <cell r="H1457">
            <v>0</v>
          </cell>
          <cell r="I1457">
            <v>0</v>
          </cell>
          <cell r="J1457">
            <v>24.9</v>
          </cell>
          <cell r="K1457">
            <v>0</v>
          </cell>
          <cell r="L1457">
            <v>0.19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4.4000000000000003E-3</v>
          </cell>
          <cell r="S1457">
            <v>0</v>
          </cell>
          <cell r="T1457">
            <v>0</v>
          </cell>
          <cell r="U1457" t="b">
            <v>0</v>
          </cell>
        </row>
        <row r="1458">
          <cell r="A1458" t="str">
            <v>Data split-12;Reg-59</v>
          </cell>
          <cell r="B1458">
            <v>-1.9</v>
          </cell>
          <cell r="C1458">
            <v>0</v>
          </cell>
          <cell r="D1458">
            <v>0.5</v>
          </cell>
          <cell r="E1458">
            <v>0</v>
          </cell>
          <cell r="F1458">
            <v>0</v>
          </cell>
          <cell r="G1458">
            <v>0</v>
          </cell>
          <cell r="H1458">
            <v>0</v>
          </cell>
          <cell r="I1458">
            <v>1.6</v>
          </cell>
          <cell r="J1458">
            <v>0</v>
          </cell>
          <cell r="K1458">
            <v>-0.68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1.0999999999999999E-2</v>
          </cell>
          <cell r="T1458">
            <v>0</v>
          </cell>
          <cell r="U1458" t="b">
            <v>0</v>
          </cell>
        </row>
        <row r="1459">
          <cell r="A1459" t="str">
            <v>Data split-12;Reg-60</v>
          </cell>
          <cell r="B1459">
            <v>-3.1</v>
          </cell>
          <cell r="C1459">
            <v>0</v>
          </cell>
          <cell r="D1459">
            <v>0.32</v>
          </cell>
          <cell r="E1459">
            <v>0</v>
          </cell>
          <cell r="F1459">
            <v>0</v>
          </cell>
          <cell r="G1459">
            <v>0</v>
          </cell>
          <cell r="H1459">
            <v>0</v>
          </cell>
          <cell r="I1459">
            <v>1.4</v>
          </cell>
          <cell r="J1459">
            <v>0</v>
          </cell>
          <cell r="K1459">
            <v>-1.1000000000000001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7.4000000000000003E-3</v>
          </cell>
          <cell r="U1459" t="b">
            <v>0</v>
          </cell>
        </row>
        <row r="1460">
          <cell r="A1460" t="str">
            <v>Data split-12;Reg-61</v>
          </cell>
          <cell r="B1460">
            <v>-2.8</v>
          </cell>
          <cell r="C1460">
            <v>0</v>
          </cell>
          <cell r="D1460">
            <v>0.31</v>
          </cell>
          <cell r="E1460">
            <v>0</v>
          </cell>
          <cell r="F1460">
            <v>0</v>
          </cell>
          <cell r="G1460">
            <v>0</v>
          </cell>
          <cell r="H1460">
            <v>0</v>
          </cell>
          <cell r="I1460">
            <v>0.59</v>
          </cell>
          <cell r="J1460">
            <v>0</v>
          </cell>
          <cell r="K1460">
            <v>0</v>
          </cell>
          <cell r="L1460">
            <v>12.2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0.01</v>
          </cell>
          <cell r="T1460">
            <v>0</v>
          </cell>
          <cell r="U1460" t="b">
            <v>0</v>
          </cell>
        </row>
        <row r="1461">
          <cell r="A1461" t="str">
            <v>Data split-12;Reg-62</v>
          </cell>
          <cell r="B1461">
            <v>-3.4</v>
          </cell>
          <cell r="C1461">
            <v>0</v>
          </cell>
          <cell r="D1461">
            <v>0.2</v>
          </cell>
          <cell r="E1461">
            <v>0</v>
          </cell>
          <cell r="F1461">
            <v>0</v>
          </cell>
          <cell r="G1461">
            <v>0</v>
          </cell>
          <cell r="H1461">
            <v>0</v>
          </cell>
          <cell r="I1461">
            <v>0.3</v>
          </cell>
          <cell r="J1461">
            <v>0</v>
          </cell>
          <cell r="K1461">
            <v>0</v>
          </cell>
          <cell r="L1461">
            <v>9.9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5.4999999999999997E-3</v>
          </cell>
          <cell r="U1461" t="b">
            <v>0</v>
          </cell>
        </row>
        <row r="1462">
          <cell r="A1462" t="str">
            <v>Data split-12;Reg-63</v>
          </cell>
          <cell r="B1462">
            <v>-7.6</v>
          </cell>
          <cell r="C1462">
            <v>0</v>
          </cell>
          <cell r="D1462">
            <v>5.3999999999999999E-2</v>
          </cell>
          <cell r="E1462">
            <v>0</v>
          </cell>
          <cell r="F1462">
            <v>0</v>
          </cell>
          <cell r="G1462">
            <v>0</v>
          </cell>
          <cell r="H1462">
            <v>0</v>
          </cell>
          <cell r="I1462">
            <v>0</v>
          </cell>
          <cell r="J1462">
            <v>40.6</v>
          </cell>
          <cell r="K1462">
            <v>-0.96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1.6E-2</v>
          </cell>
          <cell r="T1462">
            <v>0</v>
          </cell>
          <cell r="U1462" t="b">
            <v>0</v>
          </cell>
        </row>
        <row r="1463">
          <cell r="A1463" t="str">
            <v>Data split-12;Reg-64</v>
          </cell>
          <cell r="B1463">
            <v>-8.4</v>
          </cell>
          <cell r="C1463">
            <v>0</v>
          </cell>
          <cell r="D1463">
            <v>-4.1000000000000002E-2</v>
          </cell>
          <cell r="E1463">
            <v>0</v>
          </cell>
          <cell r="F1463">
            <v>0</v>
          </cell>
          <cell r="G1463">
            <v>0</v>
          </cell>
          <cell r="H1463">
            <v>0</v>
          </cell>
          <cell r="I1463">
            <v>0</v>
          </cell>
          <cell r="J1463">
            <v>37.5</v>
          </cell>
          <cell r="K1463">
            <v>-1.2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6.8999999999999999E-3</v>
          </cell>
          <cell r="U1463" t="b">
            <v>0</v>
          </cell>
        </row>
        <row r="1464">
          <cell r="A1464" t="str">
            <v>Data split-12;Reg-65</v>
          </cell>
          <cell r="B1464">
            <v>-6.1</v>
          </cell>
          <cell r="C1464">
            <v>0</v>
          </cell>
          <cell r="D1464">
            <v>0.13</v>
          </cell>
          <cell r="E1464">
            <v>0</v>
          </cell>
          <cell r="F1464">
            <v>0</v>
          </cell>
          <cell r="G1464">
            <v>0</v>
          </cell>
          <cell r="H1464">
            <v>0</v>
          </cell>
          <cell r="I1464">
            <v>0</v>
          </cell>
          <cell r="J1464">
            <v>30.4</v>
          </cell>
          <cell r="K1464">
            <v>0</v>
          </cell>
          <cell r="L1464">
            <v>0.1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7.4000000000000003E-3</v>
          </cell>
          <cell r="T1464">
            <v>0</v>
          </cell>
          <cell r="U1464" t="b">
            <v>0</v>
          </cell>
        </row>
        <row r="1465">
          <cell r="A1465" t="str">
            <v>Data split-12;Reg-66</v>
          </cell>
          <cell r="B1465">
            <v>-6.1</v>
          </cell>
          <cell r="C1465">
            <v>0</v>
          </cell>
          <cell r="D1465">
            <v>8.2000000000000003E-2</v>
          </cell>
          <cell r="E1465">
            <v>0</v>
          </cell>
          <cell r="F1465">
            <v>0</v>
          </cell>
          <cell r="G1465">
            <v>0</v>
          </cell>
          <cell r="H1465">
            <v>0</v>
          </cell>
          <cell r="I1465">
            <v>0</v>
          </cell>
          <cell r="J1465">
            <v>27.3</v>
          </cell>
          <cell r="K1465">
            <v>0</v>
          </cell>
          <cell r="L1465">
            <v>-1.3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3.7000000000000002E-3</v>
          </cell>
          <cell r="U1465" t="b">
            <v>0</v>
          </cell>
        </row>
        <row r="1466">
          <cell r="A1466" t="str">
            <v>Data split-12;Reg-67</v>
          </cell>
          <cell r="B1466">
            <v>-1.8</v>
          </cell>
          <cell r="C1466">
            <v>0.46</v>
          </cell>
          <cell r="D1466">
            <v>0</v>
          </cell>
          <cell r="E1466">
            <v>0</v>
          </cell>
          <cell r="F1466">
            <v>0</v>
          </cell>
          <cell r="G1466">
            <v>0.67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 t="b">
            <v>1</v>
          </cell>
        </row>
        <row r="1467">
          <cell r="A1467" t="str">
            <v>Data split-12;Reg-68</v>
          </cell>
          <cell r="B1467">
            <v>-6.2</v>
          </cell>
          <cell r="C1467">
            <v>0.22</v>
          </cell>
          <cell r="D1467">
            <v>0</v>
          </cell>
          <cell r="E1467">
            <v>0</v>
          </cell>
          <cell r="F1467">
            <v>-0.08</v>
          </cell>
          <cell r="G1467">
            <v>1.2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 t="b">
            <v>0</v>
          </cell>
        </row>
        <row r="1468">
          <cell r="A1468" t="str">
            <v>Data split-12;Reg-69</v>
          </cell>
          <cell r="B1468">
            <v>-7.1</v>
          </cell>
          <cell r="C1468">
            <v>-0.08</v>
          </cell>
          <cell r="D1468">
            <v>0</v>
          </cell>
          <cell r="E1468">
            <v>0</v>
          </cell>
          <cell r="F1468">
            <v>0</v>
          </cell>
          <cell r="G1468">
            <v>0.3</v>
          </cell>
          <cell r="H1468">
            <v>0</v>
          </cell>
          <cell r="I1468">
            <v>0</v>
          </cell>
          <cell r="J1468">
            <v>31.3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 t="b">
            <v>0</v>
          </cell>
        </row>
        <row r="1469">
          <cell r="A1469" t="str">
            <v>Data split-12;Reg-70</v>
          </cell>
          <cell r="B1469">
            <v>-7.1</v>
          </cell>
          <cell r="C1469">
            <v>-8.3000000000000004E-2</v>
          </cell>
          <cell r="D1469">
            <v>0</v>
          </cell>
          <cell r="E1469">
            <v>0</v>
          </cell>
          <cell r="F1469">
            <v>0</v>
          </cell>
          <cell r="G1469">
            <v>0.32</v>
          </cell>
          <cell r="H1469">
            <v>0</v>
          </cell>
          <cell r="I1469">
            <v>0</v>
          </cell>
          <cell r="J1469">
            <v>31.3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-6.8000000000000005E-4</v>
          </cell>
          <cell r="T1469">
            <v>0</v>
          </cell>
          <cell r="U1469" t="b">
            <v>0</v>
          </cell>
        </row>
        <row r="1470">
          <cell r="A1470" t="str">
            <v>Data split-12;Reg-71</v>
          </cell>
          <cell r="B1470">
            <v>-9.9</v>
          </cell>
          <cell r="C1470">
            <v>8.5999999999999993E-2</v>
          </cell>
          <cell r="D1470">
            <v>0</v>
          </cell>
          <cell r="E1470">
            <v>0</v>
          </cell>
          <cell r="F1470">
            <v>-6.6000000000000003E-2</v>
          </cell>
          <cell r="G1470">
            <v>0</v>
          </cell>
          <cell r="H1470">
            <v>1.9</v>
          </cell>
          <cell r="I1470">
            <v>0</v>
          </cell>
          <cell r="J1470">
            <v>0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-3.3000000000000002E-2</v>
          </cell>
          <cell r="T1470">
            <v>0</v>
          </cell>
          <cell r="U1470" t="b">
            <v>0</v>
          </cell>
        </row>
        <row r="1471">
          <cell r="A1471" t="str">
            <v>Data split-12;Reg-72</v>
          </cell>
          <cell r="B1471">
            <v>0.12</v>
          </cell>
          <cell r="C1471">
            <v>0.51</v>
          </cell>
          <cell r="D1471">
            <v>0</v>
          </cell>
          <cell r="E1471">
            <v>0.44</v>
          </cell>
          <cell r="F1471">
            <v>0</v>
          </cell>
          <cell r="G1471">
            <v>0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 t="b">
            <v>0</v>
          </cell>
        </row>
        <row r="1472">
          <cell r="A1472" t="str">
            <v>Data split-12;Reg-73</v>
          </cell>
          <cell r="B1472">
            <v>2.7</v>
          </cell>
          <cell r="C1472">
            <v>1.1000000000000001</v>
          </cell>
          <cell r="D1472">
            <v>0</v>
          </cell>
          <cell r="E1472">
            <v>0</v>
          </cell>
          <cell r="F1472">
            <v>2.3E-2</v>
          </cell>
          <cell r="G1472">
            <v>0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 t="b">
            <v>0</v>
          </cell>
        </row>
        <row r="1473">
          <cell r="A1473" t="str">
            <v>Data split-12;Reg-74</v>
          </cell>
          <cell r="B1473">
            <v>-1.1000000000000001</v>
          </cell>
          <cell r="C1473">
            <v>0</v>
          </cell>
          <cell r="D1473">
            <v>0.25</v>
          </cell>
          <cell r="E1473">
            <v>0.52</v>
          </cell>
          <cell r="F1473">
            <v>0</v>
          </cell>
          <cell r="G1473">
            <v>0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 t="b">
            <v>1</v>
          </cell>
        </row>
        <row r="1474">
          <cell r="A1474" t="str">
            <v>Data split-12;Reg-75</v>
          </cell>
          <cell r="B1474">
            <v>-0.22</v>
          </cell>
          <cell r="C1474">
            <v>0</v>
          </cell>
          <cell r="D1474">
            <v>0.78</v>
          </cell>
          <cell r="E1474">
            <v>0</v>
          </cell>
          <cell r="F1474">
            <v>0.05</v>
          </cell>
          <cell r="G1474">
            <v>0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 t="b">
            <v>1</v>
          </cell>
        </row>
        <row r="1475">
          <cell r="A1475" t="str">
            <v>Data split-12;Reg-76</v>
          </cell>
          <cell r="B1475">
            <v>-1.8</v>
          </cell>
          <cell r="C1475">
            <v>0.46</v>
          </cell>
          <cell r="D1475">
            <v>0</v>
          </cell>
          <cell r="E1475">
            <v>0</v>
          </cell>
          <cell r="F1475">
            <v>0</v>
          </cell>
          <cell r="G1475">
            <v>0.67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 t="b">
            <v>1</v>
          </cell>
        </row>
        <row r="1476">
          <cell r="A1476" t="str">
            <v>Data split-12;Reg-77</v>
          </cell>
          <cell r="B1476">
            <v>-2.5</v>
          </cell>
          <cell r="C1476">
            <v>0.47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0.7</v>
          </cell>
          <cell r="I1476">
            <v>0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 t="b">
            <v>1</v>
          </cell>
        </row>
        <row r="1477">
          <cell r="A1477" t="str">
            <v>Data split-12;Reg-78</v>
          </cell>
          <cell r="B1477">
            <v>-3.3</v>
          </cell>
          <cell r="C1477">
            <v>0</v>
          </cell>
          <cell r="D1477">
            <v>0.35</v>
          </cell>
          <cell r="E1477">
            <v>0</v>
          </cell>
          <cell r="F1477">
            <v>0</v>
          </cell>
          <cell r="G1477">
            <v>0.67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 t="b">
            <v>1</v>
          </cell>
        </row>
        <row r="1478">
          <cell r="A1478" t="str">
            <v>Data split-12;Reg-79</v>
          </cell>
          <cell r="B1478">
            <v>-3.9</v>
          </cell>
          <cell r="C1478">
            <v>0</v>
          </cell>
          <cell r="D1478">
            <v>0.34</v>
          </cell>
          <cell r="E1478">
            <v>0</v>
          </cell>
          <cell r="F1478">
            <v>0</v>
          </cell>
          <cell r="G1478">
            <v>0</v>
          </cell>
          <cell r="H1478">
            <v>0.72</v>
          </cell>
          <cell r="I1478">
            <v>0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 t="b">
            <v>1</v>
          </cell>
        </row>
        <row r="1479">
          <cell r="A1479" t="str">
            <v>Data split-12;Reg-80</v>
          </cell>
          <cell r="B1479">
            <v>0.89</v>
          </cell>
          <cell r="C1479">
            <v>0.8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1.1000000000000001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 t="b">
            <v>0</v>
          </cell>
        </row>
        <row r="1480">
          <cell r="A1480" t="str">
            <v>Data split-12;Reg-81</v>
          </cell>
          <cell r="B1480">
            <v>-7.1</v>
          </cell>
          <cell r="C1480">
            <v>2.7E-2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39.299999999999997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 t="b">
            <v>0</v>
          </cell>
        </row>
        <row r="1481">
          <cell r="A1481" t="str">
            <v>Data split-12;Reg-82</v>
          </cell>
          <cell r="B1481">
            <v>-1.9</v>
          </cell>
          <cell r="C1481">
            <v>0</v>
          </cell>
          <cell r="D1481">
            <v>0.56000000000000005</v>
          </cell>
          <cell r="E1481">
            <v>0</v>
          </cell>
          <cell r="F1481">
            <v>0</v>
          </cell>
          <cell r="G1481">
            <v>0</v>
          </cell>
          <cell r="H1481">
            <v>0</v>
          </cell>
          <cell r="I1481">
            <v>1.3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 t="b">
            <v>0</v>
          </cell>
        </row>
        <row r="1482">
          <cell r="A1482" t="str">
            <v>Data split-12;Reg-83</v>
          </cell>
          <cell r="B1482">
            <v>-6.6</v>
          </cell>
          <cell r="C1482">
            <v>0</v>
          </cell>
          <cell r="D1482">
            <v>0.19</v>
          </cell>
          <cell r="E1482">
            <v>0</v>
          </cell>
          <cell r="F1482">
            <v>0</v>
          </cell>
          <cell r="G1482">
            <v>0</v>
          </cell>
          <cell r="H1482">
            <v>0</v>
          </cell>
          <cell r="I1482">
            <v>0</v>
          </cell>
          <cell r="J1482">
            <v>33.4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 t="b">
            <v>0</v>
          </cell>
        </row>
        <row r="1483">
          <cell r="A1483" t="str">
            <v>Data split-12;Reg-84</v>
          </cell>
          <cell r="B1483">
            <v>1.9</v>
          </cell>
          <cell r="C1483">
            <v>1</v>
          </cell>
          <cell r="D1483">
            <v>0</v>
          </cell>
          <cell r="E1483">
            <v>0</v>
          </cell>
          <cell r="F1483">
            <v>0</v>
          </cell>
          <cell r="G1483">
            <v>0</v>
          </cell>
          <cell r="H1483">
            <v>0</v>
          </cell>
          <cell r="I1483">
            <v>0</v>
          </cell>
          <cell r="J1483">
            <v>0</v>
          </cell>
          <cell r="K1483">
            <v>0.56999999999999995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 t="b">
            <v>0</v>
          </cell>
        </row>
        <row r="1484">
          <cell r="A1484" t="str">
            <v>Data split-12;Reg-85</v>
          </cell>
          <cell r="B1484">
            <v>-1.5</v>
          </cell>
          <cell r="C1484">
            <v>0.53</v>
          </cell>
          <cell r="D1484">
            <v>0</v>
          </cell>
          <cell r="E1484">
            <v>0</v>
          </cell>
          <cell r="F1484">
            <v>0</v>
          </cell>
          <cell r="G1484">
            <v>0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20.7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 t="b">
            <v>0</v>
          </cell>
        </row>
        <row r="1485">
          <cell r="A1485" t="str">
            <v>Data split-12;Reg-86</v>
          </cell>
          <cell r="B1485">
            <v>-1.3</v>
          </cell>
          <cell r="C1485">
            <v>0</v>
          </cell>
          <cell r="D1485">
            <v>0.61</v>
          </cell>
          <cell r="E1485">
            <v>0</v>
          </cell>
          <cell r="F1485">
            <v>0</v>
          </cell>
          <cell r="G1485">
            <v>0</v>
          </cell>
          <cell r="H1485">
            <v>0</v>
          </cell>
          <cell r="I1485">
            <v>0</v>
          </cell>
          <cell r="J1485">
            <v>0</v>
          </cell>
          <cell r="K1485">
            <v>1.1000000000000001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 t="b">
            <v>0</v>
          </cell>
        </row>
        <row r="1486">
          <cell r="A1486" t="str">
            <v>Data split-12;Reg-87</v>
          </cell>
          <cell r="B1486">
            <v>-3.5</v>
          </cell>
          <cell r="C1486">
            <v>0</v>
          </cell>
          <cell r="D1486">
            <v>0.45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20.399999999999999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 t="b">
            <v>0</v>
          </cell>
        </row>
        <row r="1487">
          <cell r="A1487" t="str">
            <v>Data split-12;Reg-88</v>
          </cell>
          <cell r="B1487">
            <v>1.5</v>
          </cell>
          <cell r="C1487">
            <v>0.95</v>
          </cell>
          <cell r="D1487">
            <v>0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0</v>
          </cell>
          <cell r="M1487">
            <v>1.4E-2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 t="b">
            <v>0</v>
          </cell>
        </row>
        <row r="1488">
          <cell r="A1488" t="str">
            <v>Data split-12;Reg-89</v>
          </cell>
          <cell r="B1488">
            <v>0.46</v>
          </cell>
          <cell r="C1488">
            <v>0.88</v>
          </cell>
          <cell r="D1488">
            <v>0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  <cell r="M1488">
            <v>0</v>
          </cell>
          <cell r="N1488">
            <v>4.0000000000000001E-3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 t="b">
            <v>0</v>
          </cell>
        </row>
        <row r="1489">
          <cell r="A1489" t="str">
            <v>Data split-12;Reg-90</v>
          </cell>
          <cell r="B1489">
            <v>-1.2</v>
          </cell>
          <cell r="C1489">
            <v>0</v>
          </cell>
          <cell r="D1489">
            <v>0.72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0</v>
          </cell>
          <cell r="M1489">
            <v>1.2999999999999999E-2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 t="b">
            <v>0</v>
          </cell>
        </row>
        <row r="1490">
          <cell r="A1490" t="str">
            <v>Data split-12;Reg-91</v>
          </cell>
          <cell r="B1490">
            <v>-2</v>
          </cell>
          <cell r="C1490">
            <v>0</v>
          </cell>
          <cell r="D1490">
            <v>0.65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3.8999999999999998E-3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 t="b">
            <v>0</v>
          </cell>
        </row>
        <row r="1491">
          <cell r="A1491" t="str">
            <v>Data split-12;Reg-92</v>
          </cell>
          <cell r="B1491">
            <v>2.6</v>
          </cell>
          <cell r="C1491">
            <v>1.2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3.2000000000000002E-3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 t="b">
            <v>0</v>
          </cell>
        </row>
        <row r="1492">
          <cell r="A1492" t="str">
            <v>Data split-12;Reg-93</v>
          </cell>
          <cell r="B1492">
            <v>2.7</v>
          </cell>
          <cell r="C1492">
            <v>1.2</v>
          </cell>
          <cell r="D1492">
            <v>0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8.4999999999999995E-4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 t="b">
            <v>0</v>
          </cell>
        </row>
        <row r="1493">
          <cell r="A1493" t="str">
            <v>Data split-12;Reg-94</v>
          </cell>
          <cell r="B1493">
            <v>-1.4999999999999999E-2</v>
          </cell>
          <cell r="C1493">
            <v>0</v>
          </cell>
          <cell r="D1493">
            <v>0.82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1.4999999999999999E-2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 t="b">
            <v>0</v>
          </cell>
        </row>
        <row r="1494">
          <cell r="A1494" t="str">
            <v>Data split-12;Reg-95</v>
          </cell>
          <cell r="B1494">
            <v>0.2</v>
          </cell>
          <cell r="C1494">
            <v>0</v>
          </cell>
          <cell r="D1494">
            <v>0.8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4.0000000000000001E-3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 t="b">
            <v>0</v>
          </cell>
        </row>
        <row r="1495">
          <cell r="A1495" t="str">
            <v>Data split-12;Reg-96</v>
          </cell>
          <cell r="B1495">
            <v>-0.21</v>
          </cell>
          <cell r="C1495">
            <v>0.42</v>
          </cell>
          <cell r="D1495">
            <v>0</v>
          </cell>
          <cell r="E1495">
            <v>0.34</v>
          </cell>
          <cell r="F1495">
            <v>0</v>
          </cell>
          <cell r="G1495">
            <v>0</v>
          </cell>
          <cell r="H1495">
            <v>0</v>
          </cell>
          <cell r="I1495">
            <v>0.61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 t="b">
            <v>0</v>
          </cell>
        </row>
        <row r="1496">
          <cell r="A1496" t="str">
            <v>Data split-12;Reg-97</v>
          </cell>
          <cell r="B1496">
            <v>-7</v>
          </cell>
          <cell r="C1496">
            <v>-0.15</v>
          </cell>
          <cell r="D1496">
            <v>0</v>
          </cell>
          <cell r="E1496">
            <v>0.2</v>
          </cell>
          <cell r="F1496">
            <v>0</v>
          </cell>
          <cell r="G1496">
            <v>0</v>
          </cell>
          <cell r="H1496">
            <v>0</v>
          </cell>
          <cell r="I1496">
            <v>0</v>
          </cell>
          <cell r="J1496">
            <v>34.700000000000003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 t="b">
            <v>0</v>
          </cell>
        </row>
        <row r="1497">
          <cell r="A1497" t="str">
            <v>Data split-12;Reg-98</v>
          </cell>
          <cell r="B1497">
            <v>-2.2999999999999998</v>
          </cell>
          <cell r="C1497">
            <v>0.57999999999999996</v>
          </cell>
          <cell r="D1497">
            <v>0</v>
          </cell>
          <cell r="E1497">
            <v>0</v>
          </cell>
          <cell r="F1497">
            <v>-8.4000000000000005E-2</v>
          </cell>
          <cell r="G1497">
            <v>0</v>
          </cell>
          <cell r="H1497">
            <v>0</v>
          </cell>
          <cell r="I1497">
            <v>2.6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 t="b">
            <v>0</v>
          </cell>
        </row>
        <row r="1498">
          <cell r="A1498" t="str">
            <v>Data split-12;Reg-99</v>
          </cell>
          <cell r="B1498">
            <v>-9</v>
          </cell>
          <cell r="C1498">
            <v>-1.9E-2</v>
          </cell>
          <cell r="D1498">
            <v>0</v>
          </cell>
          <cell r="E1498">
            <v>0</v>
          </cell>
          <cell r="F1498">
            <v>-3.1E-2</v>
          </cell>
          <cell r="G1498">
            <v>0</v>
          </cell>
          <cell r="H1498">
            <v>0</v>
          </cell>
          <cell r="I1498">
            <v>0</v>
          </cell>
          <cell r="J1498">
            <v>45.6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 t="b">
            <v>0</v>
          </cell>
        </row>
        <row r="1499">
          <cell r="A1499" t="str">
            <v>Data split-12;Reg-100</v>
          </cell>
          <cell r="B1499">
            <v>-1.8</v>
          </cell>
          <cell r="C1499">
            <v>0</v>
          </cell>
          <cell r="D1499">
            <v>0.5</v>
          </cell>
          <cell r="E1499">
            <v>6.8000000000000005E-2</v>
          </cell>
          <cell r="F1499">
            <v>0</v>
          </cell>
          <cell r="G1499">
            <v>0</v>
          </cell>
          <cell r="H1499">
            <v>0</v>
          </cell>
          <cell r="I1499">
            <v>1.2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 t="b">
            <v>0</v>
          </cell>
        </row>
        <row r="1500">
          <cell r="A1500" t="str">
            <v>Data split-12;Reg-101</v>
          </cell>
          <cell r="B1500">
            <v>-6.3</v>
          </cell>
          <cell r="C1500">
            <v>0</v>
          </cell>
          <cell r="D1500">
            <v>0.11</v>
          </cell>
          <cell r="E1500">
            <v>9.1999999999999998E-2</v>
          </cell>
          <cell r="F1500">
            <v>0</v>
          </cell>
          <cell r="G1500">
            <v>0</v>
          </cell>
          <cell r="H1500">
            <v>0</v>
          </cell>
          <cell r="I1500">
            <v>0</v>
          </cell>
          <cell r="J1500">
            <v>31.6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 t="b">
            <v>0</v>
          </cell>
        </row>
        <row r="1501">
          <cell r="A1501" t="str">
            <v>Data split-12;Reg-102</v>
          </cell>
          <cell r="B1501">
            <v>-3.6</v>
          </cell>
          <cell r="C1501">
            <v>0</v>
          </cell>
          <cell r="D1501">
            <v>0.45</v>
          </cell>
          <cell r="E1501">
            <v>0</v>
          </cell>
          <cell r="F1501">
            <v>-0.06</v>
          </cell>
          <cell r="G1501">
            <v>0</v>
          </cell>
          <cell r="H1501">
            <v>0</v>
          </cell>
          <cell r="I1501">
            <v>2.2999999999999998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 t="b">
            <v>0</v>
          </cell>
        </row>
        <row r="1502">
          <cell r="A1502" t="str">
            <v>Data split-12;Reg-103</v>
          </cell>
          <cell r="B1502">
            <v>-8.1</v>
          </cell>
          <cell r="C1502">
            <v>0</v>
          </cell>
          <cell r="D1502">
            <v>0.12</v>
          </cell>
          <cell r="E1502">
            <v>0</v>
          </cell>
          <cell r="F1502">
            <v>-2.4E-2</v>
          </cell>
          <cell r="G1502">
            <v>0</v>
          </cell>
          <cell r="H1502">
            <v>0</v>
          </cell>
          <cell r="I1502">
            <v>0</v>
          </cell>
          <cell r="J1502">
            <v>39.700000000000003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 t="b">
            <v>0</v>
          </cell>
        </row>
        <row r="1503">
          <cell r="A1503" t="str">
            <v>Data split-12;Reg-104</v>
          </cell>
          <cell r="B1503">
            <v>0.15</v>
          </cell>
          <cell r="C1503">
            <v>0.54</v>
          </cell>
          <cell r="D1503">
            <v>0</v>
          </cell>
          <cell r="E1503">
            <v>0.46</v>
          </cell>
          <cell r="F1503">
            <v>0</v>
          </cell>
          <cell r="G1503">
            <v>0</v>
          </cell>
          <cell r="H1503">
            <v>0</v>
          </cell>
          <cell r="I1503">
            <v>0</v>
          </cell>
          <cell r="J1503">
            <v>0</v>
          </cell>
          <cell r="K1503">
            <v>-0.14000000000000001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 t="b">
            <v>0</v>
          </cell>
        </row>
        <row r="1504">
          <cell r="A1504" t="str">
            <v>Data split-12;Reg-105</v>
          </cell>
          <cell r="B1504">
            <v>-3.1</v>
          </cell>
          <cell r="C1504">
            <v>-6.5000000000000002E-2</v>
          </cell>
          <cell r="D1504">
            <v>0</v>
          </cell>
          <cell r="E1504">
            <v>0.41</v>
          </cell>
          <cell r="F1504">
            <v>0</v>
          </cell>
          <cell r="G1504">
            <v>0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17.899999999999999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 t="b">
            <v>0</v>
          </cell>
        </row>
        <row r="1505">
          <cell r="A1505" t="str">
            <v>Data split-12;Reg-106</v>
          </cell>
          <cell r="B1505">
            <v>2.2000000000000002</v>
          </cell>
          <cell r="C1505">
            <v>1</v>
          </cell>
          <cell r="D1505">
            <v>0</v>
          </cell>
          <cell r="E1505">
            <v>0</v>
          </cell>
          <cell r="F1505">
            <v>9.4000000000000004E-3</v>
          </cell>
          <cell r="G1505">
            <v>0</v>
          </cell>
          <cell r="H1505">
            <v>0</v>
          </cell>
          <cell r="I1505">
            <v>0</v>
          </cell>
          <cell r="J1505">
            <v>0</v>
          </cell>
          <cell r="K1505">
            <v>0.37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 t="b">
            <v>0</v>
          </cell>
        </row>
        <row r="1506">
          <cell r="A1506" t="str">
            <v>Data split-12;Reg-107</v>
          </cell>
          <cell r="B1506">
            <v>-1</v>
          </cell>
          <cell r="C1506">
            <v>0.53</v>
          </cell>
          <cell r="D1506">
            <v>0</v>
          </cell>
          <cell r="E1506">
            <v>0</v>
          </cell>
          <cell r="F1506">
            <v>1.2E-2</v>
          </cell>
          <cell r="G1506">
            <v>0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19.2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 t="b">
            <v>0</v>
          </cell>
        </row>
        <row r="1507">
          <cell r="A1507" t="str">
            <v>Data split-12;Reg-108</v>
          </cell>
          <cell r="B1507">
            <v>-1.2</v>
          </cell>
          <cell r="C1507">
            <v>0</v>
          </cell>
          <cell r="D1507">
            <v>0.39</v>
          </cell>
          <cell r="E1507">
            <v>0.27</v>
          </cell>
          <cell r="F1507">
            <v>0</v>
          </cell>
          <cell r="G1507">
            <v>0</v>
          </cell>
          <cell r="H1507">
            <v>0</v>
          </cell>
          <cell r="I1507">
            <v>0</v>
          </cell>
          <cell r="J1507">
            <v>0</v>
          </cell>
          <cell r="K1507">
            <v>0.65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 t="b">
            <v>0</v>
          </cell>
        </row>
        <row r="1508">
          <cell r="A1508" t="str">
            <v>Data split-12;Reg-109</v>
          </cell>
          <cell r="B1508">
            <v>-3</v>
          </cell>
          <cell r="C1508">
            <v>0</v>
          </cell>
          <cell r="D1508">
            <v>0.15</v>
          </cell>
          <cell r="E1508">
            <v>0.31</v>
          </cell>
          <cell r="F1508">
            <v>0</v>
          </cell>
          <cell r="G1508">
            <v>0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16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 t="b">
            <v>0</v>
          </cell>
        </row>
        <row r="1509">
          <cell r="A1509" t="str">
            <v>Data split-12;Reg-110</v>
          </cell>
          <cell r="B1509">
            <v>-1.1000000000000001</v>
          </cell>
          <cell r="C1509">
            <v>0</v>
          </cell>
          <cell r="D1509">
            <v>0.63</v>
          </cell>
          <cell r="E1509">
            <v>0</v>
          </cell>
          <cell r="F1509">
            <v>8.0999999999999996E-3</v>
          </cell>
          <cell r="G1509">
            <v>0</v>
          </cell>
          <cell r="H1509">
            <v>0</v>
          </cell>
          <cell r="I1509">
            <v>0</v>
          </cell>
          <cell r="J1509">
            <v>0</v>
          </cell>
          <cell r="K1509">
            <v>0.93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 t="b">
            <v>0</v>
          </cell>
        </row>
        <row r="1510">
          <cell r="A1510" t="str">
            <v>Data split-12;Reg-111</v>
          </cell>
          <cell r="B1510">
            <v>-2.6</v>
          </cell>
          <cell r="C1510">
            <v>0</v>
          </cell>
          <cell r="D1510">
            <v>0.47</v>
          </cell>
          <cell r="E1510">
            <v>0</v>
          </cell>
          <cell r="F1510">
            <v>2.1999999999999999E-2</v>
          </cell>
          <cell r="G1510">
            <v>0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16.600000000000001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 t="b">
            <v>0</v>
          </cell>
        </row>
        <row r="1511">
          <cell r="A1511" t="str">
            <v>Data split-12;Reg-112</v>
          </cell>
          <cell r="B1511">
            <v>-1.9</v>
          </cell>
          <cell r="C1511">
            <v>0.46</v>
          </cell>
          <cell r="D1511">
            <v>0</v>
          </cell>
          <cell r="E1511">
            <v>0</v>
          </cell>
          <cell r="F1511">
            <v>0</v>
          </cell>
          <cell r="G1511">
            <v>0.69</v>
          </cell>
          <cell r="H1511">
            <v>0</v>
          </cell>
          <cell r="I1511">
            <v>-7.0999999999999994E-2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 t="b">
            <v>1</v>
          </cell>
        </row>
        <row r="1512">
          <cell r="A1512" t="str">
            <v>Data split-12;Reg-113</v>
          </cell>
          <cell r="B1512">
            <v>-7.1</v>
          </cell>
          <cell r="C1512">
            <v>-0.08</v>
          </cell>
          <cell r="D1512">
            <v>0</v>
          </cell>
          <cell r="E1512">
            <v>0</v>
          </cell>
          <cell r="F1512">
            <v>0</v>
          </cell>
          <cell r="G1512">
            <v>0.3</v>
          </cell>
          <cell r="H1512">
            <v>0</v>
          </cell>
          <cell r="I1512">
            <v>0</v>
          </cell>
          <cell r="J1512">
            <v>31.3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 t="b">
            <v>0</v>
          </cell>
        </row>
        <row r="1513">
          <cell r="A1513" t="str">
            <v>Data split-12;Reg-114</v>
          </cell>
          <cell r="B1513">
            <v>-2.6</v>
          </cell>
          <cell r="C1513">
            <v>0.48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0.74</v>
          </cell>
          <cell r="I1513">
            <v>-0.14000000000000001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 t="b">
            <v>1</v>
          </cell>
        </row>
        <row r="1514">
          <cell r="A1514" t="str">
            <v>Data split-12;Reg-115</v>
          </cell>
          <cell r="B1514">
            <v>-7</v>
          </cell>
          <cell r="C1514">
            <v>-3.2000000000000001E-2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0.28999999999999998</v>
          </cell>
          <cell r="I1514">
            <v>0</v>
          </cell>
          <cell r="J1514">
            <v>30.9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 t="b">
            <v>0</v>
          </cell>
        </row>
        <row r="1515">
          <cell r="A1515" t="str">
            <v>Data split-12;Reg-116</v>
          </cell>
          <cell r="B1515">
            <v>-3.1</v>
          </cell>
          <cell r="C1515">
            <v>0</v>
          </cell>
          <cell r="D1515">
            <v>0.37</v>
          </cell>
          <cell r="E1515">
            <v>0</v>
          </cell>
          <cell r="F1515">
            <v>0</v>
          </cell>
          <cell r="G1515">
            <v>0.53</v>
          </cell>
          <cell r="H1515">
            <v>0</v>
          </cell>
          <cell r="I1515">
            <v>0.36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 t="b">
            <v>0</v>
          </cell>
        </row>
        <row r="1516">
          <cell r="A1516" t="str">
            <v>Data split-12;Reg-117</v>
          </cell>
          <cell r="B1516">
            <v>-6.3</v>
          </cell>
          <cell r="C1516">
            <v>0</v>
          </cell>
          <cell r="D1516">
            <v>0.13</v>
          </cell>
          <cell r="E1516">
            <v>0</v>
          </cell>
          <cell r="F1516">
            <v>0</v>
          </cell>
          <cell r="G1516">
            <v>0.24</v>
          </cell>
          <cell r="H1516">
            <v>0</v>
          </cell>
          <cell r="I1516">
            <v>0</v>
          </cell>
          <cell r="J1516">
            <v>26.7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 t="b">
            <v>0</v>
          </cell>
        </row>
        <row r="1517">
          <cell r="A1517" t="str">
            <v>Data split-12;Reg-118</v>
          </cell>
          <cell r="B1517">
            <v>-3.5</v>
          </cell>
          <cell r="C1517">
            <v>0</v>
          </cell>
          <cell r="D1517">
            <v>0.36</v>
          </cell>
          <cell r="E1517">
            <v>0</v>
          </cell>
          <cell r="F1517">
            <v>0</v>
          </cell>
          <cell r="G1517">
            <v>0</v>
          </cell>
          <cell r="H1517">
            <v>0.55000000000000004</v>
          </cell>
          <cell r="I1517">
            <v>0.4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 t="b">
            <v>0</v>
          </cell>
        </row>
        <row r="1518">
          <cell r="A1518" t="str">
            <v>Data split-12;Reg-119</v>
          </cell>
          <cell r="B1518">
            <v>-6.5</v>
          </cell>
          <cell r="C1518">
            <v>0</v>
          </cell>
          <cell r="D1518">
            <v>0.13</v>
          </cell>
          <cell r="E1518">
            <v>0</v>
          </cell>
          <cell r="F1518">
            <v>0</v>
          </cell>
          <cell r="G1518">
            <v>0</v>
          </cell>
          <cell r="H1518">
            <v>0.23</v>
          </cell>
          <cell r="I1518">
            <v>0</v>
          </cell>
          <cell r="J1518">
            <v>27.5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 t="b">
            <v>0</v>
          </cell>
        </row>
        <row r="1519">
          <cell r="A1519" t="str">
            <v>Data split-12;Reg-120</v>
          </cell>
          <cell r="B1519">
            <v>-2.8</v>
          </cell>
          <cell r="C1519">
            <v>0.67</v>
          </cell>
          <cell r="D1519">
            <v>0</v>
          </cell>
          <cell r="E1519">
            <v>0</v>
          </cell>
          <cell r="F1519">
            <v>0</v>
          </cell>
          <cell r="G1519">
            <v>1</v>
          </cell>
          <cell r="H1519">
            <v>0</v>
          </cell>
          <cell r="I1519">
            <v>0</v>
          </cell>
          <cell r="J1519">
            <v>0</v>
          </cell>
          <cell r="K1519">
            <v>-1.5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 t="b">
            <v>1</v>
          </cell>
        </row>
        <row r="1520">
          <cell r="A1520" t="str">
            <v>Data split-12;Reg-121</v>
          </cell>
          <cell r="B1520">
            <v>-3.5</v>
          </cell>
          <cell r="C1520">
            <v>0.16</v>
          </cell>
          <cell r="D1520">
            <v>0</v>
          </cell>
          <cell r="E1520">
            <v>0</v>
          </cell>
          <cell r="F1520">
            <v>0</v>
          </cell>
          <cell r="G1520">
            <v>0.61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10.6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 t="b">
            <v>0</v>
          </cell>
        </row>
        <row r="1521">
          <cell r="A1521" t="str">
            <v>Data split-12;Reg-122</v>
          </cell>
          <cell r="B1521">
            <v>-3.6</v>
          </cell>
          <cell r="C1521">
            <v>0.7</v>
          </cell>
          <cell r="D1521">
            <v>0</v>
          </cell>
          <cell r="E1521">
            <v>0</v>
          </cell>
          <cell r="F1521">
            <v>0</v>
          </cell>
          <cell r="G1521">
            <v>0</v>
          </cell>
          <cell r="H1521">
            <v>1</v>
          </cell>
          <cell r="I1521">
            <v>0</v>
          </cell>
          <cell r="J1521">
            <v>0</v>
          </cell>
          <cell r="K1521">
            <v>-1.4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 t="b">
            <v>1</v>
          </cell>
        </row>
        <row r="1522">
          <cell r="A1522" t="str">
            <v>Data split-12;Reg-123</v>
          </cell>
          <cell r="B1522">
            <v>-3.8</v>
          </cell>
          <cell r="C1522">
            <v>0.22</v>
          </cell>
          <cell r="D1522">
            <v>0</v>
          </cell>
          <cell r="E1522">
            <v>0</v>
          </cell>
          <cell r="F1522">
            <v>0</v>
          </cell>
          <cell r="G1522">
            <v>0</v>
          </cell>
          <cell r="H1522">
            <v>0.64</v>
          </cell>
          <cell r="I1522">
            <v>0</v>
          </cell>
          <cell r="J1522">
            <v>0</v>
          </cell>
          <cell r="K1522">
            <v>0</v>
          </cell>
          <cell r="L1522">
            <v>9.1999999999999993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 t="b">
            <v>0</v>
          </cell>
        </row>
        <row r="1523">
          <cell r="A1523" t="str">
            <v>Data split-12;Reg-124</v>
          </cell>
          <cell r="B1523">
            <v>-4</v>
          </cell>
          <cell r="C1523">
            <v>0</v>
          </cell>
          <cell r="D1523">
            <v>0.33</v>
          </cell>
          <cell r="E1523">
            <v>0</v>
          </cell>
          <cell r="F1523">
            <v>0</v>
          </cell>
          <cell r="G1523">
            <v>0.88</v>
          </cell>
          <cell r="H1523">
            <v>0</v>
          </cell>
          <cell r="I1523">
            <v>0</v>
          </cell>
          <cell r="J1523">
            <v>0</v>
          </cell>
          <cell r="K1523">
            <v>-0.56000000000000005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 t="b">
            <v>1</v>
          </cell>
        </row>
        <row r="1524">
          <cell r="A1524" t="str">
            <v>Data split-12;Reg-125</v>
          </cell>
          <cell r="B1524">
            <v>-3.9</v>
          </cell>
          <cell r="C1524">
            <v>0</v>
          </cell>
          <cell r="D1524">
            <v>0.26</v>
          </cell>
          <cell r="E1524">
            <v>0</v>
          </cell>
          <cell r="F1524">
            <v>0</v>
          </cell>
          <cell r="G1524">
            <v>0.51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9.9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 t="b">
            <v>0</v>
          </cell>
        </row>
        <row r="1525">
          <cell r="A1525" t="str">
            <v>Data split-12;Reg-126</v>
          </cell>
          <cell r="B1525">
            <v>-4.5</v>
          </cell>
          <cell r="C1525">
            <v>0</v>
          </cell>
          <cell r="D1525">
            <v>0.32</v>
          </cell>
          <cell r="E1525">
            <v>0</v>
          </cell>
          <cell r="F1525">
            <v>0</v>
          </cell>
          <cell r="G1525">
            <v>0</v>
          </cell>
          <cell r="H1525">
            <v>0.87</v>
          </cell>
          <cell r="I1525">
            <v>0</v>
          </cell>
          <cell r="J1525">
            <v>0</v>
          </cell>
          <cell r="K1525">
            <v>-0.37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 t="b">
            <v>1</v>
          </cell>
        </row>
        <row r="1526">
          <cell r="A1526" t="str">
            <v>Data split-12;Reg-127</v>
          </cell>
          <cell r="B1526">
            <v>-4.4000000000000004</v>
          </cell>
          <cell r="C1526">
            <v>0</v>
          </cell>
          <cell r="D1526">
            <v>0.23</v>
          </cell>
          <cell r="E1526">
            <v>0</v>
          </cell>
          <cell r="F1526">
            <v>0</v>
          </cell>
          <cell r="G1526">
            <v>0</v>
          </cell>
          <cell r="H1526">
            <v>0.54</v>
          </cell>
          <cell r="I1526">
            <v>0</v>
          </cell>
          <cell r="J1526">
            <v>0</v>
          </cell>
          <cell r="K1526">
            <v>0</v>
          </cell>
          <cell r="L1526">
            <v>10.5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 t="b">
            <v>0</v>
          </cell>
        </row>
        <row r="1527">
          <cell r="A1527" t="str">
            <v>Data split-13;Reg-1</v>
          </cell>
          <cell r="B1527">
            <v>-0.5</v>
          </cell>
          <cell r="C1527">
            <v>0.46</v>
          </cell>
          <cell r="D1527">
            <v>0</v>
          </cell>
          <cell r="E1527">
            <v>0</v>
          </cell>
          <cell r="F1527">
            <v>0</v>
          </cell>
          <cell r="G1527">
            <v>0</v>
          </cell>
          <cell r="H1527">
            <v>0.72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-1.2E-2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 t="b">
            <v>1</v>
          </cell>
        </row>
        <row r="1528">
          <cell r="A1528" t="str">
            <v>Data split-13;Reg-2</v>
          </cell>
          <cell r="B1528">
            <v>-3.9</v>
          </cell>
          <cell r="C1528">
            <v>0.27</v>
          </cell>
          <cell r="D1528">
            <v>0</v>
          </cell>
          <cell r="E1528">
            <v>0</v>
          </cell>
          <cell r="F1528">
            <v>-6.3E-2</v>
          </cell>
          <cell r="G1528">
            <v>1.4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-5.4000000000000003E-3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 t="b">
            <v>0</v>
          </cell>
        </row>
        <row r="1529">
          <cell r="A1529" t="str">
            <v>Data split-13;Reg-3</v>
          </cell>
          <cell r="B1529">
            <v>-1.8</v>
          </cell>
          <cell r="C1529">
            <v>0.38</v>
          </cell>
          <cell r="D1529">
            <v>0</v>
          </cell>
          <cell r="E1529">
            <v>0</v>
          </cell>
          <cell r="F1529">
            <v>-4.8000000000000001E-2</v>
          </cell>
          <cell r="G1529">
            <v>0</v>
          </cell>
          <cell r="H1529">
            <v>1.2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-2.1000000000000001E-2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 t="b">
            <v>0</v>
          </cell>
        </row>
        <row r="1530">
          <cell r="A1530" t="str">
            <v>Data split-13;Reg-4</v>
          </cell>
          <cell r="B1530">
            <v>-1.9</v>
          </cell>
          <cell r="C1530">
            <v>0.41</v>
          </cell>
          <cell r="D1530">
            <v>0</v>
          </cell>
          <cell r="E1530">
            <v>0</v>
          </cell>
          <cell r="F1530">
            <v>-5.1999999999999998E-2</v>
          </cell>
          <cell r="G1530">
            <v>0</v>
          </cell>
          <cell r="H1530">
            <v>1.5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-7.6E-3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 t="b">
            <v>0</v>
          </cell>
        </row>
        <row r="1531">
          <cell r="A1531" t="str">
            <v>Data split-13;Reg-5</v>
          </cell>
          <cell r="B1531">
            <v>-3.9</v>
          </cell>
          <cell r="C1531">
            <v>0</v>
          </cell>
          <cell r="D1531">
            <v>0.27</v>
          </cell>
          <cell r="E1531">
            <v>0</v>
          </cell>
          <cell r="F1531">
            <v>-3.6999999999999998E-2</v>
          </cell>
          <cell r="G1531">
            <v>1.5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-8.0999999999999996E-3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 t="b">
            <v>0</v>
          </cell>
        </row>
        <row r="1532">
          <cell r="A1532" t="str">
            <v>Data split-13;Reg-6</v>
          </cell>
          <cell r="B1532">
            <v>-1.6</v>
          </cell>
          <cell r="C1532">
            <v>0</v>
          </cell>
          <cell r="D1532">
            <v>0.35</v>
          </cell>
          <cell r="E1532">
            <v>0</v>
          </cell>
          <cell r="F1532">
            <v>-1.7000000000000001E-2</v>
          </cell>
          <cell r="G1532">
            <v>0</v>
          </cell>
          <cell r="H1532">
            <v>1.6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-1.0999999999999999E-2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 t="b">
            <v>0</v>
          </cell>
        </row>
        <row r="1533">
          <cell r="A1533" t="str">
            <v>Data split-13;Reg-7</v>
          </cell>
          <cell r="B1533">
            <v>-1.4</v>
          </cell>
          <cell r="C1533">
            <v>0.2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0.54</v>
          </cell>
          <cell r="I1533">
            <v>1.4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-2.4E-2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 t="b">
            <v>0</v>
          </cell>
        </row>
        <row r="1534">
          <cell r="A1534" t="str">
            <v>Data split-13;Reg-8</v>
          </cell>
          <cell r="B1534">
            <v>-1.2</v>
          </cell>
          <cell r="C1534">
            <v>0.27</v>
          </cell>
          <cell r="D1534">
            <v>0</v>
          </cell>
          <cell r="E1534">
            <v>0</v>
          </cell>
          <cell r="F1534">
            <v>0</v>
          </cell>
          <cell r="G1534">
            <v>0</v>
          </cell>
          <cell r="H1534">
            <v>0.5</v>
          </cell>
          <cell r="I1534">
            <v>1.3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-5.4999999999999997E-3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 t="b">
            <v>0</v>
          </cell>
        </row>
        <row r="1535">
          <cell r="A1535" t="str">
            <v>Data split-13;Reg-9</v>
          </cell>
          <cell r="B1535">
            <v>1.1000000000000001</v>
          </cell>
          <cell r="C1535">
            <v>0.56999999999999995</v>
          </cell>
          <cell r="D1535">
            <v>0</v>
          </cell>
          <cell r="E1535">
            <v>0</v>
          </cell>
          <cell r="F1535">
            <v>0</v>
          </cell>
          <cell r="G1535">
            <v>-0.56000000000000005</v>
          </cell>
          <cell r="H1535">
            <v>0</v>
          </cell>
          <cell r="I1535">
            <v>0.63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1.0999999999999999E-2</v>
          </cell>
          <cell r="S1535">
            <v>0</v>
          </cell>
          <cell r="T1535">
            <v>0</v>
          </cell>
          <cell r="U1535" t="b">
            <v>0</v>
          </cell>
        </row>
        <row r="1536">
          <cell r="A1536" t="str">
            <v>Data split-13;Reg-10</v>
          </cell>
          <cell r="B1536">
            <v>-0.48</v>
          </cell>
          <cell r="C1536">
            <v>0.55000000000000004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0.77</v>
          </cell>
          <cell r="I1536">
            <v>0</v>
          </cell>
          <cell r="J1536">
            <v>0</v>
          </cell>
          <cell r="K1536">
            <v>-0.44</v>
          </cell>
          <cell r="L1536">
            <v>0</v>
          </cell>
          <cell r="M1536">
            <v>0</v>
          </cell>
          <cell r="N1536">
            <v>0</v>
          </cell>
          <cell r="O1536">
            <v>-8.8999999999999999E-3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 t="b">
            <v>1</v>
          </cell>
        </row>
        <row r="1537">
          <cell r="A1537" t="str">
            <v>Data split-13;Reg-11</v>
          </cell>
          <cell r="B1537">
            <v>-1.5</v>
          </cell>
          <cell r="C1537">
            <v>0.74</v>
          </cell>
          <cell r="D1537">
            <v>0</v>
          </cell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1.7</v>
          </cell>
          <cell r="J1537">
            <v>0</v>
          </cell>
          <cell r="K1537">
            <v>-0.75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 t="b">
            <v>0</v>
          </cell>
        </row>
        <row r="1538">
          <cell r="A1538" t="str">
            <v>Data split-13;Reg-12</v>
          </cell>
          <cell r="B1538">
            <v>-2.2999999999999998</v>
          </cell>
          <cell r="C1538">
            <v>0.25</v>
          </cell>
          <cell r="D1538">
            <v>0</v>
          </cell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0.91</v>
          </cell>
          <cell r="J1538">
            <v>0</v>
          </cell>
          <cell r="K1538">
            <v>0</v>
          </cell>
          <cell r="L1538">
            <v>13.4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 t="b">
            <v>0</v>
          </cell>
        </row>
        <row r="1539">
          <cell r="A1539" t="str">
            <v>Data split-13;Reg-13</v>
          </cell>
          <cell r="B1539">
            <v>-3.7</v>
          </cell>
          <cell r="C1539">
            <v>0.41</v>
          </cell>
          <cell r="D1539">
            <v>0</v>
          </cell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17.2</v>
          </cell>
          <cell r="K1539">
            <v>0.28999999999999998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 t="b">
            <v>0</v>
          </cell>
        </row>
        <row r="1540">
          <cell r="A1540" t="str">
            <v>Data split-13;Reg-14</v>
          </cell>
          <cell r="B1540">
            <v>-4.2</v>
          </cell>
          <cell r="C1540">
            <v>0.3</v>
          </cell>
          <cell r="D1540">
            <v>0</v>
          </cell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15.5</v>
          </cell>
          <cell r="K1540">
            <v>0</v>
          </cell>
          <cell r="L1540">
            <v>8.1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 t="b">
            <v>0</v>
          </cell>
        </row>
        <row r="1541">
          <cell r="A1541" t="str">
            <v>Data split-13;Reg-15</v>
          </cell>
          <cell r="B1541">
            <v>-2.3E-2</v>
          </cell>
          <cell r="C1541">
            <v>0.51</v>
          </cell>
          <cell r="D1541">
            <v>0</v>
          </cell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0.53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1.9E-2</v>
          </cell>
          <cell r="R1541">
            <v>0</v>
          </cell>
          <cell r="S1541">
            <v>0</v>
          </cell>
          <cell r="T1541">
            <v>0</v>
          </cell>
          <cell r="U1541" t="b">
            <v>0</v>
          </cell>
        </row>
        <row r="1542">
          <cell r="A1542" t="str">
            <v>Data split-13;Reg-16</v>
          </cell>
          <cell r="B1542">
            <v>-4.9000000000000002E-2</v>
          </cell>
          <cell r="C1542">
            <v>0.45</v>
          </cell>
          <cell r="D1542">
            <v>0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0.41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5.5999999999999999E-3</v>
          </cell>
          <cell r="S1542">
            <v>0</v>
          </cell>
          <cell r="T1542">
            <v>0</v>
          </cell>
          <cell r="U1542" t="b">
            <v>0</v>
          </cell>
        </row>
        <row r="1543">
          <cell r="A1543" t="str">
            <v>Data split-13;Reg-17</v>
          </cell>
          <cell r="B1543">
            <v>-2.2999999999999998</v>
          </cell>
          <cell r="C1543">
            <v>0.25</v>
          </cell>
          <cell r="D1543">
            <v>0</v>
          </cell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14.2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1.9E-2</v>
          </cell>
          <cell r="R1543">
            <v>0</v>
          </cell>
          <cell r="S1543">
            <v>0</v>
          </cell>
          <cell r="T1543">
            <v>0</v>
          </cell>
          <cell r="U1543" t="b">
            <v>0</v>
          </cell>
        </row>
        <row r="1544">
          <cell r="A1544" t="str">
            <v>Data split-13;Reg-18</v>
          </cell>
          <cell r="B1544">
            <v>-2.2999999999999998</v>
          </cell>
          <cell r="C1544">
            <v>0.18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13.6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5.4000000000000003E-3</v>
          </cell>
          <cell r="S1544">
            <v>0</v>
          </cell>
          <cell r="T1544">
            <v>0</v>
          </cell>
          <cell r="U1544" t="b">
            <v>0</v>
          </cell>
        </row>
        <row r="1545">
          <cell r="A1545" t="str">
            <v>Data split-13;Reg-19</v>
          </cell>
          <cell r="B1545">
            <v>0.56999999999999995</v>
          </cell>
          <cell r="C1545">
            <v>0.79</v>
          </cell>
          <cell r="D1545">
            <v>0</v>
          </cell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-0.45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2.5000000000000001E-2</v>
          </cell>
          <cell r="T1545">
            <v>0</v>
          </cell>
          <cell r="U1545" t="b">
            <v>0</v>
          </cell>
        </row>
        <row r="1546">
          <cell r="A1546" t="str">
            <v>Data split-13;Reg-20</v>
          </cell>
          <cell r="B1546">
            <v>0.51</v>
          </cell>
          <cell r="C1546">
            <v>0.72</v>
          </cell>
          <cell r="D1546">
            <v>0</v>
          </cell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-0.7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7.6E-3</v>
          </cell>
          <cell r="U1546" t="b">
            <v>0</v>
          </cell>
        </row>
        <row r="1547">
          <cell r="A1547" t="str">
            <v>Data split-13;Reg-21</v>
          </cell>
          <cell r="B1547">
            <v>-0.98</v>
          </cell>
          <cell r="C1547">
            <v>0.27</v>
          </cell>
          <cell r="D1547">
            <v>0</v>
          </cell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13.1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1.7999999999999999E-2</v>
          </cell>
          <cell r="T1547">
            <v>0</v>
          </cell>
          <cell r="U1547" t="b">
            <v>0</v>
          </cell>
        </row>
        <row r="1548">
          <cell r="A1548" t="str">
            <v>Data split-13;Reg-22</v>
          </cell>
          <cell r="B1548">
            <v>-0.76</v>
          </cell>
          <cell r="C1548">
            <v>0.25</v>
          </cell>
          <cell r="D1548">
            <v>0</v>
          </cell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10.5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5.1999999999999998E-3</v>
          </cell>
          <cell r="U1548" t="b">
            <v>0</v>
          </cell>
        </row>
        <row r="1549">
          <cell r="A1549" t="str">
            <v>Data split-13;Reg-23</v>
          </cell>
          <cell r="B1549">
            <v>-1.2</v>
          </cell>
          <cell r="C1549">
            <v>0</v>
          </cell>
          <cell r="D1549">
            <v>0.56999999999999995</v>
          </cell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1.5</v>
          </cell>
          <cell r="J1549">
            <v>0</v>
          </cell>
          <cell r="K1549">
            <v>-0.55000000000000004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 t="b">
            <v>0</v>
          </cell>
        </row>
        <row r="1550">
          <cell r="A1550" t="str">
            <v>Data split-13;Reg-24</v>
          </cell>
          <cell r="B1550">
            <v>-1.2</v>
          </cell>
          <cell r="C1550">
            <v>0</v>
          </cell>
          <cell r="D1550">
            <v>0.5</v>
          </cell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0.97</v>
          </cell>
          <cell r="J1550">
            <v>0</v>
          </cell>
          <cell r="K1550">
            <v>0</v>
          </cell>
          <cell r="L1550">
            <v>2.2000000000000002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 t="b">
            <v>0</v>
          </cell>
        </row>
        <row r="1551">
          <cell r="A1551" t="str">
            <v>Data split-13;Reg-25</v>
          </cell>
          <cell r="B1551">
            <v>-2.7</v>
          </cell>
          <cell r="C1551">
            <v>0</v>
          </cell>
          <cell r="D1551">
            <v>0.45</v>
          </cell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12.4</v>
          </cell>
          <cell r="K1551">
            <v>0.32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 t="b">
            <v>0</v>
          </cell>
        </row>
        <row r="1552">
          <cell r="A1552" t="str">
            <v>Data split-13;Reg-26</v>
          </cell>
          <cell r="B1552">
            <v>-3.2</v>
          </cell>
          <cell r="C1552">
            <v>0</v>
          </cell>
          <cell r="D1552">
            <v>0.45</v>
          </cell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13</v>
          </cell>
          <cell r="K1552">
            <v>0</v>
          </cell>
          <cell r="L1552">
            <v>3.2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 t="b">
            <v>0</v>
          </cell>
        </row>
        <row r="1553">
          <cell r="A1553" t="str">
            <v>Data split-13;Reg-27</v>
          </cell>
          <cell r="B1553">
            <v>-0.5</v>
          </cell>
          <cell r="C1553">
            <v>0</v>
          </cell>
          <cell r="D1553">
            <v>0.47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0.83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8.3000000000000001E-3</v>
          </cell>
          <cell r="R1553">
            <v>0</v>
          </cell>
          <cell r="S1553">
            <v>0</v>
          </cell>
          <cell r="T1553">
            <v>0</v>
          </cell>
          <cell r="U1553" t="b">
            <v>0</v>
          </cell>
        </row>
        <row r="1554">
          <cell r="A1554" t="str">
            <v>Data split-13;Reg-28</v>
          </cell>
          <cell r="B1554">
            <v>-0.4</v>
          </cell>
          <cell r="C1554">
            <v>0</v>
          </cell>
          <cell r="D1554">
            <v>0.42</v>
          </cell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0.73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3.0000000000000001E-3</v>
          </cell>
          <cell r="S1554">
            <v>0</v>
          </cell>
          <cell r="T1554">
            <v>0</v>
          </cell>
          <cell r="U1554" t="b">
            <v>0</v>
          </cell>
        </row>
        <row r="1555">
          <cell r="A1555" t="str">
            <v>Data split-13;Reg-29</v>
          </cell>
          <cell r="B1555">
            <v>-2.2000000000000002</v>
          </cell>
          <cell r="C1555">
            <v>0</v>
          </cell>
          <cell r="D1555">
            <v>0.31</v>
          </cell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12.8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1.4E-2</v>
          </cell>
          <cell r="R1555">
            <v>0</v>
          </cell>
          <cell r="S1555">
            <v>0</v>
          </cell>
          <cell r="T1555">
            <v>0</v>
          </cell>
          <cell r="U1555" t="b">
            <v>0</v>
          </cell>
        </row>
        <row r="1556">
          <cell r="A1556" t="str">
            <v>Data split-13;Reg-30</v>
          </cell>
          <cell r="B1556">
            <v>-2.2000000000000002</v>
          </cell>
          <cell r="C1556">
            <v>0</v>
          </cell>
          <cell r="D1556">
            <v>0.26</v>
          </cell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12.3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4.3E-3</v>
          </cell>
          <cell r="S1556">
            <v>0</v>
          </cell>
          <cell r="T1556">
            <v>0</v>
          </cell>
          <cell r="U1556" t="b">
            <v>0</v>
          </cell>
        </row>
        <row r="1557">
          <cell r="A1557" t="str">
            <v>Data split-13;Reg-31</v>
          </cell>
          <cell r="B1557">
            <v>0.17</v>
          </cell>
          <cell r="C1557">
            <v>0</v>
          </cell>
          <cell r="D1557">
            <v>0.54</v>
          </cell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0.49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9.4999999999999998E-3</v>
          </cell>
          <cell r="T1557">
            <v>0</v>
          </cell>
          <cell r="U1557" t="b">
            <v>0</v>
          </cell>
        </row>
        <row r="1558">
          <cell r="A1558" t="str">
            <v>Data split-13;Reg-32</v>
          </cell>
          <cell r="B1558">
            <v>0.3</v>
          </cell>
          <cell r="C1558">
            <v>0</v>
          </cell>
          <cell r="D1558">
            <v>0.49</v>
          </cell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0.28999999999999998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3.7000000000000002E-3</v>
          </cell>
          <cell r="U1558" t="b">
            <v>0</v>
          </cell>
        </row>
        <row r="1559">
          <cell r="A1559" t="str">
            <v>Data split-13;Reg-33</v>
          </cell>
          <cell r="B1559">
            <v>-0.92</v>
          </cell>
          <cell r="C1559">
            <v>0</v>
          </cell>
          <cell r="D1559">
            <v>0.4</v>
          </cell>
          <cell r="E1559">
            <v>0</v>
          </cell>
          <cell r="F1559">
            <v>0</v>
          </cell>
          <cell r="G1559">
            <v>0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10.3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1.2E-2</v>
          </cell>
          <cell r="T1559">
            <v>0</v>
          </cell>
          <cell r="U1559" t="b">
            <v>0</v>
          </cell>
        </row>
        <row r="1560">
          <cell r="A1560" t="str">
            <v>Data split-13;Reg-34</v>
          </cell>
          <cell r="B1560">
            <v>-0.76</v>
          </cell>
          <cell r="C1560">
            <v>0</v>
          </cell>
          <cell r="D1560">
            <v>0.36</v>
          </cell>
          <cell r="E1560">
            <v>0</v>
          </cell>
          <cell r="F1560">
            <v>0</v>
          </cell>
          <cell r="G1560">
            <v>0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8.6999999999999993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3.7000000000000002E-3</v>
          </cell>
          <cell r="U1560" t="b">
            <v>0</v>
          </cell>
        </row>
        <row r="1561">
          <cell r="A1561" t="str">
            <v>Data split-13;Reg-35</v>
          </cell>
          <cell r="B1561">
            <v>-0.45</v>
          </cell>
          <cell r="C1561">
            <v>0.79</v>
          </cell>
          <cell r="D1561">
            <v>0</v>
          </cell>
          <cell r="E1561">
            <v>0</v>
          </cell>
          <cell r="F1561">
            <v>0</v>
          </cell>
          <cell r="G1561">
            <v>0</v>
          </cell>
          <cell r="H1561">
            <v>0</v>
          </cell>
          <cell r="I1561">
            <v>1.5</v>
          </cell>
          <cell r="J1561">
            <v>0</v>
          </cell>
          <cell r="K1561">
            <v>-1.8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2.5999999999999999E-2</v>
          </cell>
          <cell r="R1561">
            <v>0</v>
          </cell>
          <cell r="S1561">
            <v>0</v>
          </cell>
          <cell r="T1561">
            <v>0</v>
          </cell>
          <cell r="U1561" t="b">
            <v>0</v>
          </cell>
        </row>
        <row r="1562">
          <cell r="A1562" t="str">
            <v>Data split-13;Reg-36</v>
          </cell>
          <cell r="B1562">
            <v>-0.6</v>
          </cell>
          <cell r="C1562">
            <v>0.73</v>
          </cell>
          <cell r="D1562">
            <v>0</v>
          </cell>
          <cell r="E1562">
            <v>0</v>
          </cell>
          <cell r="F1562">
            <v>0</v>
          </cell>
          <cell r="G1562">
            <v>0</v>
          </cell>
          <cell r="H1562">
            <v>0</v>
          </cell>
          <cell r="I1562">
            <v>1.4</v>
          </cell>
          <cell r="J1562">
            <v>0</v>
          </cell>
          <cell r="K1562">
            <v>-1.9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7.4000000000000003E-3</v>
          </cell>
          <cell r="S1562">
            <v>0</v>
          </cell>
          <cell r="T1562">
            <v>0</v>
          </cell>
          <cell r="U1562" t="b">
            <v>0</v>
          </cell>
        </row>
        <row r="1563">
          <cell r="A1563" t="str">
            <v>Data split-13;Reg-37</v>
          </cell>
          <cell r="B1563">
            <v>-0.92</v>
          </cell>
          <cell r="C1563">
            <v>0.26</v>
          </cell>
          <cell r="D1563">
            <v>0</v>
          </cell>
          <cell r="E1563">
            <v>0</v>
          </cell>
          <cell r="F1563">
            <v>0</v>
          </cell>
          <cell r="G1563">
            <v>0</v>
          </cell>
          <cell r="H1563">
            <v>0</v>
          </cell>
          <cell r="I1563">
            <v>0.38</v>
          </cell>
          <cell r="J1563">
            <v>0</v>
          </cell>
          <cell r="K1563">
            <v>0</v>
          </cell>
          <cell r="L1563">
            <v>9.4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1.7999999999999999E-2</v>
          </cell>
          <cell r="R1563">
            <v>0</v>
          </cell>
          <cell r="S1563">
            <v>0</v>
          </cell>
          <cell r="T1563">
            <v>0</v>
          </cell>
          <cell r="U1563" t="b">
            <v>0</v>
          </cell>
        </row>
        <row r="1564">
          <cell r="A1564" t="str">
            <v>Data split-13;Reg-38</v>
          </cell>
          <cell r="B1564">
            <v>-0.77</v>
          </cell>
          <cell r="C1564">
            <v>0.25</v>
          </cell>
          <cell r="D1564">
            <v>0</v>
          </cell>
          <cell r="E1564">
            <v>0</v>
          </cell>
          <cell r="F1564">
            <v>0</v>
          </cell>
          <cell r="G1564">
            <v>0</v>
          </cell>
          <cell r="H1564">
            <v>0</v>
          </cell>
          <cell r="I1564">
            <v>0.3</v>
          </cell>
          <cell r="J1564">
            <v>0</v>
          </cell>
          <cell r="K1564">
            <v>0</v>
          </cell>
          <cell r="L1564">
            <v>7.5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5.3E-3</v>
          </cell>
          <cell r="S1564">
            <v>0</v>
          </cell>
          <cell r="T1564">
            <v>0</v>
          </cell>
          <cell r="U1564" t="b">
            <v>0</v>
          </cell>
        </row>
        <row r="1565">
          <cell r="A1565" t="str">
            <v>Data split-13;Reg-39</v>
          </cell>
          <cell r="B1565">
            <v>-2.5</v>
          </cell>
          <cell r="C1565">
            <v>0.48</v>
          </cell>
          <cell r="D1565">
            <v>0</v>
          </cell>
          <cell r="E1565">
            <v>0</v>
          </cell>
          <cell r="F1565">
            <v>0</v>
          </cell>
          <cell r="G1565">
            <v>0</v>
          </cell>
          <cell r="H1565">
            <v>0</v>
          </cell>
          <cell r="I1565">
            <v>0</v>
          </cell>
          <cell r="J1565">
            <v>16</v>
          </cell>
          <cell r="K1565">
            <v>-0.94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2.5999999999999999E-2</v>
          </cell>
          <cell r="R1565">
            <v>0</v>
          </cell>
          <cell r="S1565">
            <v>0</v>
          </cell>
          <cell r="T1565">
            <v>0</v>
          </cell>
          <cell r="U1565" t="b">
            <v>0</v>
          </cell>
        </row>
        <row r="1566">
          <cell r="A1566" t="str">
            <v>Data split-13;Reg-40</v>
          </cell>
          <cell r="B1566">
            <v>-2.6</v>
          </cell>
          <cell r="C1566">
            <v>0.43</v>
          </cell>
          <cell r="D1566">
            <v>0</v>
          </cell>
          <cell r="E1566">
            <v>0</v>
          </cell>
          <cell r="F1566">
            <v>0</v>
          </cell>
          <cell r="G1566">
            <v>0</v>
          </cell>
          <cell r="H1566">
            <v>0</v>
          </cell>
          <cell r="I1566">
            <v>0</v>
          </cell>
          <cell r="J1566">
            <v>15.7</v>
          </cell>
          <cell r="K1566">
            <v>-1.1000000000000001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7.4999999999999997E-3</v>
          </cell>
          <cell r="S1566">
            <v>0</v>
          </cell>
          <cell r="T1566">
            <v>0</v>
          </cell>
          <cell r="U1566" t="b">
            <v>0</v>
          </cell>
        </row>
        <row r="1567">
          <cell r="A1567" t="str">
            <v>Data split-13;Reg-41</v>
          </cell>
          <cell r="B1567">
            <v>-2.2999999999999998</v>
          </cell>
          <cell r="C1567">
            <v>0.26</v>
          </cell>
          <cell r="D1567">
            <v>0</v>
          </cell>
          <cell r="E1567">
            <v>0</v>
          </cell>
          <cell r="F1567">
            <v>0</v>
          </cell>
          <cell r="G1567">
            <v>0</v>
          </cell>
          <cell r="H1567">
            <v>0</v>
          </cell>
          <cell r="I1567">
            <v>0</v>
          </cell>
          <cell r="J1567">
            <v>14.4</v>
          </cell>
          <cell r="K1567">
            <v>0</v>
          </cell>
          <cell r="L1567">
            <v>-0.5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1.9E-2</v>
          </cell>
          <cell r="R1567">
            <v>0</v>
          </cell>
          <cell r="S1567">
            <v>0</v>
          </cell>
          <cell r="T1567">
            <v>0</v>
          </cell>
          <cell r="U1567" t="b">
            <v>0</v>
          </cell>
        </row>
        <row r="1568">
          <cell r="A1568" t="str">
            <v>Data split-13;Reg-42</v>
          </cell>
          <cell r="B1568">
            <v>-2.2000000000000002</v>
          </cell>
          <cell r="C1568">
            <v>0.25</v>
          </cell>
          <cell r="D1568">
            <v>0</v>
          </cell>
          <cell r="E1568">
            <v>0</v>
          </cell>
          <cell r="F1568">
            <v>0</v>
          </cell>
          <cell r="G1568">
            <v>0</v>
          </cell>
          <cell r="H1568">
            <v>0</v>
          </cell>
          <cell r="I1568">
            <v>0</v>
          </cell>
          <cell r="J1568">
            <v>14.5</v>
          </cell>
          <cell r="K1568">
            <v>0</v>
          </cell>
          <cell r="L1568">
            <v>-3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5.5999999999999999E-3</v>
          </cell>
          <cell r="S1568">
            <v>0</v>
          </cell>
          <cell r="T1568">
            <v>0</v>
          </cell>
          <cell r="U1568" t="b">
            <v>0</v>
          </cell>
        </row>
        <row r="1569">
          <cell r="A1569" t="str">
            <v>Data split-13;Reg-43</v>
          </cell>
          <cell r="B1569">
            <v>-0.43</v>
          </cell>
          <cell r="C1569">
            <v>0.77</v>
          </cell>
          <cell r="D1569">
            <v>0</v>
          </cell>
          <cell r="E1569">
            <v>0</v>
          </cell>
          <cell r="F1569">
            <v>0</v>
          </cell>
          <cell r="G1569">
            <v>0</v>
          </cell>
          <cell r="H1569">
            <v>0</v>
          </cell>
          <cell r="I1569">
            <v>1.6</v>
          </cell>
          <cell r="J1569">
            <v>0</v>
          </cell>
          <cell r="K1569">
            <v>-1.8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2.4E-2</v>
          </cell>
          <cell r="T1569">
            <v>0</v>
          </cell>
          <cell r="U1569" t="b">
            <v>0</v>
          </cell>
        </row>
        <row r="1570">
          <cell r="A1570" t="str">
            <v>Data split-13;Reg-44</v>
          </cell>
          <cell r="B1570">
            <v>-0.47</v>
          </cell>
          <cell r="C1570">
            <v>0.7</v>
          </cell>
          <cell r="D1570">
            <v>0</v>
          </cell>
          <cell r="E1570">
            <v>0</v>
          </cell>
          <cell r="F1570">
            <v>0</v>
          </cell>
          <cell r="G1570">
            <v>0</v>
          </cell>
          <cell r="H1570">
            <v>0</v>
          </cell>
          <cell r="I1570">
            <v>1.6</v>
          </cell>
          <cell r="J1570">
            <v>0</v>
          </cell>
          <cell r="K1570">
            <v>-2.1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7.4000000000000003E-3</v>
          </cell>
          <cell r="U1570" t="b">
            <v>0</v>
          </cell>
        </row>
        <row r="1571">
          <cell r="A1571" t="str">
            <v>Data split-13;Reg-45</v>
          </cell>
          <cell r="B1571">
            <v>-1.1000000000000001</v>
          </cell>
          <cell r="C1571">
            <v>0.23</v>
          </cell>
          <cell r="D1571">
            <v>0</v>
          </cell>
          <cell r="E1571">
            <v>0</v>
          </cell>
          <cell r="F1571">
            <v>0</v>
          </cell>
          <cell r="G1571">
            <v>0</v>
          </cell>
          <cell r="H1571">
            <v>0</v>
          </cell>
          <cell r="I1571">
            <v>0.49</v>
          </cell>
          <cell r="J1571">
            <v>0</v>
          </cell>
          <cell r="K1571">
            <v>0</v>
          </cell>
          <cell r="L1571">
            <v>10.3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1.4E-2</v>
          </cell>
          <cell r="T1571">
            <v>0</v>
          </cell>
          <cell r="U1571" t="b">
            <v>0</v>
          </cell>
        </row>
        <row r="1572">
          <cell r="A1572" t="str">
            <v>Data split-13;Reg-46</v>
          </cell>
          <cell r="B1572">
            <v>-0.84</v>
          </cell>
          <cell r="C1572">
            <v>0.22</v>
          </cell>
          <cell r="D1572">
            <v>0</v>
          </cell>
          <cell r="E1572">
            <v>0</v>
          </cell>
          <cell r="F1572">
            <v>0</v>
          </cell>
          <cell r="G1572">
            <v>0</v>
          </cell>
          <cell r="H1572">
            <v>0</v>
          </cell>
          <cell r="I1572">
            <v>0.42</v>
          </cell>
          <cell r="J1572">
            <v>0</v>
          </cell>
          <cell r="K1572">
            <v>0</v>
          </cell>
          <cell r="L1572">
            <v>8.1999999999999993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4.4999999999999997E-3</v>
          </cell>
          <cell r="U1572" t="b">
            <v>0</v>
          </cell>
        </row>
        <row r="1573">
          <cell r="A1573" t="str">
            <v>Data split-13;Reg-47</v>
          </cell>
          <cell r="B1573">
            <v>-2.6</v>
          </cell>
          <cell r="C1573">
            <v>0.43</v>
          </cell>
          <cell r="D1573">
            <v>0</v>
          </cell>
          <cell r="E1573">
            <v>0</v>
          </cell>
          <cell r="F1573">
            <v>0</v>
          </cell>
          <cell r="G1573">
            <v>0</v>
          </cell>
          <cell r="H1573">
            <v>0</v>
          </cell>
          <cell r="I1573">
            <v>0</v>
          </cell>
          <cell r="J1573">
            <v>17.100000000000001</v>
          </cell>
          <cell r="K1573">
            <v>-0.95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2.5000000000000001E-2</v>
          </cell>
          <cell r="T1573">
            <v>0</v>
          </cell>
          <cell r="U1573" t="b">
            <v>0</v>
          </cell>
        </row>
        <row r="1574">
          <cell r="A1574" t="str">
            <v>Data split-13;Reg-48</v>
          </cell>
          <cell r="B1574">
            <v>-2.7</v>
          </cell>
          <cell r="C1574">
            <v>0.36</v>
          </cell>
          <cell r="D1574">
            <v>0</v>
          </cell>
          <cell r="E1574">
            <v>0</v>
          </cell>
          <cell r="F1574">
            <v>0</v>
          </cell>
          <cell r="G1574">
            <v>0</v>
          </cell>
          <cell r="H1574">
            <v>0</v>
          </cell>
          <cell r="I1574">
            <v>0</v>
          </cell>
          <cell r="J1574">
            <v>17.2</v>
          </cell>
          <cell r="K1574">
            <v>-1.2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7.6E-3</v>
          </cell>
          <cell r="U1574" t="b">
            <v>0</v>
          </cell>
        </row>
        <row r="1575">
          <cell r="A1575" t="str">
            <v>Data split-13;Reg-49</v>
          </cell>
          <cell r="B1575">
            <v>-2.5</v>
          </cell>
          <cell r="C1575">
            <v>0.24</v>
          </cell>
          <cell r="D1575">
            <v>0</v>
          </cell>
          <cell r="E1575">
            <v>0</v>
          </cell>
          <cell r="F1575">
            <v>0</v>
          </cell>
          <cell r="G1575">
            <v>0</v>
          </cell>
          <cell r="H1575">
            <v>0</v>
          </cell>
          <cell r="I1575">
            <v>0</v>
          </cell>
          <cell r="J1575">
            <v>15.2</v>
          </cell>
          <cell r="K1575">
            <v>0</v>
          </cell>
          <cell r="L1575">
            <v>-7.3999999999999996E-2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1.7000000000000001E-2</v>
          </cell>
          <cell r="T1575">
            <v>0</v>
          </cell>
          <cell r="U1575" t="b">
            <v>0</v>
          </cell>
        </row>
        <row r="1576">
          <cell r="A1576" t="str">
            <v>Data split-13;Reg-50</v>
          </cell>
          <cell r="B1576">
            <v>-2.2000000000000002</v>
          </cell>
          <cell r="C1576">
            <v>0.21</v>
          </cell>
          <cell r="D1576">
            <v>0</v>
          </cell>
          <cell r="E1576">
            <v>0</v>
          </cell>
          <cell r="F1576">
            <v>0</v>
          </cell>
          <cell r="G1576">
            <v>0</v>
          </cell>
          <cell r="H1576">
            <v>0</v>
          </cell>
          <cell r="I1576">
            <v>0</v>
          </cell>
          <cell r="J1576">
            <v>15.7</v>
          </cell>
          <cell r="K1576">
            <v>0</v>
          </cell>
          <cell r="L1576">
            <v>-3.5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5.3E-3</v>
          </cell>
          <cell r="U1576" t="b">
            <v>0</v>
          </cell>
        </row>
        <row r="1577">
          <cell r="A1577" t="str">
            <v>Data split-13;Reg-51</v>
          </cell>
          <cell r="B1577">
            <v>-0.64</v>
          </cell>
          <cell r="C1577">
            <v>0</v>
          </cell>
          <cell r="D1577">
            <v>0.5</v>
          </cell>
          <cell r="E1577">
            <v>0</v>
          </cell>
          <cell r="F1577">
            <v>0</v>
          </cell>
          <cell r="G1577">
            <v>0</v>
          </cell>
          <cell r="H1577">
            <v>0</v>
          </cell>
          <cell r="I1577">
            <v>1.4</v>
          </cell>
          <cell r="J1577">
            <v>0</v>
          </cell>
          <cell r="K1577">
            <v>-0.84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1.2E-2</v>
          </cell>
          <cell r="R1577">
            <v>0</v>
          </cell>
          <cell r="S1577">
            <v>0</v>
          </cell>
          <cell r="T1577">
            <v>0</v>
          </cell>
          <cell r="U1577" t="b">
            <v>0</v>
          </cell>
        </row>
        <row r="1578">
          <cell r="A1578" t="str">
            <v>Data split-13;Reg-52</v>
          </cell>
          <cell r="B1578">
            <v>-0.59</v>
          </cell>
          <cell r="C1578">
            <v>0</v>
          </cell>
          <cell r="D1578">
            <v>0.45</v>
          </cell>
          <cell r="E1578">
            <v>0</v>
          </cell>
          <cell r="F1578">
            <v>0</v>
          </cell>
          <cell r="G1578">
            <v>0</v>
          </cell>
          <cell r="H1578">
            <v>0</v>
          </cell>
          <cell r="I1578">
            <v>1.4</v>
          </cell>
          <cell r="J1578">
            <v>0</v>
          </cell>
          <cell r="K1578">
            <v>-0.98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4.1000000000000003E-3</v>
          </cell>
          <cell r="S1578">
            <v>0</v>
          </cell>
          <cell r="T1578">
            <v>0</v>
          </cell>
          <cell r="U1578" t="b">
            <v>0</v>
          </cell>
        </row>
        <row r="1579">
          <cell r="A1579" t="str">
            <v>Data split-13;Reg-53</v>
          </cell>
          <cell r="B1579">
            <v>-0.79</v>
          </cell>
          <cell r="C1579">
            <v>0</v>
          </cell>
          <cell r="D1579">
            <v>0.42</v>
          </cell>
          <cell r="E1579">
            <v>0</v>
          </cell>
          <cell r="F1579">
            <v>0</v>
          </cell>
          <cell r="G1579">
            <v>0</v>
          </cell>
          <cell r="H1579">
            <v>0</v>
          </cell>
          <cell r="I1579">
            <v>0.71</v>
          </cell>
          <cell r="J1579">
            <v>0</v>
          </cell>
          <cell r="K1579">
            <v>0</v>
          </cell>
          <cell r="L1579">
            <v>3.2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8.6999999999999994E-3</v>
          </cell>
          <cell r="R1579">
            <v>0</v>
          </cell>
          <cell r="S1579">
            <v>0</v>
          </cell>
          <cell r="T1579">
            <v>0</v>
          </cell>
          <cell r="U1579" t="b">
            <v>0</v>
          </cell>
        </row>
        <row r="1580">
          <cell r="A1580" t="str">
            <v>Data split-13;Reg-54</v>
          </cell>
          <cell r="B1580">
            <v>-0.69</v>
          </cell>
          <cell r="C1580">
            <v>0</v>
          </cell>
          <cell r="D1580">
            <v>0.38</v>
          </cell>
          <cell r="E1580">
            <v>0</v>
          </cell>
          <cell r="F1580">
            <v>0</v>
          </cell>
          <cell r="G1580">
            <v>0</v>
          </cell>
          <cell r="H1580">
            <v>0</v>
          </cell>
          <cell r="I1580">
            <v>0.61</v>
          </cell>
          <cell r="J1580">
            <v>0</v>
          </cell>
          <cell r="K1580">
            <v>0</v>
          </cell>
          <cell r="L1580">
            <v>3.1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3.0999999999999999E-3</v>
          </cell>
          <cell r="S1580">
            <v>0</v>
          </cell>
          <cell r="T1580">
            <v>0</v>
          </cell>
          <cell r="U1580" t="b">
            <v>0</v>
          </cell>
        </row>
        <row r="1581">
          <cell r="A1581" t="str">
            <v>Data split-13;Reg-55</v>
          </cell>
          <cell r="B1581">
            <v>-2.4</v>
          </cell>
          <cell r="C1581">
            <v>0</v>
          </cell>
          <cell r="D1581">
            <v>0.31</v>
          </cell>
          <cell r="E1581">
            <v>0</v>
          </cell>
          <cell r="F1581">
            <v>0</v>
          </cell>
          <cell r="G1581">
            <v>0</v>
          </cell>
          <cell r="H1581">
            <v>0</v>
          </cell>
          <cell r="I1581">
            <v>0</v>
          </cell>
          <cell r="J1581">
            <v>14.6</v>
          </cell>
          <cell r="K1581">
            <v>-0.3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1.7000000000000001E-2</v>
          </cell>
          <cell r="R1581">
            <v>0</v>
          </cell>
          <cell r="S1581">
            <v>0</v>
          </cell>
          <cell r="T1581">
            <v>0</v>
          </cell>
          <cell r="U1581" t="b">
            <v>0</v>
          </cell>
        </row>
        <row r="1582">
          <cell r="A1582" t="str">
            <v>Data split-13;Reg-56</v>
          </cell>
          <cell r="B1582">
            <v>-2.5</v>
          </cell>
          <cell r="C1582">
            <v>0</v>
          </cell>
          <cell r="D1582">
            <v>0.24</v>
          </cell>
          <cell r="E1582">
            <v>0</v>
          </cell>
          <cell r="F1582">
            <v>0</v>
          </cell>
          <cell r="G1582">
            <v>0</v>
          </cell>
          <cell r="H1582">
            <v>0</v>
          </cell>
          <cell r="I1582">
            <v>0</v>
          </cell>
          <cell r="J1582">
            <v>15.3</v>
          </cell>
          <cell r="K1582">
            <v>-0.5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5.7000000000000002E-3</v>
          </cell>
          <cell r="S1582">
            <v>0</v>
          </cell>
          <cell r="T1582">
            <v>0</v>
          </cell>
          <cell r="U1582" t="b">
            <v>0</v>
          </cell>
        </row>
        <row r="1583">
          <cell r="A1583" t="str">
            <v>Data split-13;Reg-57</v>
          </cell>
          <cell r="B1583">
            <v>-2.2000000000000002</v>
          </cell>
          <cell r="C1583">
            <v>0</v>
          </cell>
          <cell r="D1583">
            <v>0.32</v>
          </cell>
          <cell r="E1583">
            <v>0</v>
          </cell>
          <cell r="F1583">
            <v>0</v>
          </cell>
          <cell r="G1583">
            <v>0</v>
          </cell>
          <cell r="H1583">
            <v>0</v>
          </cell>
          <cell r="I1583">
            <v>0</v>
          </cell>
          <cell r="J1583">
            <v>13</v>
          </cell>
          <cell r="K1583">
            <v>0</v>
          </cell>
          <cell r="L1583">
            <v>-0.25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1.4E-2</v>
          </cell>
          <cell r="R1583">
            <v>0</v>
          </cell>
          <cell r="S1583">
            <v>0</v>
          </cell>
          <cell r="T1583">
            <v>0</v>
          </cell>
          <cell r="U1583" t="b">
            <v>0</v>
          </cell>
        </row>
        <row r="1584">
          <cell r="A1584" t="str">
            <v>Data split-13;Reg-58</v>
          </cell>
          <cell r="B1584">
            <v>-2.1</v>
          </cell>
          <cell r="C1584">
            <v>0</v>
          </cell>
          <cell r="D1584">
            <v>0.27</v>
          </cell>
          <cell r="E1584">
            <v>0</v>
          </cell>
          <cell r="F1584">
            <v>0</v>
          </cell>
          <cell r="G1584">
            <v>0</v>
          </cell>
          <cell r="H1584">
            <v>0</v>
          </cell>
          <cell r="I1584">
            <v>0</v>
          </cell>
          <cell r="J1584">
            <v>13.2</v>
          </cell>
          <cell r="K1584">
            <v>0</v>
          </cell>
          <cell r="L1584">
            <v>-1.8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4.4000000000000003E-3</v>
          </cell>
          <cell r="S1584">
            <v>0</v>
          </cell>
          <cell r="T1584">
            <v>0</v>
          </cell>
          <cell r="U1584" t="b">
            <v>0</v>
          </cell>
        </row>
        <row r="1585">
          <cell r="A1585" t="str">
            <v>Data split-13;Reg-59</v>
          </cell>
          <cell r="B1585">
            <v>-0.74</v>
          </cell>
          <cell r="C1585">
            <v>0</v>
          </cell>
          <cell r="D1585">
            <v>0.51</v>
          </cell>
          <cell r="E1585">
            <v>0</v>
          </cell>
          <cell r="F1585">
            <v>0</v>
          </cell>
          <cell r="G1585">
            <v>0</v>
          </cell>
          <cell r="H1585">
            <v>0</v>
          </cell>
          <cell r="I1585">
            <v>1.5</v>
          </cell>
          <cell r="J1585">
            <v>0</v>
          </cell>
          <cell r="K1585">
            <v>-0.84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8.9999999999999993E-3</v>
          </cell>
          <cell r="T1585">
            <v>0</v>
          </cell>
          <cell r="U1585" t="b">
            <v>0</v>
          </cell>
        </row>
        <row r="1586">
          <cell r="A1586" t="str">
            <v>Data split-13;Reg-60</v>
          </cell>
          <cell r="B1586">
            <v>-0.59</v>
          </cell>
          <cell r="C1586">
            <v>0</v>
          </cell>
          <cell r="D1586">
            <v>0.46</v>
          </cell>
          <cell r="E1586">
            <v>0</v>
          </cell>
          <cell r="F1586">
            <v>0</v>
          </cell>
          <cell r="G1586">
            <v>0</v>
          </cell>
          <cell r="H1586">
            <v>0</v>
          </cell>
          <cell r="I1586">
            <v>1.5</v>
          </cell>
          <cell r="J1586">
            <v>0</v>
          </cell>
          <cell r="K1586">
            <v>-1.1000000000000001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3.7000000000000002E-3</v>
          </cell>
          <cell r="U1586" t="b">
            <v>0</v>
          </cell>
        </row>
        <row r="1587">
          <cell r="A1587" t="str">
            <v>Data split-13;Reg-61</v>
          </cell>
          <cell r="B1587">
            <v>-0.91</v>
          </cell>
          <cell r="C1587">
            <v>0</v>
          </cell>
          <cell r="D1587">
            <v>0.46</v>
          </cell>
          <cell r="E1587">
            <v>0</v>
          </cell>
          <cell r="F1587">
            <v>0</v>
          </cell>
          <cell r="G1587">
            <v>0</v>
          </cell>
          <cell r="H1587">
            <v>0</v>
          </cell>
          <cell r="I1587">
            <v>0.82</v>
          </cell>
          <cell r="J1587">
            <v>0</v>
          </cell>
          <cell r="K1587">
            <v>0</v>
          </cell>
          <cell r="L1587">
            <v>2.5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5.0000000000000001E-3</v>
          </cell>
          <cell r="T1587">
            <v>0</v>
          </cell>
          <cell r="U1587" t="b">
            <v>0</v>
          </cell>
        </row>
        <row r="1588">
          <cell r="A1588" t="str">
            <v>Data split-13;Reg-62</v>
          </cell>
          <cell r="B1588">
            <v>-0.73</v>
          </cell>
          <cell r="C1588">
            <v>0</v>
          </cell>
          <cell r="D1588">
            <v>0.42</v>
          </cell>
          <cell r="E1588">
            <v>0</v>
          </cell>
          <cell r="F1588">
            <v>0</v>
          </cell>
          <cell r="G1588">
            <v>0</v>
          </cell>
          <cell r="H1588">
            <v>0</v>
          </cell>
          <cell r="I1588">
            <v>0.73</v>
          </cell>
          <cell r="J1588">
            <v>0</v>
          </cell>
          <cell r="K1588">
            <v>0</v>
          </cell>
          <cell r="L1588">
            <v>2.1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2.0999999999999999E-3</v>
          </cell>
          <cell r="U1588" t="b">
            <v>0</v>
          </cell>
        </row>
        <row r="1589">
          <cell r="A1589" t="str">
            <v>Data split-13;Reg-63</v>
          </cell>
          <cell r="B1589">
            <v>-2.4</v>
          </cell>
          <cell r="C1589">
            <v>0</v>
          </cell>
          <cell r="D1589">
            <v>0.32</v>
          </cell>
          <cell r="E1589">
            <v>0</v>
          </cell>
          <cell r="F1589">
            <v>0</v>
          </cell>
          <cell r="G1589">
            <v>0</v>
          </cell>
          <cell r="H1589">
            <v>0</v>
          </cell>
          <cell r="I1589">
            <v>0</v>
          </cell>
          <cell r="J1589">
            <v>14.8</v>
          </cell>
          <cell r="K1589">
            <v>-0.3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1.6E-2</v>
          </cell>
          <cell r="T1589">
            <v>0</v>
          </cell>
          <cell r="U1589" t="b">
            <v>0</v>
          </cell>
        </row>
        <row r="1590">
          <cell r="A1590" t="str">
            <v>Data split-13;Reg-64</v>
          </cell>
          <cell r="B1590">
            <v>-2.5</v>
          </cell>
          <cell r="C1590">
            <v>0</v>
          </cell>
          <cell r="D1590">
            <v>0.24</v>
          </cell>
          <cell r="E1590">
            <v>0</v>
          </cell>
          <cell r="F1590">
            <v>0</v>
          </cell>
          <cell r="G1590">
            <v>0</v>
          </cell>
          <cell r="H1590">
            <v>0</v>
          </cell>
          <cell r="I1590">
            <v>0</v>
          </cell>
          <cell r="J1590">
            <v>16.100000000000001</v>
          </cell>
          <cell r="K1590">
            <v>-0.63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5.7000000000000002E-3</v>
          </cell>
          <cell r="U1590" t="b">
            <v>0</v>
          </cell>
        </row>
        <row r="1591">
          <cell r="A1591" t="str">
            <v>Data split-13;Reg-65</v>
          </cell>
          <cell r="B1591">
            <v>-2.2000000000000002</v>
          </cell>
          <cell r="C1591">
            <v>0</v>
          </cell>
          <cell r="D1591">
            <v>0.34</v>
          </cell>
          <cell r="E1591">
            <v>0</v>
          </cell>
          <cell r="F1591">
            <v>0</v>
          </cell>
          <cell r="G1591">
            <v>0</v>
          </cell>
          <cell r="H1591">
            <v>0</v>
          </cell>
          <cell r="I1591">
            <v>0</v>
          </cell>
          <cell r="J1591">
            <v>13.4</v>
          </cell>
          <cell r="K1591">
            <v>0</v>
          </cell>
          <cell r="L1591">
            <v>-0.73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1.2E-2</v>
          </cell>
          <cell r="T1591">
            <v>0</v>
          </cell>
          <cell r="U1591" t="b">
            <v>0</v>
          </cell>
        </row>
        <row r="1592">
          <cell r="A1592" t="str">
            <v>Data split-13;Reg-66</v>
          </cell>
          <cell r="B1592">
            <v>-2.1</v>
          </cell>
          <cell r="C1592">
            <v>0</v>
          </cell>
          <cell r="D1592">
            <v>0.28999999999999998</v>
          </cell>
          <cell r="E1592">
            <v>0</v>
          </cell>
          <cell r="F1592">
            <v>0</v>
          </cell>
          <cell r="G1592">
            <v>0</v>
          </cell>
          <cell r="H1592">
            <v>0</v>
          </cell>
          <cell r="I1592">
            <v>0</v>
          </cell>
          <cell r="J1592">
            <v>14.1</v>
          </cell>
          <cell r="K1592">
            <v>0</v>
          </cell>
          <cell r="L1592">
            <v>-3.1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4.0000000000000001E-3</v>
          </cell>
          <cell r="U1592" t="b">
            <v>0</v>
          </cell>
        </row>
        <row r="1593">
          <cell r="A1593" t="str">
            <v>Data split-13;Reg-67</v>
          </cell>
          <cell r="B1593">
            <v>-1.2</v>
          </cell>
          <cell r="C1593">
            <v>0.41</v>
          </cell>
          <cell r="D1593">
            <v>0</v>
          </cell>
          <cell r="E1593">
            <v>0</v>
          </cell>
          <cell r="F1593">
            <v>0</v>
          </cell>
          <cell r="G1593">
            <v>0.61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 t="b">
            <v>1</v>
          </cell>
        </row>
        <row r="1594">
          <cell r="A1594" t="str">
            <v>Data split-13;Reg-68</v>
          </cell>
          <cell r="B1594">
            <v>-2.5</v>
          </cell>
          <cell r="C1594">
            <v>0.34</v>
          </cell>
          <cell r="D1594">
            <v>0</v>
          </cell>
          <cell r="E1594">
            <v>0</v>
          </cell>
          <cell r="F1594">
            <v>-6.6000000000000003E-2</v>
          </cell>
          <cell r="G1594">
            <v>0.92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 t="b">
            <v>0</v>
          </cell>
        </row>
        <row r="1595">
          <cell r="A1595" t="str">
            <v>Data split-13;Reg-69</v>
          </cell>
          <cell r="B1595">
            <v>-3.5</v>
          </cell>
          <cell r="C1595">
            <v>0.11</v>
          </cell>
          <cell r="D1595">
            <v>0</v>
          </cell>
          <cell r="E1595">
            <v>0</v>
          </cell>
          <cell r="F1595">
            <v>0</v>
          </cell>
          <cell r="G1595">
            <v>0.49</v>
          </cell>
          <cell r="H1595">
            <v>0</v>
          </cell>
          <cell r="I1595">
            <v>0</v>
          </cell>
          <cell r="J1595">
            <v>13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 t="b">
            <v>0</v>
          </cell>
        </row>
        <row r="1596">
          <cell r="A1596" t="str">
            <v>Data split-13;Reg-70</v>
          </cell>
          <cell r="B1596">
            <v>-4</v>
          </cell>
          <cell r="C1596">
            <v>7.3999999999999996E-2</v>
          </cell>
          <cell r="D1596">
            <v>0</v>
          </cell>
          <cell r="E1596">
            <v>0</v>
          </cell>
          <cell r="F1596">
            <v>0</v>
          </cell>
          <cell r="G1596">
            <v>0.71</v>
          </cell>
          <cell r="H1596">
            <v>0</v>
          </cell>
          <cell r="I1596">
            <v>0</v>
          </cell>
          <cell r="J1596">
            <v>12.3</v>
          </cell>
          <cell r="K1596">
            <v>0</v>
          </cell>
          <cell r="L1596">
            <v>0</v>
          </cell>
          <cell r="M1596">
            <v>0</v>
          </cell>
          <cell r="N1596">
            <v>0</v>
          </cell>
          <cell r="O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-9.2999999999999992E-3</v>
          </cell>
          <cell r="T1596">
            <v>0</v>
          </cell>
          <cell r="U1596" t="b">
            <v>0</v>
          </cell>
        </row>
        <row r="1597">
          <cell r="A1597" t="str">
            <v>Data split-13;Reg-71</v>
          </cell>
          <cell r="B1597">
            <v>-1.4</v>
          </cell>
          <cell r="C1597">
            <v>0.34</v>
          </cell>
          <cell r="D1597">
            <v>0</v>
          </cell>
          <cell r="E1597">
            <v>0</v>
          </cell>
          <cell r="F1597">
            <v>-2.4E-2</v>
          </cell>
          <cell r="G1597">
            <v>0</v>
          </cell>
          <cell r="H1597">
            <v>1.1000000000000001</v>
          </cell>
          <cell r="I1597">
            <v>0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-2.4E-2</v>
          </cell>
          <cell r="T1597">
            <v>0</v>
          </cell>
          <cell r="U1597" t="b">
            <v>0</v>
          </cell>
        </row>
        <row r="1598">
          <cell r="A1598" t="str">
            <v>Data split-13;Reg-72</v>
          </cell>
          <cell r="B1598">
            <v>-0.14000000000000001</v>
          </cell>
          <cell r="C1598">
            <v>0.16</v>
          </cell>
          <cell r="D1598">
            <v>0</v>
          </cell>
          <cell r="E1598">
            <v>0.54</v>
          </cell>
          <cell r="F1598">
            <v>0</v>
          </cell>
          <cell r="G1598">
            <v>0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 t="b">
            <v>1</v>
          </cell>
        </row>
        <row r="1599">
          <cell r="A1599" t="str">
            <v>Data split-13;Reg-73</v>
          </cell>
          <cell r="B1599">
            <v>-0.4</v>
          </cell>
          <cell r="C1599">
            <v>1</v>
          </cell>
          <cell r="D1599">
            <v>0</v>
          </cell>
          <cell r="E1599">
            <v>0</v>
          </cell>
          <cell r="F1599">
            <v>1.7000000000000001E-2</v>
          </cell>
          <cell r="G1599">
            <v>0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 t="b">
            <v>1</v>
          </cell>
        </row>
        <row r="1600">
          <cell r="A1600" t="str">
            <v>Data split-13;Reg-74</v>
          </cell>
          <cell r="B1600">
            <v>-7.8E-2</v>
          </cell>
          <cell r="C1600">
            <v>0</v>
          </cell>
          <cell r="D1600">
            <v>0.23</v>
          </cell>
          <cell r="E1600">
            <v>0.46</v>
          </cell>
          <cell r="F1600">
            <v>0</v>
          </cell>
          <cell r="G1600">
            <v>0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 t="b">
            <v>1</v>
          </cell>
        </row>
        <row r="1601">
          <cell r="A1601" t="str">
            <v>Data split-13;Reg-75</v>
          </cell>
          <cell r="B1601">
            <v>0.25</v>
          </cell>
          <cell r="C1601">
            <v>0</v>
          </cell>
          <cell r="D1601">
            <v>0.73</v>
          </cell>
          <cell r="E1601">
            <v>0</v>
          </cell>
          <cell r="F1601">
            <v>3.6999999999999998E-2</v>
          </cell>
          <cell r="G1601">
            <v>0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 t="b">
            <v>0</v>
          </cell>
        </row>
        <row r="1602">
          <cell r="A1602" t="str">
            <v>Data split-13;Reg-76</v>
          </cell>
          <cell r="B1602">
            <v>-1.2</v>
          </cell>
          <cell r="C1602">
            <v>0.41</v>
          </cell>
          <cell r="D1602">
            <v>0</v>
          </cell>
          <cell r="E1602">
            <v>0</v>
          </cell>
          <cell r="F1602">
            <v>0</v>
          </cell>
          <cell r="G1602">
            <v>0.61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 t="b">
            <v>1</v>
          </cell>
        </row>
        <row r="1603">
          <cell r="A1603" t="str">
            <v>Data split-13;Reg-77</v>
          </cell>
          <cell r="B1603">
            <v>-0.33</v>
          </cell>
          <cell r="C1603">
            <v>0.46</v>
          </cell>
          <cell r="D1603">
            <v>0</v>
          </cell>
          <cell r="E1603">
            <v>0</v>
          </cell>
          <cell r="F1603">
            <v>0</v>
          </cell>
          <cell r="G1603">
            <v>0</v>
          </cell>
          <cell r="H1603">
            <v>0.57999999999999996</v>
          </cell>
          <cell r="I1603">
            <v>0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 t="b">
            <v>1</v>
          </cell>
        </row>
        <row r="1604">
          <cell r="A1604" t="str">
            <v>Data split-13;Reg-78</v>
          </cell>
          <cell r="B1604">
            <v>-0.92</v>
          </cell>
          <cell r="C1604">
            <v>0</v>
          </cell>
          <cell r="D1604">
            <v>0.42</v>
          </cell>
          <cell r="E1604">
            <v>0</v>
          </cell>
          <cell r="F1604">
            <v>0</v>
          </cell>
          <cell r="G1604">
            <v>0.49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 t="b">
            <v>1</v>
          </cell>
        </row>
        <row r="1605">
          <cell r="A1605" t="str">
            <v>Data split-13;Reg-79</v>
          </cell>
          <cell r="B1605">
            <v>-0.12</v>
          </cell>
          <cell r="C1605">
            <v>0</v>
          </cell>
          <cell r="D1605">
            <v>0.44</v>
          </cell>
          <cell r="E1605">
            <v>0</v>
          </cell>
          <cell r="F1605">
            <v>0</v>
          </cell>
          <cell r="G1605">
            <v>0</v>
          </cell>
          <cell r="H1605">
            <v>0.48</v>
          </cell>
          <cell r="I1605">
            <v>0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 t="b">
            <v>1</v>
          </cell>
        </row>
        <row r="1606">
          <cell r="A1606" t="str">
            <v>Data split-13;Reg-80</v>
          </cell>
          <cell r="B1606">
            <v>-1.2</v>
          </cell>
          <cell r="C1606">
            <v>0.61</v>
          </cell>
          <cell r="D1606">
            <v>0</v>
          </cell>
          <cell r="E1606">
            <v>0</v>
          </cell>
          <cell r="F1606">
            <v>0</v>
          </cell>
          <cell r="G1606">
            <v>0</v>
          </cell>
          <cell r="H1606">
            <v>0</v>
          </cell>
          <cell r="I1606">
            <v>1.2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 t="b">
            <v>0</v>
          </cell>
        </row>
        <row r="1607">
          <cell r="A1607" t="str">
            <v>Data split-13;Reg-81</v>
          </cell>
          <cell r="B1607">
            <v>-3.9</v>
          </cell>
          <cell r="C1607">
            <v>0.5</v>
          </cell>
          <cell r="D1607">
            <v>0</v>
          </cell>
          <cell r="E1607">
            <v>0</v>
          </cell>
          <cell r="F1607">
            <v>0</v>
          </cell>
          <cell r="G1607">
            <v>0</v>
          </cell>
          <cell r="H1607">
            <v>0</v>
          </cell>
          <cell r="I1607">
            <v>0</v>
          </cell>
          <cell r="J1607">
            <v>18.2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 t="b">
            <v>0</v>
          </cell>
        </row>
        <row r="1608">
          <cell r="A1608" t="str">
            <v>Data split-13;Reg-82</v>
          </cell>
          <cell r="B1608">
            <v>-0.99</v>
          </cell>
          <cell r="C1608">
            <v>0</v>
          </cell>
          <cell r="D1608">
            <v>0.53</v>
          </cell>
          <cell r="E1608">
            <v>0</v>
          </cell>
          <cell r="F1608">
            <v>0</v>
          </cell>
          <cell r="G1608">
            <v>0</v>
          </cell>
          <cell r="H1608">
            <v>0</v>
          </cell>
          <cell r="I1608">
            <v>1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 t="b">
            <v>0</v>
          </cell>
        </row>
        <row r="1609">
          <cell r="A1609" t="str">
            <v>Data split-13;Reg-83</v>
          </cell>
          <cell r="B1609">
            <v>-3.1</v>
          </cell>
          <cell r="C1609">
            <v>0</v>
          </cell>
          <cell r="D1609">
            <v>0.49</v>
          </cell>
          <cell r="E1609">
            <v>0</v>
          </cell>
          <cell r="F1609">
            <v>0</v>
          </cell>
          <cell r="G1609">
            <v>0</v>
          </cell>
          <cell r="H1609">
            <v>0</v>
          </cell>
          <cell r="I1609">
            <v>0</v>
          </cell>
          <cell r="J1609">
            <v>14.7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 t="b">
            <v>0</v>
          </cell>
        </row>
        <row r="1610">
          <cell r="A1610" t="str">
            <v>Data split-13;Reg-84</v>
          </cell>
          <cell r="B1610">
            <v>-0.5</v>
          </cell>
          <cell r="C1610">
            <v>0.76</v>
          </cell>
          <cell r="D1610">
            <v>0</v>
          </cell>
          <cell r="E1610">
            <v>0</v>
          </cell>
          <cell r="F1610">
            <v>0</v>
          </cell>
          <cell r="G1610">
            <v>0</v>
          </cell>
          <cell r="H1610">
            <v>0</v>
          </cell>
          <cell r="I1610">
            <v>0</v>
          </cell>
          <cell r="J1610">
            <v>0</v>
          </cell>
          <cell r="K1610">
            <v>0.79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 t="b">
            <v>0</v>
          </cell>
        </row>
        <row r="1611">
          <cell r="A1611" t="str">
            <v>Data split-13;Reg-85</v>
          </cell>
          <cell r="B1611">
            <v>-2.7</v>
          </cell>
          <cell r="C1611">
            <v>0.34</v>
          </cell>
          <cell r="D1611">
            <v>0</v>
          </cell>
          <cell r="E1611">
            <v>0</v>
          </cell>
          <cell r="F1611">
            <v>0</v>
          </cell>
          <cell r="G1611">
            <v>0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21.8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 t="b">
            <v>0</v>
          </cell>
        </row>
        <row r="1612">
          <cell r="A1612" t="str">
            <v>Data split-13;Reg-86</v>
          </cell>
          <cell r="B1612">
            <v>-0.32</v>
          </cell>
          <cell r="C1612">
            <v>0</v>
          </cell>
          <cell r="D1612">
            <v>0.59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0</v>
          </cell>
          <cell r="J1612">
            <v>0</v>
          </cell>
          <cell r="K1612">
            <v>0.81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 t="b">
            <v>0</v>
          </cell>
        </row>
        <row r="1613">
          <cell r="A1613" t="str">
            <v>Data split-13;Reg-87</v>
          </cell>
          <cell r="B1613">
            <v>-1.8</v>
          </cell>
          <cell r="C1613">
            <v>0</v>
          </cell>
          <cell r="D1613">
            <v>0.5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13.7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 t="b">
            <v>0</v>
          </cell>
        </row>
        <row r="1614">
          <cell r="A1614" t="str">
            <v>Data split-13;Reg-88</v>
          </cell>
          <cell r="B1614">
            <v>0.39</v>
          </cell>
          <cell r="C1614">
            <v>0.69</v>
          </cell>
          <cell r="D1614">
            <v>0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  <cell r="M1614">
            <v>0.02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 t="b">
            <v>0</v>
          </cell>
        </row>
        <row r="1615">
          <cell r="A1615" t="str">
            <v>Data split-13;Reg-89</v>
          </cell>
          <cell r="B1615">
            <v>0.33</v>
          </cell>
          <cell r="C1615">
            <v>0.56999999999999995</v>
          </cell>
          <cell r="D1615">
            <v>0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5.7000000000000002E-3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 t="b">
            <v>0</v>
          </cell>
        </row>
        <row r="1616">
          <cell r="A1616" t="str">
            <v>Data split-13;Reg-90</v>
          </cell>
          <cell r="B1616">
            <v>0.55000000000000004</v>
          </cell>
          <cell r="C1616">
            <v>0</v>
          </cell>
          <cell r="D1616">
            <v>0.59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0</v>
          </cell>
          <cell r="M1616">
            <v>1.4999999999999999E-2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 t="b">
            <v>0</v>
          </cell>
        </row>
        <row r="1617">
          <cell r="A1617" t="str">
            <v>Data split-13;Reg-91</v>
          </cell>
          <cell r="B1617">
            <v>0.46</v>
          </cell>
          <cell r="C1617">
            <v>0</v>
          </cell>
          <cell r="D1617">
            <v>0.51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4.4000000000000003E-3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 t="b">
            <v>0</v>
          </cell>
        </row>
        <row r="1618">
          <cell r="A1618" t="str">
            <v>Data split-13;Reg-92</v>
          </cell>
          <cell r="B1618">
            <v>-0.62</v>
          </cell>
          <cell r="C1618">
            <v>1.1000000000000001</v>
          </cell>
          <cell r="D1618">
            <v>0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1.6000000000000001E-3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 t="b">
            <v>0</v>
          </cell>
        </row>
        <row r="1619">
          <cell r="A1619" t="str">
            <v>Data split-13;Reg-93</v>
          </cell>
          <cell r="B1619">
            <v>-0.64</v>
          </cell>
          <cell r="C1619">
            <v>1.1000000000000001</v>
          </cell>
          <cell r="D1619">
            <v>0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2.5000000000000001E-4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 t="b">
            <v>0</v>
          </cell>
        </row>
        <row r="1620">
          <cell r="A1620" t="str">
            <v>Data split-13;Reg-94</v>
          </cell>
          <cell r="B1620">
            <v>-0.11</v>
          </cell>
          <cell r="C1620">
            <v>0</v>
          </cell>
          <cell r="D1620">
            <v>0.76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1.2E-2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 t="b">
            <v>0</v>
          </cell>
        </row>
        <row r="1621">
          <cell r="A1621" t="str">
            <v>Data split-13;Reg-95</v>
          </cell>
          <cell r="B1621">
            <v>-0.25</v>
          </cell>
          <cell r="C1621">
            <v>0</v>
          </cell>
          <cell r="D1621">
            <v>0.75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3.0000000000000001E-3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 t="b">
            <v>0</v>
          </cell>
        </row>
        <row r="1622">
          <cell r="A1622" t="str">
            <v>Data split-13;Reg-96</v>
          </cell>
          <cell r="B1622">
            <v>-0.46</v>
          </cell>
          <cell r="C1622">
            <v>6.3E-2</v>
          </cell>
          <cell r="D1622">
            <v>0</v>
          </cell>
          <cell r="E1622">
            <v>0.46</v>
          </cell>
          <cell r="F1622">
            <v>0</v>
          </cell>
          <cell r="G1622">
            <v>0</v>
          </cell>
          <cell r="H1622">
            <v>0</v>
          </cell>
          <cell r="I1622">
            <v>0.56000000000000005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 t="b">
            <v>0</v>
          </cell>
        </row>
        <row r="1623">
          <cell r="A1623" t="str">
            <v>Data split-13;Reg-97</v>
          </cell>
          <cell r="B1623">
            <v>-2.4</v>
          </cell>
          <cell r="C1623">
            <v>-4.9000000000000002E-2</v>
          </cell>
          <cell r="D1623">
            <v>0</v>
          </cell>
          <cell r="E1623">
            <v>0.43</v>
          </cell>
          <cell r="F1623">
            <v>0</v>
          </cell>
          <cell r="G1623">
            <v>0</v>
          </cell>
          <cell r="H1623">
            <v>0</v>
          </cell>
          <cell r="I1623">
            <v>0</v>
          </cell>
          <cell r="J1623">
            <v>11.9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 t="b">
            <v>0</v>
          </cell>
        </row>
        <row r="1624">
          <cell r="A1624" t="str">
            <v>Data split-13;Reg-98</v>
          </cell>
          <cell r="B1624">
            <v>-3.3</v>
          </cell>
          <cell r="C1624">
            <v>0.4</v>
          </cell>
          <cell r="D1624">
            <v>0</v>
          </cell>
          <cell r="E1624">
            <v>0</v>
          </cell>
          <cell r="F1624">
            <v>-0.1</v>
          </cell>
          <cell r="G1624">
            <v>0</v>
          </cell>
          <cell r="H1624">
            <v>0</v>
          </cell>
          <cell r="I1624">
            <v>2.7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 t="b">
            <v>0</v>
          </cell>
        </row>
        <row r="1625">
          <cell r="A1625" t="str">
            <v>Data split-13;Reg-99</v>
          </cell>
          <cell r="B1625">
            <v>-4.0999999999999996</v>
          </cell>
          <cell r="C1625">
            <v>0.52</v>
          </cell>
          <cell r="D1625">
            <v>0</v>
          </cell>
          <cell r="E1625">
            <v>0</v>
          </cell>
          <cell r="F1625">
            <v>-8.0000000000000002E-3</v>
          </cell>
          <cell r="G1625">
            <v>0</v>
          </cell>
          <cell r="H1625">
            <v>0</v>
          </cell>
          <cell r="I1625">
            <v>0</v>
          </cell>
          <cell r="J1625">
            <v>18.8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 t="b">
            <v>0</v>
          </cell>
        </row>
        <row r="1626">
          <cell r="A1626" t="str">
            <v>Data split-13;Reg-100</v>
          </cell>
          <cell r="B1626">
            <v>-0.82</v>
          </cell>
          <cell r="C1626">
            <v>0</v>
          </cell>
          <cell r="D1626">
            <v>0.39</v>
          </cell>
          <cell r="E1626">
            <v>0.15</v>
          </cell>
          <cell r="F1626">
            <v>0</v>
          </cell>
          <cell r="G1626">
            <v>0</v>
          </cell>
          <cell r="H1626">
            <v>0</v>
          </cell>
          <cell r="I1626">
            <v>0.84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 t="b">
            <v>0</v>
          </cell>
        </row>
        <row r="1627">
          <cell r="A1627" t="str">
            <v>Data split-13;Reg-101</v>
          </cell>
          <cell r="B1627">
            <v>-2.4</v>
          </cell>
          <cell r="C1627">
            <v>0</v>
          </cell>
          <cell r="D1627">
            <v>0.2</v>
          </cell>
          <cell r="E1627">
            <v>0.28000000000000003</v>
          </cell>
          <cell r="F1627">
            <v>0</v>
          </cell>
          <cell r="G1627">
            <v>0</v>
          </cell>
          <cell r="H1627">
            <v>0</v>
          </cell>
          <cell r="I1627">
            <v>0</v>
          </cell>
          <cell r="J1627">
            <v>11.3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 t="b">
            <v>0</v>
          </cell>
        </row>
        <row r="1628">
          <cell r="A1628" t="str">
            <v>Data split-13;Reg-102</v>
          </cell>
          <cell r="B1628">
            <v>-2.4</v>
          </cell>
          <cell r="C1628">
            <v>0</v>
          </cell>
          <cell r="D1628">
            <v>0.43</v>
          </cell>
          <cell r="E1628">
            <v>0</v>
          </cell>
          <cell r="F1628">
            <v>-6.6000000000000003E-2</v>
          </cell>
          <cell r="G1628">
            <v>0</v>
          </cell>
          <cell r="H1628">
            <v>0</v>
          </cell>
          <cell r="I1628">
            <v>2</v>
          </cell>
          <cell r="J1628">
            <v>0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 t="b">
            <v>0</v>
          </cell>
        </row>
        <row r="1629">
          <cell r="A1629" t="str">
            <v>Data split-13;Reg-103</v>
          </cell>
          <cell r="B1629">
            <v>-2.8</v>
          </cell>
          <cell r="C1629">
            <v>0</v>
          </cell>
          <cell r="D1629">
            <v>0.49</v>
          </cell>
          <cell r="E1629">
            <v>0</v>
          </cell>
          <cell r="F1629">
            <v>8.5000000000000006E-3</v>
          </cell>
          <cell r="G1629">
            <v>0</v>
          </cell>
          <cell r="H1629">
            <v>0</v>
          </cell>
          <cell r="I1629">
            <v>0</v>
          </cell>
          <cell r="J1629">
            <v>13.6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 t="b">
            <v>0</v>
          </cell>
        </row>
        <row r="1630">
          <cell r="A1630" t="str">
            <v>Data split-13;Reg-104</v>
          </cell>
          <cell r="B1630">
            <v>-0.15</v>
          </cell>
          <cell r="C1630">
            <v>0.19</v>
          </cell>
          <cell r="D1630">
            <v>0</v>
          </cell>
          <cell r="E1630">
            <v>0.56999999999999995</v>
          </cell>
          <cell r="F1630">
            <v>0</v>
          </cell>
          <cell r="G1630">
            <v>0</v>
          </cell>
          <cell r="H1630">
            <v>0</v>
          </cell>
          <cell r="I1630">
            <v>0</v>
          </cell>
          <cell r="J1630">
            <v>0</v>
          </cell>
          <cell r="K1630">
            <v>-0.16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 t="b">
            <v>1</v>
          </cell>
        </row>
        <row r="1631">
          <cell r="A1631" t="str">
            <v>Data split-13;Reg-105</v>
          </cell>
          <cell r="B1631">
            <v>-1.1000000000000001</v>
          </cell>
          <cell r="C1631">
            <v>-7.8E-2</v>
          </cell>
          <cell r="D1631">
            <v>0</v>
          </cell>
          <cell r="E1631">
            <v>0.49</v>
          </cell>
          <cell r="F1631">
            <v>0</v>
          </cell>
          <cell r="G1631">
            <v>0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9.4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 t="b">
            <v>0</v>
          </cell>
        </row>
        <row r="1632">
          <cell r="A1632" t="str">
            <v>Data split-13;Reg-106</v>
          </cell>
          <cell r="B1632">
            <v>-1.1000000000000001</v>
          </cell>
          <cell r="C1632">
            <v>0.52</v>
          </cell>
          <cell r="D1632">
            <v>0</v>
          </cell>
          <cell r="E1632">
            <v>0</v>
          </cell>
          <cell r="F1632">
            <v>-5.6000000000000001E-2</v>
          </cell>
          <cell r="G1632">
            <v>0</v>
          </cell>
          <cell r="H1632">
            <v>0</v>
          </cell>
          <cell r="I1632">
            <v>0</v>
          </cell>
          <cell r="J1632">
            <v>0</v>
          </cell>
          <cell r="K1632">
            <v>1.9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 t="b">
            <v>0</v>
          </cell>
        </row>
        <row r="1633">
          <cell r="A1633" t="str">
            <v>Data split-13;Reg-107</v>
          </cell>
          <cell r="B1633">
            <v>-2.8</v>
          </cell>
          <cell r="C1633">
            <v>0.34</v>
          </cell>
          <cell r="D1633">
            <v>0</v>
          </cell>
          <cell r="E1633">
            <v>0</v>
          </cell>
          <cell r="F1633">
            <v>-3.3E-3</v>
          </cell>
          <cell r="G1633">
            <v>0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22.3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 t="b">
            <v>0</v>
          </cell>
        </row>
        <row r="1634">
          <cell r="A1634" t="str">
            <v>Data split-13;Reg-108</v>
          </cell>
          <cell r="B1634">
            <v>-0.15</v>
          </cell>
          <cell r="C1634">
            <v>0</v>
          </cell>
          <cell r="D1634">
            <v>0.28000000000000003</v>
          </cell>
          <cell r="E1634">
            <v>0.37</v>
          </cell>
          <cell r="F1634">
            <v>0</v>
          </cell>
          <cell r="G1634">
            <v>0</v>
          </cell>
          <cell r="H1634">
            <v>0</v>
          </cell>
          <cell r="I1634">
            <v>0</v>
          </cell>
          <cell r="J1634">
            <v>0</v>
          </cell>
          <cell r="K1634">
            <v>0.22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 t="b">
            <v>0</v>
          </cell>
        </row>
        <row r="1635">
          <cell r="A1635" t="str">
            <v>Data split-13;Reg-109</v>
          </cell>
          <cell r="B1635">
            <v>-1</v>
          </cell>
          <cell r="C1635">
            <v>0</v>
          </cell>
          <cell r="D1635">
            <v>0.21</v>
          </cell>
          <cell r="E1635">
            <v>0.34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7.3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 t="b">
            <v>0</v>
          </cell>
        </row>
        <row r="1636">
          <cell r="A1636" t="str">
            <v>Data split-13;Reg-110</v>
          </cell>
          <cell r="B1636">
            <v>-0.46</v>
          </cell>
          <cell r="C1636">
            <v>0</v>
          </cell>
          <cell r="D1636">
            <v>0.56999999999999995</v>
          </cell>
          <cell r="E1636">
            <v>0</v>
          </cell>
          <cell r="F1636">
            <v>-1.0999999999999999E-2</v>
          </cell>
          <cell r="G1636">
            <v>0</v>
          </cell>
          <cell r="H1636">
            <v>0</v>
          </cell>
          <cell r="I1636">
            <v>0</v>
          </cell>
          <cell r="J1636">
            <v>0</v>
          </cell>
          <cell r="K1636">
            <v>0.98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 t="b">
            <v>0</v>
          </cell>
        </row>
        <row r="1637">
          <cell r="A1637" t="str">
            <v>Data split-13;Reg-111</v>
          </cell>
          <cell r="B1637">
            <v>-1.3</v>
          </cell>
          <cell r="C1637">
            <v>0</v>
          </cell>
          <cell r="D1637">
            <v>0.53</v>
          </cell>
          <cell r="E1637">
            <v>0</v>
          </cell>
          <cell r="F1637">
            <v>1.6E-2</v>
          </cell>
          <cell r="G1637">
            <v>0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10.7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 t="b">
            <v>0</v>
          </cell>
        </row>
        <row r="1638">
          <cell r="A1638" t="str">
            <v>Data split-13;Reg-112</v>
          </cell>
          <cell r="B1638">
            <v>-1.3</v>
          </cell>
          <cell r="C1638">
            <v>0.36</v>
          </cell>
          <cell r="D1638">
            <v>0</v>
          </cell>
          <cell r="E1638">
            <v>0</v>
          </cell>
          <cell r="F1638">
            <v>0</v>
          </cell>
          <cell r="G1638">
            <v>0.53</v>
          </cell>
          <cell r="H1638">
            <v>0</v>
          </cell>
          <cell r="I1638">
            <v>0.31</v>
          </cell>
          <cell r="J1638">
            <v>0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 t="b">
            <v>0</v>
          </cell>
        </row>
        <row r="1639">
          <cell r="A1639" t="str">
            <v>Data split-13;Reg-113</v>
          </cell>
          <cell r="B1639">
            <v>-3.5</v>
          </cell>
          <cell r="C1639">
            <v>0.11</v>
          </cell>
          <cell r="D1639">
            <v>0</v>
          </cell>
          <cell r="E1639">
            <v>0</v>
          </cell>
          <cell r="F1639">
            <v>0</v>
          </cell>
          <cell r="G1639">
            <v>0.49</v>
          </cell>
          <cell r="H1639">
            <v>0</v>
          </cell>
          <cell r="I1639">
            <v>0</v>
          </cell>
          <cell r="J1639">
            <v>13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 t="b">
            <v>0</v>
          </cell>
        </row>
        <row r="1640">
          <cell r="A1640" t="str">
            <v>Data split-13;Reg-114</v>
          </cell>
          <cell r="B1640">
            <v>-0.5</v>
          </cell>
          <cell r="C1640">
            <v>0.41</v>
          </cell>
          <cell r="D1640">
            <v>0</v>
          </cell>
          <cell r="E1640">
            <v>0</v>
          </cell>
          <cell r="F1640">
            <v>0</v>
          </cell>
          <cell r="G1640">
            <v>0</v>
          </cell>
          <cell r="H1640">
            <v>0.52</v>
          </cell>
          <cell r="I1640">
            <v>0.3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 t="b">
            <v>0</v>
          </cell>
        </row>
        <row r="1641">
          <cell r="A1641" t="str">
            <v>Data split-13;Reg-115</v>
          </cell>
          <cell r="B1641">
            <v>-2.7</v>
          </cell>
          <cell r="C1641">
            <v>0.15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0.47</v>
          </cell>
          <cell r="I1641">
            <v>0</v>
          </cell>
          <cell r="J1641">
            <v>12.8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 t="b">
            <v>0</v>
          </cell>
        </row>
        <row r="1642">
          <cell r="A1642" t="str">
            <v>Data split-13;Reg-116</v>
          </cell>
          <cell r="B1642">
            <v>-1.1000000000000001</v>
          </cell>
          <cell r="C1642">
            <v>0</v>
          </cell>
          <cell r="D1642">
            <v>0.43</v>
          </cell>
          <cell r="E1642">
            <v>0</v>
          </cell>
          <cell r="F1642">
            <v>0</v>
          </cell>
          <cell r="G1642">
            <v>0.27</v>
          </cell>
          <cell r="H1642">
            <v>0</v>
          </cell>
          <cell r="I1642">
            <v>0.64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 t="b">
            <v>0</v>
          </cell>
        </row>
        <row r="1643">
          <cell r="A1643" t="str">
            <v>Data split-13;Reg-117</v>
          </cell>
          <cell r="B1643">
            <v>-2.9</v>
          </cell>
          <cell r="C1643">
            <v>0</v>
          </cell>
          <cell r="D1643">
            <v>0.28000000000000003</v>
          </cell>
          <cell r="E1643">
            <v>0</v>
          </cell>
          <cell r="F1643">
            <v>0</v>
          </cell>
          <cell r="G1643">
            <v>0.36</v>
          </cell>
          <cell r="H1643">
            <v>0</v>
          </cell>
          <cell r="I1643">
            <v>0</v>
          </cell>
          <cell r="J1643">
            <v>10.6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 t="b">
            <v>0</v>
          </cell>
        </row>
        <row r="1644">
          <cell r="A1644" t="str">
            <v>Data split-13;Reg-118</v>
          </cell>
          <cell r="B1644">
            <v>-0.69</v>
          </cell>
          <cell r="C1644">
            <v>0</v>
          </cell>
          <cell r="D1644">
            <v>0.43</v>
          </cell>
          <cell r="E1644">
            <v>0</v>
          </cell>
          <cell r="F1644">
            <v>0</v>
          </cell>
          <cell r="G1644">
            <v>0</v>
          </cell>
          <cell r="H1644">
            <v>0.26</v>
          </cell>
          <cell r="I1644">
            <v>0.67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 t="b">
            <v>0</v>
          </cell>
        </row>
        <row r="1645">
          <cell r="A1645" t="str">
            <v>Data split-13;Reg-119</v>
          </cell>
          <cell r="B1645">
            <v>-2.4</v>
          </cell>
          <cell r="C1645">
            <v>0</v>
          </cell>
          <cell r="D1645">
            <v>0.28000000000000003</v>
          </cell>
          <cell r="E1645">
            <v>0</v>
          </cell>
          <cell r="F1645">
            <v>0</v>
          </cell>
          <cell r="G1645">
            <v>0</v>
          </cell>
          <cell r="H1645">
            <v>0.36</v>
          </cell>
          <cell r="I1645">
            <v>0</v>
          </cell>
          <cell r="J1645">
            <v>11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 t="b">
            <v>0</v>
          </cell>
        </row>
        <row r="1646">
          <cell r="A1646" t="str">
            <v>Data split-13;Reg-120</v>
          </cell>
          <cell r="B1646">
            <v>-1.8</v>
          </cell>
          <cell r="C1646">
            <v>0.64</v>
          </cell>
          <cell r="D1646">
            <v>0</v>
          </cell>
          <cell r="E1646">
            <v>0</v>
          </cell>
          <cell r="F1646">
            <v>0</v>
          </cell>
          <cell r="G1646">
            <v>0.91</v>
          </cell>
          <cell r="H1646">
            <v>0</v>
          </cell>
          <cell r="I1646">
            <v>0</v>
          </cell>
          <cell r="J1646">
            <v>0</v>
          </cell>
          <cell r="K1646">
            <v>-1.3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 t="b">
            <v>1</v>
          </cell>
        </row>
        <row r="1647">
          <cell r="A1647" t="str">
            <v>Data split-13;Reg-121</v>
          </cell>
          <cell r="B1647">
            <v>-1.8</v>
          </cell>
          <cell r="C1647">
            <v>0.23</v>
          </cell>
          <cell r="D1647">
            <v>0</v>
          </cell>
          <cell r="E1647">
            <v>0</v>
          </cell>
          <cell r="F1647">
            <v>0</v>
          </cell>
          <cell r="G1647">
            <v>0.55000000000000004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6.9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 t="b">
            <v>0</v>
          </cell>
        </row>
        <row r="1648">
          <cell r="A1648" t="str">
            <v>Data split-13;Reg-122</v>
          </cell>
          <cell r="B1648">
            <v>-0.42</v>
          </cell>
          <cell r="C1648">
            <v>0.7</v>
          </cell>
          <cell r="D1648">
            <v>0</v>
          </cell>
          <cell r="E1648">
            <v>0</v>
          </cell>
          <cell r="F1648">
            <v>0</v>
          </cell>
          <cell r="G1648">
            <v>0</v>
          </cell>
          <cell r="H1648">
            <v>0.82</v>
          </cell>
          <cell r="I1648">
            <v>0</v>
          </cell>
          <cell r="J1648">
            <v>0</v>
          </cell>
          <cell r="K1648">
            <v>-1.1000000000000001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 t="b">
            <v>1</v>
          </cell>
        </row>
        <row r="1649">
          <cell r="A1649" t="str">
            <v>Data split-13;Reg-123</v>
          </cell>
          <cell r="B1649">
            <v>-1.1000000000000001</v>
          </cell>
          <cell r="C1649">
            <v>0.26</v>
          </cell>
          <cell r="D1649">
            <v>0</v>
          </cell>
          <cell r="E1649">
            <v>0</v>
          </cell>
          <cell r="F1649">
            <v>0</v>
          </cell>
          <cell r="G1649">
            <v>0</v>
          </cell>
          <cell r="H1649">
            <v>0.53</v>
          </cell>
          <cell r="I1649">
            <v>0</v>
          </cell>
          <cell r="J1649">
            <v>0</v>
          </cell>
          <cell r="K1649">
            <v>0</v>
          </cell>
          <cell r="L1649">
            <v>7.4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 t="b">
            <v>0</v>
          </cell>
        </row>
        <row r="1650">
          <cell r="A1650" t="str">
            <v>Data split-13;Reg-124</v>
          </cell>
          <cell r="B1650">
            <v>-1</v>
          </cell>
          <cell r="C1650">
            <v>0</v>
          </cell>
          <cell r="D1650">
            <v>0.42</v>
          </cell>
          <cell r="E1650">
            <v>0</v>
          </cell>
          <cell r="F1650">
            <v>0</v>
          </cell>
          <cell r="G1650">
            <v>0.56999999999999995</v>
          </cell>
          <cell r="H1650">
            <v>0</v>
          </cell>
          <cell r="I1650">
            <v>0</v>
          </cell>
          <cell r="J1650">
            <v>0</v>
          </cell>
          <cell r="K1650">
            <v>-0.24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 t="b">
            <v>1</v>
          </cell>
        </row>
        <row r="1651">
          <cell r="A1651" t="str">
            <v>Data split-13;Reg-125</v>
          </cell>
          <cell r="B1651">
            <v>-1.4</v>
          </cell>
          <cell r="C1651">
            <v>0</v>
          </cell>
          <cell r="D1651">
            <v>0.36</v>
          </cell>
          <cell r="E1651">
            <v>0</v>
          </cell>
          <cell r="F1651">
            <v>0</v>
          </cell>
          <cell r="G1651">
            <v>0.41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5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 t="b">
            <v>0</v>
          </cell>
        </row>
        <row r="1652">
          <cell r="A1652" t="str">
            <v>Data split-13;Reg-126</v>
          </cell>
          <cell r="B1652">
            <v>-0.11</v>
          </cell>
          <cell r="C1652">
            <v>0</v>
          </cell>
          <cell r="D1652">
            <v>0.44</v>
          </cell>
          <cell r="E1652">
            <v>0</v>
          </cell>
          <cell r="F1652">
            <v>0</v>
          </cell>
          <cell r="G1652">
            <v>0</v>
          </cell>
          <cell r="H1652">
            <v>0.49</v>
          </cell>
          <cell r="I1652">
            <v>0</v>
          </cell>
          <cell r="J1652">
            <v>0</v>
          </cell>
          <cell r="K1652">
            <v>-2.8000000000000001E-2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 t="b">
            <v>1</v>
          </cell>
        </row>
        <row r="1653">
          <cell r="A1653" t="str">
            <v>Data split-13;Reg-127</v>
          </cell>
          <cell r="B1653">
            <v>-0.95</v>
          </cell>
          <cell r="C1653">
            <v>0</v>
          </cell>
          <cell r="D1653">
            <v>0.35</v>
          </cell>
          <cell r="E1653">
            <v>0</v>
          </cell>
          <cell r="F1653">
            <v>0</v>
          </cell>
          <cell r="G1653">
            <v>0</v>
          </cell>
          <cell r="H1653">
            <v>0.39</v>
          </cell>
          <cell r="I1653">
            <v>0</v>
          </cell>
          <cell r="J1653">
            <v>0</v>
          </cell>
          <cell r="K1653">
            <v>0</v>
          </cell>
          <cell r="L1653">
            <v>6.4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 t="b">
            <v>0</v>
          </cell>
        </row>
        <row r="1654">
          <cell r="A1654" t="str">
            <v>Data split-14;Reg-1</v>
          </cell>
          <cell r="B1654">
            <v>-3.5999999999999997E-2</v>
          </cell>
          <cell r="C1654">
            <v>0.52</v>
          </cell>
          <cell r="D1654">
            <v>0</v>
          </cell>
          <cell r="E1654">
            <v>0</v>
          </cell>
          <cell r="F1654">
            <v>0</v>
          </cell>
          <cell r="G1654">
            <v>0</v>
          </cell>
          <cell r="H1654">
            <v>0.73</v>
          </cell>
          <cell r="I1654">
            <v>0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-1.6E-2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 t="b">
            <v>1</v>
          </cell>
        </row>
        <row r="1655">
          <cell r="A1655" t="str">
            <v>Data split-14;Reg-2</v>
          </cell>
          <cell r="B1655">
            <v>-1.8</v>
          </cell>
          <cell r="C1655">
            <v>0.19</v>
          </cell>
          <cell r="D1655">
            <v>0</v>
          </cell>
          <cell r="E1655">
            <v>0</v>
          </cell>
          <cell r="F1655">
            <v>-6.9000000000000006E-2</v>
          </cell>
          <cell r="G1655">
            <v>1.3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-3.5999999999999999E-3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 t="b">
            <v>0</v>
          </cell>
        </row>
        <row r="1656">
          <cell r="A1656" t="str">
            <v>Data split-14;Reg-3</v>
          </cell>
          <cell r="B1656">
            <v>-2.6</v>
          </cell>
          <cell r="C1656">
            <v>0.39</v>
          </cell>
          <cell r="D1656">
            <v>0</v>
          </cell>
          <cell r="E1656">
            <v>0</v>
          </cell>
          <cell r="F1656">
            <v>-1.6E-2</v>
          </cell>
          <cell r="G1656">
            <v>0</v>
          </cell>
          <cell r="H1656">
            <v>1.8</v>
          </cell>
          <cell r="I1656">
            <v>0</v>
          </cell>
          <cell r="J1656">
            <v>0</v>
          </cell>
          <cell r="K1656">
            <v>0</v>
          </cell>
          <cell r="L1656">
            <v>0</v>
          </cell>
          <cell r="M1656">
            <v>-5.7000000000000002E-2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 t="b">
            <v>0</v>
          </cell>
        </row>
        <row r="1657">
          <cell r="A1657" t="str">
            <v>Data split-14;Reg-4</v>
          </cell>
          <cell r="B1657">
            <v>-2.7</v>
          </cell>
          <cell r="C1657">
            <v>0.46</v>
          </cell>
          <cell r="D1657">
            <v>0</v>
          </cell>
          <cell r="E1657">
            <v>0</v>
          </cell>
          <cell r="F1657">
            <v>-3.4000000000000002E-2</v>
          </cell>
          <cell r="G1657">
            <v>0</v>
          </cell>
          <cell r="H1657">
            <v>2.2999999999999998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-1.7999999999999999E-2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 t="b">
            <v>0</v>
          </cell>
        </row>
        <row r="1658">
          <cell r="A1658" t="str">
            <v>Data split-14;Reg-5</v>
          </cell>
          <cell r="B1658">
            <v>-2</v>
          </cell>
          <cell r="C1658">
            <v>0</v>
          </cell>
          <cell r="D1658">
            <v>0.28999999999999998</v>
          </cell>
          <cell r="E1658">
            <v>0</v>
          </cell>
          <cell r="F1658">
            <v>-4.3999999999999997E-2</v>
          </cell>
          <cell r="G1658">
            <v>1.2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-5.3E-3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 t="b">
            <v>0</v>
          </cell>
        </row>
        <row r="1659">
          <cell r="A1659" t="str">
            <v>Data split-14;Reg-6</v>
          </cell>
          <cell r="B1659">
            <v>-3</v>
          </cell>
          <cell r="C1659">
            <v>0</v>
          </cell>
          <cell r="D1659">
            <v>0.51</v>
          </cell>
          <cell r="E1659">
            <v>0</v>
          </cell>
          <cell r="F1659">
            <v>5.8999999999999999E-3</v>
          </cell>
          <cell r="G1659">
            <v>0</v>
          </cell>
          <cell r="H1659">
            <v>2.2000000000000002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-0.02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 t="b">
            <v>1</v>
          </cell>
        </row>
        <row r="1660">
          <cell r="A1660" t="str">
            <v>Data split-14;Reg-7</v>
          </cell>
          <cell r="B1660">
            <v>-3.1</v>
          </cell>
          <cell r="C1660">
            <v>0.39</v>
          </cell>
          <cell r="D1660">
            <v>0</v>
          </cell>
          <cell r="E1660">
            <v>0</v>
          </cell>
          <cell r="F1660">
            <v>0</v>
          </cell>
          <cell r="G1660">
            <v>0</v>
          </cell>
          <cell r="H1660">
            <v>0.46</v>
          </cell>
          <cell r="I1660">
            <v>1.6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-0.03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 t="b">
            <v>0</v>
          </cell>
        </row>
        <row r="1661">
          <cell r="A1661" t="str">
            <v>Data split-14;Reg-8</v>
          </cell>
          <cell r="B1661">
            <v>-2.4</v>
          </cell>
          <cell r="C1661">
            <v>0.47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0.43</v>
          </cell>
          <cell r="I1661">
            <v>1.4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-6.0000000000000001E-3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 t="b">
            <v>0</v>
          </cell>
        </row>
        <row r="1662">
          <cell r="A1662" t="str">
            <v>Data split-14;Reg-9</v>
          </cell>
          <cell r="B1662">
            <v>0.46</v>
          </cell>
          <cell r="C1662">
            <v>0.32</v>
          </cell>
          <cell r="D1662">
            <v>0</v>
          </cell>
          <cell r="E1662">
            <v>0</v>
          </cell>
          <cell r="F1662">
            <v>0</v>
          </cell>
          <cell r="G1662">
            <v>0.78</v>
          </cell>
          <cell r="H1662">
            <v>0</v>
          </cell>
          <cell r="I1662">
            <v>-0.19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-9.7999999999999997E-4</v>
          </cell>
          <cell r="S1662">
            <v>0</v>
          </cell>
          <cell r="T1662">
            <v>0</v>
          </cell>
          <cell r="U1662" t="b">
            <v>0</v>
          </cell>
        </row>
        <row r="1663">
          <cell r="A1663" t="str">
            <v>Data split-14;Reg-10</v>
          </cell>
          <cell r="B1663">
            <v>-0.61</v>
          </cell>
          <cell r="C1663">
            <v>0.36</v>
          </cell>
          <cell r="D1663">
            <v>0</v>
          </cell>
          <cell r="E1663">
            <v>0</v>
          </cell>
          <cell r="F1663">
            <v>0</v>
          </cell>
          <cell r="G1663">
            <v>0</v>
          </cell>
          <cell r="H1663">
            <v>0.6</v>
          </cell>
          <cell r="I1663">
            <v>0</v>
          </cell>
          <cell r="J1663">
            <v>0</v>
          </cell>
          <cell r="K1663">
            <v>1</v>
          </cell>
          <cell r="L1663">
            <v>0</v>
          </cell>
          <cell r="M1663">
            <v>0</v>
          </cell>
          <cell r="N1663">
            <v>0</v>
          </cell>
          <cell r="O1663">
            <v>-2.5000000000000001E-2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 t="b">
            <v>0</v>
          </cell>
        </row>
        <row r="1664">
          <cell r="A1664" t="str">
            <v>Data split-14;Reg-11</v>
          </cell>
          <cell r="B1664">
            <v>-1.3</v>
          </cell>
          <cell r="C1664">
            <v>0.72</v>
          </cell>
          <cell r="D1664">
            <v>0</v>
          </cell>
          <cell r="E1664">
            <v>0</v>
          </cell>
          <cell r="F1664">
            <v>0</v>
          </cell>
          <cell r="G1664">
            <v>0</v>
          </cell>
          <cell r="H1664">
            <v>0</v>
          </cell>
          <cell r="I1664">
            <v>1.4</v>
          </cell>
          <cell r="J1664">
            <v>0</v>
          </cell>
          <cell r="K1664">
            <v>-0.39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 t="b">
            <v>0</v>
          </cell>
        </row>
        <row r="1665">
          <cell r="A1665" t="str">
            <v>Data split-14;Reg-12</v>
          </cell>
          <cell r="B1665">
            <v>-2.4</v>
          </cell>
          <cell r="C1665">
            <v>0.44</v>
          </cell>
          <cell r="D1665">
            <v>0</v>
          </cell>
          <cell r="E1665">
            <v>0</v>
          </cell>
          <cell r="F1665">
            <v>0</v>
          </cell>
          <cell r="G1665">
            <v>0</v>
          </cell>
          <cell r="H1665">
            <v>0</v>
          </cell>
          <cell r="I1665">
            <v>0.76</v>
          </cell>
          <cell r="J1665">
            <v>0</v>
          </cell>
          <cell r="K1665">
            <v>0</v>
          </cell>
          <cell r="L1665">
            <v>11.8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 t="b">
            <v>0</v>
          </cell>
        </row>
        <row r="1666">
          <cell r="A1666" t="str">
            <v>Data split-14;Reg-13</v>
          </cell>
          <cell r="B1666">
            <v>-6</v>
          </cell>
          <cell r="C1666">
            <v>0.51</v>
          </cell>
          <cell r="D1666">
            <v>0</v>
          </cell>
          <cell r="E1666">
            <v>0</v>
          </cell>
          <cell r="F1666">
            <v>0</v>
          </cell>
          <cell r="G1666">
            <v>0</v>
          </cell>
          <cell r="H1666">
            <v>0</v>
          </cell>
          <cell r="I1666">
            <v>0</v>
          </cell>
          <cell r="J1666">
            <v>19.3</v>
          </cell>
          <cell r="K1666">
            <v>0.11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 t="b">
            <v>0</v>
          </cell>
        </row>
        <row r="1667">
          <cell r="A1667" t="str">
            <v>Data split-14;Reg-14</v>
          </cell>
          <cell r="B1667">
            <v>-6.1</v>
          </cell>
          <cell r="C1667">
            <v>0.43</v>
          </cell>
          <cell r="D1667">
            <v>0</v>
          </cell>
          <cell r="E1667">
            <v>0</v>
          </cell>
          <cell r="F1667">
            <v>0</v>
          </cell>
          <cell r="G1667">
            <v>0</v>
          </cell>
          <cell r="H1667">
            <v>0</v>
          </cell>
          <cell r="I1667">
            <v>0</v>
          </cell>
          <cell r="J1667">
            <v>16.8</v>
          </cell>
          <cell r="K1667">
            <v>0</v>
          </cell>
          <cell r="L1667">
            <v>6.3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 t="b">
            <v>0</v>
          </cell>
        </row>
        <row r="1668">
          <cell r="A1668" t="str">
            <v>Data split-14;Reg-15</v>
          </cell>
          <cell r="B1668">
            <v>0.59</v>
          </cell>
          <cell r="C1668">
            <v>0.62</v>
          </cell>
          <cell r="D1668">
            <v>0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0.56999999999999995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1.4E-2</v>
          </cell>
          <cell r="R1668">
            <v>0</v>
          </cell>
          <cell r="S1668">
            <v>0</v>
          </cell>
          <cell r="T1668">
            <v>0</v>
          </cell>
          <cell r="U1668" t="b">
            <v>0</v>
          </cell>
        </row>
        <row r="1669">
          <cell r="A1669" t="str">
            <v>Data split-14;Reg-16</v>
          </cell>
          <cell r="B1669">
            <v>1.3</v>
          </cell>
          <cell r="C1669">
            <v>0.53</v>
          </cell>
          <cell r="D1669">
            <v>0</v>
          </cell>
          <cell r="E1669">
            <v>0</v>
          </cell>
          <cell r="F1669">
            <v>0</v>
          </cell>
          <cell r="G1669">
            <v>0</v>
          </cell>
          <cell r="H1669">
            <v>0</v>
          </cell>
          <cell r="I1669">
            <v>0.21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5.5999999999999999E-3</v>
          </cell>
          <cell r="S1669">
            <v>0</v>
          </cell>
          <cell r="T1669">
            <v>0</v>
          </cell>
          <cell r="U1669" t="b">
            <v>0</v>
          </cell>
        </row>
        <row r="1670">
          <cell r="A1670" t="str">
            <v>Data split-14;Reg-17</v>
          </cell>
          <cell r="B1670">
            <v>-3.9</v>
          </cell>
          <cell r="C1670">
            <v>0.44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15.2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1.2E-2</v>
          </cell>
          <cell r="R1670">
            <v>0</v>
          </cell>
          <cell r="S1670">
            <v>0</v>
          </cell>
          <cell r="T1670">
            <v>0</v>
          </cell>
          <cell r="U1670" t="b">
            <v>0</v>
          </cell>
        </row>
        <row r="1671">
          <cell r="A1671" t="str">
            <v>Data split-14;Reg-18</v>
          </cell>
          <cell r="B1671">
            <v>-2.8</v>
          </cell>
          <cell r="C1671">
            <v>0.35</v>
          </cell>
          <cell r="D1671">
            <v>0</v>
          </cell>
          <cell r="E1671">
            <v>0</v>
          </cell>
          <cell r="F1671">
            <v>0</v>
          </cell>
          <cell r="G1671">
            <v>0</v>
          </cell>
          <cell r="H1671">
            <v>0</v>
          </cell>
          <cell r="I1671">
            <v>0</v>
          </cell>
          <cell r="J1671">
            <v>12.4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4.7000000000000002E-3</v>
          </cell>
          <cell r="S1671">
            <v>0</v>
          </cell>
          <cell r="T1671">
            <v>0</v>
          </cell>
          <cell r="U1671" t="b">
            <v>0</v>
          </cell>
        </row>
        <row r="1672">
          <cell r="A1672" t="str">
            <v>Data split-14;Reg-19</v>
          </cell>
          <cell r="B1672">
            <v>1.6</v>
          </cell>
          <cell r="C1672">
            <v>0.69</v>
          </cell>
          <cell r="D1672">
            <v>0</v>
          </cell>
          <cell r="E1672">
            <v>0</v>
          </cell>
          <cell r="F1672">
            <v>0</v>
          </cell>
          <cell r="G1672">
            <v>0</v>
          </cell>
          <cell r="H1672">
            <v>0</v>
          </cell>
          <cell r="I1672">
            <v>0</v>
          </cell>
          <cell r="J1672">
            <v>0</v>
          </cell>
          <cell r="K1672">
            <v>0.16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1.7000000000000001E-2</v>
          </cell>
          <cell r="T1672">
            <v>0</v>
          </cell>
          <cell r="U1672" t="b">
            <v>0</v>
          </cell>
        </row>
        <row r="1673">
          <cell r="A1673" t="str">
            <v>Data split-14;Reg-20</v>
          </cell>
          <cell r="B1673">
            <v>1.9</v>
          </cell>
          <cell r="C1673">
            <v>0.63</v>
          </cell>
          <cell r="D1673">
            <v>0</v>
          </cell>
          <cell r="E1673">
            <v>0</v>
          </cell>
          <cell r="F1673">
            <v>0</v>
          </cell>
          <cell r="G1673">
            <v>0</v>
          </cell>
          <cell r="H1673">
            <v>0</v>
          </cell>
          <cell r="I1673">
            <v>0</v>
          </cell>
          <cell r="J1673">
            <v>0</v>
          </cell>
          <cell r="K1673">
            <v>-0.3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6.7000000000000002E-3</v>
          </cell>
          <cell r="U1673" t="b">
            <v>0</v>
          </cell>
        </row>
        <row r="1674">
          <cell r="A1674" t="str">
            <v>Data split-14;Reg-21</v>
          </cell>
          <cell r="B1674">
            <v>-0.68</v>
          </cell>
          <cell r="C1674">
            <v>0.42</v>
          </cell>
          <cell r="D1674">
            <v>0</v>
          </cell>
          <cell r="E1674">
            <v>0</v>
          </cell>
          <cell r="F1674">
            <v>0</v>
          </cell>
          <cell r="G1674">
            <v>0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12.7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1.4E-2</v>
          </cell>
          <cell r="T1674">
            <v>0</v>
          </cell>
          <cell r="U1674" t="b">
            <v>0</v>
          </cell>
        </row>
        <row r="1675">
          <cell r="A1675" t="str">
            <v>Data split-14;Reg-22</v>
          </cell>
          <cell r="B1675">
            <v>8.3000000000000004E-2</v>
          </cell>
          <cell r="C1675">
            <v>0.37</v>
          </cell>
          <cell r="D1675">
            <v>0</v>
          </cell>
          <cell r="E1675">
            <v>0</v>
          </cell>
          <cell r="F1675">
            <v>0</v>
          </cell>
          <cell r="G1675">
            <v>0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8.8000000000000007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5.1000000000000004E-3</v>
          </cell>
          <cell r="U1675" t="b">
            <v>0</v>
          </cell>
        </row>
        <row r="1676">
          <cell r="A1676" t="str">
            <v>Data split-14;Reg-23</v>
          </cell>
          <cell r="B1676">
            <v>-1.7</v>
          </cell>
          <cell r="C1676">
            <v>0</v>
          </cell>
          <cell r="D1676">
            <v>0.66</v>
          </cell>
          <cell r="E1676">
            <v>0</v>
          </cell>
          <cell r="F1676">
            <v>0</v>
          </cell>
          <cell r="G1676">
            <v>0</v>
          </cell>
          <cell r="H1676">
            <v>0</v>
          </cell>
          <cell r="I1676">
            <v>1</v>
          </cell>
          <cell r="J1676">
            <v>0</v>
          </cell>
          <cell r="K1676">
            <v>-0.12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 t="b">
            <v>0</v>
          </cell>
        </row>
        <row r="1677">
          <cell r="A1677" t="str">
            <v>Data split-14;Reg-24</v>
          </cell>
          <cell r="B1677">
            <v>-2.1</v>
          </cell>
          <cell r="C1677">
            <v>0</v>
          </cell>
          <cell r="D1677">
            <v>0.57999999999999996</v>
          </cell>
          <cell r="E1677">
            <v>0</v>
          </cell>
          <cell r="F1677">
            <v>0</v>
          </cell>
          <cell r="G1677">
            <v>0</v>
          </cell>
          <cell r="H1677">
            <v>0</v>
          </cell>
          <cell r="I1677">
            <v>0.71</v>
          </cell>
          <cell r="J1677">
            <v>0</v>
          </cell>
          <cell r="K1677">
            <v>0</v>
          </cell>
          <cell r="L1677">
            <v>5.4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 t="b">
            <v>0</v>
          </cell>
        </row>
        <row r="1678">
          <cell r="A1678" t="str">
            <v>Data split-14;Reg-25</v>
          </cell>
          <cell r="B1678">
            <v>-4.3</v>
          </cell>
          <cell r="C1678">
            <v>0</v>
          </cell>
          <cell r="D1678">
            <v>0.56000000000000005</v>
          </cell>
          <cell r="E1678">
            <v>0</v>
          </cell>
          <cell r="F1678">
            <v>0</v>
          </cell>
          <cell r="G1678">
            <v>0</v>
          </cell>
          <cell r="H1678">
            <v>0</v>
          </cell>
          <cell r="I1678">
            <v>0</v>
          </cell>
          <cell r="J1678">
            <v>12.1</v>
          </cell>
          <cell r="K1678">
            <v>0.28000000000000003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 t="b">
            <v>0</v>
          </cell>
        </row>
        <row r="1679">
          <cell r="A1679" t="str">
            <v>Data split-14;Reg-26</v>
          </cell>
          <cell r="B1679">
            <v>-5</v>
          </cell>
          <cell r="C1679">
            <v>0</v>
          </cell>
          <cell r="D1679">
            <v>0.54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12.1</v>
          </cell>
          <cell r="K1679">
            <v>0</v>
          </cell>
          <cell r="L1679">
            <v>4.3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 t="b">
            <v>0</v>
          </cell>
        </row>
        <row r="1680">
          <cell r="A1680" t="str">
            <v>Data split-14;Reg-27</v>
          </cell>
          <cell r="B1680">
            <v>-1.8</v>
          </cell>
          <cell r="C1680">
            <v>0</v>
          </cell>
          <cell r="D1680">
            <v>0.67</v>
          </cell>
          <cell r="E1680">
            <v>0</v>
          </cell>
          <cell r="F1680">
            <v>0</v>
          </cell>
          <cell r="G1680">
            <v>0</v>
          </cell>
          <cell r="H1680">
            <v>0</v>
          </cell>
          <cell r="I1680">
            <v>1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-2.8E-3</v>
          </cell>
          <cell r="R1680">
            <v>0</v>
          </cell>
          <cell r="S1680">
            <v>0</v>
          </cell>
          <cell r="T1680">
            <v>0</v>
          </cell>
          <cell r="U1680" t="b">
            <v>0</v>
          </cell>
        </row>
        <row r="1681">
          <cell r="A1681" t="str">
            <v>Data split-14;Reg-28</v>
          </cell>
          <cell r="B1681">
            <v>-0.7</v>
          </cell>
          <cell r="C1681">
            <v>0</v>
          </cell>
          <cell r="D1681">
            <v>0.57999999999999996</v>
          </cell>
          <cell r="E1681">
            <v>0</v>
          </cell>
          <cell r="F1681">
            <v>0</v>
          </cell>
          <cell r="G1681">
            <v>0</v>
          </cell>
          <cell r="H1681">
            <v>0</v>
          </cell>
          <cell r="I1681">
            <v>0.67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2E-3</v>
          </cell>
          <cell r="S1681">
            <v>0</v>
          </cell>
          <cell r="T1681">
            <v>0</v>
          </cell>
          <cell r="U1681" t="b">
            <v>0</v>
          </cell>
        </row>
        <row r="1682">
          <cell r="A1682" t="str">
            <v>Data split-14;Reg-29</v>
          </cell>
          <cell r="B1682">
            <v>-4.5</v>
          </cell>
          <cell r="C1682">
            <v>0</v>
          </cell>
          <cell r="D1682">
            <v>0.54</v>
          </cell>
          <cell r="E1682">
            <v>0</v>
          </cell>
          <cell r="F1682">
            <v>0</v>
          </cell>
          <cell r="G1682">
            <v>0</v>
          </cell>
          <cell r="H1682">
            <v>0</v>
          </cell>
          <cell r="I1682">
            <v>0</v>
          </cell>
          <cell r="J1682">
            <v>13.8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4.3E-3</v>
          </cell>
          <cell r="R1682">
            <v>0</v>
          </cell>
          <cell r="S1682">
            <v>0</v>
          </cell>
          <cell r="T1682">
            <v>0</v>
          </cell>
          <cell r="U1682" t="b">
            <v>0</v>
          </cell>
        </row>
        <row r="1683">
          <cell r="A1683" t="str">
            <v>Data split-14;Reg-30</v>
          </cell>
          <cell r="B1683">
            <v>-3.5</v>
          </cell>
          <cell r="C1683">
            <v>0</v>
          </cell>
          <cell r="D1683">
            <v>0.44</v>
          </cell>
          <cell r="E1683">
            <v>0</v>
          </cell>
          <cell r="F1683">
            <v>0</v>
          </cell>
          <cell r="G1683">
            <v>0</v>
          </cell>
          <cell r="H1683">
            <v>0</v>
          </cell>
          <cell r="I1683">
            <v>0</v>
          </cell>
          <cell r="J1683">
            <v>11.8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2.8999999999999998E-3</v>
          </cell>
          <cell r="S1683">
            <v>0</v>
          </cell>
          <cell r="T1683">
            <v>0</v>
          </cell>
          <cell r="U1683" t="b">
            <v>0</v>
          </cell>
        </row>
        <row r="1684">
          <cell r="A1684" t="str">
            <v>Data split-14;Reg-31</v>
          </cell>
          <cell r="B1684">
            <v>-0.38</v>
          </cell>
          <cell r="C1684">
            <v>0</v>
          </cell>
          <cell r="D1684">
            <v>0.67</v>
          </cell>
          <cell r="E1684">
            <v>0</v>
          </cell>
          <cell r="F1684">
            <v>0</v>
          </cell>
          <cell r="G1684">
            <v>0</v>
          </cell>
          <cell r="H1684">
            <v>0</v>
          </cell>
          <cell r="I1684">
            <v>0</v>
          </cell>
          <cell r="J1684">
            <v>0</v>
          </cell>
          <cell r="K1684">
            <v>0.77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5.5999999999999999E-5</v>
          </cell>
          <cell r="T1684">
            <v>0</v>
          </cell>
          <cell r="U1684" t="b">
            <v>0</v>
          </cell>
        </row>
        <row r="1685">
          <cell r="A1685" t="str">
            <v>Data split-14;Reg-32</v>
          </cell>
          <cell r="B1685">
            <v>0.33</v>
          </cell>
          <cell r="C1685">
            <v>0</v>
          </cell>
          <cell r="D1685">
            <v>0.59</v>
          </cell>
          <cell r="E1685">
            <v>0</v>
          </cell>
          <cell r="F1685">
            <v>0</v>
          </cell>
          <cell r="G1685">
            <v>0</v>
          </cell>
          <cell r="H1685">
            <v>0</v>
          </cell>
          <cell r="I1685">
            <v>0</v>
          </cell>
          <cell r="J1685">
            <v>0</v>
          </cell>
          <cell r="K1685">
            <v>0.44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2.5999999999999999E-3</v>
          </cell>
          <cell r="U1685" t="b">
            <v>0</v>
          </cell>
        </row>
        <row r="1686">
          <cell r="A1686" t="str">
            <v>Data split-14;Reg-33</v>
          </cell>
          <cell r="B1686">
            <v>-1.7</v>
          </cell>
          <cell r="C1686">
            <v>0</v>
          </cell>
          <cell r="D1686">
            <v>0.55000000000000004</v>
          </cell>
          <cell r="E1686">
            <v>0</v>
          </cell>
          <cell r="F1686">
            <v>0</v>
          </cell>
          <cell r="G1686">
            <v>0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11.1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5.4999999999999997E-3</v>
          </cell>
          <cell r="T1686">
            <v>0</v>
          </cell>
          <cell r="U1686" t="b">
            <v>0</v>
          </cell>
        </row>
        <row r="1687">
          <cell r="A1687" t="str">
            <v>Data split-14;Reg-34</v>
          </cell>
          <cell r="B1687">
            <v>-0.96</v>
          </cell>
          <cell r="C1687">
            <v>0</v>
          </cell>
          <cell r="D1687">
            <v>0.47</v>
          </cell>
          <cell r="E1687">
            <v>0</v>
          </cell>
          <cell r="F1687">
            <v>0</v>
          </cell>
          <cell r="G1687">
            <v>0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9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3.0000000000000001E-3</v>
          </cell>
          <cell r="U1687" t="b">
            <v>0</v>
          </cell>
        </row>
        <row r="1688">
          <cell r="A1688" t="str">
            <v>Data split-14;Reg-35</v>
          </cell>
          <cell r="B1688">
            <v>0.12</v>
          </cell>
          <cell r="C1688">
            <v>0.69</v>
          </cell>
          <cell r="D1688">
            <v>0</v>
          </cell>
          <cell r="E1688">
            <v>0</v>
          </cell>
          <cell r="F1688">
            <v>0</v>
          </cell>
          <cell r="G1688">
            <v>0</v>
          </cell>
          <cell r="H1688">
            <v>0</v>
          </cell>
          <cell r="I1688">
            <v>0.98</v>
          </cell>
          <cell r="J1688">
            <v>0</v>
          </cell>
          <cell r="K1688">
            <v>-0.61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1.4999999999999999E-2</v>
          </cell>
          <cell r="R1688">
            <v>0</v>
          </cell>
          <cell r="S1688">
            <v>0</v>
          </cell>
          <cell r="T1688">
            <v>0</v>
          </cell>
          <cell r="U1688" t="b">
            <v>0</v>
          </cell>
        </row>
        <row r="1689">
          <cell r="A1689" t="str">
            <v>Data split-14;Reg-36</v>
          </cell>
          <cell r="B1689">
            <v>0.66</v>
          </cell>
          <cell r="C1689">
            <v>0.62</v>
          </cell>
          <cell r="D1689">
            <v>0</v>
          </cell>
          <cell r="E1689">
            <v>0</v>
          </cell>
          <cell r="F1689">
            <v>0</v>
          </cell>
          <cell r="G1689">
            <v>0</v>
          </cell>
          <cell r="H1689">
            <v>0</v>
          </cell>
          <cell r="I1689">
            <v>0.78</v>
          </cell>
          <cell r="J1689">
            <v>0</v>
          </cell>
          <cell r="K1689">
            <v>-0.85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6.1000000000000004E-3</v>
          </cell>
          <cell r="S1689">
            <v>0</v>
          </cell>
          <cell r="T1689">
            <v>0</v>
          </cell>
          <cell r="U1689" t="b">
            <v>0</v>
          </cell>
        </row>
        <row r="1690">
          <cell r="A1690" t="str">
            <v>Data split-14;Reg-37</v>
          </cell>
          <cell r="B1690">
            <v>-0.88</v>
          </cell>
          <cell r="C1690">
            <v>0.41</v>
          </cell>
          <cell r="D1690">
            <v>0</v>
          </cell>
          <cell r="E1690">
            <v>0</v>
          </cell>
          <cell r="F1690">
            <v>0</v>
          </cell>
          <cell r="G1690">
            <v>0</v>
          </cell>
          <cell r="H1690">
            <v>0</v>
          </cell>
          <cell r="I1690">
            <v>0.28000000000000003</v>
          </cell>
          <cell r="J1690">
            <v>0</v>
          </cell>
          <cell r="K1690">
            <v>0</v>
          </cell>
          <cell r="L1690">
            <v>10.8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1.2999999999999999E-2</v>
          </cell>
          <cell r="R1690">
            <v>0</v>
          </cell>
          <cell r="S1690">
            <v>0</v>
          </cell>
          <cell r="T1690">
            <v>0</v>
          </cell>
          <cell r="U1690" t="b">
            <v>0</v>
          </cell>
        </row>
        <row r="1691">
          <cell r="A1691" t="str">
            <v>Data split-14;Reg-38</v>
          </cell>
          <cell r="B1691">
            <v>0.1</v>
          </cell>
          <cell r="C1691">
            <v>0.37</v>
          </cell>
          <cell r="D1691">
            <v>0</v>
          </cell>
          <cell r="E1691">
            <v>0</v>
          </cell>
          <cell r="F1691">
            <v>0</v>
          </cell>
          <cell r="G1691">
            <v>0</v>
          </cell>
          <cell r="H1691">
            <v>0</v>
          </cell>
          <cell r="I1691">
            <v>1.6E-2</v>
          </cell>
          <cell r="J1691">
            <v>0</v>
          </cell>
          <cell r="K1691">
            <v>0</v>
          </cell>
          <cell r="L1691">
            <v>8.4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5.3E-3</v>
          </cell>
          <cell r="S1691">
            <v>0</v>
          </cell>
          <cell r="T1691">
            <v>0</v>
          </cell>
          <cell r="U1691" t="b">
            <v>0</v>
          </cell>
        </row>
        <row r="1692">
          <cell r="A1692" t="str">
            <v>Data split-14;Reg-39</v>
          </cell>
          <cell r="B1692">
            <v>-4.4000000000000004</v>
          </cell>
          <cell r="C1692">
            <v>0.5</v>
          </cell>
          <cell r="D1692">
            <v>0</v>
          </cell>
          <cell r="E1692">
            <v>0</v>
          </cell>
          <cell r="F1692">
            <v>0</v>
          </cell>
          <cell r="G1692">
            <v>0</v>
          </cell>
          <cell r="H1692">
            <v>0</v>
          </cell>
          <cell r="I1692">
            <v>0</v>
          </cell>
          <cell r="J1692">
            <v>17.2</v>
          </cell>
          <cell r="K1692">
            <v>-0.43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1.4999999999999999E-2</v>
          </cell>
          <cell r="R1692">
            <v>0</v>
          </cell>
          <cell r="S1692">
            <v>0</v>
          </cell>
          <cell r="T1692">
            <v>0</v>
          </cell>
          <cell r="U1692" t="b">
            <v>0</v>
          </cell>
        </row>
        <row r="1693">
          <cell r="A1693" t="str">
            <v>Data split-14;Reg-40</v>
          </cell>
          <cell r="B1693">
            <v>-3.8</v>
          </cell>
          <cell r="C1693">
            <v>0.45</v>
          </cell>
          <cell r="D1693">
            <v>0</v>
          </cell>
          <cell r="E1693">
            <v>0</v>
          </cell>
          <cell r="F1693">
            <v>0</v>
          </cell>
          <cell r="G1693">
            <v>0</v>
          </cell>
          <cell r="H1693">
            <v>0</v>
          </cell>
          <cell r="I1693">
            <v>0</v>
          </cell>
          <cell r="J1693">
            <v>16.100000000000001</v>
          </cell>
          <cell r="K1693">
            <v>-0.78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6.0000000000000001E-3</v>
          </cell>
          <cell r="S1693">
            <v>0</v>
          </cell>
          <cell r="T1693">
            <v>0</v>
          </cell>
          <cell r="U1693" t="b">
            <v>0</v>
          </cell>
        </row>
        <row r="1694">
          <cell r="A1694" t="str">
            <v>Data split-14;Reg-41</v>
          </cell>
          <cell r="B1694">
            <v>-3.9</v>
          </cell>
          <cell r="C1694">
            <v>0.37</v>
          </cell>
          <cell r="D1694">
            <v>0</v>
          </cell>
          <cell r="E1694">
            <v>0</v>
          </cell>
          <cell r="F1694">
            <v>0</v>
          </cell>
          <cell r="G1694">
            <v>0</v>
          </cell>
          <cell r="H1694">
            <v>0</v>
          </cell>
          <cell r="I1694">
            <v>0</v>
          </cell>
          <cell r="J1694">
            <v>13.2</v>
          </cell>
          <cell r="K1694">
            <v>0</v>
          </cell>
          <cell r="L1694">
            <v>4.0999999999999996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1.2E-2</v>
          </cell>
          <cell r="R1694">
            <v>0</v>
          </cell>
          <cell r="S1694">
            <v>0</v>
          </cell>
          <cell r="T1694">
            <v>0</v>
          </cell>
          <cell r="U1694" t="b">
            <v>0</v>
          </cell>
        </row>
        <row r="1695">
          <cell r="A1695" t="str">
            <v>Data split-14;Reg-42</v>
          </cell>
          <cell r="B1695">
            <v>-2.8</v>
          </cell>
          <cell r="C1695">
            <v>0.33</v>
          </cell>
          <cell r="D1695">
            <v>0</v>
          </cell>
          <cell r="E1695">
            <v>0</v>
          </cell>
          <cell r="F1695">
            <v>0</v>
          </cell>
          <cell r="G1695">
            <v>0</v>
          </cell>
          <cell r="H1695">
            <v>0</v>
          </cell>
          <cell r="I1695">
            <v>0</v>
          </cell>
          <cell r="J1695">
            <v>12</v>
          </cell>
          <cell r="K1695">
            <v>0</v>
          </cell>
          <cell r="L1695">
            <v>0.99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4.5999999999999999E-3</v>
          </cell>
          <cell r="S1695">
            <v>0</v>
          </cell>
          <cell r="T1695">
            <v>0</v>
          </cell>
          <cell r="U1695" t="b">
            <v>0</v>
          </cell>
        </row>
        <row r="1696">
          <cell r="A1696" t="str">
            <v>Data split-14;Reg-43</v>
          </cell>
          <cell r="B1696">
            <v>4.5999999999999999E-2</v>
          </cell>
          <cell r="C1696">
            <v>0.7</v>
          </cell>
          <cell r="D1696">
            <v>0</v>
          </cell>
          <cell r="E1696">
            <v>0</v>
          </cell>
          <cell r="F1696">
            <v>0</v>
          </cell>
          <cell r="G1696">
            <v>0</v>
          </cell>
          <cell r="H1696">
            <v>0</v>
          </cell>
          <cell r="I1696">
            <v>1</v>
          </cell>
          <cell r="J1696">
            <v>0</v>
          </cell>
          <cell r="K1696">
            <v>-0.6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1.2999999999999999E-2</v>
          </cell>
          <cell r="T1696">
            <v>0</v>
          </cell>
          <cell r="U1696" t="b">
            <v>0</v>
          </cell>
        </row>
        <row r="1697">
          <cell r="A1697" t="str">
            <v>Data split-14;Reg-44</v>
          </cell>
          <cell r="B1697">
            <v>0.77</v>
          </cell>
          <cell r="C1697">
            <v>0.64</v>
          </cell>
          <cell r="D1697">
            <v>0</v>
          </cell>
          <cell r="E1697">
            <v>0</v>
          </cell>
          <cell r="F1697">
            <v>0</v>
          </cell>
          <cell r="G1697">
            <v>0</v>
          </cell>
          <cell r="H1697">
            <v>0</v>
          </cell>
          <cell r="I1697">
            <v>0.75</v>
          </cell>
          <cell r="J1697">
            <v>0</v>
          </cell>
          <cell r="K1697">
            <v>-0.87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6.0000000000000001E-3</v>
          </cell>
          <cell r="U1697" t="b">
            <v>0</v>
          </cell>
        </row>
        <row r="1698">
          <cell r="A1698" t="str">
            <v>Data split-14;Reg-45</v>
          </cell>
          <cell r="B1698">
            <v>-1</v>
          </cell>
          <cell r="C1698">
            <v>0.41</v>
          </cell>
          <cell r="D1698">
            <v>0</v>
          </cell>
          <cell r="E1698">
            <v>0</v>
          </cell>
          <cell r="F1698">
            <v>0</v>
          </cell>
          <cell r="G1698">
            <v>0</v>
          </cell>
          <cell r="H1698">
            <v>0</v>
          </cell>
          <cell r="I1698">
            <v>0.31</v>
          </cell>
          <cell r="J1698">
            <v>0</v>
          </cell>
          <cell r="K1698">
            <v>0</v>
          </cell>
          <cell r="L1698">
            <v>11.2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1.0999999999999999E-2</v>
          </cell>
          <cell r="T1698">
            <v>0</v>
          </cell>
          <cell r="U1698" t="b">
            <v>0</v>
          </cell>
        </row>
        <row r="1699">
          <cell r="A1699" t="str">
            <v>Data split-14;Reg-46</v>
          </cell>
          <cell r="B1699">
            <v>0.11</v>
          </cell>
          <cell r="C1699">
            <v>0.37</v>
          </cell>
          <cell r="D1699">
            <v>0</v>
          </cell>
          <cell r="E1699">
            <v>0</v>
          </cell>
          <cell r="F1699">
            <v>0</v>
          </cell>
          <cell r="G1699">
            <v>0</v>
          </cell>
          <cell r="H1699">
            <v>0</v>
          </cell>
          <cell r="I1699">
            <v>-2.8000000000000001E-2</v>
          </cell>
          <cell r="J1699">
            <v>0</v>
          </cell>
          <cell r="K1699">
            <v>0</v>
          </cell>
          <cell r="L1699">
            <v>9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5.1000000000000004E-3</v>
          </cell>
          <cell r="U1699" t="b">
            <v>0</v>
          </cell>
        </row>
        <row r="1700">
          <cell r="A1700" t="str">
            <v>Data split-14;Reg-47</v>
          </cell>
          <cell r="B1700">
            <v>-4.5</v>
          </cell>
          <cell r="C1700">
            <v>0.5</v>
          </cell>
          <cell r="D1700">
            <v>0</v>
          </cell>
          <cell r="E1700">
            <v>0</v>
          </cell>
          <cell r="F1700">
            <v>0</v>
          </cell>
          <cell r="G1700">
            <v>0</v>
          </cell>
          <cell r="H1700">
            <v>0</v>
          </cell>
          <cell r="I1700">
            <v>0</v>
          </cell>
          <cell r="J1700">
            <v>17.5</v>
          </cell>
          <cell r="K1700">
            <v>-0.44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1.4E-2</v>
          </cell>
          <cell r="T1700">
            <v>0</v>
          </cell>
          <cell r="U1700" t="b">
            <v>0</v>
          </cell>
        </row>
        <row r="1701">
          <cell r="A1701" t="str">
            <v>Data split-14;Reg-48</v>
          </cell>
          <cell r="B1701">
            <v>-3.8</v>
          </cell>
          <cell r="C1701">
            <v>0.46</v>
          </cell>
          <cell r="D1701">
            <v>0</v>
          </cell>
          <cell r="E1701">
            <v>0</v>
          </cell>
          <cell r="F1701">
            <v>0</v>
          </cell>
          <cell r="G1701">
            <v>0</v>
          </cell>
          <cell r="H1701">
            <v>0</v>
          </cell>
          <cell r="I1701">
            <v>0</v>
          </cell>
          <cell r="J1701">
            <v>16.399999999999999</v>
          </cell>
          <cell r="K1701">
            <v>-0.86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6.0000000000000001E-3</v>
          </cell>
          <cell r="U1701" t="b">
            <v>0</v>
          </cell>
        </row>
        <row r="1702">
          <cell r="A1702" t="str">
            <v>Data split-14;Reg-49</v>
          </cell>
          <cell r="B1702">
            <v>-4.0999999999999996</v>
          </cell>
          <cell r="C1702">
            <v>0.38</v>
          </cell>
          <cell r="D1702">
            <v>0</v>
          </cell>
          <cell r="E1702">
            <v>0</v>
          </cell>
          <cell r="F1702">
            <v>0</v>
          </cell>
          <cell r="G1702">
            <v>0</v>
          </cell>
          <cell r="H1702">
            <v>0</v>
          </cell>
          <cell r="I1702">
            <v>0</v>
          </cell>
          <cell r="J1702">
            <v>13.5</v>
          </cell>
          <cell r="K1702">
            <v>0</v>
          </cell>
          <cell r="L1702">
            <v>4.4000000000000004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0.01</v>
          </cell>
          <cell r="T1702">
            <v>0</v>
          </cell>
          <cell r="U1702" t="b">
            <v>0</v>
          </cell>
        </row>
        <row r="1703">
          <cell r="A1703" t="str">
            <v>Data split-14;Reg-50</v>
          </cell>
          <cell r="B1703">
            <v>-2.9</v>
          </cell>
          <cell r="C1703">
            <v>0.34</v>
          </cell>
          <cell r="D1703">
            <v>0</v>
          </cell>
          <cell r="E1703">
            <v>0</v>
          </cell>
          <cell r="F1703">
            <v>0</v>
          </cell>
          <cell r="G1703">
            <v>0</v>
          </cell>
          <cell r="H1703">
            <v>0</v>
          </cell>
          <cell r="I1703">
            <v>0</v>
          </cell>
          <cell r="J1703">
            <v>12</v>
          </cell>
          <cell r="K1703">
            <v>0</v>
          </cell>
          <cell r="L1703">
            <v>1.4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4.3E-3</v>
          </cell>
          <cell r="U1703" t="b">
            <v>0</v>
          </cell>
        </row>
        <row r="1704">
          <cell r="A1704" t="str">
            <v>Data split-14;Reg-51</v>
          </cell>
          <cell r="B1704">
            <v>-1.9</v>
          </cell>
          <cell r="C1704">
            <v>0</v>
          </cell>
          <cell r="D1704">
            <v>0.68</v>
          </cell>
          <cell r="E1704">
            <v>0</v>
          </cell>
          <cell r="F1704">
            <v>0</v>
          </cell>
          <cell r="G1704">
            <v>0</v>
          </cell>
          <cell r="H1704">
            <v>0</v>
          </cell>
          <cell r="I1704">
            <v>1.1000000000000001</v>
          </cell>
          <cell r="J1704">
            <v>0</v>
          </cell>
          <cell r="K1704">
            <v>-0.11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-2.7000000000000001E-3</v>
          </cell>
          <cell r="R1704">
            <v>0</v>
          </cell>
          <cell r="S1704">
            <v>0</v>
          </cell>
          <cell r="T1704">
            <v>0</v>
          </cell>
          <cell r="U1704" t="b">
            <v>0</v>
          </cell>
        </row>
        <row r="1705">
          <cell r="A1705" t="str">
            <v>Data split-14;Reg-52</v>
          </cell>
          <cell r="B1705">
            <v>-0.89</v>
          </cell>
          <cell r="C1705">
            <v>0</v>
          </cell>
          <cell r="D1705">
            <v>0.57999999999999996</v>
          </cell>
          <cell r="E1705">
            <v>0</v>
          </cell>
          <cell r="F1705">
            <v>0</v>
          </cell>
          <cell r="G1705">
            <v>0</v>
          </cell>
          <cell r="H1705">
            <v>0</v>
          </cell>
          <cell r="I1705">
            <v>0.84</v>
          </cell>
          <cell r="J1705">
            <v>0</v>
          </cell>
          <cell r="K1705">
            <v>-0.22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2.0999999999999999E-3</v>
          </cell>
          <cell r="S1705">
            <v>0</v>
          </cell>
          <cell r="T1705">
            <v>0</v>
          </cell>
          <cell r="U1705" t="b">
            <v>0</v>
          </cell>
        </row>
        <row r="1706">
          <cell r="A1706" t="str">
            <v>Data split-14;Reg-53</v>
          </cell>
          <cell r="B1706">
            <v>-2.2999999999999998</v>
          </cell>
          <cell r="C1706">
            <v>0</v>
          </cell>
          <cell r="D1706">
            <v>0.6</v>
          </cell>
          <cell r="E1706">
            <v>0</v>
          </cell>
          <cell r="F1706">
            <v>0</v>
          </cell>
          <cell r="G1706">
            <v>0</v>
          </cell>
          <cell r="H1706">
            <v>0</v>
          </cell>
          <cell r="I1706">
            <v>0.77</v>
          </cell>
          <cell r="J1706">
            <v>0</v>
          </cell>
          <cell r="K1706">
            <v>0</v>
          </cell>
          <cell r="L1706">
            <v>5.2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-1.6999999999999999E-3</v>
          </cell>
          <cell r="R1706">
            <v>0</v>
          </cell>
          <cell r="S1706">
            <v>0</v>
          </cell>
          <cell r="T1706">
            <v>0</v>
          </cell>
          <cell r="U1706" t="b">
            <v>0</v>
          </cell>
        </row>
        <row r="1707">
          <cell r="A1707" t="str">
            <v>Data split-14;Reg-54</v>
          </cell>
          <cell r="B1707">
            <v>-1.3</v>
          </cell>
          <cell r="C1707">
            <v>0</v>
          </cell>
          <cell r="D1707">
            <v>0.49</v>
          </cell>
          <cell r="E1707">
            <v>0</v>
          </cell>
          <cell r="F1707">
            <v>0</v>
          </cell>
          <cell r="G1707">
            <v>0</v>
          </cell>
          <cell r="H1707">
            <v>0</v>
          </cell>
          <cell r="I1707">
            <v>0.42</v>
          </cell>
          <cell r="J1707">
            <v>0</v>
          </cell>
          <cell r="K1707">
            <v>0</v>
          </cell>
          <cell r="L1707">
            <v>5.9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2.2000000000000001E-3</v>
          </cell>
          <cell r="S1707">
            <v>0</v>
          </cell>
          <cell r="T1707">
            <v>0</v>
          </cell>
          <cell r="U1707" t="b">
            <v>0</v>
          </cell>
        </row>
        <row r="1708">
          <cell r="A1708" t="str">
            <v>Data split-14;Reg-55</v>
          </cell>
          <cell r="B1708">
            <v>-4.2</v>
          </cell>
          <cell r="C1708">
            <v>0</v>
          </cell>
          <cell r="D1708">
            <v>0.54</v>
          </cell>
          <cell r="E1708">
            <v>0</v>
          </cell>
          <cell r="F1708">
            <v>0</v>
          </cell>
          <cell r="G1708">
            <v>0</v>
          </cell>
          <cell r="H1708">
            <v>0</v>
          </cell>
          <cell r="I1708">
            <v>0</v>
          </cell>
          <cell r="J1708">
            <v>12.2</v>
          </cell>
          <cell r="K1708">
            <v>0.2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2.5000000000000001E-3</v>
          </cell>
          <cell r="R1708">
            <v>0</v>
          </cell>
          <cell r="S1708">
            <v>0</v>
          </cell>
          <cell r="T1708">
            <v>0</v>
          </cell>
          <cell r="U1708" t="b">
            <v>0</v>
          </cell>
        </row>
        <row r="1709">
          <cell r="A1709" t="str">
            <v>Data split-14;Reg-56</v>
          </cell>
          <cell r="B1709">
            <v>-3.7</v>
          </cell>
          <cell r="C1709">
            <v>0</v>
          </cell>
          <cell r="D1709">
            <v>0.43</v>
          </cell>
          <cell r="E1709">
            <v>0</v>
          </cell>
          <cell r="F1709">
            <v>0</v>
          </cell>
          <cell r="G1709">
            <v>0</v>
          </cell>
          <cell r="H1709">
            <v>0</v>
          </cell>
          <cell r="I1709">
            <v>0</v>
          </cell>
          <cell r="J1709">
            <v>12.9</v>
          </cell>
          <cell r="K1709">
            <v>-0.14000000000000001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3.3E-3</v>
          </cell>
          <cell r="S1709">
            <v>0</v>
          </cell>
          <cell r="T1709">
            <v>0</v>
          </cell>
          <cell r="U1709" t="b">
            <v>0</v>
          </cell>
        </row>
        <row r="1710">
          <cell r="A1710" t="str">
            <v>Data split-14;Reg-57</v>
          </cell>
          <cell r="B1710">
            <v>-4.4000000000000004</v>
          </cell>
          <cell r="C1710">
            <v>0</v>
          </cell>
          <cell r="D1710">
            <v>0.51</v>
          </cell>
          <cell r="E1710">
            <v>0</v>
          </cell>
          <cell r="F1710">
            <v>0</v>
          </cell>
          <cell r="G1710">
            <v>0</v>
          </cell>
          <cell r="H1710">
            <v>0</v>
          </cell>
          <cell r="I1710">
            <v>0</v>
          </cell>
          <cell r="J1710">
            <v>11.3</v>
          </cell>
          <cell r="K1710">
            <v>0</v>
          </cell>
          <cell r="L1710">
            <v>3.9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3.8999999999999998E-3</v>
          </cell>
          <cell r="R1710">
            <v>0</v>
          </cell>
          <cell r="S1710">
            <v>0</v>
          </cell>
          <cell r="T1710">
            <v>0</v>
          </cell>
          <cell r="U1710" t="b">
            <v>0</v>
          </cell>
        </row>
        <row r="1711">
          <cell r="A1711" t="str">
            <v>Data split-14;Reg-58</v>
          </cell>
          <cell r="B1711">
            <v>-3.4</v>
          </cell>
          <cell r="C1711">
            <v>0</v>
          </cell>
          <cell r="D1711">
            <v>0.42</v>
          </cell>
          <cell r="E1711">
            <v>0</v>
          </cell>
          <cell r="F1711">
            <v>0</v>
          </cell>
          <cell r="G1711">
            <v>0</v>
          </cell>
          <cell r="H1711">
            <v>0</v>
          </cell>
          <cell r="I1711">
            <v>0</v>
          </cell>
          <cell r="J1711">
            <v>10.4</v>
          </cell>
          <cell r="K1711">
            <v>0</v>
          </cell>
          <cell r="L1711">
            <v>2.2999999999999998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2.8E-3</v>
          </cell>
          <cell r="S1711">
            <v>0</v>
          </cell>
          <cell r="T1711">
            <v>0</v>
          </cell>
          <cell r="U1711" t="b">
            <v>0</v>
          </cell>
        </row>
        <row r="1712">
          <cell r="A1712" t="str">
            <v>Data split-14;Reg-59</v>
          </cell>
          <cell r="B1712">
            <v>-2.2999999999999998</v>
          </cell>
          <cell r="C1712">
            <v>0</v>
          </cell>
          <cell r="D1712">
            <v>0.69</v>
          </cell>
          <cell r="E1712">
            <v>0</v>
          </cell>
          <cell r="F1712">
            <v>0</v>
          </cell>
          <cell r="G1712">
            <v>0</v>
          </cell>
          <cell r="H1712">
            <v>0</v>
          </cell>
          <cell r="I1712">
            <v>1.2</v>
          </cell>
          <cell r="J1712">
            <v>0</v>
          </cell>
          <cell r="K1712">
            <v>-8.4000000000000005E-2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-5.3E-3</v>
          </cell>
          <cell r="T1712">
            <v>0</v>
          </cell>
          <cell r="U1712" t="b">
            <v>0</v>
          </cell>
        </row>
        <row r="1713">
          <cell r="A1713" t="str">
            <v>Data split-14;Reg-60</v>
          </cell>
          <cell r="B1713">
            <v>-1</v>
          </cell>
          <cell r="C1713">
            <v>0</v>
          </cell>
          <cell r="D1713">
            <v>0.6</v>
          </cell>
          <cell r="E1713">
            <v>0</v>
          </cell>
          <cell r="F1713">
            <v>0</v>
          </cell>
          <cell r="G1713">
            <v>0</v>
          </cell>
          <cell r="H1713">
            <v>0</v>
          </cell>
          <cell r="I1713">
            <v>0.87</v>
          </cell>
          <cell r="J1713">
            <v>0</v>
          </cell>
          <cell r="K1713">
            <v>-0.21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1.6999999999999999E-3</v>
          </cell>
          <cell r="U1713" t="b">
            <v>0</v>
          </cell>
        </row>
        <row r="1714">
          <cell r="A1714" t="str">
            <v>Data split-14;Reg-61</v>
          </cell>
          <cell r="B1714">
            <v>-2.6</v>
          </cell>
          <cell r="C1714">
            <v>0</v>
          </cell>
          <cell r="D1714">
            <v>0.62</v>
          </cell>
          <cell r="E1714">
            <v>0</v>
          </cell>
          <cell r="F1714">
            <v>0</v>
          </cell>
          <cell r="G1714">
            <v>0</v>
          </cell>
          <cell r="H1714">
            <v>0</v>
          </cell>
          <cell r="I1714">
            <v>0.87</v>
          </cell>
          <cell r="J1714">
            <v>0</v>
          </cell>
          <cell r="K1714">
            <v>0</v>
          </cell>
          <cell r="L1714">
            <v>4.8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-4.1999999999999997E-3</v>
          </cell>
          <cell r="T1714">
            <v>0</v>
          </cell>
          <cell r="U1714" t="b">
            <v>0</v>
          </cell>
        </row>
        <row r="1715">
          <cell r="A1715" t="str">
            <v>Data split-14;Reg-62</v>
          </cell>
          <cell r="B1715">
            <v>-1.4</v>
          </cell>
          <cell r="C1715">
            <v>0</v>
          </cell>
          <cell r="D1715">
            <v>0.51</v>
          </cell>
          <cell r="E1715">
            <v>0</v>
          </cell>
          <cell r="F1715">
            <v>0</v>
          </cell>
          <cell r="G1715">
            <v>0</v>
          </cell>
          <cell r="H1715">
            <v>0</v>
          </cell>
          <cell r="I1715">
            <v>0.45</v>
          </cell>
          <cell r="J1715">
            <v>0</v>
          </cell>
          <cell r="K1715">
            <v>0</v>
          </cell>
          <cell r="L1715">
            <v>5.9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1.8E-3</v>
          </cell>
          <cell r="U1715" t="b">
            <v>0</v>
          </cell>
        </row>
        <row r="1716">
          <cell r="A1716" t="str">
            <v>Data split-14;Reg-63</v>
          </cell>
          <cell r="B1716">
            <v>-4.3</v>
          </cell>
          <cell r="C1716">
            <v>0</v>
          </cell>
          <cell r="D1716">
            <v>0.55000000000000004</v>
          </cell>
          <cell r="E1716">
            <v>0</v>
          </cell>
          <cell r="F1716">
            <v>0</v>
          </cell>
          <cell r="G1716">
            <v>0</v>
          </cell>
          <cell r="H1716">
            <v>0</v>
          </cell>
          <cell r="I1716">
            <v>0</v>
          </cell>
          <cell r="J1716">
            <v>12.1</v>
          </cell>
          <cell r="K1716">
            <v>0.25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9.3999999999999997E-4</v>
          </cell>
          <cell r="T1716">
            <v>0</v>
          </cell>
          <cell r="U1716" t="b">
            <v>0</v>
          </cell>
        </row>
        <row r="1717">
          <cell r="A1717" t="str">
            <v>Data split-14;Reg-64</v>
          </cell>
          <cell r="B1717">
            <v>-3.8</v>
          </cell>
          <cell r="C1717">
            <v>0</v>
          </cell>
          <cell r="D1717">
            <v>0.45</v>
          </cell>
          <cell r="E1717">
            <v>0</v>
          </cell>
          <cell r="F1717">
            <v>0</v>
          </cell>
          <cell r="G1717">
            <v>0</v>
          </cell>
          <cell r="H1717">
            <v>0</v>
          </cell>
          <cell r="I1717">
            <v>0</v>
          </cell>
          <cell r="J1717">
            <v>13</v>
          </cell>
          <cell r="K1717">
            <v>-0.15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3.0000000000000001E-3</v>
          </cell>
          <cell r="U1717" t="b">
            <v>0</v>
          </cell>
        </row>
        <row r="1718">
          <cell r="A1718" t="str">
            <v>Data split-14;Reg-65</v>
          </cell>
          <cell r="B1718">
            <v>-4.5</v>
          </cell>
          <cell r="C1718">
            <v>0</v>
          </cell>
          <cell r="D1718">
            <v>0.52</v>
          </cell>
          <cell r="E1718">
            <v>0</v>
          </cell>
          <cell r="F1718">
            <v>0</v>
          </cell>
          <cell r="G1718">
            <v>0</v>
          </cell>
          <cell r="H1718">
            <v>0</v>
          </cell>
          <cell r="I1718">
            <v>0</v>
          </cell>
          <cell r="J1718">
            <v>11.5</v>
          </cell>
          <cell r="K1718">
            <v>0</v>
          </cell>
          <cell r="L1718">
            <v>4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2.8E-3</v>
          </cell>
          <cell r="T1718">
            <v>0</v>
          </cell>
          <cell r="U1718" t="b">
            <v>0</v>
          </cell>
        </row>
        <row r="1719">
          <cell r="A1719" t="str">
            <v>Data split-14;Reg-66</v>
          </cell>
          <cell r="B1719">
            <v>-3.5</v>
          </cell>
          <cell r="C1719">
            <v>0</v>
          </cell>
          <cell r="D1719">
            <v>0.44</v>
          </cell>
          <cell r="E1719">
            <v>0</v>
          </cell>
          <cell r="F1719">
            <v>0</v>
          </cell>
          <cell r="G1719">
            <v>0</v>
          </cell>
          <cell r="H1719">
            <v>0</v>
          </cell>
          <cell r="I1719">
            <v>0</v>
          </cell>
          <cell r="J1719">
            <v>10.4</v>
          </cell>
          <cell r="K1719">
            <v>0</v>
          </cell>
          <cell r="L1719">
            <v>2.5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2.5000000000000001E-3</v>
          </cell>
          <cell r="U1719" t="b">
            <v>0</v>
          </cell>
        </row>
        <row r="1720">
          <cell r="A1720" t="str">
            <v>Data split-14;Reg-67</v>
          </cell>
          <cell r="B1720">
            <v>0.4</v>
          </cell>
          <cell r="C1720">
            <v>0.33</v>
          </cell>
          <cell r="D1720">
            <v>0</v>
          </cell>
          <cell r="E1720">
            <v>0</v>
          </cell>
          <cell r="F1720">
            <v>0</v>
          </cell>
          <cell r="G1720">
            <v>0.65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 t="b">
            <v>0</v>
          </cell>
        </row>
        <row r="1721">
          <cell r="A1721" t="str">
            <v>Data split-14;Reg-68</v>
          </cell>
          <cell r="B1721">
            <v>-1.1000000000000001</v>
          </cell>
          <cell r="C1721">
            <v>0.23</v>
          </cell>
          <cell r="D1721">
            <v>0</v>
          </cell>
          <cell r="E1721">
            <v>0</v>
          </cell>
          <cell r="F1721">
            <v>-7.1999999999999995E-2</v>
          </cell>
          <cell r="G1721">
            <v>1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 t="b">
            <v>0</v>
          </cell>
        </row>
        <row r="1722">
          <cell r="A1722" t="str">
            <v>Data split-14;Reg-69</v>
          </cell>
          <cell r="B1722">
            <v>-3</v>
          </cell>
          <cell r="C1722">
            <v>0.21</v>
          </cell>
          <cell r="D1722">
            <v>0</v>
          </cell>
          <cell r="E1722">
            <v>0</v>
          </cell>
          <cell r="F1722">
            <v>0</v>
          </cell>
          <cell r="G1722">
            <v>0.51</v>
          </cell>
          <cell r="H1722">
            <v>0</v>
          </cell>
          <cell r="I1722">
            <v>0</v>
          </cell>
          <cell r="J1722">
            <v>10.1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 t="b">
            <v>0</v>
          </cell>
        </row>
        <row r="1723">
          <cell r="A1723" t="str">
            <v>Data split-14;Reg-70</v>
          </cell>
          <cell r="B1723">
            <v>-4.7</v>
          </cell>
          <cell r="C1723">
            <v>7.0000000000000007E-2</v>
          </cell>
          <cell r="D1723">
            <v>0</v>
          </cell>
          <cell r="E1723">
            <v>0</v>
          </cell>
          <cell r="F1723">
            <v>0</v>
          </cell>
          <cell r="G1723">
            <v>1.1000000000000001</v>
          </cell>
          <cell r="H1723">
            <v>0</v>
          </cell>
          <cell r="I1723">
            <v>0</v>
          </cell>
          <cell r="J1723">
            <v>10.3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-2.5999999999999999E-2</v>
          </cell>
          <cell r="T1723">
            <v>0</v>
          </cell>
          <cell r="U1723" t="b">
            <v>0</v>
          </cell>
        </row>
        <row r="1724">
          <cell r="A1724" t="str">
            <v>Data split-14;Reg-71</v>
          </cell>
          <cell r="B1724">
            <v>-2.6</v>
          </cell>
          <cell r="C1724">
            <v>0.47</v>
          </cell>
          <cell r="D1724">
            <v>0</v>
          </cell>
          <cell r="E1724">
            <v>0</v>
          </cell>
          <cell r="F1724">
            <v>7.0000000000000001E-3</v>
          </cell>
          <cell r="G1724">
            <v>0</v>
          </cell>
          <cell r="H1724">
            <v>1.5</v>
          </cell>
          <cell r="I1724">
            <v>0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-5.2999999999999999E-2</v>
          </cell>
          <cell r="T1724">
            <v>0</v>
          </cell>
          <cell r="U1724" t="b">
            <v>1</v>
          </cell>
        </row>
        <row r="1725">
          <cell r="A1725" t="str">
            <v>Data split-14;Reg-72</v>
          </cell>
          <cell r="B1725">
            <v>0.26</v>
          </cell>
          <cell r="C1725">
            <v>0.21</v>
          </cell>
          <cell r="D1725">
            <v>0</v>
          </cell>
          <cell r="E1725">
            <v>0.53</v>
          </cell>
          <cell r="F1725">
            <v>0</v>
          </cell>
          <cell r="G1725">
            <v>0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 t="b">
            <v>0</v>
          </cell>
        </row>
        <row r="1726">
          <cell r="A1726" t="str">
            <v>Data split-14;Reg-73</v>
          </cell>
          <cell r="B1726">
            <v>1</v>
          </cell>
          <cell r="C1726">
            <v>1</v>
          </cell>
          <cell r="D1726">
            <v>0</v>
          </cell>
          <cell r="E1726">
            <v>0</v>
          </cell>
          <cell r="F1726">
            <v>1.7999999999999999E-2</v>
          </cell>
          <cell r="G1726">
            <v>0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 t="b">
            <v>0</v>
          </cell>
        </row>
        <row r="1727">
          <cell r="A1727" t="str">
            <v>Data split-14;Reg-74</v>
          </cell>
          <cell r="B1727">
            <v>-0.13</v>
          </cell>
          <cell r="C1727">
            <v>0</v>
          </cell>
          <cell r="D1727">
            <v>0.44</v>
          </cell>
          <cell r="E1727">
            <v>0.34</v>
          </cell>
          <cell r="F1727">
            <v>0</v>
          </cell>
          <cell r="G1727">
            <v>0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 t="b">
            <v>1</v>
          </cell>
        </row>
        <row r="1728">
          <cell r="A1728" t="str">
            <v>Data split-14;Reg-75</v>
          </cell>
          <cell r="B1728">
            <v>0.19</v>
          </cell>
          <cell r="C1728">
            <v>0</v>
          </cell>
          <cell r="D1728">
            <v>0.81</v>
          </cell>
          <cell r="E1728">
            <v>0</v>
          </cell>
          <cell r="F1728">
            <v>0.03</v>
          </cell>
          <cell r="G1728">
            <v>0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 t="b">
            <v>0</v>
          </cell>
        </row>
        <row r="1729">
          <cell r="A1729" t="str">
            <v>Data split-14;Reg-76</v>
          </cell>
          <cell r="B1729">
            <v>0.4</v>
          </cell>
          <cell r="C1729">
            <v>0.33</v>
          </cell>
          <cell r="D1729">
            <v>0</v>
          </cell>
          <cell r="E1729">
            <v>0</v>
          </cell>
          <cell r="F1729">
            <v>0</v>
          </cell>
          <cell r="G1729">
            <v>0.65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 t="b">
            <v>0</v>
          </cell>
        </row>
        <row r="1730">
          <cell r="A1730" t="str">
            <v>Data split-14;Reg-77</v>
          </cell>
          <cell r="B1730">
            <v>0.73</v>
          </cell>
          <cell r="C1730">
            <v>0.49</v>
          </cell>
          <cell r="D1730">
            <v>0</v>
          </cell>
          <cell r="E1730">
            <v>0</v>
          </cell>
          <cell r="F1730">
            <v>0</v>
          </cell>
          <cell r="G1730">
            <v>0</v>
          </cell>
          <cell r="H1730">
            <v>0.57999999999999996</v>
          </cell>
          <cell r="I1730">
            <v>0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 t="b">
            <v>0</v>
          </cell>
        </row>
        <row r="1731">
          <cell r="A1731" t="str">
            <v>Data split-14;Reg-78</v>
          </cell>
          <cell r="B1731">
            <v>-0.15</v>
          </cell>
          <cell r="C1731">
            <v>0</v>
          </cell>
          <cell r="D1731">
            <v>0.45</v>
          </cell>
          <cell r="E1731">
            <v>0</v>
          </cell>
          <cell r="F1731">
            <v>0</v>
          </cell>
          <cell r="G1731">
            <v>0.49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 t="b">
            <v>1</v>
          </cell>
        </row>
        <row r="1732">
          <cell r="A1732" t="str">
            <v>Data split-14;Reg-79</v>
          </cell>
          <cell r="B1732">
            <v>0.12</v>
          </cell>
          <cell r="C1732">
            <v>0</v>
          </cell>
          <cell r="D1732">
            <v>0.54</v>
          </cell>
          <cell r="E1732">
            <v>0</v>
          </cell>
          <cell r="F1732">
            <v>0</v>
          </cell>
          <cell r="G1732">
            <v>0</v>
          </cell>
          <cell r="H1732">
            <v>0.42</v>
          </cell>
          <cell r="I1732">
            <v>0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 t="b">
            <v>0</v>
          </cell>
        </row>
        <row r="1733">
          <cell r="A1733" t="str">
            <v>Data split-14;Reg-80</v>
          </cell>
          <cell r="B1733">
            <v>-0.9</v>
          </cell>
          <cell r="C1733">
            <v>0.68</v>
          </cell>
          <cell r="D1733">
            <v>0</v>
          </cell>
          <cell r="E1733">
            <v>0</v>
          </cell>
          <cell r="F1733">
            <v>0</v>
          </cell>
          <cell r="G1733">
            <v>0</v>
          </cell>
          <cell r="H1733">
            <v>0</v>
          </cell>
          <cell r="I1733">
            <v>1.1000000000000001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 t="b">
            <v>0</v>
          </cell>
        </row>
        <row r="1734">
          <cell r="A1734" t="str">
            <v>Data split-14;Reg-81</v>
          </cell>
          <cell r="B1734">
            <v>-6.2</v>
          </cell>
          <cell r="C1734">
            <v>0.53</v>
          </cell>
          <cell r="D1734">
            <v>0</v>
          </cell>
          <cell r="E1734">
            <v>0</v>
          </cell>
          <cell r="F1734">
            <v>0</v>
          </cell>
          <cell r="G1734">
            <v>0</v>
          </cell>
          <cell r="H1734">
            <v>0</v>
          </cell>
          <cell r="I1734">
            <v>0</v>
          </cell>
          <cell r="J1734">
            <v>20.2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 t="b">
            <v>0</v>
          </cell>
        </row>
        <row r="1735">
          <cell r="A1735" t="str">
            <v>Data split-14;Reg-82</v>
          </cell>
          <cell r="B1735">
            <v>-1.5</v>
          </cell>
          <cell r="C1735">
            <v>0</v>
          </cell>
          <cell r="D1735">
            <v>0.65</v>
          </cell>
          <cell r="E1735">
            <v>0</v>
          </cell>
          <cell r="F1735">
            <v>0</v>
          </cell>
          <cell r="G1735">
            <v>0</v>
          </cell>
          <cell r="H1735">
            <v>0</v>
          </cell>
          <cell r="I1735">
            <v>0.91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 t="b">
            <v>0</v>
          </cell>
        </row>
        <row r="1736">
          <cell r="A1736" t="str">
            <v>Data split-14;Reg-83</v>
          </cell>
          <cell r="B1736">
            <v>-5.2</v>
          </cell>
          <cell r="C1736">
            <v>0</v>
          </cell>
          <cell r="D1736">
            <v>0.57999999999999996</v>
          </cell>
          <cell r="E1736">
            <v>0</v>
          </cell>
          <cell r="F1736">
            <v>0</v>
          </cell>
          <cell r="G1736">
            <v>0</v>
          </cell>
          <cell r="H1736">
            <v>0</v>
          </cell>
          <cell r="I1736">
            <v>0</v>
          </cell>
          <cell r="J1736">
            <v>14.9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 t="b">
            <v>0</v>
          </cell>
        </row>
        <row r="1737">
          <cell r="A1737" t="str">
            <v>Data split-14;Reg-84</v>
          </cell>
          <cell r="B1737">
            <v>0.57999999999999996</v>
          </cell>
          <cell r="C1737">
            <v>0.71</v>
          </cell>
          <cell r="D1737">
            <v>0</v>
          </cell>
          <cell r="E1737">
            <v>0</v>
          </cell>
          <cell r="F1737">
            <v>0</v>
          </cell>
          <cell r="G1737">
            <v>0</v>
          </cell>
          <cell r="H1737">
            <v>0</v>
          </cell>
          <cell r="I1737">
            <v>0</v>
          </cell>
          <cell r="J1737">
            <v>0</v>
          </cell>
          <cell r="K1737">
            <v>0.92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 t="b">
            <v>0</v>
          </cell>
        </row>
        <row r="1738">
          <cell r="A1738" t="str">
            <v>Data split-14;Reg-85</v>
          </cell>
          <cell r="B1738">
            <v>-2.5</v>
          </cell>
          <cell r="C1738">
            <v>0.5</v>
          </cell>
          <cell r="D1738">
            <v>0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18.7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 t="b">
            <v>0</v>
          </cell>
        </row>
        <row r="1739">
          <cell r="A1739" t="str">
            <v>Data split-14;Reg-86</v>
          </cell>
          <cell r="B1739">
            <v>-0.38</v>
          </cell>
          <cell r="C1739">
            <v>0</v>
          </cell>
          <cell r="D1739">
            <v>0.67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0</v>
          </cell>
          <cell r="J1739">
            <v>0</v>
          </cell>
          <cell r="K1739">
            <v>0.78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 t="b">
            <v>0</v>
          </cell>
        </row>
        <row r="1740">
          <cell r="A1740" t="str">
            <v>Data split-14;Reg-87</v>
          </cell>
          <cell r="B1740">
            <v>-2.2999999999999998</v>
          </cell>
          <cell r="C1740">
            <v>0</v>
          </cell>
          <cell r="D1740">
            <v>0.61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12.5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 t="b">
            <v>0</v>
          </cell>
        </row>
        <row r="1741">
          <cell r="A1741" t="str">
            <v>Data split-14;Reg-88</v>
          </cell>
          <cell r="B1741">
            <v>1.5</v>
          </cell>
          <cell r="C1741">
            <v>0.77</v>
          </cell>
          <cell r="D1741">
            <v>0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0</v>
          </cell>
          <cell r="M1741">
            <v>1.6E-2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 t="b">
            <v>0</v>
          </cell>
        </row>
        <row r="1742">
          <cell r="A1742" t="str">
            <v>Data split-14;Reg-89</v>
          </cell>
          <cell r="B1742">
            <v>1.6</v>
          </cell>
          <cell r="C1742">
            <v>0.61</v>
          </cell>
          <cell r="D1742">
            <v>0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5.3E-3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 t="b">
            <v>0</v>
          </cell>
        </row>
        <row r="1743">
          <cell r="A1743" t="str">
            <v>Data split-14;Reg-90</v>
          </cell>
          <cell r="B1743">
            <v>0.22</v>
          </cell>
          <cell r="C1743">
            <v>0</v>
          </cell>
          <cell r="D1743">
            <v>0.78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7.4000000000000003E-3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 t="b">
            <v>0</v>
          </cell>
        </row>
        <row r="1744">
          <cell r="A1744" t="str">
            <v>Data split-14;Reg-91</v>
          </cell>
          <cell r="B1744">
            <v>0.51</v>
          </cell>
          <cell r="C1744">
            <v>0</v>
          </cell>
          <cell r="D1744">
            <v>0.65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3.3E-3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 t="b">
            <v>0</v>
          </cell>
        </row>
        <row r="1745">
          <cell r="A1745" t="str">
            <v>Data split-14;Reg-92</v>
          </cell>
          <cell r="B1745">
            <v>0.61</v>
          </cell>
          <cell r="C1745">
            <v>1.1000000000000001</v>
          </cell>
          <cell r="D1745">
            <v>0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-1.6999999999999999E-3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 t="b">
            <v>0</v>
          </cell>
        </row>
        <row r="1746">
          <cell r="A1746" t="str">
            <v>Data split-14;Reg-93</v>
          </cell>
          <cell r="B1746">
            <v>0.67</v>
          </cell>
          <cell r="C1746">
            <v>1.1000000000000001</v>
          </cell>
          <cell r="D1746">
            <v>0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-1.3999999999999999E-4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 t="b">
            <v>0</v>
          </cell>
        </row>
        <row r="1747">
          <cell r="A1747" t="str">
            <v>Data split-14;Reg-94</v>
          </cell>
          <cell r="B1747">
            <v>-0.06</v>
          </cell>
          <cell r="C1747">
            <v>0</v>
          </cell>
          <cell r="D1747">
            <v>0.85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7.1999999999999998E-3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 t="b">
            <v>0</v>
          </cell>
        </row>
        <row r="1748">
          <cell r="A1748" t="str">
            <v>Data split-14;Reg-95</v>
          </cell>
          <cell r="B1748">
            <v>-3.2000000000000001E-2</v>
          </cell>
          <cell r="C1748">
            <v>0</v>
          </cell>
          <cell r="D1748">
            <v>0.83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2.2000000000000001E-3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 t="b">
            <v>0</v>
          </cell>
        </row>
        <row r="1749">
          <cell r="A1749" t="str">
            <v>Data split-14;Reg-96</v>
          </cell>
          <cell r="B1749">
            <v>-0.28999999999999998</v>
          </cell>
          <cell r="C1749">
            <v>0.19</v>
          </cell>
          <cell r="D1749">
            <v>0</v>
          </cell>
          <cell r="E1749">
            <v>0.45</v>
          </cell>
          <cell r="F1749">
            <v>0</v>
          </cell>
          <cell r="G1749">
            <v>0</v>
          </cell>
          <cell r="H1749">
            <v>0</v>
          </cell>
          <cell r="I1749">
            <v>0.43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 t="b">
            <v>0</v>
          </cell>
        </row>
        <row r="1750">
          <cell r="A1750" t="str">
            <v>Data split-14;Reg-97</v>
          </cell>
          <cell r="B1750">
            <v>-3.9</v>
          </cell>
          <cell r="C1750">
            <v>0.11</v>
          </cell>
          <cell r="D1750">
            <v>0</v>
          </cell>
          <cell r="E1750">
            <v>0.39</v>
          </cell>
          <cell r="F1750">
            <v>0</v>
          </cell>
          <cell r="G1750">
            <v>0</v>
          </cell>
          <cell r="H1750">
            <v>0</v>
          </cell>
          <cell r="I1750">
            <v>0</v>
          </cell>
          <cell r="J1750">
            <v>12.4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 t="b">
            <v>0</v>
          </cell>
        </row>
        <row r="1751">
          <cell r="A1751" t="str">
            <v>Data split-14;Reg-98</v>
          </cell>
          <cell r="B1751">
            <v>-5.5</v>
          </cell>
          <cell r="C1751">
            <v>0.51</v>
          </cell>
          <cell r="D1751">
            <v>0</v>
          </cell>
          <cell r="E1751">
            <v>0</v>
          </cell>
          <cell r="F1751">
            <v>-0.11</v>
          </cell>
          <cell r="G1751">
            <v>0</v>
          </cell>
          <cell r="H1751">
            <v>0</v>
          </cell>
          <cell r="I1751">
            <v>2.9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 t="b">
            <v>0</v>
          </cell>
        </row>
        <row r="1752">
          <cell r="A1752" t="str">
            <v>Data split-14;Reg-99</v>
          </cell>
          <cell r="B1752">
            <v>-7.4</v>
          </cell>
          <cell r="C1752">
            <v>0.54</v>
          </cell>
          <cell r="D1752">
            <v>0</v>
          </cell>
          <cell r="E1752">
            <v>0</v>
          </cell>
          <cell r="F1752">
            <v>-1.7999999999999999E-2</v>
          </cell>
          <cell r="G1752">
            <v>0</v>
          </cell>
          <cell r="H1752">
            <v>0</v>
          </cell>
          <cell r="I1752">
            <v>0</v>
          </cell>
          <cell r="J1752">
            <v>22.5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 t="b">
            <v>0</v>
          </cell>
        </row>
        <row r="1753">
          <cell r="A1753" t="str">
            <v>Data split-14;Reg-100</v>
          </cell>
          <cell r="B1753">
            <v>-1.5</v>
          </cell>
          <cell r="C1753">
            <v>0</v>
          </cell>
          <cell r="D1753">
            <v>0.63</v>
          </cell>
          <cell r="E1753">
            <v>1.6E-2</v>
          </cell>
          <cell r="F1753">
            <v>0</v>
          </cell>
          <cell r="G1753">
            <v>0</v>
          </cell>
          <cell r="H1753">
            <v>0</v>
          </cell>
          <cell r="I1753">
            <v>0.89</v>
          </cell>
          <cell r="J1753">
            <v>0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 t="b">
            <v>0</v>
          </cell>
        </row>
        <row r="1754">
          <cell r="A1754" t="str">
            <v>Data split-14;Reg-101</v>
          </cell>
          <cell r="B1754">
            <v>-4.5</v>
          </cell>
          <cell r="C1754">
            <v>0</v>
          </cell>
          <cell r="D1754">
            <v>0.43</v>
          </cell>
          <cell r="E1754">
            <v>0.14000000000000001</v>
          </cell>
          <cell r="F1754">
            <v>0</v>
          </cell>
          <cell r="G1754">
            <v>0</v>
          </cell>
          <cell r="H1754">
            <v>0</v>
          </cell>
          <cell r="I1754">
            <v>0</v>
          </cell>
          <cell r="J1754">
            <v>12.8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 t="b">
            <v>0</v>
          </cell>
        </row>
        <row r="1755">
          <cell r="A1755" t="str">
            <v>Data split-14;Reg-102</v>
          </cell>
          <cell r="B1755">
            <v>-4.0999999999999996</v>
          </cell>
          <cell r="C1755">
            <v>0</v>
          </cell>
          <cell r="D1755">
            <v>0.54</v>
          </cell>
          <cell r="E1755">
            <v>0</v>
          </cell>
          <cell r="F1755">
            <v>-6.4000000000000001E-2</v>
          </cell>
          <cell r="G1755">
            <v>0</v>
          </cell>
          <cell r="H1755">
            <v>0</v>
          </cell>
          <cell r="I1755">
            <v>2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 t="b">
            <v>0</v>
          </cell>
        </row>
        <row r="1756">
          <cell r="A1756" t="str">
            <v>Data split-14;Reg-103</v>
          </cell>
          <cell r="B1756">
            <v>-5.0999999999999996</v>
          </cell>
          <cell r="C1756">
            <v>0</v>
          </cell>
          <cell r="D1756">
            <v>0.57999999999999996</v>
          </cell>
          <cell r="E1756">
            <v>0</v>
          </cell>
          <cell r="F1756">
            <v>2.0999999999999999E-3</v>
          </cell>
          <cell r="G1756">
            <v>0</v>
          </cell>
          <cell r="H1756">
            <v>0</v>
          </cell>
          <cell r="I1756">
            <v>0</v>
          </cell>
          <cell r="J1756">
            <v>14.5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 t="b">
            <v>0</v>
          </cell>
        </row>
        <row r="1757">
          <cell r="A1757" t="str">
            <v>Data split-14;Reg-104</v>
          </cell>
          <cell r="B1757">
            <v>0.26</v>
          </cell>
          <cell r="C1757">
            <v>0.18</v>
          </cell>
          <cell r="D1757">
            <v>0</v>
          </cell>
          <cell r="E1757">
            <v>0.5</v>
          </cell>
          <cell r="F1757">
            <v>0</v>
          </cell>
          <cell r="G1757">
            <v>0</v>
          </cell>
          <cell r="H1757">
            <v>0</v>
          </cell>
          <cell r="I1757">
            <v>0</v>
          </cell>
          <cell r="J1757">
            <v>0</v>
          </cell>
          <cell r="K1757">
            <v>0.2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 t="b">
            <v>0</v>
          </cell>
        </row>
        <row r="1758">
          <cell r="A1758" t="str">
            <v>Data split-14;Reg-105</v>
          </cell>
          <cell r="B1758">
            <v>-1.5</v>
          </cell>
          <cell r="C1758">
            <v>1.4999999999999999E-2</v>
          </cell>
          <cell r="D1758">
            <v>0</v>
          </cell>
          <cell r="E1758">
            <v>0.45</v>
          </cell>
          <cell r="F1758">
            <v>0</v>
          </cell>
          <cell r="G1758">
            <v>0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10.6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 t="b">
            <v>0</v>
          </cell>
        </row>
        <row r="1759">
          <cell r="A1759" t="str">
            <v>Data split-14;Reg-106</v>
          </cell>
          <cell r="B1759">
            <v>-0.34</v>
          </cell>
          <cell r="C1759">
            <v>0.61</v>
          </cell>
          <cell r="D1759">
            <v>0</v>
          </cell>
          <cell r="E1759">
            <v>0</v>
          </cell>
          <cell r="F1759">
            <v>-4.3999999999999997E-2</v>
          </cell>
          <cell r="G1759">
            <v>0</v>
          </cell>
          <cell r="H1759">
            <v>0</v>
          </cell>
          <cell r="I1759">
            <v>0</v>
          </cell>
          <cell r="J1759">
            <v>0</v>
          </cell>
          <cell r="K1759">
            <v>1.7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 t="b">
            <v>0</v>
          </cell>
        </row>
        <row r="1760">
          <cell r="A1760" t="str">
            <v>Data split-14;Reg-107</v>
          </cell>
          <cell r="B1760">
            <v>-2.5</v>
          </cell>
          <cell r="C1760">
            <v>0.5</v>
          </cell>
          <cell r="D1760">
            <v>0</v>
          </cell>
          <cell r="E1760">
            <v>0</v>
          </cell>
          <cell r="F1760">
            <v>3.6999999999999998E-5</v>
          </cell>
          <cell r="G1760">
            <v>0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18.7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 t="b">
            <v>0</v>
          </cell>
        </row>
        <row r="1761">
          <cell r="A1761" t="str">
            <v>Data split-14;Reg-108</v>
          </cell>
          <cell r="B1761">
            <v>-0.28999999999999998</v>
          </cell>
          <cell r="C1761">
            <v>0</v>
          </cell>
          <cell r="D1761">
            <v>0.55000000000000004</v>
          </cell>
          <cell r="E1761">
            <v>0.13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0</v>
          </cell>
          <cell r="K1761">
            <v>0.6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 t="b">
            <v>0</v>
          </cell>
        </row>
        <row r="1762">
          <cell r="A1762" t="str">
            <v>Data split-14;Reg-109</v>
          </cell>
          <cell r="B1762">
            <v>-1.7</v>
          </cell>
          <cell r="C1762">
            <v>0</v>
          </cell>
          <cell r="D1762">
            <v>0.4</v>
          </cell>
          <cell r="E1762">
            <v>0.2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9.6999999999999993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 t="b">
            <v>0</v>
          </cell>
        </row>
        <row r="1763">
          <cell r="A1763" t="str">
            <v>Data split-14;Reg-110</v>
          </cell>
          <cell r="B1763">
            <v>-0.6</v>
          </cell>
          <cell r="C1763">
            <v>0</v>
          </cell>
          <cell r="D1763">
            <v>0.65</v>
          </cell>
          <cell r="E1763">
            <v>0</v>
          </cell>
          <cell r="F1763">
            <v>-1.2E-2</v>
          </cell>
          <cell r="G1763">
            <v>0</v>
          </cell>
          <cell r="H1763">
            <v>0</v>
          </cell>
          <cell r="I1763">
            <v>0</v>
          </cell>
          <cell r="J1763">
            <v>0</v>
          </cell>
          <cell r="K1763">
            <v>0.97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 t="b">
            <v>0</v>
          </cell>
        </row>
        <row r="1764">
          <cell r="A1764" t="str">
            <v>Data split-14;Reg-111</v>
          </cell>
          <cell r="B1764">
            <v>-1.7</v>
          </cell>
          <cell r="C1764">
            <v>0</v>
          </cell>
          <cell r="D1764">
            <v>0.62</v>
          </cell>
          <cell r="E1764">
            <v>0</v>
          </cell>
          <cell r="F1764">
            <v>1.2999999999999999E-2</v>
          </cell>
          <cell r="G1764">
            <v>0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10.4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 t="b">
            <v>0</v>
          </cell>
        </row>
        <row r="1765">
          <cell r="A1765" t="str">
            <v>Data split-14;Reg-112</v>
          </cell>
          <cell r="B1765">
            <v>0.64</v>
          </cell>
          <cell r="C1765">
            <v>0.33</v>
          </cell>
          <cell r="D1765">
            <v>0</v>
          </cell>
          <cell r="E1765">
            <v>0</v>
          </cell>
          <cell r="F1765">
            <v>0</v>
          </cell>
          <cell r="G1765">
            <v>0.69</v>
          </cell>
          <cell r="H1765">
            <v>0</v>
          </cell>
          <cell r="I1765">
            <v>-0.18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 t="b">
            <v>0</v>
          </cell>
        </row>
        <row r="1766">
          <cell r="A1766" t="str">
            <v>Data split-14;Reg-113</v>
          </cell>
          <cell r="B1766">
            <v>-3</v>
          </cell>
          <cell r="C1766">
            <v>0.21</v>
          </cell>
          <cell r="D1766">
            <v>0</v>
          </cell>
          <cell r="E1766">
            <v>0</v>
          </cell>
          <cell r="F1766">
            <v>0</v>
          </cell>
          <cell r="G1766">
            <v>0.51</v>
          </cell>
          <cell r="H1766">
            <v>0</v>
          </cell>
          <cell r="I1766">
            <v>0</v>
          </cell>
          <cell r="J1766">
            <v>10.1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 t="b">
            <v>0</v>
          </cell>
        </row>
        <row r="1767">
          <cell r="A1767" t="str">
            <v>Data split-14;Reg-114</v>
          </cell>
          <cell r="B1767">
            <v>0.75</v>
          </cell>
          <cell r="C1767">
            <v>0.49</v>
          </cell>
          <cell r="D1767">
            <v>0</v>
          </cell>
          <cell r="E1767">
            <v>0</v>
          </cell>
          <cell r="F1767">
            <v>0</v>
          </cell>
          <cell r="G1767">
            <v>0</v>
          </cell>
          <cell r="H1767">
            <v>0.57999999999999996</v>
          </cell>
          <cell r="I1767">
            <v>-1.7000000000000001E-2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 t="b">
            <v>0</v>
          </cell>
        </row>
        <row r="1768">
          <cell r="A1768" t="str">
            <v>Data split-14;Reg-115</v>
          </cell>
          <cell r="B1768">
            <v>-3.1</v>
          </cell>
          <cell r="C1768">
            <v>0.32</v>
          </cell>
          <cell r="D1768">
            <v>0</v>
          </cell>
          <cell r="E1768">
            <v>0</v>
          </cell>
          <cell r="F1768">
            <v>0</v>
          </cell>
          <cell r="G1768">
            <v>0</v>
          </cell>
          <cell r="H1768">
            <v>0.44</v>
          </cell>
          <cell r="I1768">
            <v>0</v>
          </cell>
          <cell r="J1768">
            <v>11.1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 t="b">
            <v>0</v>
          </cell>
        </row>
        <row r="1769">
          <cell r="A1769" t="str">
            <v>Data split-14;Reg-116</v>
          </cell>
          <cell r="B1769">
            <v>-0.38</v>
          </cell>
          <cell r="C1769">
            <v>0</v>
          </cell>
          <cell r="D1769">
            <v>0.45</v>
          </cell>
          <cell r="E1769">
            <v>0</v>
          </cell>
          <cell r="F1769">
            <v>0</v>
          </cell>
          <cell r="G1769">
            <v>0.43</v>
          </cell>
          <cell r="H1769">
            <v>0</v>
          </cell>
          <cell r="I1769">
            <v>0.16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 t="b">
            <v>0</v>
          </cell>
        </row>
        <row r="1770">
          <cell r="A1770" t="str">
            <v>Data split-14;Reg-117</v>
          </cell>
          <cell r="B1770">
            <v>-2.8</v>
          </cell>
          <cell r="C1770">
            <v>0</v>
          </cell>
          <cell r="D1770">
            <v>0.38</v>
          </cell>
          <cell r="E1770">
            <v>0</v>
          </cell>
          <cell r="F1770">
            <v>0</v>
          </cell>
          <cell r="G1770">
            <v>0.37</v>
          </cell>
          <cell r="H1770">
            <v>0</v>
          </cell>
          <cell r="I1770">
            <v>0</v>
          </cell>
          <cell r="J1770">
            <v>8.1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 t="b">
            <v>0</v>
          </cell>
        </row>
        <row r="1771">
          <cell r="A1771" t="str">
            <v>Data split-14;Reg-118</v>
          </cell>
          <cell r="B1771">
            <v>-0.74</v>
          </cell>
          <cell r="C1771">
            <v>0</v>
          </cell>
          <cell r="D1771">
            <v>0.54</v>
          </cell>
          <cell r="E1771">
            <v>0</v>
          </cell>
          <cell r="F1771">
            <v>0</v>
          </cell>
          <cell r="G1771">
            <v>0</v>
          </cell>
          <cell r="H1771">
            <v>0.25</v>
          </cell>
          <cell r="I1771">
            <v>0.51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 t="b">
            <v>0</v>
          </cell>
        </row>
        <row r="1772">
          <cell r="A1772" t="str">
            <v>Data split-14;Reg-119</v>
          </cell>
          <cell r="B1772">
            <v>-3.5</v>
          </cell>
          <cell r="C1772">
            <v>0</v>
          </cell>
          <cell r="D1772">
            <v>0.43</v>
          </cell>
          <cell r="E1772">
            <v>0</v>
          </cell>
          <cell r="F1772">
            <v>0</v>
          </cell>
          <cell r="G1772">
            <v>0</v>
          </cell>
          <cell r="H1772">
            <v>0.28999999999999998</v>
          </cell>
          <cell r="I1772">
            <v>0</v>
          </cell>
          <cell r="J1772">
            <v>10.5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 t="b">
            <v>0</v>
          </cell>
        </row>
        <row r="1773">
          <cell r="A1773" t="str">
            <v>Data split-14;Reg-120</v>
          </cell>
          <cell r="B1773">
            <v>0.42</v>
          </cell>
          <cell r="C1773">
            <v>0.43</v>
          </cell>
          <cell r="D1773">
            <v>0</v>
          </cell>
          <cell r="E1773">
            <v>0</v>
          </cell>
          <cell r="F1773">
            <v>0</v>
          </cell>
          <cell r="G1773">
            <v>0.9</v>
          </cell>
          <cell r="H1773">
            <v>0</v>
          </cell>
          <cell r="I1773">
            <v>0</v>
          </cell>
          <cell r="J1773">
            <v>0</v>
          </cell>
          <cell r="K1773">
            <v>-0.99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 t="b">
            <v>0</v>
          </cell>
        </row>
        <row r="1774">
          <cell r="A1774" t="str">
            <v>Data split-14;Reg-121</v>
          </cell>
          <cell r="B1774">
            <v>-0.1</v>
          </cell>
          <cell r="C1774">
            <v>0.28000000000000003</v>
          </cell>
          <cell r="D1774">
            <v>0</v>
          </cell>
          <cell r="E1774">
            <v>0</v>
          </cell>
          <cell r="F1774">
            <v>0</v>
          </cell>
          <cell r="G1774">
            <v>0.61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3.1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 t="b">
            <v>0</v>
          </cell>
        </row>
        <row r="1775">
          <cell r="A1775" t="str">
            <v>Data split-14;Reg-122</v>
          </cell>
          <cell r="B1775">
            <v>0.79</v>
          </cell>
          <cell r="C1775">
            <v>0.56999999999999995</v>
          </cell>
          <cell r="D1775">
            <v>0</v>
          </cell>
          <cell r="E1775">
            <v>0</v>
          </cell>
          <cell r="F1775">
            <v>0</v>
          </cell>
          <cell r="G1775">
            <v>0</v>
          </cell>
          <cell r="H1775">
            <v>0.68</v>
          </cell>
          <cell r="I1775">
            <v>0</v>
          </cell>
          <cell r="J1775">
            <v>0</v>
          </cell>
          <cell r="K1775">
            <v>-0.47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 t="b">
            <v>0</v>
          </cell>
        </row>
        <row r="1776">
          <cell r="A1776" t="str">
            <v>Data split-14;Reg-123</v>
          </cell>
          <cell r="B1776">
            <v>-0.49</v>
          </cell>
          <cell r="C1776">
            <v>0.34</v>
          </cell>
          <cell r="D1776">
            <v>0</v>
          </cell>
          <cell r="E1776">
            <v>0</v>
          </cell>
          <cell r="F1776">
            <v>0</v>
          </cell>
          <cell r="G1776">
            <v>0</v>
          </cell>
          <cell r="H1776">
            <v>0.51</v>
          </cell>
          <cell r="I1776">
            <v>0</v>
          </cell>
          <cell r="J1776">
            <v>0</v>
          </cell>
          <cell r="K1776">
            <v>0</v>
          </cell>
          <cell r="L1776">
            <v>7.2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 t="b">
            <v>0</v>
          </cell>
        </row>
        <row r="1777">
          <cell r="A1777" t="str">
            <v>Data split-14;Reg-124</v>
          </cell>
          <cell r="B1777">
            <v>-7.4999999999999997E-2</v>
          </cell>
          <cell r="C1777">
            <v>0</v>
          </cell>
          <cell r="D1777">
            <v>0.43</v>
          </cell>
          <cell r="E1777">
            <v>0</v>
          </cell>
          <cell r="F1777">
            <v>0</v>
          </cell>
          <cell r="G1777">
            <v>0.62</v>
          </cell>
          <cell r="H1777">
            <v>0</v>
          </cell>
          <cell r="I1777">
            <v>0</v>
          </cell>
          <cell r="J1777">
            <v>0</v>
          </cell>
          <cell r="K1777">
            <v>-0.38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 t="b">
            <v>1</v>
          </cell>
        </row>
        <row r="1778">
          <cell r="A1778" t="str">
            <v>Data split-14;Reg-125</v>
          </cell>
          <cell r="B1778">
            <v>-0.59</v>
          </cell>
          <cell r="C1778">
            <v>0</v>
          </cell>
          <cell r="D1778">
            <v>0.42</v>
          </cell>
          <cell r="E1778">
            <v>0</v>
          </cell>
          <cell r="F1778">
            <v>0</v>
          </cell>
          <cell r="G1778">
            <v>0.44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2.7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 t="b">
            <v>0</v>
          </cell>
        </row>
        <row r="1779">
          <cell r="A1779" t="str">
            <v>Data split-14;Reg-126</v>
          </cell>
          <cell r="B1779">
            <v>0.02</v>
          </cell>
          <cell r="C1779">
            <v>0</v>
          </cell>
          <cell r="D1779">
            <v>0.53</v>
          </cell>
          <cell r="E1779">
            <v>0</v>
          </cell>
          <cell r="F1779">
            <v>0</v>
          </cell>
          <cell r="G1779">
            <v>0</v>
          </cell>
          <cell r="H1779">
            <v>0.35</v>
          </cell>
          <cell r="I1779">
            <v>0</v>
          </cell>
          <cell r="J1779">
            <v>0</v>
          </cell>
          <cell r="K1779">
            <v>0.24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 t="b">
            <v>0</v>
          </cell>
        </row>
        <row r="1780">
          <cell r="A1780" t="str">
            <v>Data split-14;Reg-127</v>
          </cell>
          <cell r="B1780">
            <v>-1.2</v>
          </cell>
          <cell r="C1780">
            <v>0</v>
          </cell>
          <cell r="D1780">
            <v>0.44</v>
          </cell>
          <cell r="E1780">
            <v>0</v>
          </cell>
          <cell r="F1780">
            <v>0</v>
          </cell>
          <cell r="G1780">
            <v>0</v>
          </cell>
          <cell r="H1780">
            <v>0.33</v>
          </cell>
          <cell r="I1780">
            <v>0</v>
          </cell>
          <cell r="J1780">
            <v>0</v>
          </cell>
          <cell r="K1780">
            <v>0</v>
          </cell>
          <cell r="L1780">
            <v>7.4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 t="b">
            <v>0</v>
          </cell>
        </row>
        <row r="1781">
          <cell r="A1781" t="str">
            <v>Data split-15;Reg-1</v>
          </cell>
          <cell r="B1781">
            <v>0.11</v>
          </cell>
          <cell r="C1781">
            <v>0.51</v>
          </cell>
          <cell r="D1781">
            <v>0</v>
          </cell>
          <cell r="E1781">
            <v>0</v>
          </cell>
          <cell r="F1781">
            <v>0</v>
          </cell>
          <cell r="G1781">
            <v>0</v>
          </cell>
          <cell r="H1781">
            <v>0.72</v>
          </cell>
          <cell r="I1781">
            <v>0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-1.6E-2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 t="b">
            <v>0</v>
          </cell>
        </row>
        <row r="1782">
          <cell r="A1782" t="str">
            <v>Data split-15;Reg-2</v>
          </cell>
          <cell r="B1782">
            <v>-1.6</v>
          </cell>
          <cell r="C1782">
            <v>0.11</v>
          </cell>
          <cell r="D1782">
            <v>0</v>
          </cell>
          <cell r="E1782">
            <v>0</v>
          </cell>
          <cell r="F1782">
            <v>-4.5999999999999999E-2</v>
          </cell>
          <cell r="G1782">
            <v>1.4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-5.7999999999999996E-3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 t="b">
            <v>0</v>
          </cell>
        </row>
        <row r="1783">
          <cell r="A1783" t="str">
            <v>Data split-15;Reg-3</v>
          </cell>
          <cell r="B1783">
            <v>-2.5</v>
          </cell>
          <cell r="C1783">
            <v>0.24</v>
          </cell>
          <cell r="D1783">
            <v>0</v>
          </cell>
          <cell r="E1783">
            <v>0</v>
          </cell>
          <cell r="F1783">
            <v>1.2E-2</v>
          </cell>
          <cell r="G1783">
            <v>0</v>
          </cell>
          <cell r="H1783">
            <v>2.1</v>
          </cell>
          <cell r="I1783">
            <v>0</v>
          </cell>
          <cell r="J1783">
            <v>0</v>
          </cell>
          <cell r="K1783">
            <v>0</v>
          </cell>
          <cell r="L1783">
            <v>0</v>
          </cell>
          <cell r="M1783">
            <v>-7.1999999999999995E-2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 t="b">
            <v>1</v>
          </cell>
        </row>
        <row r="1784">
          <cell r="A1784" t="str">
            <v>Data split-15;Reg-4</v>
          </cell>
          <cell r="B1784">
            <v>-3.9</v>
          </cell>
          <cell r="C1784">
            <v>0.33</v>
          </cell>
          <cell r="D1784">
            <v>0</v>
          </cell>
          <cell r="E1784">
            <v>0</v>
          </cell>
          <cell r="F1784">
            <v>5.3E-3</v>
          </cell>
          <cell r="G1784">
            <v>0</v>
          </cell>
          <cell r="H1784">
            <v>3.5</v>
          </cell>
          <cell r="I1784">
            <v>0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-3.2000000000000001E-2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 t="b">
            <v>1</v>
          </cell>
        </row>
        <row r="1785">
          <cell r="A1785" t="str">
            <v>Data split-15;Reg-5</v>
          </cell>
          <cell r="B1785">
            <v>-1.8</v>
          </cell>
          <cell r="C1785">
            <v>0</v>
          </cell>
          <cell r="D1785">
            <v>0.21</v>
          </cell>
          <cell r="E1785">
            <v>0</v>
          </cell>
          <cell r="F1785">
            <v>-3.1E-2</v>
          </cell>
          <cell r="G1785">
            <v>1.3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0</v>
          </cell>
          <cell r="M1785">
            <v>0</v>
          </cell>
          <cell r="N1785">
            <v>-7.0000000000000001E-3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 t="b">
            <v>0</v>
          </cell>
        </row>
        <row r="1786">
          <cell r="A1786" t="str">
            <v>Data split-15;Reg-6</v>
          </cell>
          <cell r="B1786">
            <v>-4.2</v>
          </cell>
          <cell r="C1786">
            <v>0</v>
          </cell>
          <cell r="D1786">
            <v>0.36</v>
          </cell>
          <cell r="E1786">
            <v>0</v>
          </cell>
          <cell r="F1786">
            <v>3.1E-2</v>
          </cell>
          <cell r="G1786">
            <v>0</v>
          </cell>
          <cell r="H1786">
            <v>3.5</v>
          </cell>
          <cell r="I1786">
            <v>0</v>
          </cell>
          <cell r="J1786">
            <v>0</v>
          </cell>
          <cell r="K1786">
            <v>0</v>
          </cell>
          <cell r="L1786">
            <v>0</v>
          </cell>
          <cell r="M1786">
            <v>0</v>
          </cell>
          <cell r="N1786">
            <v>-3.5000000000000003E-2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 t="b">
            <v>1</v>
          </cell>
        </row>
        <row r="1787">
          <cell r="A1787" t="str">
            <v>Data split-15;Reg-7</v>
          </cell>
          <cell r="B1787">
            <v>-1.2</v>
          </cell>
          <cell r="C1787">
            <v>0.45</v>
          </cell>
          <cell r="D1787">
            <v>0</v>
          </cell>
          <cell r="E1787">
            <v>0</v>
          </cell>
          <cell r="F1787">
            <v>0</v>
          </cell>
          <cell r="G1787">
            <v>0</v>
          </cell>
          <cell r="H1787">
            <v>0.6</v>
          </cell>
          <cell r="I1787">
            <v>0.72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-2.3E-2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 t="b">
            <v>0</v>
          </cell>
        </row>
        <row r="1788">
          <cell r="A1788" t="str">
            <v>Data split-15;Reg-8</v>
          </cell>
          <cell r="B1788">
            <v>-0.36</v>
          </cell>
          <cell r="C1788">
            <v>0.52</v>
          </cell>
          <cell r="D1788">
            <v>0</v>
          </cell>
          <cell r="E1788">
            <v>0</v>
          </cell>
          <cell r="F1788">
            <v>0</v>
          </cell>
          <cell r="G1788">
            <v>0</v>
          </cell>
          <cell r="H1788">
            <v>0.61</v>
          </cell>
          <cell r="I1788">
            <v>0.36</v>
          </cell>
          <cell r="J1788">
            <v>0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-4.1000000000000003E-3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 t="b">
            <v>0</v>
          </cell>
        </row>
        <row r="1789">
          <cell r="A1789" t="str">
            <v>Data split-15;Reg-9</v>
          </cell>
          <cell r="B1789">
            <v>0.16</v>
          </cell>
          <cell r="C1789">
            <v>0.13</v>
          </cell>
          <cell r="D1789">
            <v>0</v>
          </cell>
          <cell r="E1789">
            <v>0</v>
          </cell>
          <cell r="F1789">
            <v>0</v>
          </cell>
          <cell r="G1789">
            <v>1.3</v>
          </cell>
          <cell r="H1789">
            <v>0</v>
          </cell>
          <cell r="I1789">
            <v>-0.46</v>
          </cell>
          <cell r="J1789">
            <v>0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-5.1999999999999998E-3</v>
          </cell>
          <cell r="S1789">
            <v>0</v>
          </cell>
          <cell r="T1789">
            <v>0</v>
          </cell>
          <cell r="U1789" t="b">
            <v>0</v>
          </cell>
        </row>
        <row r="1790">
          <cell r="A1790" t="str">
            <v>Data split-15;Reg-10</v>
          </cell>
          <cell r="B1790">
            <v>0.16</v>
          </cell>
          <cell r="C1790">
            <v>0.59</v>
          </cell>
          <cell r="D1790">
            <v>0</v>
          </cell>
          <cell r="E1790">
            <v>0</v>
          </cell>
          <cell r="F1790">
            <v>0</v>
          </cell>
          <cell r="G1790">
            <v>0</v>
          </cell>
          <cell r="H1790">
            <v>0.76</v>
          </cell>
          <cell r="I1790">
            <v>0</v>
          </cell>
          <cell r="J1790">
            <v>0</v>
          </cell>
          <cell r="K1790">
            <v>-0.35</v>
          </cell>
          <cell r="L1790">
            <v>0</v>
          </cell>
          <cell r="M1790">
            <v>0</v>
          </cell>
          <cell r="N1790">
            <v>0</v>
          </cell>
          <cell r="O1790">
            <v>-1.2999999999999999E-2</v>
          </cell>
          <cell r="P1790">
            <v>0</v>
          </cell>
          <cell r="Q1790">
            <v>0</v>
          </cell>
          <cell r="R1790">
            <v>0</v>
          </cell>
          <cell r="S1790">
            <v>0</v>
          </cell>
          <cell r="T1790">
            <v>0</v>
          </cell>
          <cell r="U1790" t="b">
            <v>0</v>
          </cell>
        </row>
        <row r="1791">
          <cell r="A1791" t="str">
            <v>Data split-15;Reg-11</v>
          </cell>
          <cell r="B1791">
            <v>-0.85</v>
          </cell>
          <cell r="C1791">
            <v>0.92</v>
          </cell>
          <cell r="D1791">
            <v>0</v>
          </cell>
          <cell r="E1791">
            <v>0</v>
          </cell>
          <cell r="F1791">
            <v>0</v>
          </cell>
          <cell r="G1791">
            <v>0</v>
          </cell>
          <cell r="H1791">
            <v>0</v>
          </cell>
          <cell r="I1791">
            <v>1.4</v>
          </cell>
          <cell r="J1791">
            <v>0</v>
          </cell>
          <cell r="K1791">
            <v>-0.97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 t="b">
            <v>0</v>
          </cell>
        </row>
        <row r="1792">
          <cell r="A1792" t="str">
            <v>Data split-15;Reg-12</v>
          </cell>
          <cell r="B1792">
            <v>-1.4</v>
          </cell>
          <cell r="C1792">
            <v>0.35</v>
          </cell>
          <cell r="D1792">
            <v>0</v>
          </cell>
          <cell r="E1792">
            <v>0</v>
          </cell>
          <cell r="F1792">
            <v>0</v>
          </cell>
          <cell r="G1792">
            <v>0</v>
          </cell>
          <cell r="H1792">
            <v>0</v>
          </cell>
          <cell r="I1792">
            <v>0.65</v>
          </cell>
          <cell r="J1792">
            <v>0</v>
          </cell>
          <cell r="K1792">
            <v>0</v>
          </cell>
          <cell r="L1792">
            <v>11.7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 t="b">
            <v>0</v>
          </cell>
        </row>
        <row r="1793">
          <cell r="A1793" t="str">
            <v>Data split-15;Reg-13</v>
          </cell>
          <cell r="B1793">
            <v>-7.7</v>
          </cell>
          <cell r="C1793">
            <v>0.52</v>
          </cell>
          <cell r="D1793">
            <v>0</v>
          </cell>
          <cell r="E1793">
            <v>0</v>
          </cell>
          <cell r="F1793">
            <v>0</v>
          </cell>
          <cell r="G1793">
            <v>0</v>
          </cell>
          <cell r="H1793">
            <v>0</v>
          </cell>
          <cell r="I1793">
            <v>0</v>
          </cell>
          <cell r="J1793">
            <v>25.2</v>
          </cell>
          <cell r="K1793">
            <v>-0.44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 t="b">
            <v>0</v>
          </cell>
        </row>
        <row r="1794">
          <cell r="A1794" t="str">
            <v>Data split-15;Reg-14</v>
          </cell>
          <cell r="B1794">
            <v>-6.5</v>
          </cell>
          <cell r="C1794">
            <v>0.33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0</v>
          </cell>
          <cell r="J1794">
            <v>20.9</v>
          </cell>
          <cell r="K1794">
            <v>0</v>
          </cell>
          <cell r="L1794">
            <v>3.2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 t="b">
            <v>0</v>
          </cell>
        </row>
        <row r="1795">
          <cell r="A1795" t="str">
            <v>Data split-15;Reg-15</v>
          </cell>
          <cell r="B1795">
            <v>2</v>
          </cell>
          <cell r="C1795">
            <v>0.67</v>
          </cell>
          <cell r="D1795">
            <v>0</v>
          </cell>
          <cell r="E1795">
            <v>0</v>
          </cell>
          <cell r="F1795">
            <v>0</v>
          </cell>
          <cell r="G1795">
            <v>0</v>
          </cell>
          <cell r="H1795">
            <v>0</v>
          </cell>
          <cell r="I1795">
            <v>-2.5000000000000001E-2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1.9E-2</v>
          </cell>
          <cell r="R1795">
            <v>0</v>
          </cell>
          <cell r="S1795">
            <v>0</v>
          </cell>
          <cell r="T1795">
            <v>0</v>
          </cell>
          <cell r="U1795" t="b">
            <v>0</v>
          </cell>
        </row>
        <row r="1796">
          <cell r="A1796" t="str">
            <v>Data split-15;Reg-16</v>
          </cell>
          <cell r="B1796">
            <v>2.2999999999999998</v>
          </cell>
          <cell r="C1796">
            <v>0.56999999999999995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-0.25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6.6E-3</v>
          </cell>
          <cell r="S1796">
            <v>0</v>
          </cell>
          <cell r="T1796">
            <v>0</v>
          </cell>
          <cell r="U1796" t="b">
            <v>0</v>
          </cell>
        </row>
        <row r="1797">
          <cell r="A1797" t="str">
            <v>Data split-15;Reg-17</v>
          </cell>
          <cell r="B1797">
            <v>-3.9</v>
          </cell>
          <cell r="C1797">
            <v>0.36</v>
          </cell>
          <cell r="D1797">
            <v>0</v>
          </cell>
          <cell r="E1797">
            <v>0</v>
          </cell>
          <cell r="F1797">
            <v>0</v>
          </cell>
          <cell r="G1797">
            <v>0</v>
          </cell>
          <cell r="H1797">
            <v>0</v>
          </cell>
          <cell r="I1797">
            <v>0</v>
          </cell>
          <cell r="J1797">
            <v>16.2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1.2E-2</v>
          </cell>
          <cell r="R1797">
            <v>0</v>
          </cell>
          <cell r="S1797">
            <v>0</v>
          </cell>
          <cell r="T1797">
            <v>0</v>
          </cell>
          <cell r="U1797" t="b">
            <v>0</v>
          </cell>
        </row>
        <row r="1798">
          <cell r="A1798" t="str">
            <v>Data split-15;Reg-18</v>
          </cell>
          <cell r="B1798">
            <v>-2.8</v>
          </cell>
          <cell r="C1798">
            <v>0.28000000000000003</v>
          </cell>
          <cell r="D1798">
            <v>0</v>
          </cell>
          <cell r="E1798">
            <v>0</v>
          </cell>
          <cell r="F1798">
            <v>0</v>
          </cell>
          <cell r="G1798">
            <v>0</v>
          </cell>
          <cell r="H1798">
            <v>0</v>
          </cell>
          <cell r="I1798">
            <v>0</v>
          </cell>
          <cell r="J1798">
            <v>13.2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4.5999999999999999E-3</v>
          </cell>
          <cell r="S1798">
            <v>0</v>
          </cell>
          <cell r="T1798">
            <v>0</v>
          </cell>
          <cell r="U1798" t="b">
            <v>0</v>
          </cell>
        </row>
        <row r="1799">
          <cell r="A1799" t="str">
            <v>Data split-15;Reg-19</v>
          </cell>
          <cell r="B1799">
            <v>2.2000000000000002</v>
          </cell>
          <cell r="C1799">
            <v>0.89</v>
          </cell>
          <cell r="D1799">
            <v>0</v>
          </cell>
          <cell r="E1799">
            <v>0</v>
          </cell>
          <cell r="F1799">
            <v>0</v>
          </cell>
          <cell r="G1799">
            <v>0</v>
          </cell>
          <cell r="H1799">
            <v>0</v>
          </cell>
          <cell r="I1799">
            <v>0</v>
          </cell>
          <cell r="J1799">
            <v>0</v>
          </cell>
          <cell r="K1799">
            <v>-0.69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2.1999999999999999E-2</v>
          </cell>
          <cell r="T1799">
            <v>0</v>
          </cell>
          <cell r="U1799" t="b">
            <v>0</v>
          </cell>
        </row>
        <row r="1800">
          <cell r="A1800" t="str">
            <v>Data split-15;Reg-20</v>
          </cell>
          <cell r="B1800">
            <v>2.2000000000000002</v>
          </cell>
          <cell r="C1800">
            <v>0.83</v>
          </cell>
          <cell r="D1800">
            <v>0</v>
          </cell>
          <cell r="E1800">
            <v>0</v>
          </cell>
          <cell r="F1800">
            <v>0</v>
          </cell>
          <cell r="G1800">
            <v>0</v>
          </cell>
          <cell r="H1800">
            <v>0</v>
          </cell>
          <cell r="I1800">
            <v>0</v>
          </cell>
          <cell r="J1800">
            <v>0</v>
          </cell>
          <cell r="K1800">
            <v>-1.1000000000000001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7.7999999999999996E-3</v>
          </cell>
          <cell r="U1800" t="b">
            <v>0</v>
          </cell>
        </row>
        <row r="1801">
          <cell r="A1801" t="str">
            <v>Data split-15;Reg-21</v>
          </cell>
          <cell r="B1801">
            <v>0.44</v>
          </cell>
          <cell r="C1801">
            <v>0.36</v>
          </cell>
          <cell r="D1801">
            <v>0</v>
          </cell>
          <cell r="E1801">
            <v>0</v>
          </cell>
          <cell r="F1801">
            <v>0</v>
          </cell>
          <cell r="G1801">
            <v>0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10.4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1.4999999999999999E-2</v>
          </cell>
          <cell r="T1801">
            <v>0</v>
          </cell>
          <cell r="U1801" t="b">
            <v>0</v>
          </cell>
        </row>
        <row r="1802">
          <cell r="A1802" t="str">
            <v>Data split-15;Reg-22</v>
          </cell>
          <cell r="B1802">
            <v>0.97</v>
          </cell>
          <cell r="C1802">
            <v>0.31</v>
          </cell>
          <cell r="D1802">
            <v>0</v>
          </cell>
          <cell r="E1802">
            <v>0</v>
          </cell>
          <cell r="F1802">
            <v>0</v>
          </cell>
          <cell r="G1802">
            <v>0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7.3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5.1000000000000004E-3</v>
          </cell>
          <cell r="U1802" t="b">
            <v>0</v>
          </cell>
        </row>
        <row r="1803">
          <cell r="A1803" t="str">
            <v>Data split-15;Reg-23</v>
          </cell>
          <cell r="B1803">
            <v>-1.4</v>
          </cell>
          <cell r="C1803">
            <v>0</v>
          </cell>
          <cell r="D1803">
            <v>0.71</v>
          </cell>
          <cell r="E1803">
            <v>0</v>
          </cell>
          <cell r="F1803">
            <v>0</v>
          </cell>
          <cell r="G1803">
            <v>0</v>
          </cell>
          <cell r="H1803">
            <v>0</v>
          </cell>
          <cell r="I1803">
            <v>1.1000000000000001</v>
          </cell>
          <cell r="J1803">
            <v>0</v>
          </cell>
          <cell r="K1803">
            <v>-0.55000000000000004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 t="b">
            <v>0</v>
          </cell>
        </row>
        <row r="1804">
          <cell r="A1804" t="str">
            <v>Data split-15;Reg-24</v>
          </cell>
          <cell r="B1804">
            <v>-1.1000000000000001</v>
          </cell>
          <cell r="C1804">
            <v>0</v>
          </cell>
          <cell r="D1804">
            <v>0.56999999999999995</v>
          </cell>
          <cell r="E1804">
            <v>0</v>
          </cell>
          <cell r="F1804">
            <v>0</v>
          </cell>
          <cell r="G1804">
            <v>0</v>
          </cell>
          <cell r="H1804">
            <v>0</v>
          </cell>
          <cell r="I1804">
            <v>0.53</v>
          </cell>
          <cell r="J1804">
            <v>0</v>
          </cell>
          <cell r="K1804">
            <v>0</v>
          </cell>
          <cell r="L1804">
            <v>4.5999999999999996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 t="b">
            <v>0</v>
          </cell>
        </row>
        <row r="1805">
          <cell r="A1805" t="str">
            <v>Data split-15;Reg-25</v>
          </cell>
          <cell r="B1805">
            <v>-6.8</v>
          </cell>
          <cell r="C1805">
            <v>0</v>
          </cell>
          <cell r="D1805">
            <v>0.55000000000000004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20.2</v>
          </cell>
          <cell r="K1805">
            <v>-0.36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 t="b">
            <v>0</v>
          </cell>
        </row>
        <row r="1806">
          <cell r="A1806" t="str">
            <v>Data split-15;Reg-26</v>
          </cell>
          <cell r="B1806">
            <v>-5.4</v>
          </cell>
          <cell r="C1806">
            <v>0</v>
          </cell>
          <cell r="D1806">
            <v>0.53</v>
          </cell>
          <cell r="E1806">
            <v>0</v>
          </cell>
          <cell r="F1806">
            <v>0</v>
          </cell>
          <cell r="G1806">
            <v>0</v>
          </cell>
          <cell r="H1806">
            <v>0</v>
          </cell>
          <cell r="I1806">
            <v>0</v>
          </cell>
          <cell r="J1806">
            <v>17.3</v>
          </cell>
          <cell r="K1806">
            <v>0</v>
          </cell>
          <cell r="L1806">
            <v>-1.7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 t="b">
            <v>0</v>
          </cell>
        </row>
        <row r="1807">
          <cell r="A1807" t="str">
            <v>Data split-15;Reg-27</v>
          </cell>
          <cell r="B1807">
            <v>-0.42</v>
          </cell>
          <cell r="C1807">
            <v>0</v>
          </cell>
          <cell r="D1807">
            <v>0.64</v>
          </cell>
          <cell r="E1807">
            <v>0</v>
          </cell>
          <cell r="F1807">
            <v>0</v>
          </cell>
          <cell r="G1807">
            <v>0</v>
          </cell>
          <cell r="H1807">
            <v>0</v>
          </cell>
          <cell r="I1807">
            <v>0.59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2.0999999999999999E-3</v>
          </cell>
          <cell r="R1807">
            <v>0</v>
          </cell>
          <cell r="S1807">
            <v>0</v>
          </cell>
          <cell r="T1807">
            <v>0</v>
          </cell>
          <cell r="U1807" t="b">
            <v>0</v>
          </cell>
        </row>
        <row r="1808">
          <cell r="A1808" t="str">
            <v>Data split-15;Reg-28</v>
          </cell>
          <cell r="B1808">
            <v>0.48</v>
          </cell>
          <cell r="C1808">
            <v>0</v>
          </cell>
          <cell r="D1808">
            <v>0.54</v>
          </cell>
          <cell r="E1808">
            <v>0</v>
          </cell>
          <cell r="F1808">
            <v>0</v>
          </cell>
          <cell r="G1808">
            <v>0</v>
          </cell>
          <cell r="H1808">
            <v>0</v>
          </cell>
          <cell r="I1808">
            <v>0.3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3.2000000000000002E-3</v>
          </cell>
          <cell r="S1808">
            <v>0</v>
          </cell>
          <cell r="T1808">
            <v>0</v>
          </cell>
          <cell r="U1808" t="b">
            <v>0</v>
          </cell>
        </row>
        <row r="1809">
          <cell r="A1809" t="str">
            <v>Data split-15;Reg-29</v>
          </cell>
          <cell r="B1809">
            <v>-4.7</v>
          </cell>
          <cell r="C1809">
            <v>0</v>
          </cell>
          <cell r="D1809">
            <v>0.47</v>
          </cell>
          <cell r="E1809">
            <v>0</v>
          </cell>
          <cell r="F1809">
            <v>0</v>
          </cell>
          <cell r="G1809">
            <v>0</v>
          </cell>
          <cell r="H1809">
            <v>0</v>
          </cell>
          <cell r="I1809">
            <v>0</v>
          </cell>
          <cell r="J1809">
            <v>15.2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3.3999999999999998E-3</v>
          </cell>
          <cell r="R1809">
            <v>0</v>
          </cell>
          <cell r="S1809">
            <v>0</v>
          </cell>
          <cell r="T1809">
            <v>0</v>
          </cell>
          <cell r="U1809" t="b">
            <v>0</v>
          </cell>
        </row>
        <row r="1810">
          <cell r="A1810" t="str">
            <v>Data split-15;Reg-30</v>
          </cell>
          <cell r="B1810">
            <v>-3.6</v>
          </cell>
          <cell r="C1810">
            <v>0</v>
          </cell>
          <cell r="D1810">
            <v>0.39</v>
          </cell>
          <cell r="E1810">
            <v>0</v>
          </cell>
          <cell r="F1810">
            <v>0</v>
          </cell>
          <cell r="G1810">
            <v>0</v>
          </cell>
          <cell r="H1810">
            <v>0</v>
          </cell>
          <cell r="I1810">
            <v>0</v>
          </cell>
          <cell r="J1810">
            <v>13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2.7000000000000001E-3</v>
          </cell>
          <cell r="S1810">
            <v>0</v>
          </cell>
          <cell r="T1810">
            <v>0</v>
          </cell>
          <cell r="U1810" t="b">
            <v>0</v>
          </cell>
        </row>
        <row r="1811">
          <cell r="A1811" t="str">
            <v>Data split-15;Reg-31</v>
          </cell>
          <cell r="B1811">
            <v>0.59</v>
          </cell>
          <cell r="C1811">
            <v>0</v>
          </cell>
          <cell r="D1811">
            <v>0.66</v>
          </cell>
          <cell r="E1811">
            <v>0</v>
          </cell>
          <cell r="F1811">
            <v>0</v>
          </cell>
          <cell r="G1811">
            <v>0</v>
          </cell>
          <cell r="H1811">
            <v>0</v>
          </cell>
          <cell r="I1811">
            <v>0</v>
          </cell>
          <cell r="J1811">
            <v>0</v>
          </cell>
          <cell r="K1811">
            <v>0.33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4.3E-3</v>
          </cell>
          <cell r="T1811">
            <v>0</v>
          </cell>
          <cell r="U1811" t="b">
            <v>0</v>
          </cell>
        </row>
        <row r="1812">
          <cell r="A1812" t="str">
            <v>Data split-15;Reg-32</v>
          </cell>
          <cell r="B1812">
            <v>1.1000000000000001</v>
          </cell>
          <cell r="C1812">
            <v>0</v>
          </cell>
          <cell r="D1812">
            <v>0.56999999999999995</v>
          </cell>
          <cell r="E1812">
            <v>0</v>
          </cell>
          <cell r="F1812">
            <v>0</v>
          </cell>
          <cell r="G1812">
            <v>0</v>
          </cell>
          <cell r="H1812">
            <v>0</v>
          </cell>
          <cell r="I1812">
            <v>0</v>
          </cell>
          <cell r="J1812">
            <v>0</v>
          </cell>
          <cell r="K1812">
            <v>3.1E-2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3.5999999999999999E-3</v>
          </cell>
          <cell r="U1812" t="b">
            <v>0</v>
          </cell>
        </row>
        <row r="1813">
          <cell r="A1813" t="str">
            <v>Data split-15;Reg-33</v>
          </cell>
          <cell r="B1813">
            <v>-0.39</v>
          </cell>
          <cell r="C1813">
            <v>0</v>
          </cell>
          <cell r="D1813">
            <v>0.53</v>
          </cell>
          <cell r="E1813">
            <v>0</v>
          </cell>
          <cell r="F1813">
            <v>0</v>
          </cell>
          <cell r="G1813">
            <v>0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7.8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6.8999999999999999E-3</v>
          </cell>
          <cell r="T1813">
            <v>0</v>
          </cell>
          <cell r="U1813" t="b">
            <v>0</v>
          </cell>
        </row>
        <row r="1814">
          <cell r="A1814" t="str">
            <v>Data split-15;Reg-34</v>
          </cell>
          <cell r="B1814">
            <v>0.11</v>
          </cell>
          <cell r="C1814">
            <v>0</v>
          </cell>
          <cell r="D1814">
            <v>0.44</v>
          </cell>
          <cell r="E1814">
            <v>0</v>
          </cell>
          <cell r="F1814">
            <v>0</v>
          </cell>
          <cell r="G1814">
            <v>0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6.4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3.2000000000000002E-3</v>
          </cell>
          <cell r="U1814" t="b">
            <v>0</v>
          </cell>
        </row>
        <row r="1815">
          <cell r="A1815" t="str">
            <v>Data split-15;Reg-35</v>
          </cell>
          <cell r="B1815">
            <v>0.81</v>
          </cell>
          <cell r="C1815">
            <v>0.93</v>
          </cell>
          <cell r="D1815">
            <v>0</v>
          </cell>
          <cell r="E1815">
            <v>0</v>
          </cell>
          <cell r="F1815">
            <v>0</v>
          </cell>
          <cell r="G1815">
            <v>0</v>
          </cell>
          <cell r="H1815">
            <v>0</v>
          </cell>
          <cell r="I1815">
            <v>0.73</v>
          </cell>
          <cell r="J1815">
            <v>0</v>
          </cell>
          <cell r="K1815">
            <v>-1.3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2.1000000000000001E-2</v>
          </cell>
          <cell r="R1815">
            <v>0</v>
          </cell>
          <cell r="S1815">
            <v>0</v>
          </cell>
          <cell r="T1815">
            <v>0</v>
          </cell>
          <cell r="U1815" t="b">
            <v>0</v>
          </cell>
        </row>
        <row r="1816">
          <cell r="A1816" t="str">
            <v>Data split-15;Reg-36</v>
          </cell>
          <cell r="B1816">
            <v>0.88</v>
          </cell>
          <cell r="C1816">
            <v>0.86</v>
          </cell>
          <cell r="D1816">
            <v>0</v>
          </cell>
          <cell r="E1816">
            <v>0</v>
          </cell>
          <cell r="F1816">
            <v>0</v>
          </cell>
          <cell r="G1816">
            <v>0</v>
          </cell>
          <cell r="H1816">
            <v>0</v>
          </cell>
          <cell r="I1816">
            <v>0.63</v>
          </cell>
          <cell r="J1816">
            <v>0</v>
          </cell>
          <cell r="K1816">
            <v>-1.5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7.1000000000000004E-3</v>
          </cell>
          <cell r="S1816">
            <v>0</v>
          </cell>
          <cell r="T1816">
            <v>0</v>
          </cell>
          <cell r="U1816" t="b">
            <v>0</v>
          </cell>
        </row>
        <row r="1817">
          <cell r="A1817" t="str">
            <v>Data split-15;Reg-37</v>
          </cell>
          <cell r="B1817">
            <v>0.56000000000000005</v>
          </cell>
          <cell r="C1817">
            <v>0.35</v>
          </cell>
          <cell r="D1817">
            <v>0</v>
          </cell>
          <cell r="E1817">
            <v>0</v>
          </cell>
          <cell r="F1817">
            <v>0</v>
          </cell>
          <cell r="G1817">
            <v>0</v>
          </cell>
          <cell r="H1817">
            <v>0</v>
          </cell>
          <cell r="I1817">
            <v>-5.6000000000000001E-2</v>
          </cell>
          <cell r="J1817">
            <v>0</v>
          </cell>
          <cell r="K1817">
            <v>0</v>
          </cell>
          <cell r="L1817">
            <v>10.1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1.7999999999999999E-2</v>
          </cell>
          <cell r="R1817">
            <v>0</v>
          </cell>
          <cell r="S1817">
            <v>0</v>
          </cell>
          <cell r="T1817">
            <v>0</v>
          </cell>
          <cell r="U1817" t="b">
            <v>0</v>
          </cell>
        </row>
        <row r="1818">
          <cell r="A1818" t="str">
            <v>Data split-15;Reg-38</v>
          </cell>
          <cell r="B1818">
            <v>1.3</v>
          </cell>
          <cell r="C1818">
            <v>0.35</v>
          </cell>
          <cell r="D1818">
            <v>0</v>
          </cell>
          <cell r="E1818">
            <v>0</v>
          </cell>
          <cell r="F1818">
            <v>0</v>
          </cell>
          <cell r="G1818">
            <v>0</v>
          </cell>
          <cell r="H1818">
            <v>0</v>
          </cell>
          <cell r="I1818">
            <v>-0.25</v>
          </cell>
          <cell r="J1818">
            <v>0</v>
          </cell>
          <cell r="K1818">
            <v>0</v>
          </cell>
          <cell r="L1818">
            <v>7.2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6.3E-3</v>
          </cell>
          <cell r="S1818">
            <v>0</v>
          </cell>
          <cell r="T1818">
            <v>0</v>
          </cell>
          <cell r="U1818" t="b">
            <v>0</v>
          </cell>
        </row>
        <row r="1819">
          <cell r="A1819" t="str">
            <v>Data split-15;Reg-39</v>
          </cell>
          <cell r="B1819">
            <v>-5.6</v>
          </cell>
          <cell r="C1819">
            <v>0.63</v>
          </cell>
          <cell r="D1819">
            <v>0</v>
          </cell>
          <cell r="E1819">
            <v>0</v>
          </cell>
          <cell r="F1819">
            <v>0</v>
          </cell>
          <cell r="G1819">
            <v>0</v>
          </cell>
          <cell r="H1819">
            <v>0</v>
          </cell>
          <cell r="I1819">
            <v>0</v>
          </cell>
          <cell r="J1819">
            <v>21</v>
          </cell>
          <cell r="K1819">
            <v>-1.2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1.9E-2</v>
          </cell>
          <cell r="R1819">
            <v>0</v>
          </cell>
          <cell r="S1819">
            <v>0</v>
          </cell>
          <cell r="T1819">
            <v>0</v>
          </cell>
          <cell r="U1819" t="b">
            <v>0</v>
          </cell>
        </row>
        <row r="1820">
          <cell r="A1820" t="str">
            <v>Data split-15;Reg-40</v>
          </cell>
          <cell r="B1820">
            <v>-5.0999999999999996</v>
          </cell>
          <cell r="C1820">
            <v>0.6</v>
          </cell>
          <cell r="D1820">
            <v>0</v>
          </cell>
          <cell r="E1820">
            <v>0</v>
          </cell>
          <cell r="F1820">
            <v>0</v>
          </cell>
          <cell r="G1820">
            <v>0</v>
          </cell>
          <cell r="H1820">
            <v>0</v>
          </cell>
          <cell r="I1820">
            <v>0</v>
          </cell>
          <cell r="J1820">
            <v>19.399999999999999</v>
          </cell>
          <cell r="K1820">
            <v>-1.4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6.7000000000000002E-3</v>
          </cell>
          <cell r="S1820">
            <v>0</v>
          </cell>
          <cell r="T1820">
            <v>0</v>
          </cell>
          <cell r="U1820" t="b">
            <v>0</v>
          </cell>
        </row>
        <row r="1821">
          <cell r="A1821" t="str">
            <v>Data split-15;Reg-41</v>
          </cell>
          <cell r="B1821">
            <v>-4</v>
          </cell>
          <cell r="C1821">
            <v>0.26</v>
          </cell>
          <cell r="D1821">
            <v>0</v>
          </cell>
          <cell r="E1821">
            <v>0</v>
          </cell>
          <cell r="F1821">
            <v>0</v>
          </cell>
          <cell r="G1821">
            <v>0</v>
          </cell>
          <cell r="H1821">
            <v>0</v>
          </cell>
          <cell r="I1821">
            <v>0</v>
          </cell>
          <cell r="J1821">
            <v>14.9</v>
          </cell>
          <cell r="K1821">
            <v>0</v>
          </cell>
          <cell r="L1821">
            <v>3.7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1.2E-2</v>
          </cell>
          <cell r="R1821">
            <v>0</v>
          </cell>
          <cell r="S1821">
            <v>0</v>
          </cell>
          <cell r="T1821">
            <v>0</v>
          </cell>
          <cell r="U1821" t="b">
            <v>0</v>
          </cell>
        </row>
        <row r="1822">
          <cell r="A1822" t="str">
            <v>Data split-15;Reg-42</v>
          </cell>
          <cell r="B1822">
            <v>-2.9</v>
          </cell>
          <cell r="C1822">
            <v>0.23</v>
          </cell>
          <cell r="D1822">
            <v>0</v>
          </cell>
          <cell r="E1822">
            <v>0</v>
          </cell>
          <cell r="F1822">
            <v>0</v>
          </cell>
          <cell r="G1822">
            <v>0</v>
          </cell>
          <cell r="H1822">
            <v>0</v>
          </cell>
          <cell r="I1822">
            <v>0</v>
          </cell>
          <cell r="J1822">
            <v>12.6</v>
          </cell>
          <cell r="K1822">
            <v>0</v>
          </cell>
          <cell r="L1822">
            <v>2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4.5999999999999999E-3</v>
          </cell>
          <cell r="S1822">
            <v>0</v>
          </cell>
          <cell r="T1822">
            <v>0</v>
          </cell>
          <cell r="U1822" t="b">
            <v>0</v>
          </cell>
        </row>
        <row r="1823">
          <cell r="A1823" t="str">
            <v>Data split-15;Reg-43</v>
          </cell>
          <cell r="B1823">
            <v>0.76</v>
          </cell>
          <cell r="C1823">
            <v>0.95</v>
          </cell>
          <cell r="D1823">
            <v>0</v>
          </cell>
          <cell r="E1823">
            <v>0</v>
          </cell>
          <cell r="F1823">
            <v>0</v>
          </cell>
          <cell r="G1823">
            <v>0</v>
          </cell>
          <cell r="H1823">
            <v>0</v>
          </cell>
          <cell r="I1823">
            <v>0.81</v>
          </cell>
          <cell r="J1823">
            <v>0</v>
          </cell>
          <cell r="K1823">
            <v>-1.3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1.9E-2</v>
          </cell>
          <cell r="T1823">
            <v>0</v>
          </cell>
          <cell r="U1823" t="b">
            <v>0</v>
          </cell>
        </row>
        <row r="1824">
          <cell r="A1824" t="str">
            <v>Data split-15;Reg-44</v>
          </cell>
          <cell r="B1824">
            <v>1</v>
          </cell>
          <cell r="C1824">
            <v>0.89</v>
          </cell>
          <cell r="D1824">
            <v>0</v>
          </cell>
          <cell r="E1824">
            <v>0</v>
          </cell>
          <cell r="F1824">
            <v>0</v>
          </cell>
          <cell r="G1824">
            <v>0</v>
          </cell>
          <cell r="H1824">
            <v>0</v>
          </cell>
          <cell r="I1824">
            <v>0.7</v>
          </cell>
          <cell r="J1824">
            <v>0</v>
          </cell>
          <cell r="K1824">
            <v>-1.7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7.1999999999999998E-3</v>
          </cell>
          <cell r="U1824" t="b">
            <v>0</v>
          </cell>
        </row>
        <row r="1825">
          <cell r="A1825" t="str">
            <v>Data split-15;Reg-45</v>
          </cell>
          <cell r="B1825">
            <v>0.38</v>
          </cell>
          <cell r="C1825">
            <v>0.35</v>
          </cell>
          <cell r="D1825">
            <v>0</v>
          </cell>
          <cell r="E1825">
            <v>0</v>
          </cell>
          <cell r="F1825">
            <v>0</v>
          </cell>
          <cell r="G1825">
            <v>0</v>
          </cell>
          <cell r="H1825">
            <v>0</v>
          </cell>
          <cell r="I1825">
            <v>3.4000000000000002E-2</v>
          </cell>
          <cell r="J1825">
            <v>0</v>
          </cell>
          <cell r="K1825">
            <v>0</v>
          </cell>
          <cell r="L1825">
            <v>10.4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1.4999999999999999E-2</v>
          </cell>
          <cell r="T1825">
            <v>0</v>
          </cell>
          <cell r="U1825" t="b">
            <v>0</v>
          </cell>
        </row>
        <row r="1826">
          <cell r="A1826" t="str">
            <v>Data split-15;Reg-46</v>
          </cell>
          <cell r="B1826">
            <v>1.4</v>
          </cell>
          <cell r="C1826">
            <v>0.35</v>
          </cell>
          <cell r="D1826">
            <v>0</v>
          </cell>
          <cell r="E1826">
            <v>0</v>
          </cell>
          <cell r="F1826">
            <v>0</v>
          </cell>
          <cell r="G1826">
            <v>0</v>
          </cell>
          <cell r="H1826">
            <v>0</v>
          </cell>
          <cell r="I1826">
            <v>-0.24</v>
          </cell>
          <cell r="J1826">
            <v>0</v>
          </cell>
          <cell r="K1826">
            <v>0</v>
          </cell>
          <cell r="L1826">
            <v>7.2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5.7999999999999996E-3</v>
          </cell>
          <cell r="U1826" t="b">
            <v>0</v>
          </cell>
        </row>
        <row r="1827">
          <cell r="A1827" t="str">
            <v>Data split-15;Reg-47</v>
          </cell>
          <cell r="B1827">
            <v>-5.8</v>
          </cell>
          <cell r="C1827">
            <v>0.64</v>
          </cell>
          <cell r="D1827">
            <v>0</v>
          </cell>
          <cell r="E1827">
            <v>0</v>
          </cell>
          <cell r="F1827">
            <v>0</v>
          </cell>
          <cell r="G1827">
            <v>0</v>
          </cell>
          <cell r="H1827">
            <v>0</v>
          </cell>
          <cell r="I1827">
            <v>0</v>
          </cell>
          <cell r="J1827">
            <v>22</v>
          </cell>
          <cell r="K1827">
            <v>-1.2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1.7999999999999999E-2</v>
          </cell>
          <cell r="T1827">
            <v>0</v>
          </cell>
          <cell r="U1827" t="b">
            <v>0</v>
          </cell>
        </row>
        <row r="1828">
          <cell r="A1828" t="str">
            <v>Data split-15;Reg-48</v>
          </cell>
          <cell r="B1828">
            <v>-5.3</v>
          </cell>
          <cell r="C1828">
            <v>0.61</v>
          </cell>
          <cell r="D1828">
            <v>0</v>
          </cell>
          <cell r="E1828">
            <v>0</v>
          </cell>
          <cell r="F1828">
            <v>0</v>
          </cell>
          <cell r="G1828">
            <v>0</v>
          </cell>
          <cell r="H1828">
            <v>0</v>
          </cell>
          <cell r="I1828">
            <v>0</v>
          </cell>
          <cell r="J1828">
            <v>20.7</v>
          </cell>
          <cell r="K1828">
            <v>-1.6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6.8999999999999999E-3</v>
          </cell>
          <cell r="U1828" t="b">
            <v>0</v>
          </cell>
        </row>
        <row r="1829">
          <cell r="A1829" t="str">
            <v>Data split-15;Reg-49</v>
          </cell>
          <cell r="B1829">
            <v>-4.5999999999999996</v>
          </cell>
          <cell r="C1829">
            <v>0.27</v>
          </cell>
          <cell r="D1829">
            <v>0</v>
          </cell>
          <cell r="E1829">
            <v>0</v>
          </cell>
          <cell r="F1829">
            <v>0</v>
          </cell>
          <cell r="G1829">
            <v>0</v>
          </cell>
          <cell r="H1829">
            <v>0</v>
          </cell>
          <cell r="I1829">
            <v>0</v>
          </cell>
          <cell r="J1829">
            <v>16.399999999999999</v>
          </cell>
          <cell r="K1829">
            <v>0</v>
          </cell>
          <cell r="L1829">
            <v>3.5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8.8999999999999999E-3</v>
          </cell>
          <cell r="T1829">
            <v>0</v>
          </cell>
          <cell r="U1829" t="b">
            <v>0</v>
          </cell>
        </row>
        <row r="1830">
          <cell r="A1830" t="str">
            <v>Data split-15;Reg-50</v>
          </cell>
          <cell r="B1830">
            <v>-3.3</v>
          </cell>
          <cell r="C1830">
            <v>0.23</v>
          </cell>
          <cell r="D1830">
            <v>0</v>
          </cell>
          <cell r="E1830">
            <v>0</v>
          </cell>
          <cell r="F1830">
            <v>0</v>
          </cell>
          <cell r="G1830">
            <v>0</v>
          </cell>
          <cell r="H1830">
            <v>0</v>
          </cell>
          <cell r="I1830">
            <v>0</v>
          </cell>
          <cell r="J1830">
            <v>13.9</v>
          </cell>
          <cell r="K1830">
            <v>0</v>
          </cell>
          <cell r="L1830">
            <v>1.7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3.8999999999999998E-3</v>
          </cell>
          <cell r="U1830" t="b">
            <v>0</v>
          </cell>
        </row>
        <row r="1831">
          <cell r="A1831" t="str">
            <v>Data split-15;Reg-51</v>
          </cell>
          <cell r="B1831">
            <v>-1.2</v>
          </cell>
          <cell r="C1831">
            <v>0</v>
          </cell>
          <cell r="D1831">
            <v>0.7</v>
          </cell>
          <cell r="E1831">
            <v>0</v>
          </cell>
          <cell r="F1831">
            <v>0</v>
          </cell>
          <cell r="G1831">
            <v>0</v>
          </cell>
          <cell r="H1831">
            <v>0</v>
          </cell>
          <cell r="I1831">
            <v>1</v>
          </cell>
          <cell r="J1831">
            <v>0</v>
          </cell>
          <cell r="K1831">
            <v>-0.54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1.4E-3</v>
          </cell>
          <cell r="R1831">
            <v>0</v>
          </cell>
          <cell r="S1831">
            <v>0</v>
          </cell>
          <cell r="T1831">
            <v>0</v>
          </cell>
          <cell r="U1831" t="b">
            <v>0</v>
          </cell>
        </row>
        <row r="1832">
          <cell r="A1832" t="str">
            <v>Data split-15;Reg-52</v>
          </cell>
          <cell r="B1832">
            <v>-0.23</v>
          </cell>
          <cell r="C1832">
            <v>0</v>
          </cell>
          <cell r="D1832">
            <v>0.6</v>
          </cell>
          <cell r="E1832">
            <v>0</v>
          </cell>
          <cell r="F1832">
            <v>0</v>
          </cell>
          <cell r="G1832">
            <v>0</v>
          </cell>
          <cell r="H1832">
            <v>0</v>
          </cell>
          <cell r="I1832">
            <v>0.73</v>
          </cell>
          <cell r="J1832">
            <v>0</v>
          </cell>
          <cell r="K1832">
            <v>-0.52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3.0999999999999999E-3</v>
          </cell>
          <cell r="S1832">
            <v>0</v>
          </cell>
          <cell r="T1832">
            <v>0</v>
          </cell>
          <cell r="U1832" t="b">
            <v>0</v>
          </cell>
        </row>
        <row r="1833">
          <cell r="A1833" t="str">
            <v>Data split-15;Reg-53</v>
          </cell>
          <cell r="B1833">
            <v>-0.75</v>
          </cell>
          <cell r="C1833">
            <v>0</v>
          </cell>
          <cell r="D1833">
            <v>0.52</v>
          </cell>
          <cell r="E1833">
            <v>0</v>
          </cell>
          <cell r="F1833">
            <v>0</v>
          </cell>
          <cell r="G1833">
            <v>0</v>
          </cell>
          <cell r="H1833">
            <v>0</v>
          </cell>
          <cell r="I1833">
            <v>0.38</v>
          </cell>
          <cell r="J1833">
            <v>0</v>
          </cell>
          <cell r="K1833">
            <v>0</v>
          </cell>
          <cell r="L1833">
            <v>5.4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4.4000000000000003E-3</v>
          </cell>
          <cell r="R1833">
            <v>0</v>
          </cell>
          <cell r="S1833">
            <v>0</v>
          </cell>
          <cell r="T1833">
            <v>0</v>
          </cell>
          <cell r="U1833" t="b">
            <v>0</v>
          </cell>
        </row>
        <row r="1834">
          <cell r="A1834" t="str">
            <v>Data split-15;Reg-54</v>
          </cell>
          <cell r="B1834">
            <v>-1.7000000000000001E-2</v>
          </cell>
          <cell r="C1834">
            <v>0</v>
          </cell>
          <cell r="D1834">
            <v>0.41</v>
          </cell>
          <cell r="E1834">
            <v>0</v>
          </cell>
          <cell r="F1834">
            <v>0</v>
          </cell>
          <cell r="G1834">
            <v>0</v>
          </cell>
          <cell r="H1834">
            <v>0</v>
          </cell>
          <cell r="I1834">
            <v>9.1999999999999998E-2</v>
          </cell>
          <cell r="J1834">
            <v>0</v>
          </cell>
          <cell r="K1834">
            <v>0</v>
          </cell>
          <cell r="L1834">
            <v>6.3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3.5999999999999999E-3</v>
          </cell>
          <cell r="S1834">
            <v>0</v>
          </cell>
          <cell r="T1834">
            <v>0</v>
          </cell>
          <cell r="U1834" t="b">
            <v>0</v>
          </cell>
        </row>
        <row r="1835">
          <cell r="A1835" t="str">
            <v>Data split-15;Reg-55</v>
          </cell>
          <cell r="B1835">
            <v>-6.3</v>
          </cell>
          <cell r="C1835">
            <v>0</v>
          </cell>
          <cell r="D1835">
            <v>0.5</v>
          </cell>
          <cell r="E1835">
            <v>0</v>
          </cell>
          <cell r="F1835">
            <v>0</v>
          </cell>
          <cell r="G1835">
            <v>0</v>
          </cell>
          <cell r="H1835">
            <v>0</v>
          </cell>
          <cell r="I1835">
            <v>0</v>
          </cell>
          <cell r="J1835">
            <v>20</v>
          </cell>
          <cell r="K1835">
            <v>-0.52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6.7000000000000002E-3</v>
          </cell>
          <cell r="R1835">
            <v>0</v>
          </cell>
          <cell r="S1835">
            <v>0</v>
          </cell>
          <cell r="T1835">
            <v>0</v>
          </cell>
          <cell r="U1835" t="b">
            <v>0</v>
          </cell>
        </row>
        <row r="1836">
          <cell r="A1836" t="str">
            <v>Data split-15;Reg-56</v>
          </cell>
          <cell r="B1836">
            <v>-5.9</v>
          </cell>
          <cell r="C1836">
            <v>0</v>
          </cell>
          <cell r="D1836">
            <v>0.41</v>
          </cell>
          <cell r="E1836">
            <v>0</v>
          </cell>
          <cell r="F1836">
            <v>0</v>
          </cell>
          <cell r="G1836">
            <v>0</v>
          </cell>
          <cell r="H1836">
            <v>0</v>
          </cell>
          <cell r="I1836">
            <v>0</v>
          </cell>
          <cell r="J1836">
            <v>19.8</v>
          </cell>
          <cell r="K1836">
            <v>-0.73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3.8999999999999998E-3</v>
          </cell>
          <cell r="S1836">
            <v>0</v>
          </cell>
          <cell r="T1836">
            <v>0</v>
          </cell>
          <cell r="U1836" t="b">
            <v>0</v>
          </cell>
        </row>
        <row r="1837">
          <cell r="A1837" t="str">
            <v>Data split-15;Reg-57</v>
          </cell>
          <cell r="B1837">
            <v>-4.9000000000000004</v>
          </cell>
          <cell r="C1837">
            <v>0</v>
          </cell>
          <cell r="D1837">
            <v>0.49</v>
          </cell>
          <cell r="E1837">
            <v>0</v>
          </cell>
          <cell r="F1837">
            <v>0</v>
          </cell>
          <cell r="G1837">
            <v>0</v>
          </cell>
          <cell r="H1837">
            <v>0</v>
          </cell>
          <cell r="I1837">
            <v>0</v>
          </cell>
          <cell r="J1837">
            <v>16</v>
          </cell>
          <cell r="K1837">
            <v>0</v>
          </cell>
          <cell r="L1837">
            <v>-1.2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3.2000000000000002E-3</v>
          </cell>
          <cell r="R1837">
            <v>0</v>
          </cell>
          <cell r="S1837">
            <v>0</v>
          </cell>
          <cell r="T1837">
            <v>0</v>
          </cell>
          <cell r="U1837" t="b">
            <v>0</v>
          </cell>
        </row>
        <row r="1838">
          <cell r="A1838" t="str">
            <v>Data split-15;Reg-58</v>
          </cell>
          <cell r="B1838">
            <v>-3.7</v>
          </cell>
          <cell r="C1838">
            <v>0</v>
          </cell>
          <cell r="D1838">
            <v>0.4</v>
          </cell>
          <cell r="E1838">
            <v>0</v>
          </cell>
          <cell r="F1838">
            <v>0</v>
          </cell>
          <cell r="G1838">
            <v>0</v>
          </cell>
          <cell r="H1838">
            <v>0</v>
          </cell>
          <cell r="I1838">
            <v>0</v>
          </cell>
          <cell r="J1838">
            <v>13.5</v>
          </cell>
          <cell r="K1838">
            <v>0</v>
          </cell>
          <cell r="L1838">
            <v>-0.64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2.7000000000000001E-3</v>
          </cell>
          <cell r="S1838">
            <v>0</v>
          </cell>
          <cell r="T1838">
            <v>0</v>
          </cell>
          <cell r="U1838" t="b">
            <v>0</v>
          </cell>
        </row>
        <row r="1839">
          <cell r="A1839" t="str">
            <v>Data split-15;Reg-59</v>
          </cell>
          <cell r="B1839">
            <v>-1.8</v>
          </cell>
          <cell r="C1839">
            <v>0</v>
          </cell>
          <cell r="D1839">
            <v>0.74</v>
          </cell>
          <cell r="E1839">
            <v>0</v>
          </cell>
          <cell r="F1839">
            <v>0</v>
          </cell>
          <cell r="G1839">
            <v>0</v>
          </cell>
          <cell r="H1839">
            <v>0</v>
          </cell>
          <cell r="I1839">
            <v>1.2</v>
          </cell>
          <cell r="J1839">
            <v>0</v>
          </cell>
          <cell r="K1839">
            <v>-0.56000000000000005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-3.3999999999999998E-3</v>
          </cell>
          <cell r="T1839">
            <v>0</v>
          </cell>
          <cell r="U1839" t="b">
            <v>0</v>
          </cell>
        </row>
        <row r="1840">
          <cell r="A1840" t="str">
            <v>Data split-15;Reg-60</v>
          </cell>
          <cell r="B1840">
            <v>-0.46</v>
          </cell>
          <cell r="C1840">
            <v>0</v>
          </cell>
          <cell r="D1840">
            <v>0.63</v>
          </cell>
          <cell r="E1840">
            <v>0</v>
          </cell>
          <cell r="F1840">
            <v>0</v>
          </cell>
          <cell r="G1840">
            <v>0</v>
          </cell>
          <cell r="H1840">
            <v>0</v>
          </cell>
          <cell r="I1840">
            <v>0.84</v>
          </cell>
          <cell r="J1840">
            <v>0</v>
          </cell>
          <cell r="K1840">
            <v>-0.6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2.3999999999999998E-3</v>
          </cell>
          <cell r="U1840" t="b">
            <v>0</v>
          </cell>
        </row>
        <row r="1841">
          <cell r="A1841" t="str">
            <v>Data split-15;Reg-61</v>
          </cell>
          <cell r="B1841">
            <v>-1.2</v>
          </cell>
          <cell r="C1841">
            <v>0</v>
          </cell>
          <cell r="D1841">
            <v>0.57999999999999996</v>
          </cell>
          <cell r="E1841">
            <v>0</v>
          </cell>
          <cell r="F1841">
            <v>0</v>
          </cell>
          <cell r="G1841">
            <v>0</v>
          </cell>
          <cell r="H1841">
            <v>0</v>
          </cell>
          <cell r="I1841">
            <v>0.57999999999999996</v>
          </cell>
          <cell r="J1841">
            <v>0</v>
          </cell>
          <cell r="K1841">
            <v>0</v>
          </cell>
          <cell r="L1841">
            <v>4.3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-1.2999999999999999E-3</v>
          </cell>
          <cell r="T1841">
            <v>0</v>
          </cell>
          <cell r="U1841" t="b">
            <v>0</v>
          </cell>
        </row>
        <row r="1842">
          <cell r="A1842" t="str">
            <v>Data split-15;Reg-62</v>
          </cell>
          <cell r="B1842">
            <v>-0.17</v>
          </cell>
          <cell r="C1842">
            <v>0</v>
          </cell>
          <cell r="D1842">
            <v>0.46</v>
          </cell>
          <cell r="E1842">
            <v>0</v>
          </cell>
          <cell r="F1842">
            <v>0</v>
          </cell>
          <cell r="G1842">
            <v>0</v>
          </cell>
          <cell r="H1842">
            <v>0</v>
          </cell>
          <cell r="I1842">
            <v>0.2</v>
          </cell>
          <cell r="J1842">
            <v>0</v>
          </cell>
          <cell r="K1842">
            <v>0</v>
          </cell>
          <cell r="L1842">
            <v>5.4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2.5000000000000001E-3</v>
          </cell>
          <cell r="U1842" t="b">
            <v>0</v>
          </cell>
        </row>
        <row r="1843">
          <cell r="A1843" t="str">
            <v>Data split-15;Reg-63</v>
          </cell>
          <cell r="B1843">
            <v>-6.5</v>
          </cell>
          <cell r="C1843">
            <v>0</v>
          </cell>
          <cell r="D1843">
            <v>0.52</v>
          </cell>
          <cell r="E1843">
            <v>0</v>
          </cell>
          <cell r="F1843">
            <v>0</v>
          </cell>
          <cell r="G1843">
            <v>0</v>
          </cell>
          <cell r="H1843">
            <v>0</v>
          </cell>
          <cell r="I1843">
            <v>0</v>
          </cell>
          <cell r="J1843">
            <v>20.2</v>
          </cell>
          <cell r="K1843">
            <v>-0.49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4.3E-3</v>
          </cell>
          <cell r="T1843">
            <v>0</v>
          </cell>
          <cell r="U1843" t="b">
            <v>0</v>
          </cell>
        </row>
        <row r="1844">
          <cell r="A1844" t="str">
            <v>Data split-15;Reg-64</v>
          </cell>
          <cell r="B1844">
            <v>-6.1</v>
          </cell>
          <cell r="C1844">
            <v>0</v>
          </cell>
          <cell r="D1844">
            <v>0.43</v>
          </cell>
          <cell r="E1844">
            <v>0</v>
          </cell>
          <cell r="F1844">
            <v>0</v>
          </cell>
          <cell r="G1844">
            <v>0</v>
          </cell>
          <cell r="H1844">
            <v>0</v>
          </cell>
          <cell r="I1844">
            <v>0</v>
          </cell>
          <cell r="J1844">
            <v>20.5</v>
          </cell>
          <cell r="K1844">
            <v>-0.82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3.7000000000000002E-3</v>
          </cell>
          <cell r="U1844" t="b">
            <v>0</v>
          </cell>
        </row>
        <row r="1845">
          <cell r="A1845" t="str">
            <v>Data split-15;Reg-65</v>
          </cell>
          <cell r="B1845">
            <v>-5.4</v>
          </cell>
          <cell r="C1845">
            <v>0</v>
          </cell>
          <cell r="D1845">
            <v>0.53</v>
          </cell>
          <cell r="E1845">
            <v>0</v>
          </cell>
          <cell r="F1845">
            <v>0</v>
          </cell>
          <cell r="G1845">
            <v>0</v>
          </cell>
          <cell r="H1845">
            <v>0</v>
          </cell>
          <cell r="I1845">
            <v>0</v>
          </cell>
          <cell r="J1845">
            <v>17.3</v>
          </cell>
          <cell r="K1845">
            <v>0</v>
          </cell>
          <cell r="L1845">
            <v>-1.7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1.2999999999999999E-4</v>
          </cell>
          <cell r="T1845">
            <v>0</v>
          </cell>
          <cell r="U1845" t="b">
            <v>0</v>
          </cell>
        </row>
        <row r="1846">
          <cell r="A1846" t="str">
            <v>Data split-15;Reg-66</v>
          </cell>
          <cell r="B1846">
            <v>-4.0999999999999996</v>
          </cell>
          <cell r="C1846">
            <v>0</v>
          </cell>
          <cell r="D1846">
            <v>0.44</v>
          </cell>
          <cell r="E1846">
            <v>0</v>
          </cell>
          <cell r="F1846">
            <v>0</v>
          </cell>
          <cell r="G1846">
            <v>0</v>
          </cell>
          <cell r="H1846">
            <v>0</v>
          </cell>
          <cell r="I1846">
            <v>0</v>
          </cell>
          <cell r="J1846">
            <v>14.6</v>
          </cell>
          <cell r="K1846">
            <v>0</v>
          </cell>
          <cell r="L1846">
            <v>-1.4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1.9E-3</v>
          </cell>
          <cell r="U1846" t="b">
            <v>0</v>
          </cell>
        </row>
        <row r="1847">
          <cell r="A1847" t="str">
            <v>Data split-15;Reg-67</v>
          </cell>
          <cell r="B1847">
            <v>0.66</v>
          </cell>
          <cell r="C1847">
            <v>0.23</v>
          </cell>
          <cell r="D1847">
            <v>0</v>
          </cell>
          <cell r="E1847">
            <v>0</v>
          </cell>
          <cell r="F1847">
            <v>0</v>
          </cell>
          <cell r="G1847">
            <v>0.68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 t="b">
            <v>0</v>
          </cell>
        </row>
        <row r="1848">
          <cell r="A1848" t="str">
            <v>Data split-15;Reg-68</v>
          </cell>
          <cell r="B1848">
            <v>-0.7</v>
          </cell>
          <cell r="C1848">
            <v>0.19</v>
          </cell>
          <cell r="D1848">
            <v>0</v>
          </cell>
          <cell r="E1848">
            <v>0</v>
          </cell>
          <cell r="F1848">
            <v>-5.7000000000000002E-2</v>
          </cell>
          <cell r="G1848">
            <v>0.96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 t="b">
            <v>0</v>
          </cell>
        </row>
        <row r="1849">
          <cell r="A1849" t="str">
            <v>Data split-15;Reg-69</v>
          </cell>
          <cell r="B1849">
            <v>-2.7</v>
          </cell>
          <cell r="C1849">
            <v>9.5000000000000001E-2</v>
          </cell>
          <cell r="D1849">
            <v>0</v>
          </cell>
          <cell r="E1849">
            <v>0</v>
          </cell>
          <cell r="F1849">
            <v>0</v>
          </cell>
          <cell r="G1849">
            <v>0.56999999999999995</v>
          </cell>
          <cell r="H1849">
            <v>0</v>
          </cell>
          <cell r="I1849">
            <v>0</v>
          </cell>
          <cell r="J1849">
            <v>9.9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 t="b">
            <v>0</v>
          </cell>
        </row>
        <row r="1850">
          <cell r="A1850" t="str">
            <v>Data split-15;Reg-70</v>
          </cell>
          <cell r="B1850">
            <v>-5.8</v>
          </cell>
          <cell r="C1850">
            <v>-0.16</v>
          </cell>
          <cell r="D1850">
            <v>0</v>
          </cell>
          <cell r="E1850">
            <v>0</v>
          </cell>
          <cell r="F1850">
            <v>0</v>
          </cell>
          <cell r="G1850">
            <v>1.4</v>
          </cell>
          <cell r="H1850">
            <v>0</v>
          </cell>
          <cell r="I1850">
            <v>0</v>
          </cell>
          <cell r="J1850">
            <v>11.1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-3.9E-2</v>
          </cell>
          <cell r="T1850">
            <v>0</v>
          </cell>
          <cell r="U1850" t="b">
            <v>0</v>
          </cell>
        </row>
        <row r="1851">
          <cell r="A1851" t="str">
            <v>Data split-15;Reg-71</v>
          </cell>
          <cell r="B1851">
            <v>-3.4</v>
          </cell>
          <cell r="C1851">
            <v>0.28999999999999998</v>
          </cell>
          <cell r="D1851">
            <v>0</v>
          </cell>
          <cell r="E1851">
            <v>0</v>
          </cell>
          <cell r="F1851">
            <v>2.3E-2</v>
          </cell>
          <cell r="G1851">
            <v>0</v>
          </cell>
          <cell r="H1851">
            <v>2.1</v>
          </cell>
          <cell r="I1851">
            <v>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-7.9000000000000001E-2</v>
          </cell>
          <cell r="T1851">
            <v>0</v>
          </cell>
          <cell r="U1851" t="b">
            <v>1</v>
          </cell>
        </row>
        <row r="1852">
          <cell r="A1852" t="str">
            <v>Data split-15;Reg-72</v>
          </cell>
          <cell r="B1852">
            <v>0.42</v>
          </cell>
          <cell r="C1852">
            <v>0.16</v>
          </cell>
          <cell r="D1852">
            <v>0</v>
          </cell>
          <cell r="E1852">
            <v>0.54</v>
          </cell>
          <cell r="F1852">
            <v>0</v>
          </cell>
          <cell r="G1852">
            <v>0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 t="b">
            <v>0</v>
          </cell>
        </row>
        <row r="1853">
          <cell r="A1853" t="str">
            <v>Data split-15;Reg-73</v>
          </cell>
          <cell r="B1853">
            <v>1.4</v>
          </cell>
          <cell r="C1853">
            <v>0.95</v>
          </cell>
          <cell r="D1853">
            <v>0</v>
          </cell>
          <cell r="E1853">
            <v>0</v>
          </cell>
          <cell r="F1853">
            <v>8.2000000000000007E-3</v>
          </cell>
          <cell r="G1853">
            <v>0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 t="b">
            <v>0</v>
          </cell>
        </row>
        <row r="1854">
          <cell r="A1854" t="str">
            <v>Data split-15;Reg-74</v>
          </cell>
          <cell r="B1854">
            <v>0.22</v>
          </cell>
          <cell r="C1854">
            <v>0</v>
          </cell>
          <cell r="D1854">
            <v>0.28999999999999998</v>
          </cell>
          <cell r="E1854">
            <v>0.43</v>
          </cell>
          <cell r="F1854">
            <v>0</v>
          </cell>
          <cell r="G1854">
            <v>0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 t="b">
            <v>0</v>
          </cell>
        </row>
        <row r="1855">
          <cell r="A1855" t="str">
            <v>Data split-15;Reg-75</v>
          </cell>
          <cell r="B1855">
            <v>0.54</v>
          </cell>
          <cell r="C1855">
            <v>0</v>
          </cell>
          <cell r="D1855">
            <v>0.78</v>
          </cell>
          <cell r="E1855">
            <v>0</v>
          </cell>
          <cell r="F1855">
            <v>0.02</v>
          </cell>
          <cell r="G1855">
            <v>0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 t="b">
            <v>0</v>
          </cell>
        </row>
        <row r="1856">
          <cell r="A1856" t="str">
            <v>Data split-15;Reg-76</v>
          </cell>
          <cell r="B1856">
            <v>0.66</v>
          </cell>
          <cell r="C1856">
            <v>0.23</v>
          </cell>
          <cell r="D1856">
            <v>0</v>
          </cell>
          <cell r="E1856">
            <v>0</v>
          </cell>
          <cell r="F1856">
            <v>0</v>
          </cell>
          <cell r="G1856">
            <v>0.68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 t="b">
            <v>0</v>
          </cell>
        </row>
        <row r="1857">
          <cell r="A1857" t="str">
            <v>Data split-15;Reg-77</v>
          </cell>
          <cell r="B1857">
            <v>1</v>
          </cell>
          <cell r="C1857">
            <v>0.42</v>
          </cell>
          <cell r="D1857">
            <v>0</v>
          </cell>
          <cell r="E1857">
            <v>0</v>
          </cell>
          <cell r="F1857">
            <v>0</v>
          </cell>
          <cell r="G1857">
            <v>0</v>
          </cell>
          <cell r="H1857">
            <v>0.57999999999999996</v>
          </cell>
          <cell r="I1857">
            <v>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 t="b">
            <v>0</v>
          </cell>
        </row>
        <row r="1858">
          <cell r="A1858" t="str">
            <v>Data split-15;Reg-78</v>
          </cell>
          <cell r="B1858">
            <v>0.25</v>
          </cell>
          <cell r="C1858">
            <v>0</v>
          </cell>
          <cell r="D1858">
            <v>0.35</v>
          </cell>
          <cell r="E1858">
            <v>0</v>
          </cell>
          <cell r="F1858">
            <v>0</v>
          </cell>
          <cell r="G1858">
            <v>0.53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 t="b">
            <v>0</v>
          </cell>
        </row>
        <row r="1859">
          <cell r="A1859" t="str">
            <v>Data split-15;Reg-79</v>
          </cell>
          <cell r="B1859">
            <v>0.53</v>
          </cell>
          <cell r="C1859">
            <v>0</v>
          </cell>
          <cell r="D1859">
            <v>0.46</v>
          </cell>
          <cell r="E1859">
            <v>0</v>
          </cell>
          <cell r="F1859">
            <v>0</v>
          </cell>
          <cell r="G1859">
            <v>0</v>
          </cell>
          <cell r="H1859">
            <v>0.45</v>
          </cell>
          <cell r="I1859">
            <v>0</v>
          </cell>
          <cell r="J1859">
            <v>0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 t="b">
            <v>0</v>
          </cell>
        </row>
        <row r="1860">
          <cell r="A1860" t="str">
            <v>Data split-15;Reg-80</v>
          </cell>
          <cell r="B1860">
            <v>0.23</v>
          </cell>
          <cell r="C1860">
            <v>0.72</v>
          </cell>
          <cell r="D1860">
            <v>0</v>
          </cell>
          <cell r="E1860">
            <v>0</v>
          </cell>
          <cell r="F1860">
            <v>0</v>
          </cell>
          <cell r="G1860">
            <v>0</v>
          </cell>
          <cell r="H1860">
            <v>0</v>
          </cell>
          <cell r="I1860">
            <v>0.73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 t="b">
            <v>0</v>
          </cell>
        </row>
        <row r="1861">
          <cell r="A1861" t="str">
            <v>Data split-15;Reg-81</v>
          </cell>
          <cell r="B1861">
            <v>-6.5</v>
          </cell>
          <cell r="C1861">
            <v>0.41</v>
          </cell>
          <cell r="D1861">
            <v>0</v>
          </cell>
          <cell r="E1861">
            <v>0</v>
          </cell>
          <cell r="F1861">
            <v>0</v>
          </cell>
          <cell r="G1861">
            <v>0</v>
          </cell>
          <cell r="H1861">
            <v>0</v>
          </cell>
          <cell r="I1861">
            <v>0</v>
          </cell>
          <cell r="J1861">
            <v>22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 t="b">
            <v>0</v>
          </cell>
        </row>
        <row r="1862">
          <cell r="A1862" t="str">
            <v>Data split-15;Reg-82</v>
          </cell>
          <cell r="B1862">
            <v>-0.64</v>
          </cell>
          <cell r="C1862">
            <v>0</v>
          </cell>
          <cell r="D1862">
            <v>0.65</v>
          </cell>
          <cell r="E1862">
            <v>0</v>
          </cell>
          <cell r="F1862">
            <v>0</v>
          </cell>
          <cell r="G1862">
            <v>0</v>
          </cell>
          <cell r="H1862">
            <v>0</v>
          </cell>
          <cell r="I1862">
            <v>0.65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 t="b">
            <v>0</v>
          </cell>
        </row>
        <row r="1863">
          <cell r="A1863" t="str">
            <v>Data split-15;Reg-83</v>
          </cell>
          <cell r="B1863">
            <v>-5.3</v>
          </cell>
          <cell r="C1863">
            <v>0</v>
          </cell>
          <cell r="D1863">
            <v>0.51</v>
          </cell>
          <cell r="E1863">
            <v>0</v>
          </cell>
          <cell r="F1863">
            <v>0</v>
          </cell>
          <cell r="G1863">
            <v>0</v>
          </cell>
          <cell r="H1863">
            <v>0</v>
          </cell>
          <cell r="I1863">
            <v>0</v>
          </cell>
          <cell r="J1863">
            <v>16.2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 t="b">
            <v>0</v>
          </cell>
        </row>
        <row r="1864">
          <cell r="A1864" t="str">
            <v>Data split-15;Reg-84</v>
          </cell>
          <cell r="B1864">
            <v>1.3</v>
          </cell>
          <cell r="C1864">
            <v>0.79</v>
          </cell>
          <cell r="D1864">
            <v>0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0</v>
          </cell>
          <cell r="J1864">
            <v>0</v>
          </cell>
          <cell r="K1864">
            <v>0.45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 t="b">
            <v>0</v>
          </cell>
        </row>
        <row r="1865">
          <cell r="A1865" t="str">
            <v>Data split-15;Reg-85</v>
          </cell>
          <cell r="B1865">
            <v>-0.82</v>
          </cell>
          <cell r="C1865">
            <v>0.52</v>
          </cell>
          <cell r="D1865">
            <v>0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13.8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 t="b">
            <v>0</v>
          </cell>
        </row>
        <row r="1866">
          <cell r="A1866" t="str">
            <v>Data split-15;Reg-86</v>
          </cell>
          <cell r="B1866">
            <v>0.32</v>
          </cell>
          <cell r="C1866">
            <v>0</v>
          </cell>
          <cell r="D1866">
            <v>0.68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0</v>
          </cell>
          <cell r="J1866">
            <v>0</v>
          </cell>
          <cell r="K1866">
            <v>0.46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 t="b">
            <v>0</v>
          </cell>
        </row>
        <row r="1867">
          <cell r="A1867" t="str">
            <v>Data split-15;Reg-87</v>
          </cell>
          <cell r="B1867">
            <v>-1</v>
          </cell>
          <cell r="C1867">
            <v>0</v>
          </cell>
          <cell r="D1867">
            <v>0.62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8.6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 t="b">
            <v>0</v>
          </cell>
        </row>
        <row r="1868">
          <cell r="A1868" t="str">
            <v>Data split-15;Reg-88</v>
          </cell>
          <cell r="B1868">
            <v>1.9</v>
          </cell>
          <cell r="C1868">
            <v>0.72</v>
          </cell>
          <cell r="D1868">
            <v>0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0</v>
          </cell>
          <cell r="M1868">
            <v>1.4E-2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 t="b">
            <v>0</v>
          </cell>
        </row>
        <row r="1869">
          <cell r="A1869" t="str">
            <v>Data split-15;Reg-89</v>
          </cell>
          <cell r="B1869">
            <v>1.9</v>
          </cell>
          <cell r="C1869">
            <v>0.56000000000000005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5.0000000000000001E-3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 t="b">
            <v>0</v>
          </cell>
        </row>
        <row r="1870">
          <cell r="A1870" t="str">
            <v>Data split-15;Reg-90</v>
          </cell>
          <cell r="B1870">
            <v>0.61</v>
          </cell>
          <cell r="C1870">
            <v>0</v>
          </cell>
          <cell r="D1870">
            <v>0.74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0</v>
          </cell>
          <cell r="M1870">
            <v>6.7000000000000002E-3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 t="b">
            <v>0</v>
          </cell>
        </row>
        <row r="1871">
          <cell r="A1871" t="str">
            <v>Data split-15;Reg-91</v>
          </cell>
          <cell r="B1871">
            <v>0.88</v>
          </cell>
          <cell r="C1871">
            <v>0</v>
          </cell>
          <cell r="D1871">
            <v>0.61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3.2000000000000002E-3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 t="b">
            <v>0</v>
          </cell>
        </row>
        <row r="1872">
          <cell r="A1872" t="str">
            <v>Data split-15;Reg-92</v>
          </cell>
          <cell r="B1872">
            <v>0.97</v>
          </cell>
          <cell r="C1872">
            <v>1.1000000000000001</v>
          </cell>
          <cell r="D1872">
            <v>0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-4.1000000000000003E-3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 t="b">
            <v>0</v>
          </cell>
        </row>
        <row r="1873">
          <cell r="A1873" t="str">
            <v>Data split-15;Reg-93</v>
          </cell>
          <cell r="B1873">
            <v>1</v>
          </cell>
          <cell r="C1873">
            <v>1</v>
          </cell>
          <cell r="D1873">
            <v>0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-8.4999999999999995E-4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 t="b">
            <v>0</v>
          </cell>
        </row>
        <row r="1874">
          <cell r="A1874" t="str">
            <v>Data split-15;Reg-94</v>
          </cell>
          <cell r="B1874">
            <v>0.43</v>
          </cell>
          <cell r="C1874">
            <v>0</v>
          </cell>
          <cell r="D1874">
            <v>0.79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5.8999999999999999E-3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 t="b">
            <v>0</v>
          </cell>
        </row>
        <row r="1875">
          <cell r="A1875" t="str">
            <v>Data split-15;Reg-95</v>
          </cell>
          <cell r="B1875">
            <v>0.5</v>
          </cell>
          <cell r="C1875">
            <v>0</v>
          </cell>
          <cell r="D1875">
            <v>0.76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1.9E-3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 t="b">
            <v>0</v>
          </cell>
        </row>
        <row r="1876">
          <cell r="A1876" t="str">
            <v>Data split-15;Reg-96</v>
          </cell>
          <cell r="B1876">
            <v>0.45</v>
          </cell>
          <cell r="C1876">
            <v>0.16</v>
          </cell>
          <cell r="D1876">
            <v>0</v>
          </cell>
          <cell r="E1876">
            <v>0.55000000000000004</v>
          </cell>
          <cell r="F1876">
            <v>0</v>
          </cell>
          <cell r="G1876">
            <v>0</v>
          </cell>
          <cell r="H1876">
            <v>0</v>
          </cell>
          <cell r="I1876">
            <v>-2.5999999999999999E-2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 t="b">
            <v>0</v>
          </cell>
        </row>
        <row r="1877">
          <cell r="A1877" t="str">
            <v>Data split-15;Reg-97</v>
          </cell>
          <cell r="B1877">
            <v>-3.8</v>
          </cell>
          <cell r="C1877">
            <v>-8.8000000000000005E-3</v>
          </cell>
          <cell r="D1877">
            <v>0</v>
          </cell>
          <cell r="E1877">
            <v>0.43</v>
          </cell>
          <cell r="F1877">
            <v>0</v>
          </cell>
          <cell r="G1877">
            <v>0</v>
          </cell>
          <cell r="H1877">
            <v>0</v>
          </cell>
          <cell r="I1877">
            <v>0</v>
          </cell>
          <cell r="J1877">
            <v>12.6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 t="b">
            <v>0</v>
          </cell>
        </row>
        <row r="1878">
          <cell r="A1878" t="str">
            <v>Data split-15;Reg-98</v>
          </cell>
          <cell r="B1878">
            <v>-4.5999999999999996</v>
          </cell>
          <cell r="C1878">
            <v>0.48</v>
          </cell>
          <cell r="D1878">
            <v>0</v>
          </cell>
          <cell r="E1878">
            <v>0</v>
          </cell>
          <cell r="F1878">
            <v>-0.11</v>
          </cell>
          <cell r="G1878">
            <v>0</v>
          </cell>
          <cell r="H1878">
            <v>0</v>
          </cell>
          <cell r="I1878">
            <v>2.7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 t="b">
            <v>0</v>
          </cell>
        </row>
        <row r="1879">
          <cell r="A1879" t="str">
            <v>Data split-15;Reg-99</v>
          </cell>
          <cell r="B1879">
            <v>-8.5</v>
          </cell>
          <cell r="C1879">
            <v>0.41</v>
          </cell>
          <cell r="D1879">
            <v>0</v>
          </cell>
          <cell r="E1879">
            <v>0</v>
          </cell>
          <cell r="F1879">
            <v>-2.5999999999999999E-2</v>
          </cell>
          <cell r="G1879">
            <v>0</v>
          </cell>
          <cell r="H1879">
            <v>0</v>
          </cell>
          <cell r="I1879">
            <v>0</v>
          </cell>
          <cell r="J1879">
            <v>26.5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 t="b">
            <v>0</v>
          </cell>
        </row>
        <row r="1880">
          <cell r="A1880" t="str">
            <v>Data split-15;Reg-100</v>
          </cell>
          <cell r="B1880">
            <v>-0.11</v>
          </cell>
          <cell r="C1880">
            <v>0</v>
          </cell>
          <cell r="D1880">
            <v>0.35</v>
          </cell>
          <cell r="E1880">
            <v>0.32</v>
          </cell>
          <cell r="F1880">
            <v>0</v>
          </cell>
          <cell r="G1880">
            <v>0</v>
          </cell>
          <cell r="H1880">
            <v>0</v>
          </cell>
          <cell r="I1880">
            <v>0.26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 t="b">
            <v>0</v>
          </cell>
        </row>
        <row r="1881">
          <cell r="A1881" t="str">
            <v>Data split-15;Reg-101</v>
          </cell>
          <cell r="B1881">
            <v>-4.0999999999999996</v>
          </cell>
          <cell r="C1881">
            <v>0</v>
          </cell>
          <cell r="D1881">
            <v>0.31</v>
          </cell>
          <cell r="E1881">
            <v>0.2</v>
          </cell>
          <cell r="F1881">
            <v>0</v>
          </cell>
          <cell r="G1881">
            <v>0</v>
          </cell>
          <cell r="H1881">
            <v>0</v>
          </cell>
          <cell r="I1881">
            <v>0</v>
          </cell>
          <cell r="J1881">
            <v>12.9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 t="b">
            <v>0</v>
          </cell>
        </row>
        <row r="1882">
          <cell r="A1882" t="str">
            <v>Data split-15;Reg-102</v>
          </cell>
          <cell r="B1882">
            <v>-3.5</v>
          </cell>
          <cell r="C1882">
            <v>0</v>
          </cell>
          <cell r="D1882">
            <v>0.52</v>
          </cell>
          <cell r="E1882">
            <v>0</v>
          </cell>
          <cell r="F1882">
            <v>-6.9000000000000006E-2</v>
          </cell>
          <cell r="G1882">
            <v>0</v>
          </cell>
          <cell r="H1882">
            <v>0</v>
          </cell>
          <cell r="I1882">
            <v>1.9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 t="b">
            <v>0</v>
          </cell>
        </row>
        <row r="1883">
          <cell r="A1883" t="str">
            <v>Data split-15;Reg-103</v>
          </cell>
          <cell r="B1883">
            <v>-6.6</v>
          </cell>
          <cell r="C1883">
            <v>0</v>
          </cell>
          <cell r="D1883">
            <v>0.49</v>
          </cell>
          <cell r="E1883">
            <v>0</v>
          </cell>
          <cell r="F1883">
            <v>-1.4E-2</v>
          </cell>
          <cell r="G1883">
            <v>0</v>
          </cell>
          <cell r="H1883">
            <v>0</v>
          </cell>
          <cell r="I1883">
            <v>0</v>
          </cell>
          <cell r="J1883">
            <v>19.2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 t="b">
            <v>0</v>
          </cell>
        </row>
        <row r="1884">
          <cell r="A1884" t="str">
            <v>Data split-15;Reg-104</v>
          </cell>
          <cell r="B1884">
            <v>0.24</v>
          </cell>
          <cell r="C1884">
            <v>0.27</v>
          </cell>
          <cell r="D1884">
            <v>0</v>
          </cell>
          <cell r="E1884">
            <v>0.6</v>
          </cell>
          <cell r="F1884">
            <v>0</v>
          </cell>
          <cell r="G1884">
            <v>0</v>
          </cell>
          <cell r="H1884">
            <v>0</v>
          </cell>
          <cell r="I1884">
            <v>0</v>
          </cell>
          <cell r="J1884">
            <v>0</v>
          </cell>
          <cell r="K1884">
            <v>-0.45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 t="b">
            <v>0</v>
          </cell>
        </row>
        <row r="1885">
          <cell r="A1885" t="str">
            <v>Data split-15;Reg-105</v>
          </cell>
          <cell r="B1885">
            <v>-0.76</v>
          </cell>
          <cell r="C1885">
            <v>-8.8999999999999996E-2</v>
          </cell>
          <cell r="D1885">
            <v>0</v>
          </cell>
          <cell r="E1885">
            <v>0.52</v>
          </cell>
          <cell r="F1885">
            <v>0</v>
          </cell>
          <cell r="G1885">
            <v>0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8.1999999999999993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 t="b">
            <v>0</v>
          </cell>
        </row>
        <row r="1886">
          <cell r="A1886" t="str">
            <v>Data split-15;Reg-106</v>
          </cell>
          <cell r="B1886">
            <v>1.1000000000000001</v>
          </cell>
          <cell r="C1886">
            <v>0.72</v>
          </cell>
          <cell r="D1886">
            <v>0</v>
          </cell>
          <cell r="E1886">
            <v>0</v>
          </cell>
          <cell r="F1886">
            <v>-1.4999999999999999E-2</v>
          </cell>
          <cell r="G1886">
            <v>0</v>
          </cell>
          <cell r="H1886">
            <v>0</v>
          </cell>
          <cell r="I1886">
            <v>0</v>
          </cell>
          <cell r="J1886">
            <v>0</v>
          </cell>
          <cell r="K1886">
            <v>0.77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 t="b">
            <v>0</v>
          </cell>
        </row>
        <row r="1887">
          <cell r="A1887" t="str">
            <v>Data split-15;Reg-107</v>
          </cell>
          <cell r="B1887">
            <v>-0.66</v>
          </cell>
          <cell r="C1887">
            <v>0.49</v>
          </cell>
          <cell r="D1887">
            <v>0</v>
          </cell>
          <cell r="E1887">
            <v>0</v>
          </cell>
          <cell r="F1887">
            <v>7.9000000000000008E-3</v>
          </cell>
          <cell r="G1887">
            <v>0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13.7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 t="b">
            <v>0</v>
          </cell>
        </row>
        <row r="1888">
          <cell r="A1888" t="str">
            <v>Data split-15;Reg-108</v>
          </cell>
          <cell r="B1888">
            <v>0.2</v>
          </cell>
          <cell r="C1888">
            <v>0</v>
          </cell>
          <cell r="D1888">
            <v>0.28000000000000003</v>
          </cell>
          <cell r="E1888">
            <v>0.45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</v>
          </cell>
          <cell r="K1888">
            <v>-7.0999999999999994E-2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 t="b">
            <v>0</v>
          </cell>
        </row>
        <row r="1889">
          <cell r="A1889" t="str">
            <v>Data split-15;Reg-109</v>
          </cell>
          <cell r="B1889">
            <v>-0.5</v>
          </cell>
          <cell r="C1889">
            <v>0</v>
          </cell>
          <cell r="D1889">
            <v>0.22</v>
          </cell>
          <cell r="E1889">
            <v>0.37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5.3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 t="b">
            <v>0</v>
          </cell>
        </row>
        <row r="1890">
          <cell r="A1890" t="str">
            <v>Data split-15;Reg-110</v>
          </cell>
          <cell r="B1890">
            <v>0.38</v>
          </cell>
          <cell r="C1890">
            <v>0</v>
          </cell>
          <cell r="D1890">
            <v>0.7</v>
          </cell>
          <cell r="E1890">
            <v>0</v>
          </cell>
          <cell r="F1890">
            <v>4.4999999999999997E-3</v>
          </cell>
          <cell r="G1890">
            <v>0</v>
          </cell>
          <cell r="H1890">
            <v>0</v>
          </cell>
          <cell r="I1890">
            <v>0</v>
          </cell>
          <cell r="J1890">
            <v>0</v>
          </cell>
          <cell r="K1890">
            <v>0.38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 t="b">
            <v>0</v>
          </cell>
        </row>
        <row r="1891">
          <cell r="A1891" t="str">
            <v>Data split-15;Reg-111</v>
          </cell>
          <cell r="B1891">
            <v>-0.56999999999999995</v>
          </cell>
          <cell r="C1891">
            <v>0</v>
          </cell>
          <cell r="D1891">
            <v>0.61</v>
          </cell>
          <cell r="E1891">
            <v>0</v>
          </cell>
          <cell r="F1891">
            <v>1.2E-2</v>
          </cell>
          <cell r="G1891">
            <v>0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7.2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 t="b">
            <v>0</v>
          </cell>
        </row>
        <row r="1892">
          <cell r="A1892" t="str">
            <v>Data split-15;Reg-112</v>
          </cell>
          <cell r="B1892">
            <v>1.2</v>
          </cell>
          <cell r="C1892">
            <v>0.28000000000000003</v>
          </cell>
          <cell r="D1892">
            <v>0</v>
          </cell>
          <cell r="E1892">
            <v>0</v>
          </cell>
          <cell r="F1892">
            <v>0</v>
          </cell>
          <cell r="G1892">
            <v>0.81</v>
          </cell>
          <cell r="H1892">
            <v>0</v>
          </cell>
          <cell r="I1892">
            <v>-0.5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 t="b">
            <v>0</v>
          </cell>
        </row>
        <row r="1893">
          <cell r="A1893" t="str">
            <v>Data split-15;Reg-113</v>
          </cell>
          <cell r="B1893">
            <v>-2.7</v>
          </cell>
          <cell r="C1893">
            <v>9.5000000000000001E-2</v>
          </cell>
          <cell r="D1893">
            <v>0</v>
          </cell>
          <cell r="E1893">
            <v>0</v>
          </cell>
          <cell r="F1893">
            <v>0</v>
          </cell>
          <cell r="G1893">
            <v>0.56999999999999995</v>
          </cell>
          <cell r="H1893">
            <v>0</v>
          </cell>
          <cell r="I1893">
            <v>0</v>
          </cell>
          <cell r="J1893">
            <v>9.9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 t="b">
            <v>0</v>
          </cell>
        </row>
        <row r="1894">
          <cell r="A1894" t="str">
            <v>Data split-15;Reg-114</v>
          </cell>
          <cell r="B1894">
            <v>1.6</v>
          </cell>
          <cell r="C1894">
            <v>0.48</v>
          </cell>
          <cell r="D1894">
            <v>0</v>
          </cell>
          <cell r="E1894">
            <v>0</v>
          </cell>
          <cell r="F1894">
            <v>0</v>
          </cell>
          <cell r="G1894">
            <v>0</v>
          </cell>
          <cell r="H1894">
            <v>0.7</v>
          </cell>
          <cell r="I1894">
            <v>-0.48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 t="b">
            <v>0</v>
          </cell>
        </row>
        <row r="1895">
          <cell r="A1895" t="str">
            <v>Data split-15;Reg-115</v>
          </cell>
          <cell r="B1895">
            <v>-2.8</v>
          </cell>
          <cell r="C1895">
            <v>0.23</v>
          </cell>
          <cell r="D1895">
            <v>0</v>
          </cell>
          <cell r="E1895">
            <v>0</v>
          </cell>
          <cell r="F1895">
            <v>0</v>
          </cell>
          <cell r="G1895">
            <v>0</v>
          </cell>
          <cell r="H1895">
            <v>0.47</v>
          </cell>
          <cell r="I1895">
            <v>0</v>
          </cell>
          <cell r="J1895">
            <v>11.2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 t="b">
            <v>0</v>
          </cell>
        </row>
        <row r="1896">
          <cell r="A1896" t="str">
            <v>Data split-15;Reg-116</v>
          </cell>
          <cell r="B1896">
            <v>0.54</v>
          </cell>
          <cell r="C1896">
            <v>0</v>
          </cell>
          <cell r="D1896">
            <v>0.34</v>
          </cell>
          <cell r="E1896">
            <v>0</v>
          </cell>
          <cell r="F1896">
            <v>0</v>
          </cell>
          <cell r="G1896">
            <v>0.61</v>
          </cell>
          <cell r="H1896">
            <v>0</v>
          </cell>
          <cell r="I1896">
            <v>-0.22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 t="b">
            <v>0</v>
          </cell>
        </row>
        <row r="1897">
          <cell r="A1897" t="str">
            <v>Data split-15;Reg-117</v>
          </cell>
          <cell r="B1897">
            <v>-2.7</v>
          </cell>
          <cell r="C1897">
            <v>0</v>
          </cell>
          <cell r="D1897">
            <v>0.28999999999999998</v>
          </cell>
          <cell r="E1897">
            <v>0</v>
          </cell>
          <cell r="F1897">
            <v>0</v>
          </cell>
          <cell r="G1897">
            <v>0.4</v>
          </cell>
          <cell r="H1897">
            <v>0</v>
          </cell>
          <cell r="I1897">
            <v>0</v>
          </cell>
          <cell r="J1897">
            <v>8.5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 t="b">
            <v>0</v>
          </cell>
        </row>
        <row r="1898">
          <cell r="A1898" t="str">
            <v>Data split-15;Reg-118</v>
          </cell>
          <cell r="B1898">
            <v>0.4</v>
          </cell>
          <cell r="C1898">
            <v>0</v>
          </cell>
          <cell r="D1898">
            <v>0.47</v>
          </cell>
          <cell r="E1898">
            <v>0</v>
          </cell>
          <cell r="F1898">
            <v>0</v>
          </cell>
          <cell r="G1898">
            <v>0</v>
          </cell>
          <cell r="H1898">
            <v>0.42</v>
          </cell>
          <cell r="I1898">
            <v>8.6999999999999994E-2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 t="b">
            <v>0</v>
          </cell>
        </row>
        <row r="1899">
          <cell r="A1899" t="str">
            <v>Data split-15;Reg-119</v>
          </cell>
          <cell r="B1899">
            <v>-3.5</v>
          </cell>
          <cell r="C1899">
            <v>0</v>
          </cell>
          <cell r="D1899">
            <v>0.36</v>
          </cell>
          <cell r="E1899">
            <v>0</v>
          </cell>
          <cell r="F1899">
            <v>0</v>
          </cell>
          <cell r="G1899">
            <v>0</v>
          </cell>
          <cell r="H1899">
            <v>0.28999999999999998</v>
          </cell>
          <cell r="I1899">
            <v>0</v>
          </cell>
          <cell r="J1899">
            <v>11.5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 t="b">
            <v>0</v>
          </cell>
        </row>
        <row r="1900">
          <cell r="A1900" t="str">
            <v>Data split-15;Reg-120</v>
          </cell>
          <cell r="B1900">
            <v>0.17</v>
          </cell>
          <cell r="C1900">
            <v>0.53</v>
          </cell>
          <cell r="D1900">
            <v>0</v>
          </cell>
          <cell r="E1900">
            <v>0</v>
          </cell>
          <cell r="F1900">
            <v>0</v>
          </cell>
          <cell r="G1900">
            <v>0.93</v>
          </cell>
          <cell r="H1900">
            <v>0</v>
          </cell>
          <cell r="I1900">
            <v>0</v>
          </cell>
          <cell r="J1900">
            <v>0</v>
          </cell>
          <cell r="K1900">
            <v>-1.3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 t="b">
            <v>0</v>
          </cell>
        </row>
        <row r="1901">
          <cell r="A1901" t="str">
            <v>Data split-15;Reg-121</v>
          </cell>
          <cell r="B1901">
            <v>9.7000000000000003E-2</v>
          </cell>
          <cell r="C1901">
            <v>0.12</v>
          </cell>
          <cell r="D1901">
            <v>0</v>
          </cell>
          <cell r="E1901">
            <v>0</v>
          </cell>
          <cell r="F1901">
            <v>0</v>
          </cell>
          <cell r="G1901">
            <v>0.66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4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 t="b">
            <v>0</v>
          </cell>
        </row>
        <row r="1902">
          <cell r="A1902" t="str">
            <v>Data split-15;Reg-122</v>
          </cell>
          <cell r="B1902">
            <v>0.71</v>
          </cell>
          <cell r="C1902">
            <v>0.73</v>
          </cell>
          <cell r="D1902">
            <v>0</v>
          </cell>
          <cell r="E1902">
            <v>0</v>
          </cell>
          <cell r="F1902">
            <v>0</v>
          </cell>
          <cell r="G1902">
            <v>0</v>
          </cell>
          <cell r="H1902">
            <v>0.79</v>
          </cell>
          <cell r="I1902">
            <v>0</v>
          </cell>
          <cell r="J1902">
            <v>0</v>
          </cell>
          <cell r="K1902">
            <v>-1.1000000000000001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 t="b">
            <v>0</v>
          </cell>
        </row>
        <row r="1903">
          <cell r="A1903" t="str">
            <v>Data split-15;Reg-123</v>
          </cell>
          <cell r="B1903">
            <v>0.15</v>
          </cell>
          <cell r="C1903">
            <v>0.24</v>
          </cell>
          <cell r="D1903">
            <v>0</v>
          </cell>
          <cell r="E1903">
            <v>0</v>
          </cell>
          <cell r="F1903">
            <v>0</v>
          </cell>
          <cell r="G1903">
            <v>0</v>
          </cell>
          <cell r="H1903">
            <v>0.56000000000000005</v>
          </cell>
          <cell r="I1903">
            <v>0</v>
          </cell>
          <cell r="J1903">
            <v>0</v>
          </cell>
          <cell r="K1903">
            <v>0</v>
          </cell>
          <cell r="L1903">
            <v>6.1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 t="b">
            <v>0</v>
          </cell>
        </row>
        <row r="1904">
          <cell r="A1904" t="str">
            <v>Data split-15;Reg-124</v>
          </cell>
          <cell r="B1904">
            <v>7.8E-2</v>
          </cell>
          <cell r="C1904">
            <v>0</v>
          </cell>
          <cell r="D1904">
            <v>0.37</v>
          </cell>
          <cell r="E1904">
            <v>0</v>
          </cell>
          <cell r="F1904">
            <v>0</v>
          </cell>
          <cell r="G1904">
            <v>0.73</v>
          </cell>
          <cell r="H1904">
            <v>0</v>
          </cell>
          <cell r="I1904">
            <v>0</v>
          </cell>
          <cell r="J1904">
            <v>0</v>
          </cell>
          <cell r="K1904">
            <v>-0.61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 t="b">
            <v>0</v>
          </cell>
        </row>
        <row r="1905">
          <cell r="A1905" t="str">
            <v>Data split-15;Reg-125</v>
          </cell>
          <cell r="B1905">
            <v>1.2E-2</v>
          </cell>
          <cell r="C1905">
            <v>0</v>
          </cell>
          <cell r="D1905">
            <v>0.32</v>
          </cell>
          <cell r="E1905">
            <v>0</v>
          </cell>
          <cell r="F1905">
            <v>0</v>
          </cell>
          <cell r="G1905">
            <v>0.51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1.7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 t="b">
            <v>0</v>
          </cell>
        </row>
        <row r="1906">
          <cell r="A1906" t="str">
            <v>Data split-15;Reg-126</v>
          </cell>
          <cell r="B1906">
            <v>0.51</v>
          </cell>
          <cell r="C1906">
            <v>0</v>
          </cell>
          <cell r="D1906">
            <v>0.48</v>
          </cell>
          <cell r="E1906">
            <v>0</v>
          </cell>
          <cell r="F1906">
            <v>0</v>
          </cell>
          <cell r="G1906">
            <v>0</v>
          </cell>
          <cell r="H1906">
            <v>0.49</v>
          </cell>
          <cell r="I1906">
            <v>0</v>
          </cell>
          <cell r="J1906">
            <v>0</v>
          </cell>
          <cell r="K1906">
            <v>-0.15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 t="b">
            <v>0</v>
          </cell>
        </row>
        <row r="1907">
          <cell r="A1907" t="str">
            <v>Data split-15;Reg-127</v>
          </cell>
          <cell r="B1907">
            <v>-0.26</v>
          </cell>
          <cell r="C1907">
            <v>0</v>
          </cell>
          <cell r="D1907">
            <v>0.35</v>
          </cell>
          <cell r="E1907">
            <v>0</v>
          </cell>
          <cell r="F1907">
            <v>0</v>
          </cell>
          <cell r="G1907">
            <v>0</v>
          </cell>
          <cell r="H1907">
            <v>0.41</v>
          </cell>
          <cell r="I1907">
            <v>0</v>
          </cell>
          <cell r="J1907">
            <v>0</v>
          </cell>
          <cell r="K1907">
            <v>0</v>
          </cell>
          <cell r="L1907">
            <v>5.6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 t="b">
            <v>0</v>
          </cell>
        </row>
        <row r="1908">
          <cell r="A1908" t="str">
            <v>Data split-16;Reg-1</v>
          </cell>
          <cell r="B1908">
            <v>-0.73</v>
          </cell>
          <cell r="C1908">
            <v>0.52</v>
          </cell>
          <cell r="D1908">
            <v>0</v>
          </cell>
          <cell r="E1908">
            <v>0</v>
          </cell>
          <cell r="F1908">
            <v>0</v>
          </cell>
          <cell r="G1908">
            <v>0</v>
          </cell>
          <cell r="H1908">
            <v>0.87</v>
          </cell>
          <cell r="I1908">
            <v>0</v>
          </cell>
          <cell r="J1908">
            <v>0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-2.3E-2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 t="b">
            <v>1</v>
          </cell>
        </row>
        <row r="1909">
          <cell r="A1909" t="str">
            <v>Data split-16;Reg-2</v>
          </cell>
          <cell r="B1909">
            <v>-3.5</v>
          </cell>
          <cell r="C1909">
            <v>0.2</v>
          </cell>
          <cell r="D1909">
            <v>0</v>
          </cell>
          <cell r="E1909">
            <v>0</v>
          </cell>
          <cell r="F1909">
            <v>-0.06</v>
          </cell>
          <cell r="G1909">
            <v>1.4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0</v>
          </cell>
          <cell r="M1909">
            <v>0</v>
          </cell>
          <cell r="N1909">
            <v>-4.7999999999999996E-3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 t="b">
            <v>0</v>
          </cell>
        </row>
        <row r="1910">
          <cell r="A1910" t="str">
            <v>Data split-16;Reg-3</v>
          </cell>
          <cell r="B1910">
            <v>-2.2000000000000002</v>
          </cell>
          <cell r="C1910">
            <v>0.25</v>
          </cell>
          <cell r="D1910">
            <v>0</v>
          </cell>
          <cell r="E1910">
            <v>0</v>
          </cell>
          <cell r="F1910">
            <v>-4.3999999999999997E-2</v>
          </cell>
          <cell r="G1910">
            <v>0</v>
          </cell>
          <cell r="H1910">
            <v>1.7</v>
          </cell>
          <cell r="I1910">
            <v>0</v>
          </cell>
          <cell r="J1910">
            <v>0</v>
          </cell>
          <cell r="K1910">
            <v>0</v>
          </cell>
          <cell r="L1910">
            <v>0</v>
          </cell>
          <cell r="M1910">
            <v>-3.5999999999999997E-2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 t="b">
            <v>0</v>
          </cell>
        </row>
        <row r="1911">
          <cell r="A1911" t="str">
            <v>Data split-16;Reg-4</v>
          </cell>
          <cell r="B1911">
            <v>-2</v>
          </cell>
          <cell r="C1911">
            <v>0.33</v>
          </cell>
          <cell r="D1911">
            <v>0</v>
          </cell>
          <cell r="E1911">
            <v>0</v>
          </cell>
          <cell r="F1911">
            <v>-5.0999999999999997E-2</v>
          </cell>
          <cell r="G1911">
            <v>0</v>
          </cell>
          <cell r="H1911">
            <v>1.7</v>
          </cell>
          <cell r="I1911">
            <v>0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-8.8999999999999999E-3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 t="b">
            <v>0</v>
          </cell>
        </row>
        <row r="1912">
          <cell r="A1912" t="str">
            <v>Data split-16;Reg-5</v>
          </cell>
          <cell r="B1912">
            <v>-3.3</v>
          </cell>
          <cell r="C1912">
            <v>0</v>
          </cell>
          <cell r="D1912">
            <v>0.34</v>
          </cell>
          <cell r="E1912">
            <v>0</v>
          </cell>
          <cell r="F1912">
            <v>-3.2000000000000001E-2</v>
          </cell>
          <cell r="G1912">
            <v>1.3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-6.7000000000000002E-3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 t="b">
            <v>0</v>
          </cell>
        </row>
        <row r="1913">
          <cell r="A1913" t="str">
            <v>Data split-16;Reg-6</v>
          </cell>
          <cell r="B1913">
            <v>-1.8</v>
          </cell>
          <cell r="C1913">
            <v>0</v>
          </cell>
          <cell r="D1913">
            <v>0.37</v>
          </cell>
          <cell r="E1913">
            <v>0</v>
          </cell>
          <cell r="F1913">
            <v>-2.3E-2</v>
          </cell>
          <cell r="G1913">
            <v>0</v>
          </cell>
          <cell r="H1913">
            <v>1.7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-1.0999999999999999E-2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 t="b">
            <v>0</v>
          </cell>
        </row>
        <row r="1914">
          <cell r="A1914" t="str">
            <v>Data split-16;Reg-7</v>
          </cell>
          <cell r="B1914">
            <v>-1.7</v>
          </cell>
          <cell r="C1914">
            <v>0.38</v>
          </cell>
          <cell r="D1914">
            <v>0</v>
          </cell>
          <cell r="E1914">
            <v>0</v>
          </cell>
          <cell r="F1914">
            <v>0</v>
          </cell>
          <cell r="G1914">
            <v>0</v>
          </cell>
          <cell r="H1914">
            <v>0.57999999999999996</v>
          </cell>
          <cell r="I1914">
            <v>1.3</v>
          </cell>
          <cell r="J1914">
            <v>0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-0.03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 t="b">
            <v>0</v>
          </cell>
        </row>
        <row r="1915">
          <cell r="A1915" t="str">
            <v>Data split-16;Reg-8</v>
          </cell>
          <cell r="B1915">
            <v>-1.3</v>
          </cell>
          <cell r="C1915">
            <v>0.48</v>
          </cell>
          <cell r="D1915">
            <v>0</v>
          </cell>
          <cell r="E1915">
            <v>0</v>
          </cell>
          <cell r="F1915">
            <v>0</v>
          </cell>
          <cell r="G1915">
            <v>0</v>
          </cell>
          <cell r="H1915">
            <v>0.54</v>
          </cell>
          <cell r="I1915">
            <v>1.1000000000000001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-6.1999999999999998E-3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 t="b">
            <v>0</v>
          </cell>
        </row>
        <row r="1916">
          <cell r="A1916" t="str">
            <v>Data split-16;Reg-9</v>
          </cell>
          <cell r="B1916">
            <v>-0.1</v>
          </cell>
          <cell r="C1916">
            <v>0.56000000000000005</v>
          </cell>
          <cell r="D1916">
            <v>0</v>
          </cell>
          <cell r="E1916">
            <v>0</v>
          </cell>
          <cell r="F1916">
            <v>0</v>
          </cell>
          <cell r="G1916">
            <v>-4.5999999999999999E-2</v>
          </cell>
          <cell r="H1916">
            <v>0</v>
          </cell>
          <cell r="I1916">
            <v>0.37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5.1000000000000004E-3</v>
          </cell>
          <cell r="S1916">
            <v>0</v>
          </cell>
          <cell r="T1916">
            <v>0</v>
          </cell>
          <cell r="U1916" t="b">
            <v>0</v>
          </cell>
        </row>
        <row r="1917">
          <cell r="A1917" t="str">
            <v>Data split-16;Reg-10</v>
          </cell>
          <cell r="B1917">
            <v>-0.51</v>
          </cell>
          <cell r="C1917">
            <v>0.4</v>
          </cell>
          <cell r="D1917">
            <v>0</v>
          </cell>
          <cell r="E1917">
            <v>0</v>
          </cell>
          <cell r="F1917">
            <v>0</v>
          </cell>
          <cell r="G1917">
            <v>0</v>
          </cell>
          <cell r="H1917">
            <v>0.84</v>
          </cell>
          <cell r="I1917">
            <v>0</v>
          </cell>
          <cell r="J1917">
            <v>0</v>
          </cell>
          <cell r="K1917">
            <v>0.22</v>
          </cell>
          <cell r="L1917">
            <v>0</v>
          </cell>
          <cell r="M1917">
            <v>0</v>
          </cell>
          <cell r="N1917">
            <v>0</v>
          </cell>
          <cell r="O1917">
            <v>-2.3E-2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 t="b">
            <v>0</v>
          </cell>
        </row>
        <row r="1918">
          <cell r="A1918" t="str">
            <v>Data split-16;Reg-11</v>
          </cell>
          <cell r="B1918">
            <v>-1.1000000000000001</v>
          </cell>
          <cell r="C1918">
            <v>0.64</v>
          </cell>
          <cell r="D1918">
            <v>0</v>
          </cell>
          <cell r="E1918">
            <v>0</v>
          </cell>
          <cell r="F1918">
            <v>0</v>
          </cell>
          <cell r="G1918">
            <v>0</v>
          </cell>
          <cell r="H1918">
            <v>0</v>
          </cell>
          <cell r="I1918">
            <v>0.9</v>
          </cell>
          <cell r="J1918">
            <v>0</v>
          </cell>
          <cell r="K1918">
            <v>0.13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 t="b">
            <v>0</v>
          </cell>
        </row>
        <row r="1919">
          <cell r="A1919" t="str">
            <v>Data split-16;Reg-12</v>
          </cell>
          <cell r="B1919">
            <v>-1.2</v>
          </cell>
          <cell r="C1919">
            <v>0.64</v>
          </cell>
          <cell r="D1919">
            <v>0</v>
          </cell>
          <cell r="E1919">
            <v>0</v>
          </cell>
          <cell r="F1919">
            <v>0</v>
          </cell>
          <cell r="G1919">
            <v>0</v>
          </cell>
          <cell r="H1919">
            <v>0</v>
          </cell>
          <cell r="I1919">
            <v>0.94</v>
          </cell>
          <cell r="J1919">
            <v>0</v>
          </cell>
          <cell r="K1919">
            <v>0</v>
          </cell>
          <cell r="L1919">
            <v>0.97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 t="b">
            <v>0</v>
          </cell>
        </row>
        <row r="1920">
          <cell r="A1920" t="str">
            <v>Data split-16;Reg-13</v>
          </cell>
          <cell r="B1920">
            <v>-3.2</v>
          </cell>
          <cell r="C1920">
            <v>0.69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0</v>
          </cell>
          <cell r="J1920">
            <v>13.3</v>
          </cell>
          <cell r="K1920">
            <v>-0.13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 t="b">
            <v>0</v>
          </cell>
        </row>
        <row r="1921">
          <cell r="A1921" t="str">
            <v>Data split-16;Reg-14</v>
          </cell>
          <cell r="B1921">
            <v>-3.3</v>
          </cell>
          <cell r="C1921">
            <v>0.65</v>
          </cell>
          <cell r="D1921">
            <v>0</v>
          </cell>
          <cell r="E1921">
            <v>0</v>
          </cell>
          <cell r="F1921">
            <v>0</v>
          </cell>
          <cell r="G1921">
            <v>0</v>
          </cell>
          <cell r="H1921">
            <v>0</v>
          </cell>
          <cell r="I1921">
            <v>0</v>
          </cell>
          <cell r="J1921">
            <v>14.2</v>
          </cell>
          <cell r="K1921">
            <v>0</v>
          </cell>
          <cell r="L1921">
            <v>-0.99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 t="b">
            <v>0</v>
          </cell>
        </row>
        <row r="1922">
          <cell r="A1922" t="str">
            <v>Data split-16;Reg-15</v>
          </cell>
          <cell r="B1922">
            <v>-0.49</v>
          </cell>
          <cell r="C1922">
            <v>0.63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0.55000000000000004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1.2999999999999999E-2</v>
          </cell>
          <cell r="R1922">
            <v>0</v>
          </cell>
          <cell r="S1922">
            <v>0</v>
          </cell>
          <cell r="T1922">
            <v>0</v>
          </cell>
          <cell r="U1922" t="b">
            <v>0</v>
          </cell>
        </row>
        <row r="1923">
          <cell r="A1923" t="str">
            <v>Data split-16;Reg-16</v>
          </cell>
          <cell r="B1923">
            <v>-0.19</v>
          </cell>
          <cell r="C1923">
            <v>0.55000000000000004</v>
          </cell>
          <cell r="D1923">
            <v>0</v>
          </cell>
          <cell r="E1923">
            <v>0</v>
          </cell>
          <cell r="F1923">
            <v>0</v>
          </cell>
          <cell r="G1923">
            <v>0</v>
          </cell>
          <cell r="H1923">
            <v>0</v>
          </cell>
          <cell r="I1923">
            <v>0.36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4.7000000000000002E-3</v>
          </cell>
          <cell r="S1923">
            <v>0</v>
          </cell>
          <cell r="T1923">
            <v>0</v>
          </cell>
          <cell r="U1923" t="b">
            <v>0</v>
          </cell>
        </row>
        <row r="1924">
          <cell r="A1924" t="str">
            <v>Data split-16;Reg-17</v>
          </cell>
          <cell r="B1924">
            <v>-1.6</v>
          </cell>
          <cell r="C1924">
            <v>0.5</v>
          </cell>
          <cell r="D1924">
            <v>0</v>
          </cell>
          <cell r="E1924">
            <v>0</v>
          </cell>
          <cell r="F1924">
            <v>0</v>
          </cell>
          <cell r="G1924">
            <v>0</v>
          </cell>
          <cell r="H1924">
            <v>0</v>
          </cell>
          <cell r="I1924">
            <v>0</v>
          </cell>
          <cell r="J1924">
            <v>8.9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1.4999999999999999E-2</v>
          </cell>
          <cell r="R1924">
            <v>0</v>
          </cell>
          <cell r="S1924">
            <v>0</v>
          </cell>
          <cell r="T1924">
            <v>0</v>
          </cell>
          <cell r="U1924" t="b">
            <v>0</v>
          </cell>
        </row>
        <row r="1925">
          <cell r="A1925" t="str">
            <v>Data split-16;Reg-18</v>
          </cell>
          <cell r="B1925">
            <v>-1.5</v>
          </cell>
          <cell r="C1925">
            <v>0.38</v>
          </cell>
          <cell r="D1925">
            <v>0</v>
          </cell>
          <cell r="E1925">
            <v>0</v>
          </cell>
          <cell r="F1925">
            <v>0</v>
          </cell>
          <cell r="G1925">
            <v>0</v>
          </cell>
          <cell r="H1925">
            <v>0</v>
          </cell>
          <cell r="I1925">
            <v>0</v>
          </cell>
          <cell r="J1925">
            <v>8.8000000000000007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4.8999999999999998E-3</v>
          </cell>
          <cell r="S1925">
            <v>0</v>
          </cell>
          <cell r="T1925">
            <v>0</v>
          </cell>
          <cell r="U1925" t="b">
            <v>0</v>
          </cell>
        </row>
        <row r="1926">
          <cell r="A1926" t="str">
            <v>Data split-16;Reg-19</v>
          </cell>
          <cell r="B1926">
            <v>0.23</v>
          </cell>
          <cell r="C1926">
            <v>0.65</v>
          </cell>
          <cell r="D1926">
            <v>0</v>
          </cell>
          <cell r="E1926">
            <v>0</v>
          </cell>
          <cell r="F1926">
            <v>0</v>
          </cell>
          <cell r="G1926">
            <v>0</v>
          </cell>
          <cell r="H1926">
            <v>0</v>
          </cell>
          <cell r="I1926">
            <v>0</v>
          </cell>
          <cell r="J1926">
            <v>0</v>
          </cell>
          <cell r="K1926">
            <v>0.2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1.4999999999999999E-2</v>
          </cell>
          <cell r="T1926">
            <v>0</v>
          </cell>
          <cell r="U1926" t="b">
            <v>0</v>
          </cell>
        </row>
        <row r="1927">
          <cell r="A1927" t="str">
            <v>Data split-16;Reg-20</v>
          </cell>
          <cell r="B1927">
            <v>0.37</v>
          </cell>
          <cell r="C1927">
            <v>0.52</v>
          </cell>
          <cell r="D1927">
            <v>0</v>
          </cell>
          <cell r="E1927">
            <v>0</v>
          </cell>
          <cell r="F1927">
            <v>0</v>
          </cell>
          <cell r="G1927">
            <v>0</v>
          </cell>
          <cell r="H1927">
            <v>0</v>
          </cell>
          <cell r="I1927">
            <v>0</v>
          </cell>
          <cell r="J1927">
            <v>0</v>
          </cell>
          <cell r="K1927">
            <v>0.21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5.0000000000000001E-3</v>
          </cell>
          <cell r="U1927" t="b">
            <v>0</v>
          </cell>
        </row>
        <row r="1928">
          <cell r="A1928" t="str">
            <v>Data split-16;Reg-21</v>
          </cell>
          <cell r="B1928">
            <v>0.19</v>
          </cell>
          <cell r="C1928">
            <v>0.66</v>
          </cell>
          <cell r="D1928">
            <v>0</v>
          </cell>
          <cell r="E1928">
            <v>0</v>
          </cell>
          <cell r="F1928">
            <v>0</v>
          </cell>
          <cell r="G1928">
            <v>0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1.3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1.7000000000000001E-2</v>
          </cell>
          <cell r="T1928">
            <v>0</v>
          </cell>
          <cell r="U1928" t="b">
            <v>0</v>
          </cell>
        </row>
        <row r="1929">
          <cell r="A1929" t="str">
            <v>Data split-16;Reg-22</v>
          </cell>
          <cell r="B1929">
            <v>0.32</v>
          </cell>
          <cell r="C1929">
            <v>0.52</v>
          </cell>
          <cell r="D1929">
            <v>0</v>
          </cell>
          <cell r="E1929">
            <v>0</v>
          </cell>
          <cell r="F1929">
            <v>0</v>
          </cell>
          <cell r="G1929">
            <v>0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1.4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5.4000000000000003E-3</v>
          </cell>
          <cell r="U1929" t="b">
            <v>0</v>
          </cell>
        </row>
        <row r="1930">
          <cell r="A1930" t="str">
            <v>Data split-16;Reg-23</v>
          </cell>
          <cell r="B1930">
            <v>-0.87</v>
          </cell>
          <cell r="C1930">
            <v>0</v>
          </cell>
          <cell r="D1930">
            <v>0.55000000000000004</v>
          </cell>
          <cell r="E1930">
            <v>0</v>
          </cell>
          <cell r="F1930">
            <v>0</v>
          </cell>
          <cell r="G1930">
            <v>0</v>
          </cell>
          <cell r="H1930">
            <v>0</v>
          </cell>
          <cell r="I1930">
            <v>0.77</v>
          </cell>
          <cell r="J1930">
            <v>0</v>
          </cell>
          <cell r="K1930">
            <v>0.22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 t="b">
            <v>0</v>
          </cell>
        </row>
        <row r="1931">
          <cell r="A1931" t="str">
            <v>Data split-16;Reg-24</v>
          </cell>
          <cell r="B1931">
            <v>-1.1000000000000001</v>
          </cell>
          <cell r="C1931">
            <v>0</v>
          </cell>
          <cell r="D1931">
            <v>0.55000000000000004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0.89</v>
          </cell>
          <cell r="J1931">
            <v>0</v>
          </cell>
          <cell r="K1931">
            <v>0</v>
          </cell>
          <cell r="L1931">
            <v>1.3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 t="b">
            <v>0</v>
          </cell>
        </row>
        <row r="1932">
          <cell r="A1932" t="str">
            <v>Data split-16;Reg-25</v>
          </cell>
          <cell r="B1932">
            <v>-1.9</v>
          </cell>
          <cell r="C1932">
            <v>0</v>
          </cell>
          <cell r="D1932">
            <v>0.6</v>
          </cell>
          <cell r="E1932">
            <v>0</v>
          </cell>
          <cell r="F1932">
            <v>0</v>
          </cell>
          <cell r="G1932">
            <v>0</v>
          </cell>
          <cell r="H1932">
            <v>0</v>
          </cell>
          <cell r="I1932">
            <v>0</v>
          </cell>
          <cell r="J1932">
            <v>8.3000000000000007</v>
          </cell>
          <cell r="K1932">
            <v>0.13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 t="b">
            <v>0</v>
          </cell>
        </row>
        <row r="1933">
          <cell r="A1933" t="str">
            <v>Data split-16;Reg-26</v>
          </cell>
          <cell r="B1933">
            <v>-2.5</v>
          </cell>
          <cell r="C1933">
            <v>0</v>
          </cell>
          <cell r="D1933">
            <v>0.57999999999999996</v>
          </cell>
          <cell r="E1933">
            <v>0</v>
          </cell>
          <cell r="F1933">
            <v>0</v>
          </cell>
          <cell r="G1933">
            <v>0</v>
          </cell>
          <cell r="H1933">
            <v>0</v>
          </cell>
          <cell r="I1933">
            <v>0</v>
          </cell>
          <cell r="J1933">
            <v>11.4</v>
          </cell>
          <cell r="K1933">
            <v>0</v>
          </cell>
          <cell r="L1933">
            <v>-0.11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 t="b">
            <v>0</v>
          </cell>
        </row>
        <row r="1934">
          <cell r="A1934" t="str">
            <v>Data split-16;Reg-27</v>
          </cell>
          <cell r="B1934">
            <v>-1.2</v>
          </cell>
          <cell r="C1934">
            <v>0</v>
          </cell>
          <cell r="D1934">
            <v>0.56000000000000005</v>
          </cell>
          <cell r="E1934">
            <v>0</v>
          </cell>
          <cell r="F1934">
            <v>0</v>
          </cell>
          <cell r="G1934">
            <v>0</v>
          </cell>
          <cell r="H1934">
            <v>0</v>
          </cell>
          <cell r="I1934">
            <v>1.1000000000000001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1.1E-4</v>
          </cell>
          <cell r="R1934">
            <v>0</v>
          </cell>
          <cell r="S1934">
            <v>0</v>
          </cell>
          <cell r="T1934">
            <v>0</v>
          </cell>
          <cell r="U1934" t="b">
            <v>0</v>
          </cell>
        </row>
        <row r="1935">
          <cell r="A1935" t="str">
            <v>Data split-16;Reg-28</v>
          </cell>
          <cell r="B1935">
            <v>-0.74</v>
          </cell>
          <cell r="C1935">
            <v>0</v>
          </cell>
          <cell r="D1935">
            <v>0.5</v>
          </cell>
          <cell r="E1935">
            <v>0</v>
          </cell>
          <cell r="F1935">
            <v>0</v>
          </cell>
          <cell r="G1935">
            <v>0</v>
          </cell>
          <cell r="H1935">
            <v>0</v>
          </cell>
          <cell r="I1935">
            <v>0.82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2E-3</v>
          </cell>
          <cell r="S1935">
            <v>0</v>
          </cell>
          <cell r="T1935">
            <v>0</v>
          </cell>
          <cell r="U1935" t="b">
            <v>0</v>
          </cell>
        </row>
        <row r="1936">
          <cell r="A1936" t="str">
            <v>Data split-16;Reg-29</v>
          </cell>
          <cell r="B1936">
            <v>-1.8</v>
          </cell>
          <cell r="C1936">
            <v>0</v>
          </cell>
          <cell r="D1936">
            <v>0.46</v>
          </cell>
          <cell r="E1936">
            <v>0</v>
          </cell>
          <cell r="F1936">
            <v>0</v>
          </cell>
          <cell r="G1936">
            <v>0</v>
          </cell>
          <cell r="H1936">
            <v>0</v>
          </cell>
          <cell r="I1936">
            <v>0</v>
          </cell>
          <cell r="J1936">
            <v>9.6999999999999993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1.0999999999999999E-2</v>
          </cell>
          <cell r="R1936">
            <v>0</v>
          </cell>
          <cell r="S1936">
            <v>0</v>
          </cell>
          <cell r="T1936">
            <v>0</v>
          </cell>
          <cell r="U1936" t="b">
            <v>0</v>
          </cell>
        </row>
        <row r="1937">
          <cell r="A1937" t="str">
            <v>Data split-16;Reg-30</v>
          </cell>
          <cell r="B1937">
            <v>-1.6</v>
          </cell>
          <cell r="C1937">
            <v>0</v>
          </cell>
          <cell r="D1937">
            <v>0.36</v>
          </cell>
          <cell r="E1937">
            <v>0</v>
          </cell>
          <cell r="F1937">
            <v>0</v>
          </cell>
          <cell r="G1937">
            <v>0</v>
          </cell>
          <cell r="H1937">
            <v>0</v>
          </cell>
          <cell r="I1937">
            <v>0</v>
          </cell>
          <cell r="J1937">
            <v>9.3000000000000007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4.1000000000000003E-3</v>
          </cell>
          <cell r="S1937">
            <v>0</v>
          </cell>
          <cell r="T1937">
            <v>0</v>
          </cell>
          <cell r="U1937" t="b">
            <v>0</v>
          </cell>
        </row>
        <row r="1938">
          <cell r="A1938" t="str">
            <v>Data split-16;Reg-31</v>
          </cell>
          <cell r="B1938">
            <v>0.21</v>
          </cell>
          <cell r="C1938">
            <v>0</v>
          </cell>
          <cell r="D1938">
            <v>0.6</v>
          </cell>
          <cell r="E1938">
            <v>0</v>
          </cell>
          <cell r="F1938">
            <v>0</v>
          </cell>
          <cell r="G1938">
            <v>0</v>
          </cell>
          <cell r="H1938">
            <v>0</v>
          </cell>
          <cell r="I1938">
            <v>0</v>
          </cell>
          <cell r="J1938">
            <v>0</v>
          </cell>
          <cell r="K1938">
            <v>0.34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8.0999999999999996E-3</v>
          </cell>
          <cell r="T1938">
            <v>0</v>
          </cell>
          <cell r="U1938" t="b">
            <v>0</v>
          </cell>
        </row>
        <row r="1939">
          <cell r="A1939" t="str">
            <v>Data split-16;Reg-32</v>
          </cell>
          <cell r="B1939">
            <v>0.34</v>
          </cell>
          <cell r="C1939">
            <v>0</v>
          </cell>
          <cell r="D1939">
            <v>0.51</v>
          </cell>
          <cell r="E1939">
            <v>0</v>
          </cell>
          <cell r="F1939">
            <v>0</v>
          </cell>
          <cell r="G1939">
            <v>0</v>
          </cell>
          <cell r="H1939">
            <v>0</v>
          </cell>
          <cell r="I1939">
            <v>0</v>
          </cell>
          <cell r="J1939">
            <v>0</v>
          </cell>
          <cell r="K1939">
            <v>0.31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3.3999999999999998E-3</v>
          </cell>
          <cell r="U1939" t="b">
            <v>0</v>
          </cell>
        </row>
        <row r="1940">
          <cell r="A1940" t="str">
            <v>Data split-16;Reg-33</v>
          </cell>
          <cell r="B1940">
            <v>0.23</v>
          </cell>
          <cell r="C1940">
            <v>0</v>
          </cell>
          <cell r="D1940">
            <v>0.6</v>
          </cell>
          <cell r="E1940">
            <v>0</v>
          </cell>
          <cell r="F1940">
            <v>0</v>
          </cell>
          <cell r="G1940">
            <v>0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1.8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1.2E-2</v>
          </cell>
          <cell r="T1940">
            <v>0</v>
          </cell>
          <cell r="U1940" t="b">
            <v>0</v>
          </cell>
        </row>
        <row r="1941">
          <cell r="A1941" t="str">
            <v>Data split-16;Reg-34</v>
          </cell>
          <cell r="B1941">
            <v>0.34</v>
          </cell>
          <cell r="C1941">
            <v>0</v>
          </cell>
          <cell r="D1941">
            <v>0.49</v>
          </cell>
          <cell r="E1941">
            <v>0</v>
          </cell>
          <cell r="F1941">
            <v>0</v>
          </cell>
          <cell r="G1941">
            <v>0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1.8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4.4000000000000003E-3</v>
          </cell>
          <cell r="U1941" t="b">
            <v>0</v>
          </cell>
        </row>
        <row r="1942">
          <cell r="A1942" t="str">
            <v>Data split-16;Reg-35</v>
          </cell>
          <cell r="B1942">
            <v>-0.18</v>
          </cell>
          <cell r="C1942">
            <v>0.6</v>
          </cell>
          <cell r="D1942">
            <v>0</v>
          </cell>
          <cell r="E1942">
            <v>0</v>
          </cell>
          <cell r="F1942">
            <v>0</v>
          </cell>
          <cell r="G1942">
            <v>0</v>
          </cell>
          <cell r="H1942">
            <v>0</v>
          </cell>
          <cell r="I1942">
            <v>0.36</v>
          </cell>
          <cell r="J1942">
            <v>0</v>
          </cell>
          <cell r="K1942">
            <v>0.15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1.2999999999999999E-2</v>
          </cell>
          <cell r="R1942">
            <v>0</v>
          </cell>
          <cell r="S1942">
            <v>0</v>
          </cell>
          <cell r="T1942">
            <v>0</v>
          </cell>
          <cell r="U1942" t="b">
            <v>0</v>
          </cell>
        </row>
        <row r="1943">
          <cell r="A1943" t="str">
            <v>Data split-16;Reg-36</v>
          </cell>
          <cell r="B1943">
            <v>0.19</v>
          </cell>
          <cell r="C1943">
            <v>0.51</v>
          </cell>
          <cell r="D1943">
            <v>0</v>
          </cell>
          <cell r="E1943">
            <v>0</v>
          </cell>
          <cell r="F1943">
            <v>0</v>
          </cell>
          <cell r="G1943">
            <v>0</v>
          </cell>
          <cell r="H1943">
            <v>0</v>
          </cell>
          <cell r="I1943">
            <v>0.12</v>
          </cell>
          <cell r="J1943">
            <v>0</v>
          </cell>
          <cell r="K1943">
            <v>0.18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5.1000000000000004E-3</v>
          </cell>
          <cell r="S1943">
            <v>0</v>
          </cell>
          <cell r="T1943">
            <v>0</v>
          </cell>
          <cell r="U1943" t="b">
            <v>0</v>
          </cell>
        </row>
        <row r="1944">
          <cell r="A1944" t="str">
            <v>Data split-16;Reg-37</v>
          </cell>
          <cell r="B1944">
            <v>-0.26</v>
          </cell>
          <cell r="C1944">
            <v>0.59</v>
          </cell>
          <cell r="D1944">
            <v>0</v>
          </cell>
          <cell r="E1944">
            <v>0</v>
          </cell>
          <cell r="F1944">
            <v>0</v>
          </cell>
          <cell r="G1944">
            <v>0</v>
          </cell>
          <cell r="H1944">
            <v>0</v>
          </cell>
          <cell r="I1944">
            <v>0.39</v>
          </cell>
          <cell r="J1944">
            <v>0</v>
          </cell>
          <cell r="K1944">
            <v>0</v>
          </cell>
          <cell r="L1944">
            <v>1.1000000000000001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1.4E-2</v>
          </cell>
          <cell r="R1944">
            <v>0</v>
          </cell>
          <cell r="S1944">
            <v>0</v>
          </cell>
          <cell r="T1944">
            <v>0</v>
          </cell>
          <cell r="U1944" t="b">
            <v>0</v>
          </cell>
        </row>
        <row r="1945">
          <cell r="A1945" t="str">
            <v>Data split-16;Reg-38</v>
          </cell>
          <cell r="B1945">
            <v>0.1</v>
          </cell>
          <cell r="C1945">
            <v>0.5</v>
          </cell>
          <cell r="D1945">
            <v>0</v>
          </cell>
          <cell r="E1945">
            <v>0</v>
          </cell>
          <cell r="F1945">
            <v>0</v>
          </cell>
          <cell r="G1945">
            <v>0</v>
          </cell>
          <cell r="H1945">
            <v>0</v>
          </cell>
          <cell r="I1945">
            <v>0.15</v>
          </cell>
          <cell r="J1945">
            <v>0</v>
          </cell>
          <cell r="K1945">
            <v>0</v>
          </cell>
          <cell r="L1945">
            <v>1.3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5.3E-3</v>
          </cell>
          <cell r="S1945">
            <v>0</v>
          </cell>
          <cell r="T1945">
            <v>0</v>
          </cell>
          <cell r="U1945" t="b">
            <v>0</v>
          </cell>
        </row>
        <row r="1946">
          <cell r="A1946" t="str">
            <v>Data split-16;Reg-39</v>
          </cell>
          <cell r="B1946">
            <v>-2.2000000000000002</v>
          </cell>
          <cell r="C1946">
            <v>0.49</v>
          </cell>
          <cell r="D1946">
            <v>0</v>
          </cell>
          <cell r="E1946">
            <v>0</v>
          </cell>
          <cell r="F1946">
            <v>0</v>
          </cell>
          <cell r="G1946">
            <v>0</v>
          </cell>
          <cell r="H1946">
            <v>0</v>
          </cell>
          <cell r="I1946">
            <v>0</v>
          </cell>
          <cell r="J1946">
            <v>11.6</v>
          </cell>
          <cell r="K1946">
            <v>-0.15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1.4999999999999999E-2</v>
          </cell>
          <cell r="R1946">
            <v>0</v>
          </cell>
          <cell r="S1946">
            <v>0</v>
          </cell>
          <cell r="T1946">
            <v>0</v>
          </cell>
          <cell r="U1946" t="b">
            <v>0</v>
          </cell>
        </row>
        <row r="1947">
          <cell r="A1947" t="str">
            <v>Data split-16;Reg-40</v>
          </cell>
          <cell r="B1947">
            <v>-2.1</v>
          </cell>
          <cell r="C1947">
            <v>0.37</v>
          </cell>
          <cell r="D1947">
            <v>0</v>
          </cell>
          <cell r="E1947">
            <v>0</v>
          </cell>
          <cell r="F1947">
            <v>0</v>
          </cell>
          <cell r="G1947">
            <v>0</v>
          </cell>
          <cell r="H1947">
            <v>0</v>
          </cell>
          <cell r="I1947">
            <v>0</v>
          </cell>
          <cell r="J1947">
            <v>11.5</v>
          </cell>
          <cell r="K1947">
            <v>-0.14000000000000001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5.0000000000000001E-3</v>
          </cell>
          <cell r="S1947">
            <v>0</v>
          </cell>
          <cell r="T1947">
            <v>0</v>
          </cell>
          <cell r="U1947" t="b">
            <v>0</v>
          </cell>
        </row>
        <row r="1948">
          <cell r="A1948" t="str">
            <v>Data split-16;Reg-41</v>
          </cell>
          <cell r="B1948">
            <v>-1.9</v>
          </cell>
          <cell r="C1948">
            <v>0.48</v>
          </cell>
          <cell r="D1948">
            <v>0</v>
          </cell>
          <cell r="E1948">
            <v>0</v>
          </cell>
          <cell r="F1948">
            <v>0</v>
          </cell>
          <cell r="G1948">
            <v>0</v>
          </cell>
          <cell r="H1948">
            <v>0</v>
          </cell>
          <cell r="I1948">
            <v>0</v>
          </cell>
          <cell r="J1948">
            <v>10.5</v>
          </cell>
          <cell r="K1948">
            <v>0</v>
          </cell>
          <cell r="L1948">
            <v>-0.45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1.4E-2</v>
          </cell>
          <cell r="R1948">
            <v>0</v>
          </cell>
          <cell r="S1948">
            <v>0</v>
          </cell>
          <cell r="T1948">
            <v>0</v>
          </cell>
          <cell r="U1948" t="b">
            <v>0</v>
          </cell>
        </row>
        <row r="1949">
          <cell r="A1949" t="str">
            <v>Data split-16;Reg-42</v>
          </cell>
          <cell r="B1949">
            <v>-1.7</v>
          </cell>
          <cell r="C1949">
            <v>0.37</v>
          </cell>
          <cell r="D1949">
            <v>0</v>
          </cell>
          <cell r="E1949">
            <v>0</v>
          </cell>
          <cell r="F1949">
            <v>0</v>
          </cell>
          <cell r="G1949">
            <v>0</v>
          </cell>
          <cell r="H1949">
            <v>0</v>
          </cell>
          <cell r="I1949">
            <v>0</v>
          </cell>
          <cell r="J1949">
            <v>9.6999999999999993</v>
          </cell>
          <cell r="K1949">
            <v>0</v>
          </cell>
          <cell r="L1949">
            <v>-0.25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4.8999999999999998E-3</v>
          </cell>
          <cell r="S1949">
            <v>0</v>
          </cell>
          <cell r="T1949">
            <v>0</v>
          </cell>
          <cell r="U1949" t="b">
            <v>0</v>
          </cell>
        </row>
        <row r="1950">
          <cell r="A1950" t="str">
            <v>Data split-16;Reg-43</v>
          </cell>
          <cell r="B1950">
            <v>-0.36</v>
          </cell>
          <cell r="C1950">
            <v>0.6</v>
          </cell>
          <cell r="D1950">
            <v>0</v>
          </cell>
          <cell r="E1950">
            <v>0</v>
          </cell>
          <cell r="F1950">
            <v>0</v>
          </cell>
          <cell r="G1950">
            <v>0</v>
          </cell>
          <cell r="H1950">
            <v>0</v>
          </cell>
          <cell r="I1950">
            <v>0.48</v>
          </cell>
          <cell r="J1950">
            <v>0</v>
          </cell>
          <cell r="K1950">
            <v>0.15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0.01</v>
          </cell>
          <cell r="T1950">
            <v>0</v>
          </cell>
          <cell r="U1950" t="b">
            <v>0</v>
          </cell>
        </row>
        <row r="1951">
          <cell r="A1951" t="str">
            <v>Data split-16;Reg-44</v>
          </cell>
          <cell r="B1951">
            <v>7.6999999999999999E-2</v>
          </cell>
          <cell r="C1951">
            <v>0.5</v>
          </cell>
          <cell r="D1951">
            <v>0</v>
          </cell>
          <cell r="E1951">
            <v>0</v>
          </cell>
          <cell r="F1951">
            <v>0</v>
          </cell>
          <cell r="G1951">
            <v>0</v>
          </cell>
          <cell r="H1951">
            <v>0</v>
          </cell>
          <cell r="I1951">
            <v>0.24</v>
          </cell>
          <cell r="J1951">
            <v>0</v>
          </cell>
          <cell r="K1951">
            <v>0.18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4.4000000000000003E-3</v>
          </cell>
          <cell r="U1951" t="b">
            <v>0</v>
          </cell>
        </row>
        <row r="1952">
          <cell r="A1952" t="str">
            <v>Data split-16;Reg-45</v>
          </cell>
          <cell r="B1952">
            <v>-0.42</v>
          </cell>
          <cell r="C1952">
            <v>0.59</v>
          </cell>
          <cell r="D1952">
            <v>0</v>
          </cell>
          <cell r="E1952">
            <v>0</v>
          </cell>
          <cell r="F1952">
            <v>0</v>
          </cell>
          <cell r="G1952">
            <v>0</v>
          </cell>
          <cell r="H1952">
            <v>0</v>
          </cell>
          <cell r="I1952">
            <v>0.5</v>
          </cell>
          <cell r="J1952">
            <v>0</v>
          </cell>
          <cell r="K1952">
            <v>0</v>
          </cell>
          <cell r="L1952">
            <v>1.1000000000000001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1.0999999999999999E-2</v>
          </cell>
          <cell r="T1952">
            <v>0</v>
          </cell>
          <cell r="U1952" t="b">
            <v>0</v>
          </cell>
        </row>
        <row r="1953">
          <cell r="A1953" t="str">
            <v>Data split-16;Reg-46</v>
          </cell>
          <cell r="B1953">
            <v>2.3E-2</v>
          </cell>
          <cell r="C1953">
            <v>0.49</v>
          </cell>
          <cell r="D1953">
            <v>0</v>
          </cell>
          <cell r="E1953">
            <v>0</v>
          </cell>
          <cell r="F1953">
            <v>0</v>
          </cell>
          <cell r="G1953">
            <v>0</v>
          </cell>
          <cell r="H1953">
            <v>0</v>
          </cell>
          <cell r="I1953">
            <v>0.26</v>
          </cell>
          <cell r="J1953">
            <v>0</v>
          </cell>
          <cell r="K1953">
            <v>0</v>
          </cell>
          <cell r="L1953">
            <v>1.3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4.7000000000000002E-3</v>
          </cell>
          <cell r="U1953" t="b">
            <v>0</v>
          </cell>
        </row>
        <row r="1954">
          <cell r="A1954" t="str">
            <v>Data split-16;Reg-47</v>
          </cell>
          <cell r="B1954">
            <v>-2.2999999999999998</v>
          </cell>
          <cell r="C1954">
            <v>0.49</v>
          </cell>
          <cell r="D1954">
            <v>0</v>
          </cell>
          <cell r="E1954">
            <v>0</v>
          </cell>
          <cell r="F1954">
            <v>0</v>
          </cell>
          <cell r="G1954">
            <v>0</v>
          </cell>
          <cell r="H1954">
            <v>0</v>
          </cell>
          <cell r="I1954">
            <v>0</v>
          </cell>
          <cell r="J1954">
            <v>12.1</v>
          </cell>
          <cell r="K1954">
            <v>-0.15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1.4E-2</v>
          </cell>
          <cell r="T1954">
            <v>0</v>
          </cell>
          <cell r="U1954" t="b">
            <v>0</v>
          </cell>
        </row>
        <row r="1955">
          <cell r="A1955" t="str">
            <v>Data split-16;Reg-48</v>
          </cell>
          <cell r="B1955">
            <v>-2.2000000000000002</v>
          </cell>
          <cell r="C1955">
            <v>0.35</v>
          </cell>
          <cell r="D1955">
            <v>0</v>
          </cell>
          <cell r="E1955">
            <v>0</v>
          </cell>
          <cell r="F1955">
            <v>0</v>
          </cell>
          <cell r="G1955">
            <v>0</v>
          </cell>
          <cell r="H1955">
            <v>0</v>
          </cell>
          <cell r="I1955">
            <v>0</v>
          </cell>
          <cell r="J1955">
            <v>12.3</v>
          </cell>
          <cell r="K1955">
            <v>-0.16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4.7000000000000002E-3</v>
          </cell>
          <cell r="U1955" t="b">
            <v>0</v>
          </cell>
        </row>
        <row r="1956">
          <cell r="A1956" t="str">
            <v>Data split-16;Reg-49</v>
          </cell>
          <cell r="B1956">
            <v>-2.1</v>
          </cell>
          <cell r="C1956">
            <v>0.48</v>
          </cell>
          <cell r="D1956">
            <v>0</v>
          </cell>
          <cell r="E1956">
            <v>0</v>
          </cell>
          <cell r="F1956">
            <v>0</v>
          </cell>
          <cell r="G1956">
            <v>0</v>
          </cell>
          <cell r="H1956">
            <v>0</v>
          </cell>
          <cell r="I1956">
            <v>0</v>
          </cell>
          <cell r="J1956">
            <v>11.1</v>
          </cell>
          <cell r="K1956">
            <v>0</v>
          </cell>
          <cell r="L1956">
            <v>-0.52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1.2999999999999999E-2</v>
          </cell>
          <cell r="T1956">
            <v>0</v>
          </cell>
          <cell r="U1956" t="b">
            <v>0</v>
          </cell>
        </row>
        <row r="1957">
          <cell r="A1957" t="str">
            <v>Data split-16;Reg-50</v>
          </cell>
          <cell r="B1957">
            <v>-1.8</v>
          </cell>
          <cell r="C1957">
            <v>0.35</v>
          </cell>
          <cell r="D1957">
            <v>0</v>
          </cell>
          <cell r="E1957">
            <v>0</v>
          </cell>
          <cell r="F1957">
            <v>0</v>
          </cell>
          <cell r="G1957">
            <v>0</v>
          </cell>
          <cell r="H1957">
            <v>0</v>
          </cell>
          <cell r="I1957">
            <v>0</v>
          </cell>
          <cell r="J1957">
            <v>10.5</v>
          </cell>
          <cell r="K1957">
            <v>0</v>
          </cell>
          <cell r="L1957">
            <v>-0.34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4.5999999999999999E-3</v>
          </cell>
          <cell r="U1957" t="b">
            <v>0</v>
          </cell>
        </row>
        <row r="1958">
          <cell r="A1958" t="str">
            <v>Data split-16;Reg-51</v>
          </cell>
          <cell r="B1958">
            <v>-0.79</v>
          </cell>
          <cell r="C1958">
            <v>0</v>
          </cell>
          <cell r="D1958">
            <v>0.55000000000000004</v>
          </cell>
          <cell r="E1958">
            <v>0</v>
          </cell>
          <cell r="F1958">
            <v>0</v>
          </cell>
          <cell r="G1958">
            <v>0</v>
          </cell>
          <cell r="H1958">
            <v>0</v>
          </cell>
          <cell r="I1958">
            <v>0.73</v>
          </cell>
          <cell r="J1958">
            <v>0</v>
          </cell>
          <cell r="K1958">
            <v>0.22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1.1999999999999999E-3</v>
          </cell>
          <cell r="R1958">
            <v>0</v>
          </cell>
          <cell r="S1958">
            <v>0</v>
          </cell>
          <cell r="T1958">
            <v>0</v>
          </cell>
          <cell r="U1958" t="b">
            <v>0</v>
          </cell>
        </row>
        <row r="1959">
          <cell r="A1959" t="str">
            <v>Data split-16;Reg-52</v>
          </cell>
          <cell r="B1959">
            <v>-0.27</v>
          </cell>
          <cell r="C1959">
            <v>0</v>
          </cell>
          <cell r="D1959">
            <v>0.48</v>
          </cell>
          <cell r="E1959">
            <v>0</v>
          </cell>
          <cell r="F1959">
            <v>0</v>
          </cell>
          <cell r="G1959">
            <v>0</v>
          </cell>
          <cell r="H1959">
            <v>0</v>
          </cell>
          <cell r="I1959">
            <v>0.45</v>
          </cell>
          <cell r="J1959">
            <v>0</v>
          </cell>
          <cell r="K1959">
            <v>0.23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2.3999999999999998E-3</v>
          </cell>
          <cell r="S1959">
            <v>0</v>
          </cell>
          <cell r="T1959">
            <v>0</v>
          </cell>
          <cell r="U1959" t="b">
            <v>0</v>
          </cell>
        </row>
        <row r="1960">
          <cell r="A1960" t="str">
            <v>Data split-16;Reg-53</v>
          </cell>
          <cell r="B1960">
            <v>-0.94</v>
          </cell>
          <cell r="C1960">
            <v>0</v>
          </cell>
          <cell r="D1960">
            <v>0.54</v>
          </cell>
          <cell r="E1960">
            <v>0</v>
          </cell>
          <cell r="F1960">
            <v>0</v>
          </cell>
          <cell r="G1960">
            <v>0</v>
          </cell>
          <cell r="H1960">
            <v>0</v>
          </cell>
          <cell r="I1960">
            <v>0.83</v>
          </cell>
          <cell r="J1960">
            <v>0</v>
          </cell>
          <cell r="K1960">
            <v>0</v>
          </cell>
          <cell r="L1960">
            <v>1.3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2E-3</v>
          </cell>
          <cell r="R1960">
            <v>0</v>
          </cell>
          <cell r="S1960">
            <v>0</v>
          </cell>
          <cell r="T1960">
            <v>0</v>
          </cell>
          <cell r="U1960" t="b">
            <v>0</v>
          </cell>
        </row>
        <row r="1961">
          <cell r="A1961" t="str">
            <v>Data split-16;Reg-54</v>
          </cell>
          <cell r="B1961">
            <v>-0.41</v>
          </cell>
          <cell r="C1961">
            <v>0</v>
          </cell>
          <cell r="D1961">
            <v>0.47</v>
          </cell>
          <cell r="E1961">
            <v>0</v>
          </cell>
          <cell r="F1961">
            <v>0</v>
          </cell>
          <cell r="G1961">
            <v>0</v>
          </cell>
          <cell r="H1961">
            <v>0</v>
          </cell>
          <cell r="I1961">
            <v>0.54</v>
          </cell>
          <cell r="J1961">
            <v>0</v>
          </cell>
          <cell r="K1961">
            <v>0</v>
          </cell>
          <cell r="L1961">
            <v>1.4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2.7000000000000001E-3</v>
          </cell>
          <cell r="S1961">
            <v>0</v>
          </cell>
          <cell r="T1961">
            <v>0</v>
          </cell>
          <cell r="U1961" t="b">
            <v>0</v>
          </cell>
        </row>
        <row r="1962">
          <cell r="A1962" t="str">
            <v>Data split-16;Reg-55</v>
          </cell>
          <cell r="B1962">
            <v>-1.5</v>
          </cell>
          <cell r="C1962">
            <v>0</v>
          </cell>
          <cell r="D1962">
            <v>0.47</v>
          </cell>
          <cell r="E1962">
            <v>0</v>
          </cell>
          <cell r="F1962">
            <v>0</v>
          </cell>
          <cell r="G1962">
            <v>0</v>
          </cell>
          <cell r="H1962">
            <v>0</v>
          </cell>
          <cell r="I1962">
            <v>0</v>
          </cell>
          <cell r="J1962">
            <v>8.6</v>
          </cell>
          <cell r="K1962">
            <v>5.7000000000000002E-2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0.01</v>
          </cell>
          <cell r="R1962">
            <v>0</v>
          </cell>
          <cell r="S1962">
            <v>0</v>
          </cell>
          <cell r="T1962">
            <v>0</v>
          </cell>
          <cell r="U1962" t="b">
            <v>0</v>
          </cell>
        </row>
        <row r="1963">
          <cell r="A1963" t="str">
            <v>Data split-16;Reg-56</v>
          </cell>
          <cell r="B1963">
            <v>-1.6</v>
          </cell>
          <cell r="C1963">
            <v>0</v>
          </cell>
          <cell r="D1963">
            <v>0.36</v>
          </cell>
          <cell r="E1963">
            <v>0</v>
          </cell>
          <cell r="F1963">
            <v>0</v>
          </cell>
          <cell r="G1963">
            <v>0</v>
          </cell>
          <cell r="H1963">
            <v>0</v>
          </cell>
          <cell r="I1963">
            <v>0</v>
          </cell>
          <cell r="J1963">
            <v>9.1</v>
          </cell>
          <cell r="K1963">
            <v>0.01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4.0000000000000001E-3</v>
          </cell>
          <cell r="S1963">
            <v>0</v>
          </cell>
          <cell r="T1963">
            <v>0</v>
          </cell>
          <cell r="U1963" t="b">
            <v>0</v>
          </cell>
        </row>
        <row r="1964">
          <cell r="A1964" t="str">
            <v>Data split-16;Reg-57</v>
          </cell>
          <cell r="B1964">
            <v>-1.7</v>
          </cell>
          <cell r="C1964">
            <v>0</v>
          </cell>
          <cell r="D1964">
            <v>0.46</v>
          </cell>
          <cell r="E1964">
            <v>0</v>
          </cell>
          <cell r="F1964">
            <v>0</v>
          </cell>
          <cell r="G1964">
            <v>0</v>
          </cell>
          <cell r="H1964">
            <v>0</v>
          </cell>
          <cell r="I1964">
            <v>0</v>
          </cell>
          <cell r="J1964">
            <v>9.5</v>
          </cell>
          <cell r="K1964">
            <v>0</v>
          </cell>
          <cell r="L1964">
            <v>7.6999999999999999E-2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>
            <v>1.0999999999999999E-2</v>
          </cell>
          <cell r="R1964">
            <v>0</v>
          </cell>
          <cell r="S1964">
            <v>0</v>
          </cell>
          <cell r="T1964">
            <v>0</v>
          </cell>
          <cell r="U1964" t="b">
            <v>0</v>
          </cell>
        </row>
        <row r="1965">
          <cell r="A1965" t="str">
            <v>Data split-16;Reg-58</v>
          </cell>
          <cell r="B1965">
            <v>-1.5</v>
          </cell>
          <cell r="C1965">
            <v>0</v>
          </cell>
          <cell r="D1965">
            <v>0.37</v>
          </cell>
          <cell r="E1965">
            <v>0</v>
          </cell>
          <cell r="F1965">
            <v>0</v>
          </cell>
          <cell r="G1965">
            <v>0</v>
          </cell>
          <cell r="H1965">
            <v>0</v>
          </cell>
          <cell r="I1965">
            <v>0</v>
          </cell>
          <cell r="J1965">
            <v>8.6999999999999993</v>
          </cell>
          <cell r="K1965">
            <v>0</v>
          </cell>
          <cell r="L1965">
            <v>0.17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4.1000000000000003E-3</v>
          </cell>
          <cell r="S1965">
            <v>0</v>
          </cell>
          <cell r="T1965">
            <v>0</v>
          </cell>
          <cell r="U1965" t="b">
            <v>0</v>
          </cell>
        </row>
        <row r="1966">
          <cell r="A1966" t="str">
            <v>Data split-16;Reg-59</v>
          </cell>
          <cell r="B1966">
            <v>-1</v>
          </cell>
          <cell r="C1966">
            <v>0</v>
          </cell>
          <cell r="D1966">
            <v>0.56999999999999995</v>
          </cell>
          <cell r="E1966">
            <v>0</v>
          </cell>
          <cell r="F1966">
            <v>0</v>
          </cell>
          <cell r="G1966">
            <v>0</v>
          </cell>
          <cell r="H1966">
            <v>0</v>
          </cell>
          <cell r="I1966">
            <v>0.84</v>
          </cell>
          <cell r="J1966">
            <v>0</v>
          </cell>
          <cell r="K1966">
            <v>0.21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-2E-3</v>
          </cell>
          <cell r="T1966">
            <v>0</v>
          </cell>
          <cell r="U1966" t="b">
            <v>0</v>
          </cell>
        </row>
        <row r="1967">
          <cell r="A1967" t="str">
            <v>Data split-16;Reg-60</v>
          </cell>
          <cell r="B1967">
            <v>-0.45</v>
          </cell>
          <cell r="C1967">
            <v>0</v>
          </cell>
          <cell r="D1967">
            <v>0.5</v>
          </cell>
          <cell r="E1967">
            <v>0</v>
          </cell>
          <cell r="F1967">
            <v>0</v>
          </cell>
          <cell r="G1967">
            <v>0</v>
          </cell>
          <cell r="H1967">
            <v>0</v>
          </cell>
          <cell r="I1967">
            <v>0.55000000000000004</v>
          </cell>
          <cell r="J1967">
            <v>0</v>
          </cell>
          <cell r="K1967">
            <v>0.23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1.6000000000000001E-3</v>
          </cell>
          <cell r="U1967" t="b">
            <v>0</v>
          </cell>
        </row>
        <row r="1968">
          <cell r="A1968" t="str">
            <v>Data split-16;Reg-61</v>
          </cell>
          <cell r="B1968">
            <v>-1.2</v>
          </cell>
          <cell r="C1968">
            <v>0</v>
          </cell>
          <cell r="D1968">
            <v>0.56000000000000005</v>
          </cell>
          <cell r="E1968">
            <v>0</v>
          </cell>
          <cell r="F1968">
            <v>0</v>
          </cell>
          <cell r="G1968">
            <v>0</v>
          </cell>
          <cell r="H1968">
            <v>0</v>
          </cell>
          <cell r="I1968">
            <v>0.93</v>
          </cell>
          <cell r="J1968">
            <v>0</v>
          </cell>
          <cell r="K1968">
            <v>0</v>
          </cell>
          <cell r="L1968">
            <v>1.2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-1.1000000000000001E-3</v>
          </cell>
          <cell r="T1968">
            <v>0</v>
          </cell>
          <cell r="U1968" t="b">
            <v>0</v>
          </cell>
        </row>
        <row r="1969">
          <cell r="A1969" t="str">
            <v>Data split-16;Reg-62</v>
          </cell>
          <cell r="B1969">
            <v>-0.56000000000000005</v>
          </cell>
          <cell r="C1969">
            <v>0</v>
          </cell>
          <cell r="D1969">
            <v>0.49</v>
          </cell>
          <cell r="E1969">
            <v>0</v>
          </cell>
          <cell r="F1969">
            <v>0</v>
          </cell>
          <cell r="G1969">
            <v>0</v>
          </cell>
          <cell r="H1969">
            <v>0</v>
          </cell>
          <cell r="I1969">
            <v>0.63</v>
          </cell>
          <cell r="J1969">
            <v>0</v>
          </cell>
          <cell r="K1969">
            <v>0</v>
          </cell>
          <cell r="L1969">
            <v>1.4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2E-3</v>
          </cell>
          <cell r="U1969" t="b">
            <v>0</v>
          </cell>
        </row>
        <row r="1970">
          <cell r="A1970" t="str">
            <v>Data split-16;Reg-63</v>
          </cell>
          <cell r="B1970">
            <v>-1.6</v>
          </cell>
          <cell r="C1970">
            <v>0</v>
          </cell>
          <cell r="D1970">
            <v>0.48</v>
          </cell>
          <cell r="E1970">
            <v>0</v>
          </cell>
          <cell r="F1970">
            <v>0</v>
          </cell>
          <cell r="G1970">
            <v>0</v>
          </cell>
          <cell r="H1970">
            <v>0</v>
          </cell>
          <cell r="I1970">
            <v>0</v>
          </cell>
          <cell r="J1970">
            <v>8.8000000000000007</v>
          </cell>
          <cell r="K1970">
            <v>5.8000000000000003E-2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8.8999999999999999E-3</v>
          </cell>
          <cell r="T1970">
            <v>0</v>
          </cell>
          <cell r="U1970" t="b">
            <v>0</v>
          </cell>
        </row>
        <row r="1971">
          <cell r="A1971" t="str">
            <v>Data split-16;Reg-64</v>
          </cell>
          <cell r="B1971">
            <v>-1.6</v>
          </cell>
          <cell r="C1971">
            <v>0</v>
          </cell>
          <cell r="D1971">
            <v>0.37</v>
          </cell>
          <cell r="E1971">
            <v>0</v>
          </cell>
          <cell r="F1971">
            <v>0</v>
          </cell>
          <cell r="G1971">
            <v>0</v>
          </cell>
          <cell r="H1971">
            <v>0</v>
          </cell>
          <cell r="I1971">
            <v>0</v>
          </cell>
          <cell r="J1971">
            <v>9.5</v>
          </cell>
          <cell r="K1971">
            <v>2.5000000000000001E-3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3.7000000000000002E-3</v>
          </cell>
          <cell r="U1971" t="b">
            <v>0</v>
          </cell>
        </row>
        <row r="1972">
          <cell r="A1972" t="str">
            <v>Data split-16;Reg-65</v>
          </cell>
          <cell r="B1972">
            <v>-1.8</v>
          </cell>
          <cell r="C1972">
            <v>0</v>
          </cell>
          <cell r="D1972">
            <v>0.47</v>
          </cell>
          <cell r="E1972">
            <v>0</v>
          </cell>
          <cell r="F1972">
            <v>0</v>
          </cell>
          <cell r="G1972">
            <v>0</v>
          </cell>
          <cell r="H1972">
            <v>0</v>
          </cell>
          <cell r="I1972">
            <v>0</v>
          </cell>
          <cell r="J1972">
            <v>9.8000000000000007</v>
          </cell>
          <cell r="K1972">
            <v>0</v>
          </cell>
          <cell r="L1972">
            <v>0.05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9.2999999999999992E-3</v>
          </cell>
          <cell r="T1972">
            <v>0</v>
          </cell>
          <cell r="U1972" t="b">
            <v>0</v>
          </cell>
        </row>
        <row r="1973">
          <cell r="A1973" t="str">
            <v>Data split-16;Reg-66</v>
          </cell>
          <cell r="B1973">
            <v>-1.5</v>
          </cell>
          <cell r="C1973">
            <v>0</v>
          </cell>
          <cell r="D1973">
            <v>0.37</v>
          </cell>
          <cell r="E1973">
            <v>0</v>
          </cell>
          <cell r="F1973">
            <v>0</v>
          </cell>
          <cell r="G1973">
            <v>0</v>
          </cell>
          <cell r="H1973">
            <v>0</v>
          </cell>
          <cell r="I1973">
            <v>0</v>
          </cell>
          <cell r="J1973">
            <v>9.1</v>
          </cell>
          <cell r="K1973">
            <v>0</v>
          </cell>
          <cell r="L1973">
            <v>0.13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3.8E-3</v>
          </cell>
          <cell r="U1973" t="b">
            <v>0</v>
          </cell>
        </row>
        <row r="1974">
          <cell r="A1974" t="str">
            <v>Data split-16;Reg-67</v>
          </cell>
          <cell r="B1974">
            <v>-1.2</v>
          </cell>
          <cell r="C1974">
            <v>0.53</v>
          </cell>
          <cell r="D1974">
            <v>0</v>
          </cell>
          <cell r="E1974">
            <v>0</v>
          </cell>
          <cell r="F1974">
            <v>0</v>
          </cell>
          <cell r="G1974">
            <v>0.5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 t="b">
            <v>1</v>
          </cell>
        </row>
        <row r="1975">
          <cell r="A1975" t="str">
            <v>Data split-16;Reg-68</v>
          </cell>
          <cell r="B1975">
            <v>-2.6</v>
          </cell>
          <cell r="C1975">
            <v>0.3</v>
          </cell>
          <cell r="D1975">
            <v>0</v>
          </cell>
          <cell r="E1975">
            <v>0</v>
          </cell>
          <cell r="F1975">
            <v>-6.8000000000000005E-2</v>
          </cell>
          <cell r="G1975">
            <v>0.98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 t="b">
            <v>0</v>
          </cell>
        </row>
        <row r="1976">
          <cell r="A1976" t="str">
            <v>Data split-16;Reg-69</v>
          </cell>
          <cell r="B1976">
            <v>-3</v>
          </cell>
          <cell r="C1976">
            <v>0.2</v>
          </cell>
          <cell r="D1976">
            <v>0</v>
          </cell>
          <cell r="E1976">
            <v>0</v>
          </cell>
          <cell r="F1976">
            <v>0</v>
          </cell>
          <cell r="G1976">
            <v>0.48</v>
          </cell>
          <cell r="H1976">
            <v>0</v>
          </cell>
          <cell r="I1976">
            <v>0</v>
          </cell>
          <cell r="J1976">
            <v>10.5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 t="b">
            <v>0</v>
          </cell>
        </row>
        <row r="1977">
          <cell r="A1977" t="str">
            <v>Data split-16;Reg-70</v>
          </cell>
          <cell r="B1977">
            <v>-4</v>
          </cell>
          <cell r="C1977">
            <v>0.12</v>
          </cell>
          <cell r="D1977">
            <v>0</v>
          </cell>
          <cell r="E1977">
            <v>0</v>
          </cell>
          <cell r="F1977">
            <v>0</v>
          </cell>
          <cell r="G1977">
            <v>0.7</v>
          </cell>
          <cell r="H1977">
            <v>0</v>
          </cell>
          <cell r="I1977">
            <v>0</v>
          </cell>
          <cell r="J1977">
            <v>11.6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-1.0999999999999999E-2</v>
          </cell>
          <cell r="T1977">
            <v>0</v>
          </cell>
          <cell r="U1977" t="b">
            <v>0</v>
          </cell>
        </row>
        <row r="1978">
          <cell r="A1978" t="str">
            <v>Data split-16;Reg-71</v>
          </cell>
          <cell r="B1978">
            <v>-1.5</v>
          </cell>
          <cell r="C1978">
            <v>0.35</v>
          </cell>
          <cell r="D1978">
            <v>0</v>
          </cell>
          <cell r="E1978">
            <v>0</v>
          </cell>
          <cell r="F1978">
            <v>-4.4999999999999998E-2</v>
          </cell>
          <cell r="G1978">
            <v>0</v>
          </cell>
          <cell r="H1978">
            <v>1.2</v>
          </cell>
          <cell r="I1978">
            <v>0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-1.7000000000000001E-2</v>
          </cell>
          <cell r="T1978">
            <v>0</v>
          </cell>
          <cell r="U1978" t="b">
            <v>0</v>
          </cell>
        </row>
        <row r="1979">
          <cell r="A1979" t="str">
            <v>Data split-16;Reg-72</v>
          </cell>
          <cell r="B1979">
            <v>-0.67</v>
          </cell>
          <cell r="C1979">
            <v>0.49</v>
          </cell>
          <cell r="D1979">
            <v>0</v>
          </cell>
          <cell r="E1979">
            <v>0.38</v>
          </cell>
          <cell r="F1979">
            <v>0</v>
          </cell>
          <cell r="G1979">
            <v>0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 t="b">
            <v>1</v>
          </cell>
        </row>
        <row r="1980">
          <cell r="A1980" t="str">
            <v>Data split-16;Reg-73</v>
          </cell>
          <cell r="B1980">
            <v>-0.61</v>
          </cell>
          <cell r="C1980">
            <v>1</v>
          </cell>
          <cell r="D1980">
            <v>0</v>
          </cell>
          <cell r="E1980">
            <v>0</v>
          </cell>
          <cell r="F1980">
            <v>7.7000000000000002E-3</v>
          </cell>
          <cell r="G1980">
            <v>0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 t="b">
            <v>1</v>
          </cell>
        </row>
        <row r="1981">
          <cell r="A1981" t="str">
            <v>Data split-16;Reg-74</v>
          </cell>
          <cell r="B1981">
            <v>-0.4</v>
          </cell>
          <cell r="C1981">
            <v>0</v>
          </cell>
          <cell r="D1981">
            <v>0.46</v>
          </cell>
          <cell r="E1981">
            <v>0.33</v>
          </cell>
          <cell r="F1981">
            <v>0</v>
          </cell>
          <cell r="G1981">
            <v>0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 t="b">
            <v>1</v>
          </cell>
        </row>
        <row r="1982">
          <cell r="A1982" t="str">
            <v>Data split-16;Reg-75</v>
          </cell>
          <cell r="B1982">
            <v>-4.2999999999999997E-2</v>
          </cell>
          <cell r="C1982">
            <v>0</v>
          </cell>
          <cell r="D1982">
            <v>0.8</v>
          </cell>
          <cell r="E1982">
            <v>0</v>
          </cell>
          <cell r="F1982">
            <v>2.4E-2</v>
          </cell>
          <cell r="G1982">
            <v>0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 t="b">
            <v>1</v>
          </cell>
        </row>
        <row r="1983">
          <cell r="A1983" t="str">
            <v>Data split-16;Reg-76</v>
          </cell>
          <cell r="B1983">
            <v>-1.2</v>
          </cell>
          <cell r="C1983">
            <v>0.53</v>
          </cell>
          <cell r="D1983">
            <v>0</v>
          </cell>
          <cell r="E1983">
            <v>0</v>
          </cell>
          <cell r="F1983">
            <v>0</v>
          </cell>
          <cell r="G1983">
            <v>0.5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 t="b">
            <v>1</v>
          </cell>
        </row>
        <row r="1984">
          <cell r="A1984" t="str">
            <v>Data split-16;Reg-77</v>
          </cell>
          <cell r="B1984">
            <v>-0.54</v>
          </cell>
          <cell r="C1984">
            <v>0.59</v>
          </cell>
          <cell r="D1984">
            <v>0</v>
          </cell>
          <cell r="E1984">
            <v>0</v>
          </cell>
          <cell r="F1984">
            <v>0</v>
          </cell>
          <cell r="G1984">
            <v>0</v>
          </cell>
          <cell r="H1984">
            <v>0.49</v>
          </cell>
          <cell r="I1984">
            <v>0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 t="b">
            <v>1</v>
          </cell>
        </row>
        <row r="1985">
          <cell r="A1985" t="str">
            <v>Data split-16;Reg-78</v>
          </cell>
          <cell r="B1985">
            <v>-0.99</v>
          </cell>
          <cell r="C1985">
            <v>0</v>
          </cell>
          <cell r="D1985">
            <v>0.48</v>
          </cell>
          <cell r="E1985">
            <v>0</v>
          </cell>
          <cell r="F1985">
            <v>0</v>
          </cell>
          <cell r="G1985">
            <v>0.46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 t="b">
            <v>1</v>
          </cell>
        </row>
        <row r="1986">
          <cell r="A1986" t="str">
            <v>Data split-16;Reg-79</v>
          </cell>
          <cell r="B1986">
            <v>-0.31</v>
          </cell>
          <cell r="C1986">
            <v>0</v>
          </cell>
          <cell r="D1986">
            <v>0.53</v>
          </cell>
          <cell r="E1986">
            <v>0</v>
          </cell>
          <cell r="F1986">
            <v>0</v>
          </cell>
          <cell r="G1986">
            <v>0</v>
          </cell>
          <cell r="H1986">
            <v>0.45</v>
          </cell>
          <cell r="I1986">
            <v>0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 t="b">
            <v>1</v>
          </cell>
        </row>
        <row r="1987">
          <cell r="A1987" t="str">
            <v>Data split-16;Reg-80</v>
          </cell>
          <cell r="B1987">
            <v>-1.4</v>
          </cell>
          <cell r="C1987">
            <v>0.66</v>
          </cell>
          <cell r="D1987">
            <v>0</v>
          </cell>
          <cell r="E1987">
            <v>0</v>
          </cell>
          <cell r="F1987">
            <v>0</v>
          </cell>
          <cell r="G1987">
            <v>0</v>
          </cell>
          <cell r="H1987">
            <v>0</v>
          </cell>
          <cell r="I1987">
            <v>1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 t="b">
            <v>0</v>
          </cell>
        </row>
        <row r="1988">
          <cell r="A1988" t="str">
            <v>Data split-16;Reg-81</v>
          </cell>
          <cell r="B1988">
            <v>-2.7</v>
          </cell>
          <cell r="C1988">
            <v>0.7</v>
          </cell>
          <cell r="D1988">
            <v>0</v>
          </cell>
          <cell r="E1988">
            <v>0</v>
          </cell>
          <cell r="F1988">
            <v>0</v>
          </cell>
          <cell r="G1988">
            <v>0</v>
          </cell>
          <cell r="H1988">
            <v>0</v>
          </cell>
          <cell r="I1988">
            <v>0</v>
          </cell>
          <cell r="J1988">
            <v>10.9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 t="b">
            <v>0</v>
          </cell>
        </row>
        <row r="1989">
          <cell r="A1989" t="str">
            <v>Data split-16;Reg-82</v>
          </cell>
          <cell r="B1989">
            <v>-1.2</v>
          </cell>
          <cell r="C1989">
            <v>0</v>
          </cell>
          <cell r="D1989">
            <v>0.56000000000000005</v>
          </cell>
          <cell r="E1989">
            <v>0</v>
          </cell>
          <cell r="F1989">
            <v>0</v>
          </cell>
          <cell r="G1989">
            <v>0</v>
          </cell>
          <cell r="H1989">
            <v>0</v>
          </cell>
          <cell r="I1989">
            <v>1.1000000000000001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 t="b">
            <v>0</v>
          </cell>
        </row>
        <row r="1990">
          <cell r="A1990" t="str">
            <v>Data split-16;Reg-83</v>
          </cell>
          <cell r="B1990">
            <v>-2.5</v>
          </cell>
          <cell r="C1990">
            <v>0</v>
          </cell>
          <cell r="D1990">
            <v>0.57999999999999996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0</v>
          </cell>
          <cell r="J1990">
            <v>11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 t="b">
            <v>0</v>
          </cell>
        </row>
        <row r="1991">
          <cell r="A1991" t="str">
            <v>Data split-16;Reg-84</v>
          </cell>
          <cell r="B1991">
            <v>-0.44</v>
          </cell>
          <cell r="C1991">
            <v>0.9</v>
          </cell>
          <cell r="D1991">
            <v>0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0</v>
          </cell>
          <cell r="J1991">
            <v>0</v>
          </cell>
          <cell r="K1991">
            <v>0.27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 t="b">
            <v>0</v>
          </cell>
        </row>
        <row r="1992">
          <cell r="A1992" t="str">
            <v>Data split-16;Reg-85</v>
          </cell>
          <cell r="B1992">
            <v>-0.63</v>
          </cell>
          <cell r="C1992">
            <v>0.97</v>
          </cell>
          <cell r="D1992">
            <v>0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1.4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 t="b">
            <v>0</v>
          </cell>
        </row>
        <row r="1993">
          <cell r="A1993" t="str">
            <v>Data split-16;Reg-86</v>
          </cell>
          <cell r="B1993">
            <v>-0.12</v>
          </cell>
          <cell r="C1993">
            <v>0</v>
          </cell>
          <cell r="D1993">
            <v>0.71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0</v>
          </cell>
          <cell r="J1993">
            <v>0</v>
          </cell>
          <cell r="K1993">
            <v>0.39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 t="b">
            <v>0</v>
          </cell>
        </row>
        <row r="1994">
          <cell r="A1994" t="str">
            <v>Data split-16;Reg-87</v>
          </cell>
          <cell r="B1994">
            <v>-0.28999999999999998</v>
          </cell>
          <cell r="C1994">
            <v>0</v>
          </cell>
          <cell r="D1994">
            <v>0.78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2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 t="b">
            <v>0</v>
          </cell>
        </row>
        <row r="1995">
          <cell r="A1995" t="str">
            <v>Data split-16;Reg-88</v>
          </cell>
          <cell r="B1995">
            <v>-0.37</v>
          </cell>
          <cell r="C1995">
            <v>0.91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8.3999999999999995E-3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 t="b">
            <v>0</v>
          </cell>
        </row>
        <row r="1996">
          <cell r="A1996" t="str">
            <v>Data split-16;Reg-89</v>
          </cell>
          <cell r="B1996">
            <v>-0.35</v>
          </cell>
          <cell r="C1996">
            <v>0.85</v>
          </cell>
          <cell r="D1996">
            <v>0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2.7000000000000001E-3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 t="b">
            <v>0</v>
          </cell>
        </row>
        <row r="1997">
          <cell r="A1997" t="str">
            <v>Data split-16;Reg-90</v>
          </cell>
          <cell r="B1997">
            <v>-0.13</v>
          </cell>
          <cell r="C1997">
            <v>0</v>
          </cell>
          <cell r="D1997">
            <v>0.81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0</v>
          </cell>
          <cell r="M1997">
            <v>4.1000000000000003E-3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 t="b">
            <v>0</v>
          </cell>
        </row>
        <row r="1998">
          <cell r="A1998" t="str">
            <v>Data split-16;Reg-91</v>
          </cell>
          <cell r="B1998">
            <v>-7.5999999999999998E-2</v>
          </cell>
          <cell r="C1998">
            <v>0</v>
          </cell>
          <cell r="D1998">
            <v>0.75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1.8E-3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 t="b">
            <v>0</v>
          </cell>
        </row>
        <row r="1999">
          <cell r="A1999" t="str">
            <v>Data split-16;Reg-92</v>
          </cell>
          <cell r="B1999">
            <v>-0.77</v>
          </cell>
          <cell r="C1999">
            <v>1.1000000000000001</v>
          </cell>
          <cell r="D1999">
            <v>0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-4.1000000000000003E-3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 t="b">
            <v>1</v>
          </cell>
        </row>
        <row r="2000">
          <cell r="A2000" t="str">
            <v>Data split-16;Reg-93</v>
          </cell>
          <cell r="B2000">
            <v>-0.73</v>
          </cell>
          <cell r="C2000">
            <v>1.1000000000000001</v>
          </cell>
          <cell r="D2000">
            <v>0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-6.8999999999999997E-4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 t="b">
            <v>1</v>
          </cell>
        </row>
        <row r="2001">
          <cell r="A2001" t="str">
            <v>Data split-16;Reg-94</v>
          </cell>
          <cell r="B2001">
            <v>-0.28000000000000003</v>
          </cell>
          <cell r="C2001">
            <v>0</v>
          </cell>
          <cell r="D2001">
            <v>0.82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6.1000000000000004E-3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 t="b">
            <v>0</v>
          </cell>
        </row>
        <row r="2002">
          <cell r="A2002" t="str">
            <v>Data split-16;Reg-95</v>
          </cell>
          <cell r="B2002">
            <v>-0.38</v>
          </cell>
          <cell r="C2002">
            <v>0</v>
          </cell>
          <cell r="D2002">
            <v>0.8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2E-3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 t="b">
            <v>0</v>
          </cell>
        </row>
        <row r="2003">
          <cell r="A2003" t="str">
            <v>Data split-16;Reg-96</v>
          </cell>
          <cell r="B2003">
            <v>-1.1000000000000001</v>
          </cell>
          <cell r="C2003">
            <v>0.42</v>
          </cell>
          <cell r="D2003">
            <v>0</v>
          </cell>
          <cell r="E2003">
            <v>0.26</v>
          </cell>
          <cell r="F2003">
            <v>0</v>
          </cell>
          <cell r="G2003">
            <v>0</v>
          </cell>
          <cell r="H2003">
            <v>0</v>
          </cell>
          <cell r="I2003">
            <v>0.65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 t="b">
            <v>0</v>
          </cell>
        </row>
        <row r="2004">
          <cell r="A2004" t="str">
            <v>Data split-16;Reg-97</v>
          </cell>
          <cell r="B2004">
            <v>-2.5</v>
          </cell>
          <cell r="C2004">
            <v>0.16</v>
          </cell>
          <cell r="D2004">
            <v>0</v>
          </cell>
          <cell r="E2004">
            <v>0.37</v>
          </cell>
          <cell r="F2004">
            <v>0</v>
          </cell>
          <cell r="G2004">
            <v>0</v>
          </cell>
          <cell r="H2004">
            <v>0</v>
          </cell>
          <cell r="I2004">
            <v>0</v>
          </cell>
          <cell r="J2004">
            <v>10.5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 t="b">
            <v>0</v>
          </cell>
        </row>
        <row r="2005">
          <cell r="A2005" t="str">
            <v>Data split-16;Reg-98</v>
          </cell>
          <cell r="B2005">
            <v>-3.2</v>
          </cell>
          <cell r="C2005">
            <v>0.49</v>
          </cell>
          <cell r="D2005">
            <v>0</v>
          </cell>
          <cell r="E2005">
            <v>0</v>
          </cell>
          <cell r="F2005">
            <v>-7.3999999999999996E-2</v>
          </cell>
          <cell r="G2005">
            <v>0</v>
          </cell>
          <cell r="H2005">
            <v>0</v>
          </cell>
          <cell r="I2005">
            <v>2.2999999999999998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 t="b">
            <v>0</v>
          </cell>
        </row>
        <row r="2006">
          <cell r="A2006" t="str">
            <v>Data split-16;Reg-99</v>
          </cell>
          <cell r="B2006">
            <v>-2.6</v>
          </cell>
          <cell r="C2006">
            <v>0.67</v>
          </cell>
          <cell r="D2006">
            <v>0</v>
          </cell>
          <cell r="E2006">
            <v>0</v>
          </cell>
          <cell r="F2006">
            <v>6.1000000000000004E-3</v>
          </cell>
          <cell r="G2006">
            <v>0</v>
          </cell>
          <cell r="H2006">
            <v>0</v>
          </cell>
          <cell r="I2006">
            <v>0</v>
          </cell>
          <cell r="J2006">
            <v>10.9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 t="b">
            <v>0</v>
          </cell>
        </row>
        <row r="2007">
          <cell r="A2007" t="str">
            <v>Data split-16;Reg-100</v>
          </cell>
          <cell r="B2007">
            <v>-1.3</v>
          </cell>
          <cell r="C2007">
            <v>0</v>
          </cell>
          <cell r="D2007">
            <v>0.63</v>
          </cell>
          <cell r="E2007">
            <v>-8.5000000000000006E-2</v>
          </cell>
          <cell r="F2007">
            <v>0</v>
          </cell>
          <cell r="G2007">
            <v>0</v>
          </cell>
          <cell r="H2007">
            <v>0</v>
          </cell>
          <cell r="I2007">
            <v>1.2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 t="b">
            <v>0</v>
          </cell>
        </row>
        <row r="2008">
          <cell r="A2008" t="str">
            <v>Data split-16;Reg-101</v>
          </cell>
          <cell r="B2008">
            <v>-2.5</v>
          </cell>
          <cell r="C2008">
            <v>0</v>
          </cell>
          <cell r="D2008">
            <v>0.24</v>
          </cell>
          <cell r="E2008">
            <v>0.28999999999999998</v>
          </cell>
          <cell r="F2008">
            <v>0</v>
          </cell>
          <cell r="G2008">
            <v>0</v>
          </cell>
          <cell r="H2008">
            <v>0</v>
          </cell>
          <cell r="I2008">
            <v>0</v>
          </cell>
          <cell r="J2008">
            <v>10.5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 t="b">
            <v>0</v>
          </cell>
        </row>
        <row r="2009">
          <cell r="A2009" t="str">
            <v>Data split-16;Reg-102</v>
          </cell>
          <cell r="B2009">
            <v>-2.7</v>
          </cell>
          <cell r="C2009">
            <v>0</v>
          </cell>
          <cell r="D2009">
            <v>0.44</v>
          </cell>
          <cell r="E2009">
            <v>0</v>
          </cell>
          <cell r="F2009">
            <v>-0.06</v>
          </cell>
          <cell r="G2009">
            <v>0</v>
          </cell>
          <cell r="H2009">
            <v>0</v>
          </cell>
          <cell r="I2009">
            <v>2.1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 t="b">
            <v>0</v>
          </cell>
        </row>
        <row r="2010">
          <cell r="A2010" t="str">
            <v>Data split-16;Reg-103</v>
          </cell>
          <cell r="B2010">
            <v>-2.2000000000000002</v>
          </cell>
          <cell r="C2010">
            <v>0</v>
          </cell>
          <cell r="D2010">
            <v>0.55000000000000004</v>
          </cell>
          <cell r="E2010">
            <v>0</v>
          </cell>
          <cell r="F2010">
            <v>1.4999999999999999E-2</v>
          </cell>
          <cell r="G2010">
            <v>0</v>
          </cell>
          <cell r="H2010">
            <v>0</v>
          </cell>
          <cell r="I2010">
            <v>0</v>
          </cell>
          <cell r="J2010">
            <v>10.4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 t="b">
            <v>0</v>
          </cell>
        </row>
        <row r="2011">
          <cell r="A2011" t="str">
            <v>Data split-16;Reg-104</v>
          </cell>
          <cell r="B2011">
            <v>-0.26</v>
          </cell>
          <cell r="C2011">
            <v>9.1999999999999998E-2</v>
          </cell>
          <cell r="D2011">
            <v>0</v>
          </cell>
          <cell r="E2011">
            <v>0.48</v>
          </cell>
          <cell r="F2011">
            <v>0</v>
          </cell>
          <cell r="G2011">
            <v>0</v>
          </cell>
          <cell r="H2011">
            <v>0</v>
          </cell>
          <cell r="I2011">
            <v>0</v>
          </cell>
          <cell r="J2011">
            <v>0</v>
          </cell>
          <cell r="K2011">
            <v>0.41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 t="b">
            <v>0</v>
          </cell>
        </row>
        <row r="2012">
          <cell r="A2012" t="str">
            <v>Data split-16;Reg-105</v>
          </cell>
          <cell r="B2012">
            <v>-0.49</v>
          </cell>
          <cell r="C2012">
            <v>4.9000000000000002E-2</v>
          </cell>
          <cell r="D2012">
            <v>0</v>
          </cell>
          <cell r="E2012">
            <v>0.56000000000000005</v>
          </cell>
          <cell r="F2012">
            <v>0</v>
          </cell>
          <cell r="G2012">
            <v>0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2.7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 t="b">
            <v>0</v>
          </cell>
        </row>
        <row r="2013">
          <cell r="A2013" t="str">
            <v>Data split-16;Reg-106</v>
          </cell>
          <cell r="B2013">
            <v>-0.35</v>
          </cell>
          <cell r="C2013">
            <v>0.87</v>
          </cell>
          <cell r="D2013">
            <v>0</v>
          </cell>
          <cell r="E2013">
            <v>0</v>
          </cell>
          <cell r="F2013">
            <v>7.0000000000000001E-3</v>
          </cell>
          <cell r="G2013">
            <v>0</v>
          </cell>
          <cell r="H2013">
            <v>0</v>
          </cell>
          <cell r="I2013">
            <v>0</v>
          </cell>
          <cell r="J2013">
            <v>0</v>
          </cell>
          <cell r="K2013">
            <v>0.27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 t="b">
            <v>0</v>
          </cell>
        </row>
        <row r="2014">
          <cell r="A2014" t="str">
            <v>Data split-16;Reg-107</v>
          </cell>
          <cell r="B2014">
            <v>-0.41</v>
          </cell>
          <cell r="C2014">
            <v>0.89</v>
          </cell>
          <cell r="D2014">
            <v>0</v>
          </cell>
          <cell r="E2014">
            <v>0</v>
          </cell>
          <cell r="F2014">
            <v>1.4999999999999999E-2</v>
          </cell>
          <cell r="G2014">
            <v>0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1.6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 t="b">
            <v>0</v>
          </cell>
        </row>
        <row r="2015">
          <cell r="A2015" t="str">
            <v>Data split-16;Reg-108</v>
          </cell>
          <cell r="B2015">
            <v>-0.25</v>
          </cell>
          <cell r="C2015">
            <v>0</v>
          </cell>
          <cell r="D2015">
            <v>0.27</v>
          </cell>
          <cell r="E2015">
            <v>0.35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0</v>
          </cell>
          <cell r="K2015">
            <v>0.4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 t="b">
            <v>0</v>
          </cell>
        </row>
        <row r="2016">
          <cell r="A2016" t="str">
            <v>Data split-16;Reg-109</v>
          </cell>
          <cell r="B2016">
            <v>-0.48</v>
          </cell>
          <cell r="C2016">
            <v>0</v>
          </cell>
          <cell r="D2016">
            <v>0.14000000000000001</v>
          </cell>
          <cell r="E2016">
            <v>0.48</v>
          </cell>
          <cell r="F2016">
            <v>0</v>
          </cell>
          <cell r="G2016">
            <v>0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2.6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 t="b">
            <v>0</v>
          </cell>
        </row>
        <row r="2017">
          <cell r="A2017" t="str">
            <v>Data split-16;Reg-110</v>
          </cell>
          <cell r="B2017">
            <v>2.4E-2</v>
          </cell>
          <cell r="C2017">
            <v>0</v>
          </cell>
          <cell r="D2017">
            <v>0.67</v>
          </cell>
          <cell r="E2017">
            <v>0</v>
          </cell>
          <cell r="F2017">
            <v>1.6E-2</v>
          </cell>
          <cell r="G2017">
            <v>0</v>
          </cell>
          <cell r="H2017">
            <v>0</v>
          </cell>
          <cell r="I2017">
            <v>0</v>
          </cell>
          <cell r="J2017">
            <v>0</v>
          </cell>
          <cell r="K2017">
            <v>0.36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 t="b">
            <v>0</v>
          </cell>
        </row>
        <row r="2018">
          <cell r="A2018" t="str">
            <v>Data split-16;Reg-111</v>
          </cell>
          <cell r="B2018">
            <v>-2.1000000000000001E-2</v>
          </cell>
          <cell r="C2018">
            <v>0</v>
          </cell>
          <cell r="D2018">
            <v>0.69</v>
          </cell>
          <cell r="E2018">
            <v>0</v>
          </cell>
          <cell r="F2018">
            <v>2.8000000000000001E-2</v>
          </cell>
          <cell r="G2018">
            <v>0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2.1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 t="b">
            <v>0</v>
          </cell>
        </row>
        <row r="2019">
          <cell r="A2019" t="str">
            <v>Data split-16;Reg-112</v>
          </cell>
          <cell r="B2019">
            <v>-1.4</v>
          </cell>
          <cell r="C2019">
            <v>0.49</v>
          </cell>
          <cell r="D2019">
            <v>0</v>
          </cell>
          <cell r="E2019">
            <v>0</v>
          </cell>
          <cell r="F2019">
            <v>0</v>
          </cell>
          <cell r="G2019">
            <v>0.36</v>
          </cell>
          <cell r="H2019">
            <v>0</v>
          </cell>
          <cell r="I2019">
            <v>0.49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 t="b">
            <v>0</v>
          </cell>
        </row>
        <row r="2020">
          <cell r="A2020" t="str">
            <v>Data split-16;Reg-113</v>
          </cell>
          <cell r="B2020">
            <v>-3</v>
          </cell>
          <cell r="C2020">
            <v>0.2</v>
          </cell>
          <cell r="D2020">
            <v>0</v>
          </cell>
          <cell r="E2020">
            <v>0</v>
          </cell>
          <cell r="F2020">
            <v>0</v>
          </cell>
          <cell r="G2020">
            <v>0.48</v>
          </cell>
          <cell r="H2020">
            <v>0</v>
          </cell>
          <cell r="I2020">
            <v>0</v>
          </cell>
          <cell r="J2020">
            <v>10.5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 t="b">
            <v>0</v>
          </cell>
        </row>
        <row r="2021">
          <cell r="A2021" t="str">
            <v>Data split-16;Reg-114</v>
          </cell>
          <cell r="B2021">
            <v>-0.85</v>
          </cell>
          <cell r="C2021">
            <v>0.56000000000000005</v>
          </cell>
          <cell r="D2021">
            <v>0</v>
          </cell>
          <cell r="E2021">
            <v>0</v>
          </cell>
          <cell r="F2021">
            <v>0</v>
          </cell>
          <cell r="G2021">
            <v>0</v>
          </cell>
          <cell r="H2021">
            <v>0.36</v>
          </cell>
          <cell r="I2021">
            <v>0.43</v>
          </cell>
          <cell r="J2021">
            <v>0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 t="b">
            <v>0</v>
          </cell>
        </row>
        <row r="2022">
          <cell r="A2022" t="str">
            <v>Data split-16;Reg-115</v>
          </cell>
          <cell r="B2022">
            <v>-2.2999999999999998</v>
          </cell>
          <cell r="C2022">
            <v>0.33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0.43</v>
          </cell>
          <cell r="I2022">
            <v>0</v>
          </cell>
          <cell r="J2022">
            <v>9.6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 t="b">
            <v>0</v>
          </cell>
        </row>
        <row r="2023">
          <cell r="A2023" t="str">
            <v>Data split-16;Reg-116</v>
          </cell>
          <cell r="B2023">
            <v>-1.3</v>
          </cell>
          <cell r="C2023">
            <v>0</v>
          </cell>
          <cell r="D2023">
            <v>0.48</v>
          </cell>
          <cell r="E2023">
            <v>0</v>
          </cell>
          <cell r="F2023">
            <v>0</v>
          </cell>
          <cell r="G2023">
            <v>0.2</v>
          </cell>
          <cell r="H2023">
            <v>0</v>
          </cell>
          <cell r="I2023">
            <v>0.74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 t="b">
            <v>0</v>
          </cell>
        </row>
        <row r="2024">
          <cell r="A2024" t="str">
            <v>Data split-16;Reg-117</v>
          </cell>
          <cell r="B2024">
            <v>-2.8</v>
          </cell>
          <cell r="C2024">
            <v>0</v>
          </cell>
          <cell r="D2024">
            <v>0.28999999999999998</v>
          </cell>
          <cell r="E2024">
            <v>0</v>
          </cell>
          <cell r="F2024">
            <v>0</v>
          </cell>
          <cell r="G2024">
            <v>0.39</v>
          </cell>
          <cell r="H2024">
            <v>0</v>
          </cell>
          <cell r="I2024">
            <v>0</v>
          </cell>
          <cell r="J2024">
            <v>9.5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 t="b">
            <v>0</v>
          </cell>
        </row>
        <row r="2025">
          <cell r="A2025" t="str">
            <v>Data split-16;Reg-118</v>
          </cell>
          <cell r="B2025">
            <v>-1.1000000000000001</v>
          </cell>
          <cell r="C2025">
            <v>0</v>
          </cell>
          <cell r="D2025">
            <v>0.53</v>
          </cell>
          <cell r="E2025">
            <v>0</v>
          </cell>
          <cell r="F2025">
            <v>0</v>
          </cell>
          <cell r="G2025">
            <v>0</v>
          </cell>
          <cell r="H2025">
            <v>7.4999999999999997E-2</v>
          </cell>
          <cell r="I2025">
            <v>0.95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 t="b">
            <v>0</v>
          </cell>
        </row>
        <row r="2026">
          <cell r="A2026" t="str">
            <v>Data split-16;Reg-119</v>
          </cell>
          <cell r="B2026">
            <v>-2.2000000000000002</v>
          </cell>
          <cell r="C2026">
            <v>0</v>
          </cell>
          <cell r="D2026">
            <v>0.35</v>
          </cell>
          <cell r="E2026">
            <v>0</v>
          </cell>
          <cell r="F2026">
            <v>0</v>
          </cell>
          <cell r="G2026">
            <v>0</v>
          </cell>
          <cell r="H2026">
            <v>0.35</v>
          </cell>
          <cell r="I2026">
            <v>0</v>
          </cell>
          <cell r="J2026">
            <v>9.4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 t="b">
            <v>0</v>
          </cell>
        </row>
        <row r="2027">
          <cell r="A2027" t="str">
            <v>Data split-16;Reg-120</v>
          </cell>
          <cell r="B2027">
            <v>-0.93</v>
          </cell>
          <cell r="C2027">
            <v>0.36</v>
          </cell>
          <cell r="D2027">
            <v>0</v>
          </cell>
          <cell r="E2027">
            <v>0</v>
          </cell>
          <cell r="F2027">
            <v>0</v>
          </cell>
          <cell r="G2027">
            <v>0.5</v>
          </cell>
          <cell r="H2027">
            <v>0</v>
          </cell>
          <cell r="I2027">
            <v>0</v>
          </cell>
          <cell r="J2027">
            <v>0</v>
          </cell>
          <cell r="K2027">
            <v>0.28000000000000003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 t="b">
            <v>0</v>
          </cell>
        </row>
        <row r="2028">
          <cell r="A2028" t="str">
            <v>Data split-16;Reg-121</v>
          </cell>
          <cell r="B2028">
            <v>-1.2</v>
          </cell>
          <cell r="C2028">
            <v>0.3</v>
          </cell>
          <cell r="D2028">
            <v>0</v>
          </cell>
          <cell r="E2028">
            <v>0</v>
          </cell>
          <cell r="F2028">
            <v>0</v>
          </cell>
          <cell r="G2028">
            <v>0.59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2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 t="b">
            <v>0</v>
          </cell>
        </row>
        <row r="2029">
          <cell r="A2029" t="str">
            <v>Data split-16;Reg-122</v>
          </cell>
          <cell r="B2029">
            <v>-0.3</v>
          </cell>
          <cell r="C2029">
            <v>0.46</v>
          </cell>
          <cell r="D2029">
            <v>0</v>
          </cell>
          <cell r="E2029">
            <v>0</v>
          </cell>
          <cell r="F2029">
            <v>0</v>
          </cell>
          <cell r="G2029">
            <v>0</v>
          </cell>
          <cell r="H2029">
            <v>0.48</v>
          </cell>
          <cell r="I2029">
            <v>0</v>
          </cell>
          <cell r="J2029">
            <v>0</v>
          </cell>
          <cell r="K2029">
            <v>0.25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 t="b">
            <v>0</v>
          </cell>
        </row>
        <row r="2030">
          <cell r="A2030" t="str">
            <v>Data split-16;Reg-123</v>
          </cell>
          <cell r="B2030">
            <v>-0.42</v>
          </cell>
          <cell r="C2030">
            <v>0.43</v>
          </cell>
          <cell r="D2030">
            <v>0</v>
          </cell>
          <cell r="E2030">
            <v>0</v>
          </cell>
          <cell r="F2030">
            <v>0</v>
          </cell>
          <cell r="G2030">
            <v>0</v>
          </cell>
          <cell r="H2030">
            <v>0.54</v>
          </cell>
          <cell r="I2030">
            <v>0</v>
          </cell>
          <cell r="J2030">
            <v>0</v>
          </cell>
          <cell r="K2030">
            <v>0</v>
          </cell>
          <cell r="L2030">
            <v>1.8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 t="b">
            <v>0</v>
          </cell>
        </row>
        <row r="2031">
          <cell r="A2031" t="str">
            <v>Data split-16;Reg-124</v>
          </cell>
          <cell r="B2031">
            <v>-0.73</v>
          </cell>
          <cell r="C2031">
            <v>0</v>
          </cell>
          <cell r="D2031">
            <v>0.42</v>
          </cell>
          <cell r="E2031">
            <v>0</v>
          </cell>
          <cell r="F2031">
            <v>0</v>
          </cell>
          <cell r="G2031">
            <v>0.38</v>
          </cell>
          <cell r="H2031">
            <v>0</v>
          </cell>
          <cell r="I2031">
            <v>0</v>
          </cell>
          <cell r="J2031">
            <v>0</v>
          </cell>
          <cell r="K2031">
            <v>0.31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 t="b">
            <v>0</v>
          </cell>
        </row>
        <row r="2032">
          <cell r="A2032" t="str">
            <v>Data split-16;Reg-125</v>
          </cell>
          <cell r="B2032">
            <v>-1</v>
          </cell>
          <cell r="C2032">
            <v>0</v>
          </cell>
          <cell r="D2032">
            <v>0.38</v>
          </cell>
          <cell r="E2032">
            <v>0</v>
          </cell>
          <cell r="F2032">
            <v>0</v>
          </cell>
          <cell r="G2032">
            <v>0.47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2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 t="b">
            <v>0</v>
          </cell>
        </row>
        <row r="2033">
          <cell r="A2033" t="str">
            <v>Data split-16;Reg-126</v>
          </cell>
          <cell r="B2033">
            <v>-0.17</v>
          </cell>
          <cell r="C2033">
            <v>0</v>
          </cell>
          <cell r="D2033">
            <v>0.47</v>
          </cell>
          <cell r="E2033">
            <v>0</v>
          </cell>
          <cell r="F2033">
            <v>0</v>
          </cell>
          <cell r="G2033">
            <v>0</v>
          </cell>
          <cell r="H2033">
            <v>0.35</v>
          </cell>
          <cell r="I2033">
            <v>0</v>
          </cell>
          <cell r="J2033">
            <v>0</v>
          </cell>
          <cell r="K2033">
            <v>0.32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 t="b">
            <v>0</v>
          </cell>
        </row>
        <row r="2034">
          <cell r="A2034" t="str">
            <v>Data split-16;Reg-127</v>
          </cell>
          <cell r="B2034">
            <v>-0.32</v>
          </cell>
          <cell r="C2034">
            <v>0</v>
          </cell>
          <cell r="D2034">
            <v>0.43</v>
          </cell>
          <cell r="E2034">
            <v>0</v>
          </cell>
          <cell r="F2034">
            <v>0</v>
          </cell>
          <cell r="G2034">
            <v>0</v>
          </cell>
          <cell r="H2034">
            <v>0.45</v>
          </cell>
          <cell r="I2034">
            <v>0</v>
          </cell>
          <cell r="J2034">
            <v>0</v>
          </cell>
          <cell r="K2034">
            <v>0</v>
          </cell>
          <cell r="L2034">
            <v>2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 t="b">
            <v>0</v>
          </cell>
        </row>
        <row r="2035">
          <cell r="A2035" t="str">
            <v>Data split-17;Reg-1</v>
          </cell>
          <cell r="B2035">
            <v>-1.4</v>
          </cell>
          <cell r="C2035">
            <v>0.37</v>
          </cell>
          <cell r="D2035">
            <v>0</v>
          </cell>
          <cell r="E2035">
            <v>0</v>
          </cell>
          <cell r="F2035">
            <v>0</v>
          </cell>
          <cell r="G2035">
            <v>0</v>
          </cell>
          <cell r="H2035">
            <v>0.9</v>
          </cell>
          <cell r="I2035">
            <v>0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-1.9E-2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 t="b">
            <v>1</v>
          </cell>
        </row>
        <row r="2036">
          <cell r="A2036" t="str">
            <v>Data split-17;Reg-2</v>
          </cell>
          <cell r="B2036">
            <v>-4.5999999999999996</v>
          </cell>
          <cell r="C2036">
            <v>1.4999999999999999E-2</v>
          </cell>
          <cell r="D2036">
            <v>0</v>
          </cell>
          <cell r="E2036">
            <v>0</v>
          </cell>
          <cell r="F2036">
            <v>-6.6000000000000003E-2</v>
          </cell>
          <cell r="G2036">
            <v>1.5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-3.3E-3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 t="b">
            <v>0</v>
          </cell>
        </row>
        <row r="2037">
          <cell r="A2037" t="str">
            <v>Data split-17;Reg-3</v>
          </cell>
          <cell r="B2037">
            <v>-3.3</v>
          </cell>
          <cell r="C2037">
            <v>0.3</v>
          </cell>
          <cell r="D2037">
            <v>0</v>
          </cell>
          <cell r="E2037">
            <v>0</v>
          </cell>
          <cell r="F2037">
            <v>-4.3999999999999997E-2</v>
          </cell>
          <cell r="G2037">
            <v>0</v>
          </cell>
          <cell r="H2037">
            <v>1.7</v>
          </cell>
          <cell r="I2037">
            <v>0</v>
          </cell>
          <cell r="J2037">
            <v>0</v>
          </cell>
          <cell r="K2037">
            <v>0</v>
          </cell>
          <cell r="L2037">
            <v>0</v>
          </cell>
          <cell r="M2037">
            <v>-3.5999999999999997E-2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 t="b">
            <v>0</v>
          </cell>
        </row>
        <row r="2038">
          <cell r="A2038" t="str">
            <v>Data split-17;Reg-4</v>
          </cell>
          <cell r="B2038">
            <v>-3.1</v>
          </cell>
          <cell r="C2038">
            <v>0.34</v>
          </cell>
          <cell r="D2038">
            <v>0</v>
          </cell>
          <cell r="E2038">
            <v>0</v>
          </cell>
          <cell r="F2038">
            <v>-0.06</v>
          </cell>
          <cell r="G2038">
            <v>0</v>
          </cell>
          <cell r="H2038">
            <v>1.8</v>
          </cell>
          <cell r="I2038">
            <v>0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-9.7000000000000003E-3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 t="b">
            <v>0</v>
          </cell>
        </row>
        <row r="2039">
          <cell r="A2039" t="str">
            <v>Data split-17;Reg-5</v>
          </cell>
          <cell r="B2039">
            <v>-4.4000000000000004</v>
          </cell>
          <cell r="C2039">
            <v>0</v>
          </cell>
          <cell r="D2039">
            <v>0.11</v>
          </cell>
          <cell r="E2039">
            <v>0</v>
          </cell>
          <cell r="F2039">
            <v>-5.8000000000000003E-2</v>
          </cell>
          <cell r="G2039">
            <v>1.4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-4.0000000000000001E-3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 t="b">
            <v>0</v>
          </cell>
        </row>
        <row r="2040">
          <cell r="A2040" t="str">
            <v>Data split-17;Reg-6</v>
          </cell>
          <cell r="B2040">
            <v>-2.8</v>
          </cell>
          <cell r="C2040">
            <v>0</v>
          </cell>
          <cell r="D2040">
            <v>0.38</v>
          </cell>
          <cell r="E2040">
            <v>0</v>
          </cell>
          <cell r="F2040">
            <v>-3.1E-2</v>
          </cell>
          <cell r="G2040">
            <v>0</v>
          </cell>
          <cell r="H2040">
            <v>1.8</v>
          </cell>
          <cell r="I2040">
            <v>0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-1.2E-2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 t="b">
            <v>0</v>
          </cell>
        </row>
        <row r="2041">
          <cell r="A2041" t="str">
            <v>Data split-17;Reg-7</v>
          </cell>
          <cell r="B2041">
            <v>-1.7</v>
          </cell>
          <cell r="C2041">
            <v>0.28999999999999998</v>
          </cell>
          <cell r="D2041">
            <v>0</v>
          </cell>
          <cell r="E2041">
            <v>0</v>
          </cell>
          <cell r="F2041">
            <v>0</v>
          </cell>
          <cell r="G2041">
            <v>0</v>
          </cell>
          <cell r="H2041">
            <v>0.5</v>
          </cell>
          <cell r="I2041">
            <v>1.9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-3.4000000000000002E-2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 t="b">
            <v>0</v>
          </cell>
        </row>
        <row r="2042">
          <cell r="A2042" t="str">
            <v>Data split-17;Reg-8</v>
          </cell>
          <cell r="B2042">
            <v>-1.3</v>
          </cell>
          <cell r="C2042">
            <v>0.35</v>
          </cell>
          <cell r="D2042">
            <v>0</v>
          </cell>
          <cell r="E2042">
            <v>0</v>
          </cell>
          <cell r="F2042">
            <v>0</v>
          </cell>
          <cell r="G2042">
            <v>0</v>
          </cell>
          <cell r="H2042">
            <v>0.49</v>
          </cell>
          <cell r="I2042">
            <v>1.6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-7.1000000000000004E-3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 t="b">
            <v>0</v>
          </cell>
        </row>
        <row r="2043">
          <cell r="A2043" t="str">
            <v>Data split-17;Reg-9</v>
          </cell>
          <cell r="B2043">
            <v>-2.8</v>
          </cell>
          <cell r="C2043">
            <v>8.7999999999999995E-2</v>
          </cell>
          <cell r="D2043">
            <v>0</v>
          </cell>
          <cell r="E2043">
            <v>0</v>
          </cell>
          <cell r="F2043">
            <v>0</v>
          </cell>
          <cell r="G2043">
            <v>1</v>
          </cell>
          <cell r="H2043">
            <v>0</v>
          </cell>
          <cell r="I2043">
            <v>-6.5000000000000002E-2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-1.9E-3</v>
          </cell>
          <cell r="S2043">
            <v>0</v>
          </cell>
          <cell r="T2043">
            <v>0</v>
          </cell>
          <cell r="U2043" t="b">
            <v>1</v>
          </cell>
        </row>
        <row r="2044">
          <cell r="A2044" t="str">
            <v>Data split-17;Reg-10</v>
          </cell>
          <cell r="B2044">
            <v>-1.5</v>
          </cell>
          <cell r="C2044">
            <v>0.11</v>
          </cell>
          <cell r="D2044">
            <v>0</v>
          </cell>
          <cell r="E2044">
            <v>0</v>
          </cell>
          <cell r="F2044">
            <v>0</v>
          </cell>
          <cell r="G2044">
            <v>0</v>
          </cell>
          <cell r="H2044">
            <v>0.64</v>
          </cell>
          <cell r="I2044">
            <v>0</v>
          </cell>
          <cell r="J2044">
            <v>0</v>
          </cell>
          <cell r="K2044">
            <v>1.8</v>
          </cell>
          <cell r="L2044">
            <v>0</v>
          </cell>
          <cell r="M2044">
            <v>0</v>
          </cell>
          <cell r="N2044">
            <v>0</v>
          </cell>
          <cell r="O2044">
            <v>-3.4000000000000002E-2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 t="b">
            <v>0</v>
          </cell>
        </row>
        <row r="2045">
          <cell r="A2045" t="str">
            <v>Data split-17;Reg-11</v>
          </cell>
          <cell r="B2045">
            <v>-1.1000000000000001</v>
          </cell>
          <cell r="C2045">
            <v>0.7</v>
          </cell>
          <cell r="D2045">
            <v>0</v>
          </cell>
          <cell r="E2045">
            <v>0</v>
          </cell>
          <cell r="F2045">
            <v>0</v>
          </cell>
          <cell r="G2045">
            <v>0</v>
          </cell>
          <cell r="H2045">
            <v>0</v>
          </cell>
          <cell r="I2045">
            <v>1.8</v>
          </cell>
          <cell r="J2045">
            <v>0</v>
          </cell>
          <cell r="K2045">
            <v>-0.66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 t="b">
            <v>0</v>
          </cell>
        </row>
        <row r="2046">
          <cell r="A2046" t="str">
            <v>Data split-17;Reg-12</v>
          </cell>
          <cell r="B2046">
            <v>-2.9</v>
          </cell>
          <cell r="C2046">
            <v>7.0000000000000007E-2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0.76</v>
          </cell>
          <cell r="J2046">
            <v>0</v>
          </cell>
          <cell r="K2046">
            <v>0</v>
          </cell>
          <cell r="L2046">
            <v>23.8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 t="b">
            <v>0</v>
          </cell>
        </row>
        <row r="2047">
          <cell r="A2047" t="str">
            <v>Data split-17;Reg-13</v>
          </cell>
          <cell r="B2047">
            <v>-5.5</v>
          </cell>
          <cell r="C2047">
            <v>0.31</v>
          </cell>
          <cell r="D2047">
            <v>0</v>
          </cell>
          <cell r="E2047">
            <v>0</v>
          </cell>
          <cell r="F2047">
            <v>0</v>
          </cell>
          <cell r="G2047">
            <v>0</v>
          </cell>
          <cell r="H2047">
            <v>0</v>
          </cell>
          <cell r="I2047">
            <v>0</v>
          </cell>
          <cell r="J2047">
            <v>48.1</v>
          </cell>
          <cell r="K2047">
            <v>-1.2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 t="b">
            <v>0</v>
          </cell>
        </row>
        <row r="2048">
          <cell r="A2048" t="str">
            <v>Data split-17;Reg-14</v>
          </cell>
          <cell r="B2048">
            <v>-4.5999999999999996</v>
          </cell>
          <cell r="C2048">
            <v>4.9000000000000002E-2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34</v>
          </cell>
          <cell r="K2048">
            <v>0</v>
          </cell>
          <cell r="L2048">
            <v>4.2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 t="b">
            <v>0</v>
          </cell>
        </row>
        <row r="2049">
          <cell r="A2049" t="str">
            <v>Data split-17;Reg-15</v>
          </cell>
          <cell r="B2049">
            <v>-0.64</v>
          </cell>
          <cell r="C2049">
            <v>0.5</v>
          </cell>
          <cell r="D2049">
            <v>0</v>
          </cell>
          <cell r="E2049">
            <v>0</v>
          </cell>
          <cell r="F2049">
            <v>0</v>
          </cell>
          <cell r="G2049">
            <v>0</v>
          </cell>
          <cell r="H2049">
            <v>0</v>
          </cell>
          <cell r="I2049">
            <v>0.87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1.2999999999999999E-2</v>
          </cell>
          <cell r="R2049">
            <v>0</v>
          </cell>
          <cell r="S2049">
            <v>0</v>
          </cell>
          <cell r="T2049">
            <v>0</v>
          </cell>
          <cell r="U2049" t="b">
            <v>0</v>
          </cell>
        </row>
        <row r="2050">
          <cell r="A2050" t="str">
            <v>Data split-17;Reg-16</v>
          </cell>
          <cell r="B2050">
            <v>-0.6</v>
          </cell>
          <cell r="C2050">
            <v>0.35</v>
          </cell>
          <cell r="D2050">
            <v>0</v>
          </cell>
          <cell r="E2050">
            <v>0</v>
          </cell>
          <cell r="F2050">
            <v>0</v>
          </cell>
          <cell r="G2050">
            <v>0</v>
          </cell>
          <cell r="H2050">
            <v>0</v>
          </cell>
          <cell r="I2050">
            <v>0.36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6.7999999999999996E-3</v>
          </cell>
          <cell r="S2050">
            <v>0</v>
          </cell>
          <cell r="T2050">
            <v>0</v>
          </cell>
          <cell r="U2050" t="b">
            <v>0</v>
          </cell>
        </row>
        <row r="2051">
          <cell r="A2051" t="str">
            <v>Data split-17;Reg-17</v>
          </cell>
          <cell r="B2051">
            <v>-4.5</v>
          </cell>
          <cell r="C2051">
            <v>0.11</v>
          </cell>
          <cell r="D2051">
            <v>0</v>
          </cell>
          <cell r="E2051">
            <v>0</v>
          </cell>
          <cell r="F2051">
            <v>0</v>
          </cell>
          <cell r="G2051">
            <v>0</v>
          </cell>
          <cell r="H2051">
            <v>0</v>
          </cell>
          <cell r="I2051">
            <v>0</v>
          </cell>
          <cell r="J2051">
            <v>36.6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-2.5999999999999998E-4</v>
          </cell>
          <cell r="R2051">
            <v>0</v>
          </cell>
          <cell r="S2051">
            <v>0</v>
          </cell>
          <cell r="T2051">
            <v>0</v>
          </cell>
          <cell r="U2051" t="b">
            <v>0</v>
          </cell>
        </row>
        <row r="2052">
          <cell r="A2052" t="str">
            <v>Data split-17;Reg-18</v>
          </cell>
          <cell r="B2052">
            <v>-4</v>
          </cell>
          <cell r="C2052">
            <v>0.08</v>
          </cell>
          <cell r="D2052">
            <v>0</v>
          </cell>
          <cell r="E2052">
            <v>0</v>
          </cell>
          <cell r="F2052">
            <v>0</v>
          </cell>
          <cell r="G2052">
            <v>0</v>
          </cell>
          <cell r="H2052">
            <v>0</v>
          </cell>
          <cell r="I2052">
            <v>0</v>
          </cell>
          <cell r="J2052">
            <v>32.4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1.6000000000000001E-3</v>
          </cell>
          <cell r="S2052">
            <v>0</v>
          </cell>
          <cell r="T2052">
            <v>0</v>
          </cell>
          <cell r="U2052" t="b">
            <v>0</v>
          </cell>
        </row>
        <row r="2053">
          <cell r="A2053" t="str">
            <v>Data split-17;Reg-19</v>
          </cell>
          <cell r="B2053">
            <v>-0.38</v>
          </cell>
          <cell r="C2053">
            <v>0.56000000000000005</v>
          </cell>
          <cell r="D2053">
            <v>0</v>
          </cell>
          <cell r="E2053">
            <v>0</v>
          </cell>
          <cell r="F2053">
            <v>0</v>
          </cell>
          <cell r="G2053">
            <v>0</v>
          </cell>
          <cell r="H2053">
            <v>0</v>
          </cell>
          <cell r="I2053">
            <v>0</v>
          </cell>
          <cell r="J2053">
            <v>0</v>
          </cell>
          <cell r="K2053">
            <v>0.49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1.7000000000000001E-2</v>
          </cell>
          <cell r="T2053">
            <v>0</v>
          </cell>
          <cell r="U2053" t="b">
            <v>0</v>
          </cell>
        </row>
        <row r="2054">
          <cell r="A2054" t="str">
            <v>Data split-17;Reg-20</v>
          </cell>
          <cell r="B2054">
            <v>-0.42</v>
          </cell>
          <cell r="C2054">
            <v>0.44</v>
          </cell>
          <cell r="D2054">
            <v>0</v>
          </cell>
          <cell r="E2054">
            <v>0</v>
          </cell>
          <cell r="F2054">
            <v>0</v>
          </cell>
          <cell r="G2054">
            <v>0</v>
          </cell>
          <cell r="H2054">
            <v>0</v>
          </cell>
          <cell r="I2054">
            <v>0</v>
          </cell>
          <cell r="J2054">
            <v>0</v>
          </cell>
          <cell r="K2054">
            <v>-0.11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7.7999999999999996E-3</v>
          </cell>
          <cell r="U2054" t="b">
            <v>0</v>
          </cell>
        </row>
        <row r="2055">
          <cell r="A2055" t="str">
            <v>Data split-17;Reg-21</v>
          </cell>
          <cell r="B2055">
            <v>-2.6</v>
          </cell>
          <cell r="C2055">
            <v>3.7999999999999999E-2</v>
          </cell>
          <cell r="D2055">
            <v>0</v>
          </cell>
          <cell r="E2055">
            <v>0</v>
          </cell>
          <cell r="F2055">
            <v>0</v>
          </cell>
          <cell r="G2055">
            <v>0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25.6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1.2999999999999999E-2</v>
          </cell>
          <cell r="T2055">
            <v>0</v>
          </cell>
          <cell r="U2055" t="b">
            <v>0</v>
          </cell>
        </row>
        <row r="2056">
          <cell r="A2056" t="str">
            <v>Data split-17;Reg-22</v>
          </cell>
          <cell r="B2056">
            <v>-2.2000000000000002</v>
          </cell>
          <cell r="C2056">
            <v>1.2999999999999999E-3</v>
          </cell>
          <cell r="D2056">
            <v>0</v>
          </cell>
          <cell r="E2056">
            <v>0</v>
          </cell>
          <cell r="F2056">
            <v>0</v>
          </cell>
          <cell r="G2056">
            <v>0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20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5.1999999999999998E-3</v>
          </cell>
          <cell r="U2056" t="b">
            <v>0</v>
          </cell>
        </row>
        <row r="2057">
          <cell r="A2057" t="str">
            <v>Data split-17;Reg-23</v>
          </cell>
          <cell r="B2057">
            <v>-0.94</v>
          </cell>
          <cell r="C2057">
            <v>0</v>
          </cell>
          <cell r="D2057">
            <v>0.71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1.5</v>
          </cell>
          <cell r="J2057">
            <v>0</v>
          </cell>
          <cell r="K2057">
            <v>-0.7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 t="b">
            <v>0</v>
          </cell>
        </row>
        <row r="2058">
          <cell r="A2058" t="str">
            <v>Data split-17;Reg-24</v>
          </cell>
          <cell r="B2058">
            <v>-1.9</v>
          </cell>
          <cell r="C2058">
            <v>0</v>
          </cell>
          <cell r="D2058">
            <v>0.49</v>
          </cell>
          <cell r="E2058">
            <v>0</v>
          </cell>
          <cell r="F2058">
            <v>0</v>
          </cell>
          <cell r="G2058">
            <v>0</v>
          </cell>
          <cell r="H2058">
            <v>0</v>
          </cell>
          <cell r="I2058">
            <v>0.62</v>
          </cell>
          <cell r="J2058">
            <v>0</v>
          </cell>
          <cell r="K2058">
            <v>0</v>
          </cell>
          <cell r="L2058">
            <v>11.1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 t="b">
            <v>0</v>
          </cell>
        </row>
        <row r="2059">
          <cell r="A2059" t="str">
            <v>Data split-17;Reg-25</v>
          </cell>
          <cell r="B2059">
            <v>-4.7</v>
          </cell>
          <cell r="C2059">
            <v>0</v>
          </cell>
          <cell r="D2059">
            <v>0.38</v>
          </cell>
          <cell r="E2059">
            <v>0</v>
          </cell>
          <cell r="F2059">
            <v>0</v>
          </cell>
          <cell r="G2059">
            <v>0</v>
          </cell>
          <cell r="H2059">
            <v>0</v>
          </cell>
          <cell r="I2059">
            <v>0</v>
          </cell>
          <cell r="J2059">
            <v>40.200000000000003</v>
          </cell>
          <cell r="K2059">
            <v>-1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 t="b">
            <v>0</v>
          </cell>
        </row>
        <row r="2060">
          <cell r="A2060" t="str">
            <v>Data split-17;Reg-26</v>
          </cell>
          <cell r="B2060">
            <v>-3.6</v>
          </cell>
          <cell r="C2060">
            <v>0</v>
          </cell>
          <cell r="D2060">
            <v>0.36</v>
          </cell>
          <cell r="E2060">
            <v>0</v>
          </cell>
          <cell r="F2060">
            <v>0</v>
          </cell>
          <cell r="G2060">
            <v>0</v>
          </cell>
          <cell r="H2060">
            <v>0</v>
          </cell>
          <cell r="I2060">
            <v>0</v>
          </cell>
          <cell r="J2060">
            <v>29</v>
          </cell>
          <cell r="K2060">
            <v>0</v>
          </cell>
          <cell r="L2060">
            <v>-2.1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 t="b">
            <v>0</v>
          </cell>
        </row>
        <row r="2061">
          <cell r="A2061" t="str">
            <v>Data split-17;Reg-27</v>
          </cell>
          <cell r="B2061">
            <v>-1.2</v>
          </cell>
          <cell r="C2061">
            <v>0</v>
          </cell>
          <cell r="D2061">
            <v>0.75</v>
          </cell>
          <cell r="E2061">
            <v>0</v>
          </cell>
          <cell r="F2061">
            <v>0</v>
          </cell>
          <cell r="G2061">
            <v>0</v>
          </cell>
          <cell r="H2061">
            <v>0</v>
          </cell>
          <cell r="I2061">
            <v>1.2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-9.7000000000000003E-3</v>
          </cell>
          <cell r="R2061">
            <v>0</v>
          </cell>
          <cell r="S2061">
            <v>0</v>
          </cell>
          <cell r="T2061">
            <v>0</v>
          </cell>
          <cell r="U2061" t="b">
            <v>0</v>
          </cell>
        </row>
        <row r="2062">
          <cell r="A2062" t="str">
            <v>Data split-17;Reg-28</v>
          </cell>
          <cell r="B2062">
            <v>-0.84</v>
          </cell>
          <cell r="C2062">
            <v>0</v>
          </cell>
          <cell r="D2062">
            <v>0.57999999999999996</v>
          </cell>
          <cell r="E2062">
            <v>0</v>
          </cell>
          <cell r="F2062">
            <v>0</v>
          </cell>
          <cell r="G2062">
            <v>0</v>
          </cell>
          <cell r="H2062">
            <v>0</v>
          </cell>
          <cell r="I2062">
            <v>0.8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1.6000000000000001E-3</v>
          </cell>
          <cell r="S2062">
            <v>0</v>
          </cell>
          <cell r="T2062">
            <v>0</v>
          </cell>
          <cell r="U2062" t="b">
            <v>0</v>
          </cell>
        </row>
        <row r="2063">
          <cell r="A2063" t="str">
            <v>Data split-17;Reg-29</v>
          </cell>
          <cell r="B2063">
            <v>-4.2</v>
          </cell>
          <cell r="C2063">
            <v>0</v>
          </cell>
          <cell r="D2063">
            <v>0.44</v>
          </cell>
          <cell r="E2063">
            <v>0</v>
          </cell>
          <cell r="F2063">
            <v>0</v>
          </cell>
          <cell r="G2063">
            <v>0</v>
          </cell>
          <cell r="H2063">
            <v>0</v>
          </cell>
          <cell r="I2063">
            <v>0</v>
          </cell>
          <cell r="J2063">
            <v>31.3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-1.0999999999999999E-2</v>
          </cell>
          <cell r="R2063">
            <v>0</v>
          </cell>
          <cell r="S2063">
            <v>0</v>
          </cell>
          <cell r="T2063">
            <v>0</v>
          </cell>
          <cell r="U2063" t="b">
            <v>0</v>
          </cell>
        </row>
        <row r="2064">
          <cell r="A2064" t="str">
            <v>Data split-17;Reg-30</v>
          </cell>
          <cell r="B2064">
            <v>-4</v>
          </cell>
          <cell r="C2064">
            <v>0</v>
          </cell>
          <cell r="D2064">
            <v>0.4</v>
          </cell>
          <cell r="E2064">
            <v>0</v>
          </cell>
          <cell r="F2064">
            <v>0</v>
          </cell>
          <cell r="G2064">
            <v>0</v>
          </cell>
          <cell r="H2064">
            <v>0</v>
          </cell>
          <cell r="I2064">
            <v>0</v>
          </cell>
          <cell r="J2064">
            <v>30.4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-1.6000000000000001E-3</v>
          </cell>
          <cell r="S2064">
            <v>0</v>
          </cell>
          <cell r="T2064">
            <v>0</v>
          </cell>
          <cell r="U2064" t="b">
            <v>0</v>
          </cell>
        </row>
        <row r="2065">
          <cell r="A2065" t="str">
            <v>Data split-17;Reg-31</v>
          </cell>
          <cell r="B2065">
            <v>-0.87</v>
          </cell>
          <cell r="C2065">
            <v>0</v>
          </cell>
          <cell r="D2065">
            <v>0.74</v>
          </cell>
          <cell r="E2065">
            <v>0</v>
          </cell>
          <cell r="F2065">
            <v>0</v>
          </cell>
          <cell r="G2065">
            <v>0</v>
          </cell>
          <cell r="H2065">
            <v>0</v>
          </cell>
          <cell r="I2065">
            <v>0</v>
          </cell>
          <cell r="J2065">
            <v>0</v>
          </cell>
          <cell r="K2065">
            <v>0.86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-4.4000000000000003E-3</v>
          </cell>
          <cell r="T2065">
            <v>0</v>
          </cell>
          <cell r="U2065" t="b">
            <v>0</v>
          </cell>
        </row>
        <row r="2066">
          <cell r="A2066" t="str">
            <v>Data split-17;Reg-32</v>
          </cell>
          <cell r="B2066">
            <v>-0.6</v>
          </cell>
          <cell r="C2066">
            <v>0</v>
          </cell>
          <cell r="D2066">
            <v>0.57999999999999996</v>
          </cell>
          <cell r="E2066">
            <v>0</v>
          </cell>
          <cell r="F2066">
            <v>0</v>
          </cell>
          <cell r="G2066">
            <v>0</v>
          </cell>
          <cell r="H2066">
            <v>0</v>
          </cell>
          <cell r="I2066">
            <v>0</v>
          </cell>
          <cell r="J2066">
            <v>0</v>
          </cell>
          <cell r="K2066">
            <v>0.43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2.8999999999999998E-3</v>
          </cell>
          <cell r="U2066" t="b">
            <v>0</v>
          </cell>
        </row>
        <row r="2067">
          <cell r="A2067" t="str">
            <v>Data split-17;Reg-33</v>
          </cell>
          <cell r="B2067">
            <v>-2.2000000000000002</v>
          </cell>
          <cell r="C2067">
            <v>0</v>
          </cell>
          <cell r="D2067">
            <v>0.5</v>
          </cell>
          <cell r="E2067">
            <v>0</v>
          </cell>
          <cell r="F2067">
            <v>0</v>
          </cell>
          <cell r="G2067">
            <v>0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17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1.5E-3</v>
          </cell>
          <cell r="T2067">
            <v>0</v>
          </cell>
          <cell r="U2067" t="b">
            <v>0</v>
          </cell>
        </row>
        <row r="2068">
          <cell r="A2068" t="str">
            <v>Data split-17;Reg-34</v>
          </cell>
          <cell r="B2068">
            <v>-1.9</v>
          </cell>
          <cell r="C2068">
            <v>0</v>
          </cell>
          <cell r="D2068">
            <v>0.38</v>
          </cell>
          <cell r="E2068">
            <v>0</v>
          </cell>
          <cell r="F2068">
            <v>0</v>
          </cell>
          <cell r="G2068">
            <v>0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14.6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2.5999999999999999E-3</v>
          </cell>
          <cell r="U2068" t="b">
            <v>0</v>
          </cell>
        </row>
        <row r="2069">
          <cell r="A2069" t="str">
            <v>Data split-17;Reg-35</v>
          </cell>
          <cell r="B2069">
            <v>-0.67</v>
          </cell>
          <cell r="C2069">
            <v>0.62</v>
          </cell>
          <cell r="D2069">
            <v>0</v>
          </cell>
          <cell r="E2069">
            <v>0</v>
          </cell>
          <cell r="F2069">
            <v>0</v>
          </cell>
          <cell r="G2069">
            <v>0</v>
          </cell>
          <cell r="H2069">
            <v>0</v>
          </cell>
          <cell r="I2069">
            <v>1.4</v>
          </cell>
          <cell r="J2069">
            <v>0</v>
          </cell>
          <cell r="K2069">
            <v>-0.83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1.4E-2</v>
          </cell>
          <cell r="R2069">
            <v>0</v>
          </cell>
          <cell r="S2069">
            <v>0</v>
          </cell>
          <cell r="T2069">
            <v>0</v>
          </cell>
          <cell r="U2069" t="b">
            <v>0</v>
          </cell>
        </row>
        <row r="2070">
          <cell r="A2070" t="str">
            <v>Data split-17;Reg-36</v>
          </cell>
          <cell r="B2070">
            <v>-0.64</v>
          </cell>
          <cell r="C2070">
            <v>0.49</v>
          </cell>
          <cell r="D2070">
            <v>0</v>
          </cell>
          <cell r="E2070">
            <v>0</v>
          </cell>
          <cell r="F2070">
            <v>0</v>
          </cell>
          <cell r="G2070">
            <v>0</v>
          </cell>
          <cell r="H2070">
            <v>0</v>
          </cell>
          <cell r="I2070">
            <v>1</v>
          </cell>
          <cell r="J2070">
            <v>0</v>
          </cell>
          <cell r="K2070">
            <v>-1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7.1999999999999998E-3</v>
          </cell>
          <cell r="S2070">
            <v>0</v>
          </cell>
          <cell r="T2070">
            <v>0</v>
          </cell>
          <cell r="U2070" t="b">
            <v>0</v>
          </cell>
        </row>
        <row r="2071">
          <cell r="A2071" t="str">
            <v>Data split-17;Reg-37</v>
          </cell>
          <cell r="B2071">
            <v>-2.5</v>
          </cell>
          <cell r="C2071">
            <v>1.4999999999999999E-2</v>
          </cell>
          <cell r="D2071">
            <v>0</v>
          </cell>
          <cell r="E2071">
            <v>0</v>
          </cell>
          <cell r="F2071">
            <v>0</v>
          </cell>
          <cell r="G2071">
            <v>0</v>
          </cell>
          <cell r="H2071">
            <v>0</v>
          </cell>
          <cell r="I2071">
            <v>0.43</v>
          </cell>
          <cell r="J2071">
            <v>0</v>
          </cell>
          <cell r="K2071">
            <v>0</v>
          </cell>
          <cell r="L2071">
            <v>22.7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1.0999999999999999E-2</v>
          </cell>
          <cell r="R2071">
            <v>0</v>
          </cell>
          <cell r="S2071">
            <v>0</v>
          </cell>
          <cell r="T2071">
            <v>0</v>
          </cell>
          <cell r="U2071" t="b">
            <v>0</v>
          </cell>
        </row>
        <row r="2072">
          <cell r="A2072" t="str">
            <v>Data split-17;Reg-38</v>
          </cell>
          <cell r="B2072">
            <v>-2.2000000000000002</v>
          </cell>
          <cell r="C2072">
            <v>-4.3E-3</v>
          </cell>
          <cell r="D2072">
            <v>0</v>
          </cell>
          <cell r="E2072">
            <v>0</v>
          </cell>
          <cell r="F2072">
            <v>0</v>
          </cell>
          <cell r="G2072">
            <v>0</v>
          </cell>
          <cell r="H2072">
            <v>0</v>
          </cell>
          <cell r="I2072">
            <v>0.15</v>
          </cell>
          <cell r="J2072">
            <v>0</v>
          </cell>
          <cell r="K2072">
            <v>0</v>
          </cell>
          <cell r="L2072">
            <v>18.399999999999999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5.3E-3</v>
          </cell>
          <cell r="S2072">
            <v>0</v>
          </cell>
          <cell r="T2072">
            <v>0</v>
          </cell>
          <cell r="U2072" t="b">
            <v>0</v>
          </cell>
        </row>
        <row r="2073">
          <cell r="A2073" t="str">
            <v>Data split-17;Reg-39</v>
          </cell>
          <cell r="B2073">
            <v>-5.3</v>
          </cell>
          <cell r="C2073">
            <v>0.3</v>
          </cell>
          <cell r="D2073">
            <v>0</v>
          </cell>
          <cell r="E2073">
            <v>0</v>
          </cell>
          <cell r="F2073">
            <v>0</v>
          </cell>
          <cell r="G2073">
            <v>0</v>
          </cell>
          <cell r="H2073">
            <v>0</v>
          </cell>
          <cell r="I2073">
            <v>0</v>
          </cell>
          <cell r="J2073">
            <v>46.5</v>
          </cell>
          <cell r="K2073">
            <v>-1.3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5.0000000000000001E-3</v>
          </cell>
          <cell r="R2073">
            <v>0</v>
          </cell>
          <cell r="S2073">
            <v>0</v>
          </cell>
          <cell r="T2073">
            <v>0</v>
          </cell>
          <cell r="U2073" t="b">
            <v>0</v>
          </cell>
        </row>
        <row r="2074">
          <cell r="A2074" t="str">
            <v>Data split-17;Reg-40</v>
          </cell>
          <cell r="B2074">
            <v>-4.9000000000000004</v>
          </cell>
          <cell r="C2074">
            <v>0.28000000000000003</v>
          </cell>
          <cell r="D2074">
            <v>0</v>
          </cell>
          <cell r="E2074">
            <v>0</v>
          </cell>
          <cell r="F2074">
            <v>0</v>
          </cell>
          <cell r="G2074">
            <v>0</v>
          </cell>
          <cell r="H2074">
            <v>0</v>
          </cell>
          <cell r="I2074">
            <v>0</v>
          </cell>
          <cell r="J2074">
            <v>42.5</v>
          </cell>
          <cell r="K2074">
            <v>-1.4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2.8E-3</v>
          </cell>
          <cell r="S2074">
            <v>0</v>
          </cell>
          <cell r="T2074">
            <v>0</v>
          </cell>
          <cell r="U2074" t="b">
            <v>0</v>
          </cell>
        </row>
        <row r="2075">
          <cell r="A2075" t="str">
            <v>Data split-17;Reg-41</v>
          </cell>
          <cell r="B2075">
            <v>-4.5999999999999996</v>
          </cell>
          <cell r="C2075">
            <v>4.9000000000000002E-2</v>
          </cell>
          <cell r="D2075">
            <v>0</v>
          </cell>
          <cell r="E2075">
            <v>0</v>
          </cell>
          <cell r="F2075">
            <v>0</v>
          </cell>
          <cell r="G2075">
            <v>0</v>
          </cell>
          <cell r="H2075">
            <v>0</v>
          </cell>
          <cell r="I2075">
            <v>0</v>
          </cell>
          <cell r="J2075">
            <v>34</v>
          </cell>
          <cell r="K2075">
            <v>0</v>
          </cell>
          <cell r="L2075">
            <v>4.2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2.3E-6</v>
          </cell>
          <cell r="R2075">
            <v>0</v>
          </cell>
          <cell r="S2075">
            <v>0</v>
          </cell>
          <cell r="T2075">
            <v>0</v>
          </cell>
          <cell r="U2075" t="b">
            <v>0</v>
          </cell>
        </row>
        <row r="2076">
          <cell r="A2076" t="str">
            <v>Data split-17;Reg-42</v>
          </cell>
          <cell r="B2076">
            <v>-4.0999999999999996</v>
          </cell>
          <cell r="C2076">
            <v>1.7999999999999999E-2</v>
          </cell>
          <cell r="D2076">
            <v>0</v>
          </cell>
          <cell r="E2076">
            <v>0</v>
          </cell>
          <cell r="F2076">
            <v>0</v>
          </cell>
          <cell r="G2076">
            <v>0</v>
          </cell>
          <cell r="H2076">
            <v>0</v>
          </cell>
          <cell r="I2076">
            <v>0</v>
          </cell>
          <cell r="J2076">
            <v>30</v>
          </cell>
          <cell r="K2076">
            <v>0</v>
          </cell>
          <cell r="L2076">
            <v>4.0999999999999996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1.6000000000000001E-3</v>
          </cell>
          <cell r="S2076">
            <v>0</v>
          </cell>
          <cell r="T2076">
            <v>0</v>
          </cell>
          <cell r="U2076" t="b">
            <v>0</v>
          </cell>
        </row>
        <row r="2077">
          <cell r="A2077" t="str">
            <v>Data split-17;Reg-43</v>
          </cell>
          <cell r="B2077">
            <v>-0.73</v>
          </cell>
          <cell r="C2077">
            <v>0.64</v>
          </cell>
          <cell r="D2077">
            <v>0</v>
          </cell>
          <cell r="E2077">
            <v>0</v>
          </cell>
          <cell r="F2077">
            <v>0</v>
          </cell>
          <cell r="G2077">
            <v>0</v>
          </cell>
          <cell r="H2077">
            <v>0</v>
          </cell>
          <cell r="I2077">
            <v>1.5</v>
          </cell>
          <cell r="J2077">
            <v>0</v>
          </cell>
          <cell r="K2077">
            <v>-0.81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1.0999999999999999E-2</v>
          </cell>
          <cell r="T2077">
            <v>0</v>
          </cell>
          <cell r="U2077" t="b">
            <v>0</v>
          </cell>
        </row>
        <row r="2078">
          <cell r="A2078" t="str">
            <v>Data split-17;Reg-44</v>
          </cell>
          <cell r="B2078">
            <v>-0.63</v>
          </cell>
          <cell r="C2078">
            <v>0.51</v>
          </cell>
          <cell r="D2078">
            <v>0</v>
          </cell>
          <cell r="E2078">
            <v>0</v>
          </cell>
          <cell r="F2078">
            <v>0</v>
          </cell>
          <cell r="G2078">
            <v>0</v>
          </cell>
          <cell r="H2078">
            <v>0</v>
          </cell>
          <cell r="I2078">
            <v>1.1000000000000001</v>
          </cell>
          <cell r="J2078">
            <v>0</v>
          </cell>
          <cell r="K2078">
            <v>-1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6.7000000000000002E-3</v>
          </cell>
          <cell r="U2078" t="b">
            <v>0</v>
          </cell>
        </row>
        <row r="2079">
          <cell r="A2079" t="str">
            <v>Data split-17;Reg-45</v>
          </cell>
          <cell r="B2079">
            <v>-2.6</v>
          </cell>
          <cell r="C2079">
            <v>2.3E-2</v>
          </cell>
          <cell r="D2079">
            <v>0</v>
          </cell>
          <cell r="E2079">
            <v>0</v>
          </cell>
          <cell r="F2079">
            <v>0</v>
          </cell>
          <cell r="G2079">
            <v>0</v>
          </cell>
          <cell r="H2079">
            <v>0</v>
          </cell>
          <cell r="I2079">
            <v>0.49</v>
          </cell>
          <cell r="J2079">
            <v>0</v>
          </cell>
          <cell r="K2079">
            <v>0</v>
          </cell>
          <cell r="L2079">
            <v>23.2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8.2000000000000007E-3</v>
          </cell>
          <cell r="T2079">
            <v>0</v>
          </cell>
          <cell r="U2079" t="b">
            <v>0</v>
          </cell>
        </row>
        <row r="2080">
          <cell r="A2080" t="str">
            <v>Data split-17;Reg-46</v>
          </cell>
          <cell r="B2080">
            <v>-2.2999999999999998</v>
          </cell>
          <cell r="C2080">
            <v>-6.1999999999999998E-3</v>
          </cell>
          <cell r="D2080">
            <v>0</v>
          </cell>
          <cell r="E2080">
            <v>0</v>
          </cell>
          <cell r="F2080">
            <v>0</v>
          </cell>
          <cell r="G2080">
            <v>0</v>
          </cell>
          <cell r="H2080">
            <v>0</v>
          </cell>
          <cell r="I2080">
            <v>0.17</v>
          </cell>
          <cell r="J2080">
            <v>0</v>
          </cell>
          <cell r="K2080">
            <v>0</v>
          </cell>
          <cell r="L2080">
            <v>19.5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4.7999999999999996E-3</v>
          </cell>
          <cell r="U2080" t="b">
            <v>0</v>
          </cell>
        </row>
        <row r="2081">
          <cell r="A2081" t="str">
            <v>Data split-17;Reg-47</v>
          </cell>
          <cell r="B2081">
            <v>-5.3</v>
          </cell>
          <cell r="C2081">
            <v>0.3</v>
          </cell>
          <cell r="D2081">
            <v>0</v>
          </cell>
          <cell r="E2081">
            <v>0</v>
          </cell>
          <cell r="F2081">
            <v>0</v>
          </cell>
          <cell r="G2081">
            <v>0</v>
          </cell>
          <cell r="H2081">
            <v>0</v>
          </cell>
          <cell r="I2081">
            <v>0</v>
          </cell>
          <cell r="J2081">
            <v>47</v>
          </cell>
          <cell r="K2081">
            <v>-1.3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3.7000000000000002E-3</v>
          </cell>
          <cell r="T2081">
            <v>0</v>
          </cell>
          <cell r="U2081" t="b">
            <v>0</v>
          </cell>
        </row>
        <row r="2082">
          <cell r="A2082" t="str">
            <v>Data split-17;Reg-48</v>
          </cell>
          <cell r="B2082">
            <v>-5</v>
          </cell>
          <cell r="C2082">
            <v>0.28000000000000003</v>
          </cell>
          <cell r="D2082">
            <v>0</v>
          </cell>
          <cell r="E2082">
            <v>0</v>
          </cell>
          <cell r="F2082">
            <v>0</v>
          </cell>
          <cell r="G2082">
            <v>0</v>
          </cell>
          <cell r="H2082">
            <v>0</v>
          </cell>
          <cell r="I2082">
            <v>0</v>
          </cell>
          <cell r="J2082">
            <v>43.6</v>
          </cell>
          <cell r="K2082">
            <v>-1.4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2.3999999999999998E-3</v>
          </cell>
          <cell r="U2082" t="b">
            <v>0</v>
          </cell>
        </row>
        <row r="2083">
          <cell r="A2083" t="str">
            <v>Data split-17;Reg-49</v>
          </cell>
          <cell r="B2083">
            <v>-4.7</v>
          </cell>
          <cell r="C2083">
            <v>6.4000000000000001E-2</v>
          </cell>
          <cell r="D2083">
            <v>0</v>
          </cell>
          <cell r="E2083">
            <v>0</v>
          </cell>
          <cell r="F2083">
            <v>0</v>
          </cell>
          <cell r="G2083">
            <v>0</v>
          </cell>
          <cell r="H2083">
            <v>0</v>
          </cell>
          <cell r="I2083">
            <v>0</v>
          </cell>
          <cell r="J2083">
            <v>35</v>
          </cell>
          <cell r="K2083">
            <v>0</v>
          </cell>
          <cell r="L2083">
            <v>4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-1.9E-3</v>
          </cell>
          <cell r="T2083">
            <v>0</v>
          </cell>
          <cell r="U2083" t="b">
            <v>0</v>
          </cell>
        </row>
        <row r="2084">
          <cell r="A2084" t="str">
            <v>Data split-17;Reg-50</v>
          </cell>
          <cell r="B2084">
            <v>-4.3</v>
          </cell>
          <cell r="C2084">
            <v>2.7E-2</v>
          </cell>
          <cell r="D2084">
            <v>0</v>
          </cell>
          <cell r="E2084">
            <v>0</v>
          </cell>
          <cell r="F2084">
            <v>0</v>
          </cell>
          <cell r="G2084">
            <v>0</v>
          </cell>
          <cell r="H2084">
            <v>0</v>
          </cell>
          <cell r="I2084">
            <v>0</v>
          </cell>
          <cell r="J2084">
            <v>31.6</v>
          </cell>
          <cell r="K2084">
            <v>0</v>
          </cell>
          <cell r="L2084">
            <v>4.2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9.5E-4</v>
          </cell>
          <cell r="U2084" t="b">
            <v>0</v>
          </cell>
        </row>
        <row r="2085">
          <cell r="A2085" t="str">
            <v>Data split-17;Reg-51</v>
          </cell>
          <cell r="B2085">
            <v>-1.2</v>
          </cell>
          <cell r="C2085">
            <v>0</v>
          </cell>
          <cell r="D2085">
            <v>0.8</v>
          </cell>
          <cell r="E2085">
            <v>0</v>
          </cell>
          <cell r="F2085">
            <v>0</v>
          </cell>
          <cell r="G2085">
            <v>0</v>
          </cell>
          <cell r="H2085">
            <v>0</v>
          </cell>
          <cell r="I2085">
            <v>1.7</v>
          </cell>
          <cell r="J2085">
            <v>0</v>
          </cell>
          <cell r="K2085">
            <v>-0.67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-9.2999999999999992E-3</v>
          </cell>
          <cell r="R2085">
            <v>0</v>
          </cell>
          <cell r="S2085">
            <v>0</v>
          </cell>
          <cell r="T2085">
            <v>0</v>
          </cell>
          <cell r="U2085" t="b">
            <v>0</v>
          </cell>
        </row>
        <row r="2086">
          <cell r="A2086" t="str">
            <v>Data split-17;Reg-52</v>
          </cell>
          <cell r="B2086">
            <v>-0.84</v>
          </cell>
          <cell r="C2086">
            <v>0</v>
          </cell>
          <cell r="D2086">
            <v>0.63</v>
          </cell>
          <cell r="E2086">
            <v>0</v>
          </cell>
          <cell r="F2086">
            <v>0</v>
          </cell>
          <cell r="G2086">
            <v>0</v>
          </cell>
          <cell r="H2086">
            <v>0</v>
          </cell>
          <cell r="I2086">
            <v>1.4</v>
          </cell>
          <cell r="J2086">
            <v>0</v>
          </cell>
          <cell r="K2086">
            <v>-0.72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1.6999999999999999E-3</v>
          </cell>
          <cell r="S2086">
            <v>0</v>
          </cell>
          <cell r="T2086">
            <v>0</v>
          </cell>
          <cell r="U2086" t="b">
            <v>0</v>
          </cell>
        </row>
        <row r="2087">
          <cell r="A2087" t="str">
            <v>Data split-17;Reg-53</v>
          </cell>
          <cell r="B2087">
            <v>-2</v>
          </cell>
          <cell r="C2087">
            <v>0</v>
          </cell>
          <cell r="D2087">
            <v>0.56999999999999995</v>
          </cell>
          <cell r="E2087">
            <v>0</v>
          </cell>
          <cell r="F2087">
            <v>0</v>
          </cell>
          <cell r="G2087">
            <v>0</v>
          </cell>
          <cell r="H2087">
            <v>0</v>
          </cell>
          <cell r="I2087">
            <v>0.82</v>
          </cell>
          <cell r="J2087">
            <v>0</v>
          </cell>
          <cell r="K2087">
            <v>0</v>
          </cell>
          <cell r="L2087">
            <v>10.199999999999999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-7.0000000000000001E-3</v>
          </cell>
          <cell r="R2087">
            <v>0</v>
          </cell>
          <cell r="S2087">
            <v>0</v>
          </cell>
          <cell r="T2087">
            <v>0</v>
          </cell>
          <cell r="U2087" t="b">
            <v>0</v>
          </cell>
        </row>
        <row r="2088">
          <cell r="A2088" t="str">
            <v>Data split-17;Reg-54</v>
          </cell>
          <cell r="B2088">
            <v>-1.8</v>
          </cell>
          <cell r="C2088">
            <v>0</v>
          </cell>
          <cell r="D2088">
            <v>0.41</v>
          </cell>
          <cell r="E2088">
            <v>0</v>
          </cell>
          <cell r="F2088">
            <v>0</v>
          </cell>
          <cell r="G2088">
            <v>0</v>
          </cell>
          <cell r="H2088">
            <v>0</v>
          </cell>
          <cell r="I2088">
            <v>0.45</v>
          </cell>
          <cell r="J2088">
            <v>0</v>
          </cell>
          <cell r="K2088">
            <v>0</v>
          </cell>
          <cell r="L2088">
            <v>11.1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1.6000000000000001E-3</v>
          </cell>
          <cell r="S2088">
            <v>0</v>
          </cell>
          <cell r="T2088">
            <v>0</v>
          </cell>
          <cell r="U2088" t="b">
            <v>0</v>
          </cell>
        </row>
        <row r="2089">
          <cell r="A2089" t="str">
            <v>Data split-17;Reg-55</v>
          </cell>
          <cell r="B2089">
            <v>-4.9000000000000004</v>
          </cell>
          <cell r="C2089">
            <v>0</v>
          </cell>
          <cell r="D2089">
            <v>0.43</v>
          </cell>
          <cell r="E2089">
            <v>0</v>
          </cell>
          <cell r="F2089">
            <v>0</v>
          </cell>
          <cell r="G2089">
            <v>0</v>
          </cell>
          <cell r="H2089">
            <v>0</v>
          </cell>
          <cell r="I2089">
            <v>0</v>
          </cell>
          <cell r="J2089">
            <v>40.799999999999997</v>
          </cell>
          <cell r="K2089">
            <v>-0.9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-5.4999999999999997E-3</v>
          </cell>
          <cell r="R2089">
            <v>0</v>
          </cell>
          <cell r="S2089">
            <v>0</v>
          </cell>
          <cell r="T2089">
            <v>0</v>
          </cell>
          <cell r="U2089" t="b">
            <v>0</v>
          </cell>
        </row>
        <row r="2090">
          <cell r="A2090" t="str">
            <v>Data split-17;Reg-56</v>
          </cell>
          <cell r="B2090">
            <v>-4.8</v>
          </cell>
          <cell r="C2090">
            <v>0</v>
          </cell>
          <cell r="D2090">
            <v>0.39</v>
          </cell>
          <cell r="E2090">
            <v>0</v>
          </cell>
          <cell r="F2090">
            <v>0</v>
          </cell>
          <cell r="G2090">
            <v>0</v>
          </cell>
          <cell r="H2090">
            <v>0</v>
          </cell>
          <cell r="I2090">
            <v>0</v>
          </cell>
          <cell r="J2090">
            <v>40.5</v>
          </cell>
          <cell r="K2090">
            <v>-1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-2.1000000000000001E-4</v>
          </cell>
          <cell r="S2090">
            <v>0</v>
          </cell>
          <cell r="T2090">
            <v>0</v>
          </cell>
          <cell r="U2090" t="b">
            <v>0</v>
          </cell>
        </row>
        <row r="2091">
          <cell r="A2091" t="str">
            <v>Data split-17;Reg-57</v>
          </cell>
          <cell r="B2091">
            <v>-4.2</v>
          </cell>
          <cell r="C2091">
            <v>0</v>
          </cell>
          <cell r="D2091">
            <v>0.48</v>
          </cell>
          <cell r="E2091">
            <v>0</v>
          </cell>
          <cell r="F2091">
            <v>0</v>
          </cell>
          <cell r="G2091">
            <v>0</v>
          </cell>
          <cell r="H2091">
            <v>0</v>
          </cell>
          <cell r="I2091">
            <v>0</v>
          </cell>
          <cell r="J2091">
            <v>34.1</v>
          </cell>
          <cell r="K2091">
            <v>0</v>
          </cell>
          <cell r="L2091">
            <v>-3.7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-1.0999999999999999E-2</v>
          </cell>
          <cell r="R2091">
            <v>0</v>
          </cell>
          <cell r="S2091">
            <v>0</v>
          </cell>
          <cell r="T2091">
            <v>0</v>
          </cell>
          <cell r="U2091" t="b">
            <v>0</v>
          </cell>
        </row>
        <row r="2092">
          <cell r="A2092" t="str">
            <v>Data split-17;Reg-58</v>
          </cell>
          <cell r="B2092">
            <v>-3.9</v>
          </cell>
          <cell r="C2092">
            <v>0</v>
          </cell>
          <cell r="D2092">
            <v>0.43</v>
          </cell>
          <cell r="E2092">
            <v>0</v>
          </cell>
          <cell r="F2092">
            <v>0</v>
          </cell>
          <cell r="G2092">
            <v>0</v>
          </cell>
          <cell r="H2092">
            <v>0</v>
          </cell>
          <cell r="I2092">
            <v>0</v>
          </cell>
          <cell r="J2092">
            <v>32.5</v>
          </cell>
          <cell r="K2092">
            <v>0</v>
          </cell>
          <cell r="L2092">
            <v>-2.7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-1.6999999999999999E-3</v>
          </cell>
          <cell r="S2092">
            <v>0</v>
          </cell>
          <cell r="T2092">
            <v>0</v>
          </cell>
          <cell r="U2092" t="b">
            <v>0</v>
          </cell>
        </row>
        <row r="2093">
          <cell r="A2093" t="str">
            <v>Data split-17;Reg-59</v>
          </cell>
          <cell r="B2093">
            <v>-1.3</v>
          </cell>
          <cell r="C2093">
            <v>0</v>
          </cell>
          <cell r="D2093">
            <v>0.83</v>
          </cell>
          <cell r="E2093">
            <v>0</v>
          </cell>
          <cell r="F2093">
            <v>0</v>
          </cell>
          <cell r="G2093">
            <v>0</v>
          </cell>
          <cell r="H2093">
            <v>0</v>
          </cell>
          <cell r="I2093">
            <v>1.8</v>
          </cell>
          <cell r="J2093">
            <v>0</v>
          </cell>
          <cell r="K2093">
            <v>-0.65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-1.2999999999999999E-2</v>
          </cell>
          <cell r="T2093">
            <v>0</v>
          </cell>
          <cell r="U2093" t="b">
            <v>0</v>
          </cell>
        </row>
        <row r="2094">
          <cell r="A2094" t="str">
            <v>Data split-17;Reg-60</v>
          </cell>
          <cell r="B2094">
            <v>-0.9</v>
          </cell>
          <cell r="C2094">
            <v>0</v>
          </cell>
          <cell r="D2094">
            <v>0.69</v>
          </cell>
          <cell r="E2094">
            <v>0</v>
          </cell>
          <cell r="F2094">
            <v>0</v>
          </cell>
          <cell r="G2094">
            <v>0</v>
          </cell>
          <cell r="H2094">
            <v>0</v>
          </cell>
          <cell r="I2094">
            <v>1.5</v>
          </cell>
          <cell r="J2094">
            <v>0</v>
          </cell>
          <cell r="K2094">
            <v>-0.71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5.1000000000000004E-4</v>
          </cell>
          <cell r="U2094" t="b">
            <v>0</v>
          </cell>
        </row>
        <row r="2095">
          <cell r="A2095" t="str">
            <v>Data split-17;Reg-61</v>
          </cell>
          <cell r="B2095">
            <v>-2.1</v>
          </cell>
          <cell r="C2095">
            <v>0</v>
          </cell>
          <cell r="D2095">
            <v>0.61</v>
          </cell>
          <cell r="E2095">
            <v>0</v>
          </cell>
          <cell r="F2095">
            <v>0</v>
          </cell>
          <cell r="G2095">
            <v>0</v>
          </cell>
          <cell r="H2095">
            <v>0</v>
          </cell>
          <cell r="I2095">
            <v>0.96</v>
          </cell>
          <cell r="J2095">
            <v>0</v>
          </cell>
          <cell r="K2095">
            <v>0</v>
          </cell>
          <cell r="L2095">
            <v>9.5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-1.0999999999999999E-2</v>
          </cell>
          <cell r="T2095">
            <v>0</v>
          </cell>
          <cell r="U2095" t="b">
            <v>0</v>
          </cell>
        </row>
        <row r="2096">
          <cell r="A2096" t="str">
            <v>Data split-17;Reg-62</v>
          </cell>
          <cell r="B2096">
            <v>-1.9</v>
          </cell>
          <cell r="C2096">
            <v>0</v>
          </cell>
          <cell r="D2096">
            <v>0.46</v>
          </cell>
          <cell r="E2096">
            <v>0</v>
          </cell>
          <cell r="F2096">
            <v>0</v>
          </cell>
          <cell r="G2096">
            <v>0</v>
          </cell>
          <cell r="H2096">
            <v>0</v>
          </cell>
          <cell r="I2096">
            <v>0.56000000000000005</v>
          </cell>
          <cell r="J2096">
            <v>0</v>
          </cell>
          <cell r="K2096">
            <v>0</v>
          </cell>
          <cell r="L2096">
            <v>11.2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5.0000000000000001E-4</v>
          </cell>
          <cell r="U2096" t="b">
            <v>0</v>
          </cell>
        </row>
        <row r="2097">
          <cell r="A2097" t="str">
            <v>Data split-17;Reg-63</v>
          </cell>
          <cell r="B2097">
            <v>-5</v>
          </cell>
          <cell r="C2097">
            <v>0</v>
          </cell>
          <cell r="D2097">
            <v>0.44</v>
          </cell>
          <cell r="E2097">
            <v>0</v>
          </cell>
          <cell r="F2097">
            <v>0</v>
          </cell>
          <cell r="G2097">
            <v>0</v>
          </cell>
          <cell r="H2097">
            <v>0</v>
          </cell>
          <cell r="I2097">
            <v>0</v>
          </cell>
          <cell r="J2097">
            <v>40.6</v>
          </cell>
          <cell r="K2097">
            <v>-0.84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-7.0000000000000001E-3</v>
          </cell>
          <cell r="T2097">
            <v>0</v>
          </cell>
          <cell r="U2097" t="b">
            <v>0</v>
          </cell>
        </row>
        <row r="2098">
          <cell r="A2098" t="str">
            <v>Data split-17;Reg-64</v>
          </cell>
          <cell r="B2098">
            <v>-4.8</v>
          </cell>
          <cell r="C2098">
            <v>0</v>
          </cell>
          <cell r="D2098">
            <v>0.41</v>
          </cell>
          <cell r="E2098">
            <v>0</v>
          </cell>
          <cell r="F2098">
            <v>0</v>
          </cell>
          <cell r="G2098">
            <v>0</v>
          </cell>
          <cell r="H2098">
            <v>0</v>
          </cell>
          <cell r="I2098">
            <v>0</v>
          </cell>
          <cell r="J2098">
            <v>41</v>
          </cell>
          <cell r="K2098">
            <v>-0.96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-7.3999999999999999E-4</v>
          </cell>
          <cell r="U2098" t="b">
            <v>0</v>
          </cell>
        </row>
        <row r="2099">
          <cell r="A2099" t="str">
            <v>Data split-17;Reg-65</v>
          </cell>
          <cell r="B2099">
            <v>-4.3</v>
          </cell>
          <cell r="C2099">
            <v>0</v>
          </cell>
          <cell r="D2099">
            <v>0.5</v>
          </cell>
          <cell r="E2099">
            <v>0</v>
          </cell>
          <cell r="F2099">
            <v>0</v>
          </cell>
          <cell r="G2099">
            <v>0</v>
          </cell>
          <cell r="H2099">
            <v>0</v>
          </cell>
          <cell r="I2099">
            <v>0</v>
          </cell>
          <cell r="J2099">
            <v>35</v>
          </cell>
          <cell r="K2099">
            <v>0</v>
          </cell>
          <cell r="L2099">
            <v>-4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-1.2999999999999999E-2</v>
          </cell>
          <cell r="T2099">
            <v>0</v>
          </cell>
          <cell r="U2099" t="b">
            <v>0</v>
          </cell>
        </row>
        <row r="2100">
          <cell r="A2100" t="str">
            <v>Data split-17;Reg-66</v>
          </cell>
          <cell r="B2100">
            <v>-4.0999999999999996</v>
          </cell>
          <cell r="C2100">
            <v>0</v>
          </cell>
          <cell r="D2100">
            <v>0.46</v>
          </cell>
          <cell r="E2100">
            <v>0</v>
          </cell>
          <cell r="F2100">
            <v>0</v>
          </cell>
          <cell r="G2100">
            <v>0</v>
          </cell>
          <cell r="H2100">
            <v>0</v>
          </cell>
          <cell r="I2100">
            <v>0</v>
          </cell>
          <cell r="J2100">
            <v>34.1</v>
          </cell>
          <cell r="K2100">
            <v>0</v>
          </cell>
          <cell r="L2100">
            <v>-3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-2.5000000000000001E-3</v>
          </cell>
          <cell r="U2100" t="b">
            <v>0</v>
          </cell>
        </row>
        <row r="2101">
          <cell r="A2101" t="str">
            <v>Data split-17;Reg-67</v>
          </cell>
          <cell r="B2101">
            <v>-2.4</v>
          </cell>
          <cell r="C2101">
            <v>0.12</v>
          </cell>
          <cell r="D2101">
            <v>0</v>
          </cell>
          <cell r="E2101">
            <v>0</v>
          </cell>
          <cell r="F2101">
            <v>0</v>
          </cell>
          <cell r="G2101">
            <v>0.83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 t="b">
            <v>1</v>
          </cell>
        </row>
        <row r="2102">
          <cell r="A2102" t="str">
            <v>Data split-17;Reg-68</v>
          </cell>
          <cell r="B2102">
            <v>-3.9</v>
          </cell>
          <cell r="C2102">
            <v>4.9000000000000002E-2</v>
          </cell>
          <cell r="D2102">
            <v>0</v>
          </cell>
          <cell r="E2102">
            <v>0</v>
          </cell>
          <cell r="F2102">
            <v>-7.2999999999999995E-2</v>
          </cell>
          <cell r="G2102">
            <v>1.2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 t="b">
            <v>0</v>
          </cell>
        </row>
        <row r="2103">
          <cell r="A2103" t="str">
            <v>Data split-17;Reg-69</v>
          </cell>
          <cell r="B2103">
            <v>-4.3</v>
          </cell>
          <cell r="C2103">
            <v>0.05</v>
          </cell>
          <cell r="D2103">
            <v>0</v>
          </cell>
          <cell r="E2103">
            <v>0</v>
          </cell>
          <cell r="F2103">
            <v>0</v>
          </cell>
          <cell r="G2103">
            <v>0.17</v>
          </cell>
          <cell r="H2103">
            <v>0</v>
          </cell>
          <cell r="I2103">
            <v>0</v>
          </cell>
          <cell r="J2103">
            <v>31.6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 t="b">
            <v>0</v>
          </cell>
        </row>
        <row r="2104">
          <cell r="A2104" t="str">
            <v>Data split-17;Reg-70</v>
          </cell>
          <cell r="B2104">
            <v>-5.2</v>
          </cell>
          <cell r="C2104">
            <v>-2.4E-2</v>
          </cell>
          <cell r="D2104">
            <v>0</v>
          </cell>
          <cell r="E2104">
            <v>0</v>
          </cell>
          <cell r="F2104">
            <v>0</v>
          </cell>
          <cell r="G2104">
            <v>0.68</v>
          </cell>
          <cell r="H2104">
            <v>0</v>
          </cell>
          <cell r="I2104">
            <v>0</v>
          </cell>
          <cell r="J2104">
            <v>26.4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-1.9E-2</v>
          </cell>
          <cell r="T2104">
            <v>0</v>
          </cell>
          <cell r="U2104" t="b">
            <v>0</v>
          </cell>
        </row>
        <row r="2105">
          <cell r="A2105" t="str">
            <v>Data split-17;Reg-71</v>
          </cell>
          <cell r="B2105">
            <v>-2.8</v>
          </cell>
          <cell r="C2105">
            <v>0.35</v>
          </cell>
          <cell r="D2105">
            <v>0</v>
          </cell>
          <cell r="E2105">
            <v>0</v>
          </cell>
          <cell r="F2105">
            <v>-3.3000000000000002E-2</v>
          </cell>
          <cell r="G2105">
            <v>0</v>
          </cell>
          <cell r="H2105">
            <v>1.5</v>
          </cell>
          <cell r="I2105">
            <v>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-3.9E-2</v>
          </cell>
          <cell r="T2105">
            <v>0</v>
          </cell>
          <cell r="U2105" t="b">
            <v>0</v>
          </cell>
        </row>
        <row r="2106">
          <cell r="A2106" t="str">
            <v>Data split-17;Reg-72</v>
          </cell>
          <cell r="B2106">
            <v>-0.3</v>
          </cell>
          <cell r="C2106">
            <v>0.06</v>
          </cell>
          <cell r="D2106">
            <v>0</v>
          </cell>
          <cell r="E2106">
            <v>0.63</v>
          </cell>
          <cell r="F2106">
            <v>0</v>
          </cell>
          <cell r="G2106">
            <v>0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 t="b">
            <v>1</v>
          </cell>
        </row>
        <row r="2107">
          <cell r="A2107" t="str">
            <v>Data split-17;Reg-73</v>
          </cell>
          <cell r="B2107">
            <v>-0.68</v>
          </cell>
          <cell r="C2107">
            <v>1.1000000000000001</v>
          </cell>
          <cell r="D2107">
            <v>0</v>
          </cell>
          <cell r="E2107">
            <v>0</v>
          </cell>
          <cell r="F2107">
            <v>8.0000000000000004E-4</v>
          </cell>
          <cell r="G2107">
            <v>0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 t="b">
            <v>1</v>
          </cell>
        </row>
        <row r="2108">
          <cell r="A2108" t="str">
            <v>Data split-17;Reg-74</v>
          </cell>
          <cell r="B2108">
            <v>-0.43</v>
          </cell>
          <cell r="C2108">
            <v>0</v>
          </cell>
          <cell r="D2108">
            <v>0.44</v>
          </cell>
          <cell r="E2108">
            <v>0.36</v>
          </cell>
          <cell r="F2108">
            <v>0</v>
          </cell>
          <cell r="G2108">
            <v>0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 t="b">
            <v>1</v>
          </cell>
        </row>
        <row r="2109">
          <cell r="A2109" t="str">
            <v>Data split-17;Reg-75</v>
          </cell>
          <cell r="B2109">
            <v>-0.39</v>
          </cell>
          <cell r="C2109">
            <v>0</v>
          </cell>
          <cell r="D2109">
            <v>0.9</v>
          </cell>
          <cell r="E2109">
            <v>0</v>
          </cell>
          <cell r="F2109">
            <v>1.2E-2</v>
          </cell>
          <cell r="G2109">
            <v>0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 t="b">
            <v>1</v>
          </cell>
        </row>
        <row r="2110">
          <cell r="A2110" t="str">
            <v>Data split-17;Reg-76</v>
          </cell>
          <cell r="B2110">
            <v>-2.4</v>
          </cell>
          <cell r="C2110">
            <v>0.12</v>
          </cell>
          <cell r="D2110">
            <v>0</v>
          </cell>
          <cell r="E2110">
            <v>0</v>
          </cell>
          <cell r="F2110">
            <v>0</v>
          </cell>
          <cell r="G2110">
            <v>0.83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 t="b">
            <v>1</v>
          </cell>
        </row>
        <row r="2111">
          <cell r="A2111" t="str">
            <v>Data split-17;Reg-77</v>
          </cell>
          <cell r="B2111">
            <v>-1.1000000000000001</v>
          </cell>
          <cell r="C2111">
            <v>0.31</v>
          </cell>
          <cell r="D2111">
            <v>0</v>
          </cell>
          <cell r="E2111">
            <v>0</v>
          </cell>
          <cell r="F2111">
            <v>0</v>
          </cell>
          <cell r="G2111">
            <v>0</v>
          </cell>
          <cell r="H2111">
            <v>0.73</v>
          </cell>
          <cell r="I2111">
            <v>0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 t="b">
            <v>1</v>
          </cell>
        </row>
        <row r="2112">
          <cell r="A2112" t="str">
            <v>Data split-17;Reg-78</v>
          </cell>
          <cell r="B2112">
            <v>-1.8</v>
          </cell>
          <cell r="C2112">
            <v>0</v>
          </cell>
          <cell r="D2112">
            <v>0.39</v>
          </cell>
          <cell r="E2112">
            <v>0</v>
          </cell>
          <cell r="F2112">
            <v>0</v>
          </cell>
          <cell r="G2112">
            <v>0.56000000000000005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 t="b">
            <v>1</v>
          </cell>
        </row>
        <row r="2113">
          <cell r="A2113" t="str">
            <v>Data split-17;Reg-79</v>
          </cell>
          <cell r="B2113">
            <v>-0.94</v>
          </cell>
          <cell r="C2113">
            <v>0</v>
          </cell>
          <cell r="D2113">
            <v>0.47</v>
          </cell>
          <cell r="E2113">
            <v>0</v>
          </cell>
          <cell r="F2113">
            <v>0</v>
          </cell>
          <cell r="G2113">
            <v>0</v>
          </cell>
          <cell r="H2113">
            <v>0.51</v>
          </cell>
          <cell r="I2113">
            <v>0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 t="b">
            <v>1</v>
          </cell>
        </row>
        <row r="2114">
          <cell r="A2114" t="str">
            <v>Data split-17;Reg-80</v>
          </cell>
          <cell r="B2114">
            <v>-1</v>
          </cell>
          <cell r="C2114">
            <v>0.6</v>
          </cell>
          <cell r="D2114">
            <v>0</v>
          </cell>
          <cell r="E2114">
            <v>0</v>
          </cell>
          <cell r="F2114">
            <v>0</v>
          </cell>
          <cell r="G2114">
            <v>0</v>
          </cell>
          <cell r="H2114">
            <v>0</v>
          </cell>
          <cell r="I2114">
            <v>1.3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 t="b">
            <v>0</v>
          </cell>
        </row>
        <row r="2115">
          <cell r="A2115" t="str">
            <v>Data split-17;Reg-81</v>
          </cell>
          <cell r="B2115">
            <v>-4.5</v>
          </cell>
          <cell r="C2115">
            <v>0.11</v>
          </cell>
          <cell r="D2115">
            <v>0</v>
          </cell>
          <cell r="E2115">
            <v>0</v>
          </cell>
          <cell r="F2115">
            <v>0</v>
          </cell>
          <cell r="G2115">
            <v>0</v>
          </cell>
          <cell r="H2115">
            <v>0</v>
          </cell>
          <cell r="I2115">
            <v>0</v>
          </cell>
          <cell r="J2115">
            <v>36.5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 t="b">
            <v>0</v>
          </cell>
        </row>
        <row r="2116">
          <cell r="A2116" t="str">
            <v>Data split-17;Reg-82</v>
          </cell>
          <cell r="B2116">
            <v>-0.93</v>
          </cell>
          <cell r="C2116">
            <v>0</v>
          </cell>
          <cell r="D2116">
            <v>0.65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0.96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 t="b">
            <v>0</v>
          </cell>
        </row>
        <row r="2117">
          <cell r="A2117" t="str">
            <v>Data split-17;Reg-83</v>
          </cell>
          <cell r="B2117">
            <v>-3.6</v>
          </cell>
          <cell r="C2117">
            <v>0</v>
          </cell>
          <cell r="D2117">
            <v>0.34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0</v>
          </cell>
          <cell r="J2117">
            <v>27.5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 t="b">
            <v>0</v>
          </cell>
        </row>
        <row r="2118">
          <cell r="A2118" t="str">
            <v>Data split-17;Reg-84</v>
          </cell>
          <cell r="B2118">
            <v>-0.82</v>
          </cell>
          <cell r="C2118">
            <v>0.63</v>
          </cell>
          <cell r="D2118">
            <v>0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0</v>
          </cell>
          <cell r="J2118">
            <v>0</v>
          </cell>
          <cell r="K2118">
            <v>1.1000000000000001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 t="b">
            <v>0</v>
          </cell>
        </row>
        <row r="2119">
          <cell r="A2119" t="str">
            <v>Data split-17;Reg-85</v>
          </cell>
          <cell r="B2119">
            <v>-3.3</v>
          </cell>
          <cell r="C2119">
            <v>0.17</v>
          </cell>
          <cell r="D2119">
            <v>0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30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 t="b">
            <v>0</v>
          </cell>
        </row>
        <row r="2120">
          <cell r="A2120" t="str">
            <v>Data split-17;Reg-86</v>
          </cell>
          <cell r="B2120">
            <v>-0.75</v>
          </cell>
          <cell r="C2120">
            <v>0</v>
          </cell>
          <cell r="D2120">
            <v>0.7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0</v>
          </cell>
          <cell r="J2120">
            <v>0</v>
          </cell>
          <cell r="K2120">
            <v>0.74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 t="b">
            <v>0</v>
          </cell>
        </row>
        <row r="2121">
          <cell r="A2121" t="str">
            <v>Data split-17;Reg-87</v>
          </cell>
          <cell r="B2121">
            <v>-2.2000000000000002</v>
          </cell>
          <cell r="C2121">
            <v>0</v>
          </cell>
          <cell r="D2121">
            <v>0.52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17.2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 t="b">
            <v>0</v>
          </cell>
        </row>
        <row r="2122">
          <cell r="A2122" t="str">
            <v>Data split-17;Reg-88</v>
          </cell>
          <cell r="B2122">
            <v>-0.21</v>
          </cell>
          <cell r="C2122">
            <v>0.73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0</v>
          </cell>
          <cell r="M2122">
            <v>1.7000000000000001E-2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 t="b">
            <v>0</v>
          </cell>
        </row>
        <row r="2123">
          <cell r="A2123" t="str">
            <v>Data split-17;Reg-89</v>
          </cell>
          <cell r="B2123">
            <v>-0.28999999999999998</v>
          </cell>
          <cell r="C2123">
            <v>0.48</v>
          </cell>
          <cell r="D2123">
            <v>0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6.4999999999999997E-3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 t="b">
            <v>0</v>
          </cell>
        </row>
        <row r="2124">
          <cell r="A2124" t="str">
            <v>Data split-17;Reg-90</v>
          </cell>
          <cell r="B2124">
            <v>-0.39</v>
          </cell>
          <cell r="C2124">
            <v>0</v>
          </cell>
          <cell r="D2124">
            <v>0.86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0</v>
          </cell>
          <cell r="M2124">
            <v>4.1999999999999997E-3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 t="b">
            <v>0</v>
          </cell>
        </row>
        <row r="2125">
          <cell r="A2125" t="str">
            <v>Data split-17;Reg-91</v>
          </cell>
          <cell r="B2125">
            <v>-0.36</v>
          </cell>
          <cell r="C2125">
            <v>0</v>
          </cell>
          <cell r="D2125">
            <v>0.66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3.3999999999999998E-3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 t="b">
            <v>0</v>
          </cell>
        </row>
        <row r="2126">
          <cell r="A2126" t="str">
            <v>Data split-17;Reg-92</v>
          </cell>
          <cell r="B2126">
            <v>-0.73</v>
          </cell>
          <cell r="C2126">
            <v>1.2</v>
          </cell>
          <cell r="D2126">
            <v>0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-5.5999999999999999E-3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 t="b">
            <v>1</v>
          </cell>
        </row>
        <row r="2127">
          <cell r="A2127" t="str">
            <v>Data split-17;Reg-93</v>
          </cell>
          <cell r="B2127">
            <v>-0.68</v>
          </cell>
          <cell r="C2127">
            <v>1.2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-7.5000000000000002E-4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 t="b">
            <v>1</v>
          </cell>
        </row>
        <row r="2128">
          <cell r="A2128" t="str">
            <v>Data split-17;Reg-94</v>
          </cell>
          <cell r="B2128">
            <v>-0.51</v>
          </cell>
          <cell r="C2128">
            <v>0</v>
          </cell>
          <cell r="D2128">
            <v>0.91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3.7000000000000002E-3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 t="b">
            <v>0</v>
          </cell>
        </row>
        <row r="2129">
          <cell r="A2129" t="str">
            <v>Data split-17;Reg-95</v>
          </cell>
          <cell r="B2129">
            <v>-0.61</v>
          </cell>
          <cell r="C2129">
            <v>0</v>
          </cell>
          <cell r="D2129">
            <v>0.88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1.6000000000000001E-3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 t="b">
            <v>0</v>
          </cell>
        </row>
        <row r="2130">
          <cell r="A2130" t="str">
            <v>Data split-17;Reg-96</v>
          </cell>
          <cell r="B2130">
            <v>-0.53</v>
          </cell>
          <cell r="C2130">
            <v>1.1000000000000001E-3</v>
          </cell>
          <cell r="D2130">
            <v>0</v>
          </cell>
          <cell r="E2130">
            <v>0.51</v>
          </cell>
          <cell r="F2130">
            <v>0</v>
          </cell>
          <cell r="G2130">
            <v>0</v>
          </cell>
          <cell r="H2130">
            <v>0</v>
          </cell>
          <cell r="I2130">
            <v>0.64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 t="b">
            <v>0</v>
          </cell>
        </row>
        <row r="2131">
          <cell r="A2131" t="str">
            <v>Data split-17;Reg-97</v>
          </cell>
          <cell r="B2131">
            <v>-3.6</v>
          </cell>
          <cell r="C2131">
            <v>-0.14000000000000001</v>
          </cell>
          <cell r="D2131">
            <v>0</v>
          </cell>
          <cell r="E2131">
            <v>0.26</v>
          </cell>
          <cell r="F2131">
            <v>0</v>
          </cell>
          <cell r="G2131">
            <v>0</v>
          </cell>
          <cell r="H2131">
            <v>0</v>
          </cell>
          <cell r="I2131">
            <v>0</v>
          </cell>
          <cell r="J2131">
            <v>30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 t="b">
            <v>0</v>
          </cell>
        </row>
        <row r="2132">
          <cell r="A2132" t="str">
            <v>Data split-17;Reg-98</v>
          </cell>
          <cell r="B2132">
            <v>-3.4</v>
          </cell>
          <cell r="C2132">
            <v>0.37</v>
          </cell>
          <cell r="D2132">
            <v>0</v>
          </cell>
          <cell r="E2132">
            <v>0</v>
          </cell>
          <cell r="F2132">
            <v>-0.15</v>
          </cell>
          <cell r="G2132">
            <v>0</v>
          </cell>
          <cell r="H2132">
            <v>0</v>
          </cell>
          <cell r="I2132">
            <v>3.8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 t="b">
            <v>0</v>
          </cell>
        </row>
        <row r="2133">
          <cell r="A2133" t="str">
            <v>Data split-17;Reg-99</v>
          </cell>
          <cell r="B2133">
            <v>-6.1</v>
          </cell>
          <cell r="C2133">
            <v>0.15</v>
          </cell>
          <cell r="D2133">
            <v>0</v>
          </cell>
          <cell r="E2133">
            <v>0</v>
          </cell>
          <cell r="F2133">
            <v>-6.3E-2</v>
          </cell>
          <cell r="G2133">
            <v>0</v>
          </cell>
          <cell r="H2133">
            <v>0</v>
          </cell>
          <cell r="I2133">
            <v>0</v>
          </cell>
          <cell r="J2133">
            <v>45.7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 t="b">
            <v>0</v>
          </cell>
        </row>
        <row r="2134">
          <cell r="A2134" t="str">
            <v>Data split-17;Reg-100</v>
          </cell>
          <cell r="B2134">
            <v>-0.93</v>
          </cell>
          <cell r="C2134">
            <v>0</v>
          </cell>
          <cell r="D2134">
            <v>0.66</v>
          </cell>
          <cell r="E2134">
            <v>-3.3999999999999998E-3</v>
          </cell>
          <cell r="F2134">
            <v>0</v>
          </cell>
          <cell r="G2134">
            <v>0</v>
          </cell>
          <cell r="H2134">
            <v>0</v>
          </cell>
          <cell r="I2134">
            <v>0.97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 t="b">
            <v>0</v>
          </cell>
        </row>
        <row r="2135">
          <cell r="A2135" t="str">
            <v>Data split-17;Reg-101</v>
          </cell>
          <cell r="B2135">
            <v>-3.8</v>
          </cell>
          <cell r="C2135">
            <v>0</v>
          </cell>
          <cell r="D2135">
            <v>0.45</v>
          </cell>
          <cell r="E2135">
            <v>-0.11</v>
          </cell>
          <cell r="F2135">
            <v>0</v>
          </cell>
          <cell r="G2135">
            <v>0</v>
          </cell>
          <cell r="H2135">
            <v>0</v>
          </cell>
          <cell r="I2135">
            <v>0</v>
          </cell>
          <cell r="J2135">
            <v>29.2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 t="b">
            <v>0</v>
          </cell>
        </row>
        <row r="2136">
          <cell r="A2136" t="str">
            <v>Data split-17;Reg-102</v>
          </cell>
          <cell r="B2136">
            <v>-2.8</v>
          </cell>
          <cell r="C2136">
            <v>0</v>
          </cell>
          <cell r="D2136">
            <v>0.43</v>
          </cell>
          <cell r="E2136">
            <v>0</v>
          </cell>
          <cell r="F2136">
            <v>-0.12</v>
          </cell>
          <cell r="G2136">
            <v>0</v>
          </cell>
          <cell r="H2136">
            <v>0</v>
          </cell>
          <cell r="I2136">
            <v>3.1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 t="b">
            <v>0</v>
          </cell>
        </row>
        <row r="2137">
          <cell r="A2137" t="str">
            <v>Data split-17;Reg-103</v>
          </cell>
          <cell r="B2137">
            <v>-5.4</v>
          </cell>
          <cell r="C2137">
            <v>0</v>
          </cell>
          <cell r="D2137">
            <v>0.25</v>
          </cell>
          <cell r="E2137">
            <v>0</v>
          </cell>
          <cell r="F2137">
            <v>-5.3999999999999999E-2</v>
          </cell>
          <cell r="G2137">
            <v>0</v>
          </cell>
          <cell r="H2137">
            <v>0</v>
          </cell>
          <cell r="I2137">
            <v>0</v>
          </cell>
          <cell r="J2137">
            <v>39.5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 t="b">
            <v>0</v>
          </cell>
        </row>
        <row r="2138">
          <cell r="A2138" t="str">
            <v>Data split-17;Reg-104</v>
          </cell>
          <cell r="B2138">
            <v>-0.36</v>
          </cell>
          <cell r="C2138">
            <v>7.1000000000000004E-3</v>
          </cell>
          <cell r="D2138">
            <v>0</v>
          </cell>
          <cell r="E2138">
            <v>0.59</v>
          </cell>
          <cell r="F2138">
            <v>0</v>
          </cell>
          <cell r="G2138">
            <v>0</v>
          </cell>
          <cell r="H2138">
            <v>0</v>
          </cell>
          <cell r="I2138">
            <v>0</v>
          </cell>
          <cell r="J2138">
            <v>0</v>
          </cell>
          <cell r="K2138">
            <v>0.28000000000000003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 t="b">
            <v>0</v>
          </cell>
        </row>
        <row r="2139">
          <cell r="A2139" t="str">
            <v>Data split-17;Reg-105</v>
          </cell>
          <cell r="B2139">
            <v>-2.2000000000000002</v>
          </cell>
          <cell r="C2139">
            <v>-0.34</v>
          </cell>
          <cell r="D2139">
            <v>0</v>
          </cell>
          <cell r="E2139">
            <v>0.47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20.9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 t="b">
            <v>0</v>
          </cell>
        </row>
        <row r="2140">
          <cell r="A2140" t="str">
            <v>Data split-17;Reg-106</v>
          </cell>
          <cell r="B2140">
            <v>-2.4</v>
          </cell>
          <cell r="C2140">
            <v>0.23</v>
          </cell>
          <cell r="D2140">
            <v>0</v>
          </cell>
          <cell r="E2140">
            <v>0</v>
          </cell>
          <cell r="F2140">
            <v>-0.12</v>
          </cell>
          <cell r="G2140">
            <v>0</v>
          </cell>
          <cell r="H2140">
            <v>0</v>
          </cell>
          <cell r="I2140">
            <v>0</v>
          </cell>
          <cell r="J2140">
            <v>0</v>
          </cell>
          <cell r="K2140">
            <v>3.4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 t="b">
            <v>0</v>
          </cell>
        </row>
        <row r="2141">
          <cell r="A2141" t="str">
            <v>Data split-17;Reg-107</v>
          </cell>
          <cell r="B2141">
            <v>-3.7</v>
          </cell>
          <cell r="C2141">
            <v>0.21</v>
          </cell>
          <cell r="D2141">
            <v>0</v>
          </cell>
          <cell r="E2141">
            <v>0</v>
          </cell>
          <cell r="F2141">
            <v>-2.1000000000000001E-2</v>
          </cell>
          <cell r="G2141">
            <v>0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31.9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 t="b">
            <v>0</v>
          </cell>
        </row>
        <row r="2142">
          <cell r="A2142" t="str">
            <v>Data split-17;Reg-108</v>
          </cell>
          <cell r="B2142">
            <v>-0.65</v>
          </cell>
          <cell r="C2142">
            <v>0</v>
          </cell>
          <cell r="D2142">
            <v>0.53</v>
          </cell>
          <cell r="E2142">
            <v>0.17</v>
          </cell>
          <cell r="F2142">
            <v>0</v>
          </cell>
          <cell r="G2142">
            <v>0</v>
          </cell>
          <cell r="H2142">
            <v>0</v>
          </cell>
          <cell r="I2142">
            <v>0</v>
          </cell>
          <cell r="J2142">
            <v>0</v>
          </cell>
          <cell r="K2142">
            <v>0.53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 t="b">
            <v>0</v>
          </cell>
        </row>
        <row r="2143">
          <cell r="A2143" t="str">
            <v>Data split-17;Reg-109</v>
          </cell>
          <cell r="B2143">
            <v>-2</v>
          </cell>
          <cell r="C2143">
            <v>0</v>
          </cell>
          <cell r="D2143">
            <v>0.34</v>
          </cell>
          <cell r="E2143">
            <v>0.16</v>
          </cell>
          <cell r="F2143">
            <v>0</v>
          </cell>
          <cell r="G2143">
            <v>0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15.3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 t="b">
            <v>0</v>
          </cell>
        </row>
        <row r="2144">
          <cell r="A2144" t="str">
            <v>Data split-17;Reg-110</v>
          </cell>
          <cell r="B2144">
            <v>-1.8</v>
          </cell>
          <cell r="C2144">
            <v>0</v>
          </cell>
          <cell r="D2144">
            <v>0.52</v>
          </cell>
          <cell r="E2144">
            <v>0</v>
          </cell>
          <cell r="F2144">
            <v>-7.0999999999999994E-2</v>
          </cell>
          <cell r="G2144">
            <v>0</v>
          </cell>
          <cell r="H2144">
            <v>0</v>
          </cell>
          <cell r="I2144">
            <v>0</v>
          </cell>
          <cell r="J2144">
            <v>0</v>
          </cell>
          <cell r="K2144">
            <v>2.1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 t="b">
            <v>0</v>
          </cell>
        </row>
        <row r="2145">
          <cell r="A2145" t="str">
            <v>Data split-17;Reg-111</v>
          </cell>
          <cell r="B2145">
            <v>-2.6</v>
          </cell>
          <cell r="C2145">
            <v>0</v>
          </cell>
          <cell r="D2145">
            <v>0.51</v>
          </cell>
          <cell r="E2145">
            <v>0</v>
          </cell>
          <cell r="F2145">
            <v>-1.2999999999999999E-2</v>
          </cell>
          <cell r="G2145">
            <v>0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19.399999999999999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 t="b">
            <v>0</v>
          </cell>
        </row>
        <row r="2146">
          <cell r="A2146" t="str">
            <v>Data split-17;Reg-112</v>
          </cell>
          <cell r="B2146">
            <v>-2.4</v>
          </cell>
          <cell r="C2146">
            <v>0.12</v>
          </cell>
          <cell r="D2146">
            <v>0</v>
          </cell>
          <cell r="E2146">
            <v>0</v>
          </cell>
          <cell r="F2146">
            <v>0</v>
          </cell>
          <cell r="G2146">
            <v>0.85</v>
          </cell>
          <cell r="H2146">
            <v>0</v>
          </cell>
          <cell r="I2146">
            <v>-3.6999999999999998E-2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 t="b">
            <v>1</v>
          </cell>
        </row>
        <row r="2147">
          <cell r="A2147" t="str">
            <v>Data split-17;Reg-113</v>
          </cell>
          <cell r="B2147">
            <v>-4.3</v>
          </cell>
          <cell r="C2147">
            <v>0.05</v>
          </cell>
          <cell r="D2147">
            <v>0</v>
          </cell>
          <cell r="E2147">
            <v>0</v>
          </cell>
          <cell r="F2147">
            <v>0</v>
          </cell>
          <cell r="G2147">
            <v>0.17</v>
          </cell>
          <cell r="H2147">
            <v>0</v>
          </cell>
          <cell r="I2147">
            <v>0</v>
          </cell>
          <cell r="J2147">
            <v>31.6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 t="b">
            <v>0</v>
          </cell>
        </row>
        <row r="2148">
          <cell r="A2148" t="str">
            <v>Data split-17;Reg-114</v>
          </cell>
          <cell r="B2148">
            <v>-1.1000000000000001</v>
          </cell>
          <cell r="C2148">
            <v>0.31</v>
          </cell>
          <cell r="D2148">
            <v>0</v>
          </cell>
          <cell r="E2148">
            <v>0</v>
          </cell>
          <cell r="F2148">
            <v>0</v>
          </cell>
          <cell r="G2148">
            <v>0</v>
          </cell>
          <cell r="H2148">
            <v>0.73</v>
          </cell>
          <cell r="I2148">
            <v>-2.5999999999999999E-3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 t="b">
            <v>1</v>
          </cell>
        </row>
        <row r="2149">
          <cell r="A2149" t="str">
            <v>Data split-17;Reg-115</v>
          </cell>
          <cell r="B2149">
            <v>-4.2</v>
          </cell>
          <cell r="C2149">
            <v>0.09</v>
          </cell>
          <cell r="D2149">
            <v>0</v>
          </cell>
          <cell r="E2149">
            <v>0</v>
          </cell>
          <cell r="F2149">
            <v>0</v>
          </cell>
          <cell r="G2149">
            <v>0</v>
          </cell>
          <cell r="H2149">
            <v>0.11</v>
          </cell>
          <cell r="I2149">
            <v>0</v>
          </cell>
          <cell r="J2149">
            <v>32.9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 t="b">
            <v>0</v>
          </cell>
        </row>
        <row r="2150">
          <cell r="A2150" t="str">
            <v>Data split-17;Reg-116</v>
          </cell>
          <cell r="B2150">
            <v>-1.6</v>
          </cell>
          <cell r="C2150">
            <v>0</v>
          </cell>
          <cell r="D2150">
            <v>0.45</v>
          </cell>
          <cell r="E2150">
            <v>0</v>
          </cell>
          <cell r="F2150">
            <v>0</v>
          </cell>
          <cell r="G2150">
            <v>0.38</v>
          </cell>
          <cell r="H2150">
            <v>0</v>
          </cell>
          <cell r="I2150">
            <v>0.41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 t="b">
            <v>0</v>
          </cell>
        </row>
        <row r="2151">
          <cell r="A2151" t="str">
            <v>Data split-17;Reg-117</v>
          </cell>
          <cell r="B2151">
            <v>-3.7</v>
          </cell>
          <cell r="C2151">
            <v>0</v>
          </cell>
          <cell r="D2151">
            <v>0.42</v>
          </cell>
          <cell r="E2151">
            <v>0</v>
          </cell>
          <cell r="F2151">
            <v>0</v>
          </cell>
          <cell r="G2151">
            <v>-0.2</v>
          </cell>
          <cell r="H2151">
            <v>0</v>
          </cell>
          <cell r="I2151">
            <v>0</v>
          </cell>
          <cell r="J2151">
            <v>32.6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 t="b">
            <v>0</v>
          </cell>
        </row>
        <row r="2152">
          <cell r="A2152" t="str">
            <v>Data split-17;Reg-118</v>
          </cell>
          <cell r="B2152">
            <v>-0.99</v>
          </cell>
          <cell r="C2152">
            <v>0</v>
          </cell>
          <cell r="D2152">
            <v>0.52</v>
          </cell>
          <cell r="E2152">
            <v>0</v>
          </cell>
          <cell r="F2152">
            <v>0</v>
          </cell>
          <cell r="G2152">
            <v>0</v>
          </cell>
          <cell r="H2152">
            <v>0.28000000000000003</v>
          </cell>
          <cell r="I2152">
            <v>0.54</v>
          </cell>
          <cell r="J2152">
            <v>0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 t="b">
            <v>0</v>
          </cell>
        </row>
        <row r="2153">
          <cell r="A2153" t="str">
            <v>Data split-17;Reg-119</v>
          </cell>
          <cell r="B2153">
            <v>-4</v>
          </cell>
          <cell r="C2153">
            <v>0</v>
          </cell>
          <cell r="D2153">
            <v>0.4</v>
          </cell>
          <cell r="E2153">
            <v>0</v>
          </cell>
          <cell r="F2153">
            <v>0</v>
          </cell>
          <cell r="G2153">
            <v>0</v>
          </cell>
          <cell r="H2153">
            <v>-0.17</v>
          </cell>
          <cell r="I2153">
            <v>0</v>
          </cell>
          <cell r="J2153">
            <v>31.9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 t="b">
            <v>0</v>
          </cell>
        </row>
        <row r="2154">
          <cell r="A2154" t="str">
            <v>Data split-17;Reg-120</v>
          </cell>
          <cell r="B2154">
            <v>-2.9</v>
          </cell>
          <cell r="C2154">
            <v>0.23</v>
          </cell>
          <cell r="D2154">
            <v>0</v>
          </cell>
          <cell r="E2154">
            <v>0</v>
          </cell>
          <cell r="F2154">
            <v>0</v>
          </cell>
          <cell r="G2154">
            <v>1.2</v>
          </cell>
          <cell r="H2154">
            <v>0</v>
          </cell>
          <cell r="I2154">
            <v>0</v>
          </cell>
          <cell r="J2154">
            <v>0</v>
          </cell>
          <cell r="K2154">
            <v>-1.1000000000000001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 t="b">
            <v>1</v>
          </cell>
        </row>
        <row r="2155">
          <cell r="A2155" t="str">
            <v>Data split-17;Reg-121</v>
          </cell>
          <cell r="B2155">
            <v>-3</v>
          </cell>
          <cell r="C2155">
            <v>-2.4E-2</v>
          </cell>
          <cell r="D2155">
            <v>0</v>
          </cell>
          <cell r="E2155">
            <v>0</v>
          </cell>
          <cell r="F2155">
            <v>0</v>
          </cell>
          <cell r="G2155">
            <v>0.65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11.7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 t="b">
            <v>0</v>
          </cell>
        </row>
        <row r="2156">
          <cell r="A2156" t="str">
            <v>Data split-17;Reg-122</v>
          </cell>
          <cell r="B2156">
            <v>-1.2</v>
          </cell>
          <cell r="C2156">
            <v>0.42</v>
          </cell>
          <cell r="D2156">
            <v>0</v>
          </cell>
          <cell r="E2156">
            <v>0</v>
          </cell>
          <cell r="F2156">
            <v>0</v>
          </cell>
          <cell r="G2156">
            <v>0</v>
          </cell>
          <cell r="H2156">
            <v>0.86</v>
          </cell>
          <cell r="I2156">
            <v>0</v>
          </cell>
          <cell r="J2156">
            <v>0</v>
          </cell>
          <cell r="K2156">
            <v>-0.56999999999999995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 t="b">
            <v>1</v>
          </cell>
        </row>
        <row r="2157">
          <cell r="A2157" t="str">
            <v>Data split-17;Reg-123</v>
          </cell>
          <cell r="B2157">
            <v>-2.4</v>
          </cell>
          <cell r="C2157">
            <v>6.4000000000000003E-3</v>
          </cell>
          <cell r="D2157">
            <v>0</v>
          </cell>
          <cell r="E2157">
            <v>0</v>
          </cell>
          <cell r="F2157">
            <v>0</v>
          </cell>
          <cell r="G2157">
            <v>0</v>
          </cell>
          <cell r="H2157">
            <v>0.54</v>
          </cell>
          <cell r="I2157">
            <v>0</v>
          </cell>
          <cell r="J2157">
            <v>0</v>
          </cell>
          <cell r="K2157">
            <v>0</v>
          </cell>
          <cell r="L2157">
            <v>16.399999999999999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 t="b">
            <v>0</v>
          </cell>
        </row>
        <row r="2158">
          <cell r="A2158" t="str">
            <v>Data split-17;Reg-124</v>
          </cell>
          <cell r="B2158">
            <v>-2.2999999999999998</v>
          </cell>
          <cell r="C2158">
            <v>0</v>
          </cell>
          <cell r="D2158">
            <v>0.34</v>
          </cell>
          <cell r="E2158">
            <v>0</v>
          </cell>
          <cell r="F2158">
            <v>0</v>
          </cell>
          <cell r="G2158">
            <v>0.82</v>
          </cell>
          <cell r="H2158">
            <v>0</v>
          </cell>
          <cell r="I2158">
            <v>0</v>
          </cell>
          <cell r="J2158">
            <v>0</v>
          </cell>
          <cell r="K2158">
            <v>-0.61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 t="b">
            <v>1</v>
          </cell>
        </row>
        <row r="2159">
          <cell r="A2159" t="str">
            <v>Data split-17;Reg-125</v>
          </cell>
          <cell r="B2159">
            <v>-2.2999999999999998</v>
          </cell>
          <cell r="C2159">
            <v>0</v>
          </cell>
          <cell r="D2159">
            <v>0.36</v>
          </cell>
          <cell r="E2159">
            <v>0</v>
          </cell>
          <cell r="F2159">
            <v>0</v>
          </cell>
          <cell r="G2159">
            <v>0.38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8.9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 t="b">
            <v>0</v>
          </cell>
        </row>
        <row r="2160">
          <cell r="A2160" t="str">
            <v>Data split-17;Reg-126</v>
          </cell>
          <cell r="B2160">
            <v>-0.94</v>
          </cell>
          <cell r="C2160">
            <v>0</v>
          </cell>
          <cell r="D2160">
            <v>0.47</v>
          </cell>
          <cell r="E2160">
            <v>0</v>
          </cell>
          <cell r="F2160">
            <v>0</v>
          </cell>
          <cell r="G2160">
            <v>0</v>
          </cell>
          <cell r="H2160">
            <v>0.51</v>
          </cell>
          <cell r="I2160">
            <v>0</v>
          </cell>
          <cell r="J2160">
            <v>0</v>
          </cell>
          <cell r="K2160">
            <v>4.7000000000000002E-3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 t="b">
            <v>0</v>
          </cell>
        </row>
        <row r="2161">
          <cell r="A2161" t="str">
            <v>Data split-17;Reg-127</v>
          </cell>
          <cell r="B2161">
            <v>-2</v>
          </cell>
          <cell r="C2161">
            <v>0</v>
          </cell>
          <cell r="D2161">
            <v>0.34</v>
          </cell>
          <cell r="E2161">
            <v>0</v>
          </cell>
          <cell r="F2161">
            <v>0</v>
          </cell>
          <cell r="G2161">
            <v>0</v>
          </cell>
          <cell r="H2161">
            <v>0.34</v>
          </cell>
          <cell r="I2161">
            <v>0</v>
          </cell>
          <cell r="J2161">
            <v>0</v>
          </cell>
          <cell r="K2161">
            <v>0</v>
          </cell>
          <cell r="L2161">
            <v>11.7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 t="b">
            <v>0</v>
          </cell>
        </row>
        <row r="2162">
          <cell r="A2162" t="str">
            <v>Data split-18;Reg-1</v>
          </cell>
          <cell r="B2162">
            <v>0.3</v>
          </cell>
          <cell r="C2162">
            <v>0.39</v>
          </cell>
          <cell r="D2162">
            <v>0</v>
          </cell>
          <cell r="E2162">
            <v>0</v>
          </cell>
          <cell r="F2162">
            <v>0</v>
          </cell>
          <cell r="G2162">
            <v>0</v>
          </cell>
          <cell r="H2162">
            <v>0.9</v>
          </cell>
          <cell r="I2162">
            <v>0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-1.6E-2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 t="b">
            <v>0</v>
          </cell>
        </row>
        <row r="2163">
          <cell r="A2163" t="str">
            <v>Data split-18;Reg-2</v>
          </cell>
          <cell r="B2163">
            <v>-3.4</v>
          </cell>
          <cell r="C2163">
            <v>3.5000000000000003E-2</v>
          </cell>
          <cell r="D2163">
            <v>0</v>
          </cell>
          <cell r="E2163">
            <v>0</v>
          </cell>
          <cell r="F2163">
            <v>-6.5000000000000002E-2</v>
          </cell>
          <cell r="G2163">
            <v>1.9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-9.4999999999999998E-3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 t="b">
            <v>0</v>
          </cell>
        </row>
        <row r="2164">
          <cell r="A2164" t="str">
            <v>Data split-18;Reg-3</v>
          </cell>
          <cell r="B2164">
            <v>-1.5</v>
          </cell>
          <cell r="C2164">
            <v>0.11</v>
          </cell>
          <cell r="D2164">
            <v>0</v>
          </cell>
          <cell r="E2164">
            <v>0</v>
          </cell>
          <cell r="F2164">
            <v>-1.0999999999999999E-2</v>
          </cell>
          <cell r="G2164">
            <v>0</v>
          </cell>
          <cell r="H2164">
            <v>2</v>
          </cell>
          <cell r="I2164">
            <v>0</v>
          </cell>
          <cell r="J2164">
            <v>0</v>
          </cell>
          <cell r="K2164">
            <v>0</v>
          </cell>
          <cell r="L2164">
            <v>0</v>
          </cell>
          <cell r="M2164">
            <v>-5.7000000000000002E-2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 t="b">
            <v>0</v>
          </cell>
        </row>
        <row r="2165">
          <cell r="A2165" t="str">
            <v>Data split-18;Reg-4</v>
          </cell>
          <cell r="B2165">
            <v>-1.1000000000000001</v>
          </cell>
          <cell r="C2165">
            <v>0.14000000000000001</v>
          </cell>
          <cell r="D2165">
            <v>0</v>
          </cell>
          <cell r="E2165">
            <v>0</v>
          </cell>
          <cell r="F2165">
            <v>-2.1999999999999999E-2</v>
          </cell>
          <cell r="G2165">
            <v>0</v>
          </cell>
          <cell r="H2165">
            <v>2.2000000000000002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-1.4999999999999999E-2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 t="b">
            <v>0</v>
          </cell>
        </row>
        <row r="2166">
          <cell r="A2166" t="str">
            <v>Data split-18;Reg-5</v>
          </cell>
          <cell r="B2166">
            <v>-3.3</v>
          </cell>
          <cell r="C2166">
            <v>0</v>
          </cell>
          <cell r="D2166">
            <v>7.5999999999999998E-2</v>
          </cell>
          <cell r="E2166">
            <v>0</v>
          </cell>
          <cell r="F2166">
            <v>-5.7000000000000002E-2</v>
          </cell>
          <cell r="G2166">
            <v>1.9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-9.7999999999999997E-3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 t="b">
            <v>0</v>
          </cell>
        </row>
        <row r="2167">
          <cell r="A2167" t="str">
            <v>Data split-18;Reg-6</v>
          </cell>
          <cell r="B2167">
            <v>-1.2</v>
          </cell>
          <cell r="C2167">
            <v>0</v>
          </cell>
          <cell r="D2167">
            <v>0.16</v>
          </cell>
          <cell r="E2167">
            <v>0</v>
          </cell>
          <cell r="F2167">
            <v>-8.0999999999999996E-3</v>
          </cell>
          <cell r="G2167">
            <v>0</v>
          </cell>
          <cell r="H2167">
            <v>2.2000000000000002</v>
          </cell>
          <cell r="I2167">
            <v>0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-1.6E-2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 t="b">
            <v>0</v>
          </cell>
        </row>
        <row r="2168">
          <cell r="A2168" t="str">
            <v>Data split-18;Reg-7</v>
          </cell>
          <cell r="B2168">
            <v>-2.2000000000000002</v>
          </cell>
          <cell r="C2168">
            <v>6.2E-2</v>
          </cell>
          <cell r="D2168">
            <v>0</v>
          </cell>
          <cell r="E2168">
            <v>0</v>
          </cell>
          <cell r="F2168">
            <v>0</v>
          </cell>
          <cell r="G2168">
            <v>0</v>
          </cell>
          <cell r="H2168">
            <v>0.62</v>
          </cell>
          <cell r="I2168">
            <v>1.8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-2.8000000000000001E-2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 t="b">
            <v>0</v>
          </cell>
        </row>
        <row r="2169">
          <cell r="A2169" t="str">
            <v>Data split-18;Reg-8</v>
          </cell>
          <cell r="B2169">
            <v>-1.9</v>
          </cell>
          <cell r="C2169">
            <v>0.13</v>
          </cell>
          <cell r="D2169">
            <v>0</v>
          </cell>
          <cell r="E2169">
            <v>0</v>
          </cell>
          <cell r="F2169">
            <v>0</v>
          </cell>
          <cell r="G2169">
            <v>0</v>
          </cell>
          <cell r="H2169">
            <v>0.57999999999999996</v>
          </cell>
          <cell r="I2169">
            <v>1.7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-6.1999999999999998E-3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 t="b">
            <v>0</v>
          </cell>
        </row>
        <row r="2170">
          <cell r="A2170" t="str">
            <v>Data split-18;Reg-9</v>
          </cell>
          <cell r="B2170">
            <v>0.57999999999999996</v>
          </cell>
          <cell r="C2170">
            <v>0.28000000000000003</v>
          </cell>
          <cell r="D2170">
            <v>0</v>
          </cell>
          <cell r="E2170">
            <v>0</v>
          </cell>
          <cell r="F2170">
            <v>0</v>
          </cell>
          <cell r="G2170">
            <v>0.14000000000000001</v>
          </cell>
          <cell r="H2170">
            <v>0</v>
          </cell>
          <cell r="I2170">
            <v>0.71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4.7000000000000002E-3</v>
          </cell>
          <cell r="S2170">
            <v>0</v>
          </cell>
          <cell r="T2170">
            <v>0</v>
          </cell>
          <cell r="U2170" t="b">
            <v>0</v>
          </cell>
        </row>
        <row r="2171">
          <cell r="A2171" t="str">
            <v>Data split-18;Reg-10</v>
          </cell>
          <cell r="B2171">
            <v>0.9</v>
          </cell>
          <cell r="C2171">
            <v>0.19</v>
          </cell>
          <cell r="D2171">
            <v>0</v>
          </cell>
          <cell r="E2171">
            <v>0</v>
          </cell>
          <cell r="F2171">
            <v>0</v>
          </cell>
          <cell r="G2171">
            <v>0</v>
          </cell>
          <cell r="H2171">
            <v>0.88</v>
          </cell>
          <cell r="I2171">
            <v>0</v>
          </cell>
          <cell r="J2171">
            <v>0</v>
          </cell>
          <cell r="K2171">
            <v>0.3</v>
          </cell>
          <cell r="L2171">
            <v>0</v>
          </cell>
          <cell r="M2171">
            <v>0</v>
          </cell>
          <cell r="N2171">
            <v>0</v>
          </cell>
          <cell r="O2171">
            <v>-1.4999999999999999E-2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 t="b">
            <v>0</v>
          </cell>
        </row>
        <row r="2172">
          <cell r="A2172" t="str">
            <v>Data split-18;Reg-11</v>
          </cell>
          <cell r="B2172">
            <v>-1.1000000000000001</v>
          </cell>
          <cell r="C2172">
            <v>0.42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1.5</v>
          </cell>
          <cell r="J2172">
            <v>0</v>
          </cell>
          <cell r="K2172">
            <v>0.12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 t="b">
            <v>0</v>
          </cell>
        </row>
        <row r="2173">
          <cell r="A2173" t="str">
            <v>Data split-18;Reg-12</v>
          </cell>
          <cell r="B2173">
            <v>-1.3</v>
          </cell>
          <cell r="C2173">
            <v>0.41</v>
          </cell>
          <cell r="D2173">
            <v>0</v>
          </cell>
          <cell r="E2173">
            <v>0</v>
          </cell>
          <cell r="F2173">
            <v>0</v>
          </cell>
          <cell r="G2173">
            <v>0</v>
          </cell>
          <cell r="H2173">
            <v>0</v>
          </cell>
          <cell r="I2173">
            <v>1.6</v>
          </cell>
          <cell r="J2173">
            <v>0</v>
          </cell>
          <cell r="K2173">
            <v>0</v>
          </cell>
          <cell r="L2173">
            <v>0.86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 t="b">
            <v>0</v>
          </cell>
        </row>
        <row r="2174">
          <cell r="A2174" t="str">
            <v>Data split-18;Reg-13</v>
          </cell>
          <cell r="B2174">
            <v>-10</v>
          </cell>
          <cell r="C2174">
            <v>0.46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29.8</v>
          </cell>
          <cell r="K2174">
            <v>-0.57999999999999996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 t="b">
            <v>0</v>
          </cell>
        </row>
        <row r="2175">
          <cell r="A2175" t="str">
            <v>Data split-18;Reg-14</v>
          </cell>
          <cell r="B2175">
            <v>-9.8000000000000007</v>
          </cell>
          <cell r="C2175">
            <v>0.28999999999999998</v>
          </cell>
          <cell r="D2175">
            <v>0</v>
          </cell>
          <cell r="E2175">
            <v>0</v>
          </cell>
          <cell r="F2175">
            <v>0</v>
          </cell>
          <cell r="G2175">
            <v>0</v>
          </cell>
          <cell r="H2175">
            <v>0</v>
          </cell>
          <cell r="I2175">
            <v>0</v>
          </cell>
          <cell r="J2175">
            <v>31.1</v>
          </cell>
          <cell r="K2175">
            <v>0</v>
          </cell>
          <cell r="L2175">
            <v>-3.7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 t="b">
            <v>0</v>
          </cell>
        </row>
        <row r="2176">
          <cell r="A2176" t="str">
            <v>Data split-18;Reg-15</v>
          </cell>
          <cell r="B2176">
            <v>0.31</v>
          </cell>
          <cell r="C2176">
            <v>0.37</v>
          </cell>
          <cell r="D2176">
            <v>0</v>
          </cell>
          <cell r="E2176">
            <v>0</v>
          </cell>
          <cell r="F2176">
            <v>0</v>
          </cell>
          <cell r="G2176">
            <v>0</v>
          </cell>
          <cell r="H2176">
            <v>0</v>
          </cell>
          <cell r="I2176">
            <v>1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1.7000000000000001E-2</v>
          </cell>
          <cell r="R2176">
            <v>0</v>
          </cell>
          <cell r="S2176">
            <v>0</v>
          </cell>
          <cell r="T2176">
            <v>0</v>
          </cell>
          <cell r="U2176" t="b">
            <v>0</v>
          </cell>
        </row>
        <row r="2177">
          <cell r="A2177" t="str">
            <v>Data split-18;Reg-16</v>
          </cell>
          <cell r="B2177">
            <v>0.89</v>
          </cell>
          <cell r="C2177">
            <v>0.3</v>
          </cell>
          <cell r="D2177">
            <v>0</v>
          </cell>
          <cell r="E2177">
            <v>0</v>
          </cell>
          <cell r="F2177">
            <v>0</v>
          </cell>
          <cell r="G2177">
            <v>0</v>
          </cell>
          <cell r="H2177">
            <v>0</v>
          </cell>
          <cell r="I2177">
            <v>0.76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6.0000000000000001E-3</v>
          </cell>
          <cell r="S2177">
            <v>0</v>
          </cell>
          <cell r="T2177">
            <v>0</v>
          </cell>
          <cell r="U2177" t="b">
            <v>0</v>
          </cell>
        </row>
        <row r="2178">
          <cell r="A2178" t="str">
            <v>Data split-18;Reg-17</v>
          </cell>
          <cell r="B2178">
            <v>-2.1</v>
          </cell>
          <cell r="C2178">
            <v>0.27</v>
          </cell>
          <cell r="D2178">
            <v>0</v>
          </cell>
          <cell r="E2178">
            <v>0</v>
          </cell>
          <cell r="F2178">
            <v>0</v>
          </cell>
          <cell r="G2178">
            <v>0</v>
          </cell>
          <cell r="H2178">
            <v>0</v>
          </cell>
          <cell r="I2178">
            <v>0</v>
          </cell>
          <cell r="J2178">
            <v>12.5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2.1999999999999999E-2</v>
          </cell>
          <cell r="R2178">
            <v>0</v>
          </cell>
          <cell r="S2178">
            <v>0</v>
          </cell>
          <cell r="T2178">
            <v>0</v>
          </cell>
          <cell r="U2178" t="b">
            <v>0</v>
          </cell>
        </row>
        <row r="2179">
          <cell r="A2179" t="str">
            <v>Data split-18;Reg-18</v>
          </cell>
          <cell r="B2179">
            <v>-1.8</v>
          </cell>
          <cell r="C2179">
            <v>0.14000000000000001</v>
          </cell>
          <cell r="D2179">
            <v>0</v>
          </cell>
          <cell r="E2179">
            <v>0</v>
          </cell>
          <cell r="F2179">
            <v>0</v>
          </cell>
          <cell r="G2179">
            <v>0</v>
          </cell>
          <cell r="H2179">
            <v>0</v>
          </cell>
          <cell r="I2179">
            <v>0</v>
          </cell>
          <cell r="J2179">
            <v>11.8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6.7000000000000002E-3</v>
          </cell>
          <cell r="S2179">
            <v>0</v>
          </cell>
          <cell r="T2179">
            <v>0</v>
          </cell>
          <cell r="U2179" t="b">
            <v>0</v>
          </cell>
        </row>
        <row r="2180">
          <cell r="A2180" t="str">
            <v>Data split-18;Reg-19</v>
          </cell>
          <cell r="B2180">
            <v>2.5</v>
          </cell>
          <cell r="C2180">
            <v>0.48</v>
          </cell>
          <cell r="D2180">
            <v>0</v>
          </cell>
          <cell r="E2180">
            <v>0</v>
          </cell>
          <cell r="F2180">
            <v>0</v>
          </cell>
          <cell r="G2180">
            <v>0</v>
          </cell>
          <cell r="H2180">
            <v>0</v>
          </cell>
          <cell r="I2180">
            <v>0</v>
          </cell>
          <cell r="J2180">
            <v>0</v>
          </cell>
          <cell r="K2180">
            <v>0.23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2.5000000000000001E-2</v>
          </cell>
          <cell r="T2180">
            <v>0</v>
          </cell>
          <cell r="U2180" t="b">
            <v>0</v>
          </cell>
        </row>
        <row r="2181">
          <cell r="A2181" t="str">
            <v>Data split-18;Reg-20</v>
          </cell>
          <cell r="B2181">
            <v>2.7</v>
          </cell>
          <cell r="C2181">
            <v>0.3</v>
          </cell>
          <cell r="D2181">
            <v>0</v>
          </cell>
          <cell r="E2181">
            <v>0</v>
          </cell>
          <cell r="F2181">
            <v>0</v>
          </cell>
          <cell r="G2181">
            <v>0</v>
          </cell>
          <cell r="H2181">
            <v>0</v>
          </cell>
          <cell r="I2181">
            <v>0</v>
          </cell>
          <cell r="J2181">
            <v>0</v>
          </cell>
          <cell r="K2181">
            <v>0.24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7.6E-3</v>
          </cell>
          <cell r="U2181" t="b">
            <v>0</v>
          </cell>
        </row>
        <row r="2182">
          <cell r="A2182" t="str">
            <v>Data split-18;Reg-21</v>
          </cell>
          <cell r="B2182">
            <v>2.4</v>
          </cell>
          <cell r="C2182">
            <v>0.5</v>
          </cell>
          <cell r="D2182">
            <v>0</v>
          </cell>
          <cell r="E2182">
            <v>0</v>
          </cell>
          <cell r="F2182">
            <v>0</v>
          </cell>
          <cell r="G2182">
            <v>0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1.3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2.7E-2</v>
          </cell>
          <cell r="T2182">
            <v>0</v>
          </cell>
          <cell r="U2182" t="b">
            <v>0</v>
          </cell>
        </row>
        <row r="2183">
          <cell r="A2183" t="str">
            <v>Data split-18;Reg-22</v>
          </cell>
          <cell r="B2183">
            <v>2.6</v>
          </cell>
          <cell r="C2183">
            <v>0.3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1.5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8.0999999999999996E-3</v>
          </cell>
          <cell r="U2183" t="b">
            <v>0</v>
          </cell>
        </row>
        <row r="2184">
          <cell r="A2184" t="str">
            <v>Data split-18;Reg-23</v>
          </cell>
          <cell r="B2184">
            <v>-1.4</v>
          </cell>
          <cell r="C2184">
            <v>0</v>
          </cell>
          <cell r="D2184">
            <v>0.44</v>
          </cell>
          <cell r="E2184">
            <v>0</v>
          </cell>
          <cell r="F2184">
            <v>0</v>
          </cell>
          <cell r="G2184">
            <v>0</v>
          </cell>
          <cell r="H2184">
            <v>0</v>
          </cell>
          <cell r="I2184">
            <v>1.3</v>
          </cell>
          <cell r="J2184">
            <v>0</v>
          </cell>
          <cell r="K2184">
            <v>0.16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 t="b">
            <v>0</v>
          </cell>
        </row>
        <row r="2185">
          <cell r="A2185" t="str">
            <v>Data split-18;Reg-24</v>
          </cell>
          <cell r="B2185">
            <v>-1.7</v>
          </cell>
          <cell r="C2185">
            <v>0</v>
          </cell>
          <cell r="D2185">
            <v>0.44</v>
          </cell>
          <cell r="E2185">
            <v>0</v>
          </cell>
          <cell r="F2185">
            <v>0</v>
          </cell>
          <cell r="G2185">
            <v>0</v>
          </cell>
          <cell r="H2185">
            <v>0</v>
          </cell>
          <cell r="I2185">
            <v>1.4</v>
          </cell>
          <cell r="J2185">
            <v>0</v>
          </cell>
          <cell r="K2185">
            <v>0</v>
          </cell>
          <cell r="L2185">
            <v>0.98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 t="b">
            <v>0</v>
          </cell>
        </row>
        <row r="2186">
          <cell r="A2186" t="str">
            <v>Data split-18;Reg-25</v>
          </cell>
          <cell r="B2186">
            <v>-8.5</v>
          </cell>
          <cell r="C2186">
            <v>0</v>
          </cell>
          <cell r="D2186">
            <v>0.43</v>
          </cell>
          <cell r="E2186">
            <v>0</v>
          </cell>
          <cell r="F2186">
            <v>0</v>
          </cell>
          <cell r="G2186">
            <v>0</v>
          </cell>
          <cell r="H2186">
            <v>0</v>
          </cell>
          <cell r="I2186">
            <v>0</v>
          </cell>
          <cell r="J2186">
            <v>24.9</v>
          </cell>
          <cell r="K2186">
            <v>-0.39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 t="b">
            <v>0</v>
          </cell>
        </row>
        <row r="2187">
          <cell r="A2187" t="str">
            <v>Data split-18;Reg-26</v>
          </cell>
          <cell r="B2187">
            <v>-8.6</v>
          </cell>
          <cell r="C2187">
            <v>0</v>
          </cell>
          <cell r="D2187">
            <v>0.36</v>
          </cell>
          <cell r="E2187">
            <v>0</v>
          </cell>
          <cell r="F2187">
            <v>0</v>
          </cell>
          <cell r="G2187">
            <v>0</v>
          </cell>
          <cell r="H2187">
            <v>0</v>
          </cell>
          <cell r="I2187">
            <v>0</v>
          </cell>
          <cell r="J2187">
            <v>26.1</v>
          </cell>
          <cell r="K2187">
            <v>0</v>
          </cell>
          <cell r="L2187">
            <v>-2.8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 t="b">
            <v>0</v>
          </cell>
        </row>
        <row r="2188">
          <cell r="A2188" t="str">
            <v>Data split-18;Reg-27</v>
          </cell>
          <cell r="B2188">
            <v>-1.3</v>
          </cell>
          <cell r="C2188">
            <v>0</v>
          </cell>
          <cell r="D2188">
            <v>0.41</v>
          </cell>
          <cell r="E2188">
            <v>0</v>
          </cell>
          <cell r="F2188">
            <v>0</v>
          </cell>
          <cell r="G2188">
            <v>0</v>
          </cell>
          <cell r="H2188">
            <v>0</v>
          </cell>
          <cell r="I2188">
            <v>1.3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5.4999999999999997E-3</v>
          </cell>
          <cell r="R2188">
            <v>0</v>
          </cell>
          <cell r="S2188">
            <v>0</v>
          </cell>
          <cell r="T2188">
            <v>0</v>
          </cell>
          <cell r="U2188" t="b">
            <v>0</v>
          </cell>
        </row>
        <row r="2189">
          <cell r="A2189" t="str">
            <v>Data split-18;Reg-28</v>
          </cell>
          <cell r="B2189">
            <v>-0.35</v>
          </cell>
          <cell r="C2189">
            <v>0</v>
          </cell>
          <cell r="D2189">
            <v>0.32</v>
          </cell>
          <cell r="E2189">
            <v>0</v>
          </cell>
          <cell r="F2189">
            <v>0</v>
          </cell>
          <cell r="G2189">
            <v>0</v>
          </cell>
          <cell r="H2189">
            <v>0</v>
          </cell>
          <cell r="I2189">
            <v>1.1000000000000001</v>
          </cell>
          <cell r="J2189">
            <v>0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3.5999999999999999E-3</v>
          </cell>
          <cell r="S2189">
            <v>0</v>
          </cell>
          <cell r="T2189">
            <v>0</v>
          </cell>
          <cell r="U2189" t="b">
            <v>0</v>
          </cell>
        </row>
        <row r="2190">
          <cell r="A2190" t="str">
            <v>Data split-18;Reg-29</v>
          </cell>
          <cell r="B2190">
            <v>-3</v>
          </cell>
          <cell r="C2190">
            <v>0</v>
          </cell>
          <cell r="D2190">
            <v>0.31</v>
          </cell>
          <cell r="E2190">
            <v>0</v>
          </cell>
          <cell r="F2190">
            <v>0</v>
          </cell>
          <cell r="G2190">
            <v>0</v>
          </cell>
          <cell r="H2190">
            <v>0</v>
          </cell>
          <cell r="I2190">
            <v>0</v>
          </cell>
          <cell r="J2190">
            <v>13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1.6E-2</v>
          </cell>
          <cell r="R2190">
            <v>0</v>
          </cell>
          <cell r="S2190">
            <v>0</v>
          </cell>
          <cell r="T2190">
            <v>0</v>
          </cell>
          <cell r="U2190" t="b">
            <v>0</v>
          </cell>
        </row>
        <row r="2191">
          <cell r="A2191" t="str">
            <v>Data split-18;Reg-30</v>
          </cell>
          <cell r="B2191">
            <v>-2.2999999999999998</v>
          </cell>
          <cell r="C2191">
            <v>0</v>
          </cell>
          <cell r="D2191">
            <v>0.2</v>
          </cell>
          <cell r="E2191">
            <v>0</v>
          </cell>
          <cell r="F2191">
            <v>0</v>
          </cell>
          <cell r="G2191">
            <v>0</v>
          </cell>
          <cell r="H2191">
            <v>0</v>
          </cell>
          <cell r="I2191">
            <v>0</v>
          </cell>
          <cell r="J2191">
            <v>11.9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5.5999999999999999E-3</v>
          </cell>
          <cell r="S2191">
            <v>0</v>
          </cell>
          <cell r="T2191">
            <v>0</v>
          </cell>
          <cell r="U2191" t="b">
            <v>0</v>
          </cell>
        </row>
        <row r="2192">
          <cell r="A2192" t="str">
            <v>Data split-18;Reg-31</v>
          </cell>
          <cell r="B2192">
            <v>1.9</v>
          </cell>
          <cell r="C2192">
            <v>0</v>
          </cell>
          <cell r="D2192">
            <v>0.45</v>
          </cell>
          <cell r="E2192">
            <v>0</v>
          </cell>
          <cell r="F2192">
            <v>0</v>
          </cell>
          <cell r="G2192">
            <v>0</v>
          </cell>
          <cell r="H2192">
            <v>0</v>
          </cell>
          <cell r="I2192">
            <v>0</v>
          </cell>
          <cell r="J2192">
            <v>0</v>
          </cell>
          <cell r="K2192">
            <v>0.33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1.9E-2</v>
          </cell>
          <cell r="T2192">
            <v>0</v>
          </cell>
          <cell r="U2192" t="b">
            <v>0</v>
          </cell>
        </row>
        <row r="2193">
          <cell r="A2193" t="str">
            <v>Data split-18;Reg-32</v>
          </cell>
          <cell r="B2193">
            <v>2.2999999999999998</v>
          </cell>
          <cell r="C2193">
            <v>0</v>
          </cell>
          <cell r="D2193">
            <v>0.3</v>
          </cell>
          <cell r="E2193">
            <v>0</v>
          </cell>
          <cell r="F2193">
            <v>0</v>
          </cell>
          <cell r="G2193">
            <v>0</v>
          </cell>
          <cell r="H2193">
            <v>0</v>
          </cell>
          <cell r="I2193">
            <v>0</v>
          </cell>
          <cell r="J2193">
            <v>0</v>
          </cell>
          <cell r="K2193">
            <v>0.3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6.4000000000000003E-3</v>
          </cell>
          <cell r="U2193" t="b">
            <v>0</v>
          </cell>
        </row>
        <row r="2194">
          <cell r="A2194" t="str">
            <v>Data split-18;Reg-33</v>
          </cell>
          <cell r="B2194">
            <v>2</v>
          </cell>
          <cell r="C2194">
            <v>0</v>
          </cell>
          <cell r="D2194">
            <v>0.44</v>
          </cell>
          <cell r="E2194">
            <v>0</v>
          </cell>
          <cell r="F2194">
            <v>0</v>
          </cell>
          <cell r="G2194">
            <v>0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1.7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2.3E-2</v>
          </cell>
          <cell r="T2194">
            <v>0</v>
          </cell>
          <cell r="U2194" t="b">
            <v>0</v>
          </cell>
        </row>
        <row r="2195">
          <cell r="A2195" t="str">
            <v>Data split-18;Reg-34</v>
          </cell>
          <cell r="B2195">
            <v>2.2999999999999998</v>
          </cell>
          <cell r="C2195">
            <v>0</v>
          </cell>
          <cell r="D2195">
            <v>0.28999999999999998</v>
          </cell>
          <cell r="E2195">
            <v>0</v>
          </cell>
          <cell r="F2195">
            <v>0</v>
          </cell>
          <cell r="G2195">
            <v>0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1.7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7.3000000000000001E-3</v>
          </cell>
          <cell r="U2195" t="b">
            <v>0</v>
          </cell>
        </row>
        <row r="2196">
          <cell r="A2196" t="str">
            <v>Data split-18;Reg-35</v>
          </cell>
          <cell r="B2196">
            <v>0.69</v>
          </cell>
          <cell r="C2196">
            <v>0.34</v>
          </cell>
          <cell r="D2196">
            <v>0</v>
          </cell>
          <cell r="E2196">
            <v>0</v>
          </cell>
          <cell r="F2196">
            <v>0</v>
          </cell>
          <cell r="G2196">
            <v>0</v>
          </cell>
          <cell r="H2196">
            <v>0</v>
          </cell>
          <cell r="I2196">
            <v>0.9</v>
          </cell>
          <cell r="J2196">
            <v>0</v>
          </cell>
          <cell r="K2196">
            <v>0.13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1.7000000000000001E-2</v>
          </cell>
          <cell r="R2196">
            <v>0</v>
          </cell>
          <cell r="S2196">
            <v>0</v>
          </cell>
          <cell r="T2196">
            <v>0</v>
          </cell>
          <cell r="U2196" t="b">
            <v>0</v>
          </cell>
        </row>
        <row r="2197">
          <cell r="A2197" t="str">
            <v>Data split-18;Reg-36</v>
          </cell>
          <cell r="B2197">
            <v>1.4</v>
          </cell>
          <cell r="C2197">
            <v>0.25</v>
          </cell>
          <cell r="D2197">
            <v>0</v>
          </cell>
          <cell r="E2197">
            <v>0</v>
          </cell>
          <cell r="F2197">
            <v>0</v>
          </cell>
          <cell r="G2197">
            <v>0</v>
          </cell>
          <cell r="H2197">
            <v>0</v>
          </cell>
          <cell r="I2197">
            <v>0.57999999999999996</v>
          </cell>
          <cell r="J2197">
            <v>0</v>
          </cell>
          <cell r="K2197">
            <v>0.16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6.1999999999999998E-3</v>
          </cell>
          <cell r="S2197">
            <v>0</v>
          </cell>
          <cell r="T2197">
            <v>0</v>
          </cell>
          <cell r="U2197" t="b">
            <v>0</v>
          </cell>
        </row>
        <row r="2198">
          <cell r="A2198" t="str">
            <v>Data split-18;Reg-37</v>
          </cell>
          <cell r="B2198">
            <v>0.56999999999999995</v>
          </cell>
          <cell r="C2198">
            <v>0.33</v>
          </cell>
          <cell r="D2198">
            <v>0</v>
          </cell>
          <cell r="E2198">
            <v>0</v>
          </cell>
          <cell r="F2198">
            <v>0</v>
          </cell>
          <cell r="G2198">
            <v>0</v>
          </cell>
          <cell r="H2198">
            <v>0</v>
          </cell>
          <cell r="I2198">
            <v>0.94</v>
          </cell>
          <cell r="J2198">
            <v>0</v>
          </cell>
          <cell r="K2198">
            <v>0</v>
          </cell>
          <cell r="L2198">
            <v>0.96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1.7999999999999999E-2</v>
          </cell>
          <cell r="R2198">
            <v>0</v>
          </cell>
          <cell r="S2198">
            <v>0</v>
          </cell>
          <cell r="T2198">
            <v>0</v>
          </cell>
          <cell r="U2198" t="b">
            <v>0</v>
          </cell>
        </row>
        <row r="2199">
          <cell r="A2199" t="str">
            <v>Data split-18;Reg-38</v>
          </cell>
          <cell r="B2199">
            <v>1.3</v>
          </cell>
          <cell r="C2199">
            <v>0.24</v>
          </cell>
          <cell r="D2199">
            <v>0</v>
          </cell>
          <cell r="E2199">
            <v>0</v>
          </cell>
          <cell r="F2199">
            <v>0</v>
          </cell>
          <cell r="G2199">
            <v>0</v>
          </cell>
          <cell r="H2199">
            <v>0</v>
          </cell>
          <cell r="I2199">
            <v>0.63</v>
          </cell>
          <cell r="J2199">
            <v>0</v>
          </cell>
          <cell r="K2199">
            <v>0</v>
          </cell>
          <cell r="L2199">
            <v>1.2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6.4000000000000003E-3</v>
          </cell>
          <cell r="S2199">
            <v>0</v>
          </cell>
          <cell r="T2199">
            <v>0</v>
          </cell>
          <cell r="U2199" t="b">
            <v>0</v>
          </cell>
        </row>
        <row r="2200">
          <cell r="A2200" t="str">
            <v>Data split-18;Reg-39</v>
          </cell>
          <cell r="B2200">
            <v>-6.8</v>
          </cell>
          <cell r="C2200">
            <v>0.19</v>
          </cell>
          <cell r="D2200">
            <v>0</v>
          </cell>
          <cell r="E2200">
            <v>0</v>
          </cell>
          <cell r="F2200">
            <v>0</v>
          </cell>
          <cell r="G2200">
            <v>0</v>
          </cell>
          <cell r="H2200">
            <v>0</v>
          </cell>
          <cell r="I2200">
            <v>0</v>
          </cell>
          <cell r="J2200">
            <v>24.8</v>
          </cell>
          <cell r="K2200">
            <v>-0.52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2.1000000000000001E-2</v>
          </cell>
          <cell r="R2200">
            <v>0</v>
          </cell>
          <cell r="S2200">
            <v>0</v>
          </cell>
          <cell r="T2200">
            <v>0</v>
          </cell>
          <cell r="U2200" t="b">
            <v>0</v>
          </cell>
        </row>
        <row r="2201">
          <cell r="A2201" t="str">
            <v>Data split-18;Reg-40</v>
          </cell>
          <cell r="B2201">
            <v>-5.9</v>
          </cell>
          <cell r="C2201">
            <v>7.8E-2</v>
          </cell>
          <cell r="D2201">
            <v>0</v>
          </cell>
          <cell r="E2201">
            <v>0</v>
          </cell>
          <cell r="F2201">
            <v>0</v>
          </cell>
          <cell r="G2201">
            <v>0</v>
          </cell>
          <cell r="H2201">
            <v>0</v>
          </cell>
          <cell r="I2201">
            <v>0</v>
          </cell>
          <cell r="J2201">
            <v>22.6</v>
          </cell>
          <cell r="K2201">
            <v>-0.45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6.4000000000000003E-3</v>
          </cell>
          <cell r="S2201">
            <v>0</v>
          </cell>
          <cell r="T2201">
            <v>0</v>
          </cell>
          <cell r="U2201" t="b">
            <v>0</v>
          </cell>
        </row>
        <row r="2202">
          <cell r="A2202" t="str">
            <v>Data split-18;Reg-41</v>
          </cell>
          <cell r="B2202">
            <v>-6</v>
          </cell>
          <cell r="C2202">
            <v>0.14000000000000001</v>
          </cell>
          <cell r="D2202">
            <v>0</v>
          </cell>
          <cell r="E2202">
            <v>0</v>
          </cell>
          <cell r="F2202">
            <v>0</v>
          </cell>
          <cell r="G2202">
            <v>0</v>
          </cell>
          <cell r="H2202">
            <v>0</v>
          </cell>
          <cell r="I2202">
            <v>0</v>
          </cell>
          <cell r="J2202">
            <v>23.5</v>
          </cell>
          <cell r="K2202">
            <v>0</v>
          </cell>
          <cell r="L2202">
            <v>-2.5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1.7999999999999999E-2</v>
          </cell>
          <cell r="R2202">
            <v>0</v>
          </cell>
          <cell r="S2202">
            <v>0</v>
          </cell>
          <cell r="T2202">
            <v>0</v>
          </cell>
          <cell r="U2202" t="b">
            <v>0</v>
          </cell>
        </row>
        <row r="2203">
          <cell r="A2203" t="str">
            <v>Data split-18;Reg-42</v>
          </cell>
          <cell r="B2203">
            <v>-4.7</v>
          </cell>
          <cell r="C2203">
            <v>5.3999999999999999E-2</v>
          </cell>
          <cell r="D2203">
            <v>0</v>
          </cell>
          <cell r="E2203">
            <v>0</v>
          </cell>
          <cell r="F2203">
            <v>0</v>
          </cell>
          <cell r="G2203">
            <v>0</v>
          </cell>
          <cell r="H2203">
            <v>0</v>
          </cell>
          <cell r="I2203">
            <v>0</v>
          </cell>
          <cell r="J2203">
            <v>20.100000000000001</v>
          </cell>
          <cell r="K2203">
            <v>0</v>
          </cell>
          <cell r="L2203">
            <v>-1.9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5.7999999999999996E-3</v>
          </cell>
          <cell r="S2203">
            <v>0</v>
          </cell>
          <cell r="T2203">
            <v>0</v>
          </cell>
          <cell r="U2203" t="b">
            <v>0</v>
          </cell>
        </row>
        <row r="2204">
          <cell r="A2204" t="str">
            <v>Data split-18;Reg-43</v>
          </cell>
          <cell r="B2204">
            <v>0.63</v>
          </cell>
          <cell r="C2204">
            <v>0.32</v>
          </cell>
          <cell r="D2204">
            <v>0</v>
          </cell>
          <cell r="E2204">
            <v>0</v>
          </cell>
          <cell r="F2204">
            <v>0</v>
          </cell>
          <cell r="G2204">
            <v>0</v>
          </cell>
          <cell r="H2204">
            <v>0</v>
          </cell>
          <cell r="I2204">
            <v>0.96</v>
          </cell>
          <cell r="J2204">
            <v>0</v>
          </cell>
          <cell r="K2204">
            <v>0.14000000000000001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1.6E-2</v>
          </cell>
          <cell r="T2204">
            <v>0</v>
          </cell>
          <cell r="U2204" t="b">
            <v>0</v>
          </cell>
        </row>
        <row r="2205">
          <cell r="A2205" t="str">
            <v>Data split-18;Reg-44</v>
          </cell>
          <cell r="B2205">
            <v>1.5</v>
          </cell>
          <cell r="C2205">
            <v>0.21</v>
          </cell>
          <cell r="D2205">
            <v>0</v>
          </cell>
          <cell r="E2205">
            <v>0</v>
          </cell>
          <cell r="F2205">
            <v>0</v>
          </cell>
          <cell r="G2205">
            <v>0</v>
          </cell>
          <cell r="H2205">
            <v>0</v>
          </cell>
          <cell r="I2205">
            <v>0.64</v>
          </cell>
          <cell r="J2205">
            <v>0</v>
          </cell>
          <cell r="K2205">
            <v>0.17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6.0000000000000001E-3</v>
          </cell>
          <cell r="U2205" t="b">
            <v>0</v>
          </cell>
        </row>
        <row r="2206">
          <cell r="A2206" t="str">
            <v>Data split-18;Reg-45</v>
          </cell>
          <cell r="B2206">
            <v>0.53</v>
          </cell>
          <cell r="C2206">
            <v>0.31</v>
          </cell>
          <cell r="D2206">
            <v>0</v>
          </cell>
          <cell r="E2206">
            <v>0</v>
          </cell>
          <cell r="F2206">
            <v>0</v>
          </cell>
          <cell r="G2206">
            <v>0</v>
          </cell>
          <cell r="H2206">
            <v>0</v>
          </cell>
          <cell r="I2206">
            <v>1</v>
          </cell>
          <cell r="J2206">
            <v>0</v>
          </cell>
          <cell r="K2206">
            <v>0</v>
          </cell>
          <cell r="L2206">
            <v>1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1.6E-2</v>
          </cell>
          <cell r="T2206">
            <v>0</v>
          </cell>
          <cell r="U2206" t="b">
            <v>0</v>
          </cell>
        </row>
        <row r="2207">
          <cell r="A2207" t="str">
            <v>Data split-18;Reg-46</v>
          </cell>
          <cell r="B2207">
            <v>1.4</v>
          </cell>
          <cell r="C2207">
            <v>0.19</v>
          </cell>
          <cell r="D2207">
            <v>0</v>
          </cell>
          <cell r="E2207">
            <v>0</v>
          </cell>
          <cell r="F2207">
            <v>0</v>
          </cell>
          <cell r="G2207">
            <v>0</v>
          </cell>
          <cell r="H2207">
            <v>0</v>
          </cell>
          <cell r="I2207">
            <v>0.69</v>
          </cell>
          <cell r="J2207">
            <v>0</v>
          </cell>
          <cell r="K2207">
            <v>0</v>
          </cell>
          <cell r="L2207">
            <v>1.2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6.1999999999999998E-3</v>
          </cell>
          <cell r="U2207" t="b">
            <v>0</v>
          </cell>
        </row>
        <row r="2208">
          <cell r="A2208" t="str">
            <v>Data split-18;Reg-47</v>
          </cell>
          <cell r="B2208">
            <v>-7</v>
          </cell>
          <cell r="C2208">
            <v>0.15</v>
          </cell>
          <cell r="D2208">
            <v>0</v>
          </cell>
          <cell r="E2208">
            <v>0</v>
          </cell>
          <cell r="F2208">
            <v>0</v>
          </cell>
          <cell r="G2208">
            <v>0</v>
          </cell>
          <cell r="H2208">
            <v>0</v>
          </cell>
          <cell r="I2208">
            <v>0</v>
          </cell>
          <cell r="J2208">
            <v>25.8</v>
          </cell>
          <cell r="K2208">
            <v>-0.54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2.1000000000000001E-2</v>
          </cell>
          <cell r="T2208">
            <v>0</v>
          </cell>
          <cell r="U2208" t="b">
            <v>0</v>
          </cell>
        </row>
        <row r="2209">
          <cell r="A2209" t="str">
            <v>Data split-18;Reg-48</v>
          </cell>
          <cell r="B2209">
            <v>-6.2</v>
          </cell>
          <cell r="C2209">
            <v>1.5E-3</v>
          </cell>
          <cell r="D2209">
            <v>0</v>
          </cell>
          <cell r="E2209">
            <v>0</v>
          </cell>
          <cell r="F2209">
            <v>0</v>
          </cell>
          <cell r="G2209">
            <v>0</v>
          </cell>
          <cell r="H2209">
            <v>0</v>
          </cell>
          <cell r="I2209">
            <v>0</v>
          </cell>
          <cell r="J2209">
            <v>24.1</v>
          </cell>
          <cell r="K2209">
            <v>-0.48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6.4999999999999997E-3</v>
          </cell>
          <cell r="U2209" t="b">
            <v>0</v>
          </cell>
        </row>
        <row r="2210">
          <cell r="A2210" t="str">
            <v>Data split-18;Reg-49</v>
          </cell>
          <cell r="B2210">
            <v>-6.2</v>
          </cell>
          <cell r="C2210">
            <v>0.11</v>
          </cell>
          <cell r="D2210">
            <v>0</v>
          </cell>
          <cell r="E2210">
            <v>0</v>
          </cell>
          <cell r="F2210">
            <v>0</v>
          </cell>
          <cell r="G2210">
            <v>0</v>
          </cell>
          <cell r="H2210">
            <v>0</v>
          </cell>
          <cell r="I2210">
            <v>0</v>
          </cell>
          <cell r="J2210">
            <v>24.2</v>
          </cell>
          <cell r="K2210">
            <v>0</v>
          </cell>
          <cell r="L2210">
            <v>-2.6</v>
          </cell>
          <cell r="M2210">
            <v>0</v>
          </cell>
          <cell r="N2210">
            <v>0</v>
          </cell>
          <cell r="O2210">
            <v>0</v>
          </cell>
          <cell r="P2210">
            <v>0</v>
          </cell>
          <cell r="Q2210">
            <v>0</v>
          </cell>
          <cell r="R2210">
            <v>0</v>
          </cell>
          <cell r="S2210">
            <v>1.7000000000000001E-2</v>
          </cell>
          <cell r="T2210">
            <v>0</v>
          </cell>
          <cell r="U2210" t="b">
            <v>0</v>
          </cell>
        </row>
        <row r="2211">
          <cell r="A2211" t="str">
            <v>Data split-18;Reg-50</v>
          </cell>
          <cell r="B2211">
            <v>-4.9000000000000004</v>
          </cell>
          <cell r="C2211">
            <v>-9.4999999999999998E-3</v>
          </cell>
          <cell r="D2211">
            <v>0</v>
          </cell>
          <cell r="E2211">
            <v>0</v>
          </cell>
          <cell r="F2211">
            <v>0</v>
          </cell>
          <cell r="G2211">
            <v>0</v>
          </cell>
          <cell r="H2211">
            <v>0</v>
          </cell>
          <cell r="I2211">
            <v>0</v>
          </cell>
          <cell r="J2211">
            <v>21.2</v>
          </cell>
          <cell r="K2211">
            <v>0</v>
          </cell>
          <cell r="L2211">
            <v>-2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5.7999999999999996E-3</v>
          </cell>
          <cell r="U2211" t="b">
            <v>0</v>
          </cell>
        </row>
        <row r="2212">
          <cell r="A2212" t="str">
            <v>Data split-18;Reg-51</v>
          </cell>
          <cell r="B2212">
            <v>-0.8</v>
          </cell>
          <cell r="C2212">
            <v>0</v>
          </cell>
          <cell r="D2212">
            <v>0.4</v>
          </cell>
          <cell r="E2212">
            <v>0</v>
          </cell>
          <cell r="F2212">
            <v>0</v>
          </cell>
          <cell r="G2212">
            <v>0</v>
          </cell>
          <cell r="H2212">
            <v>0</v>
          </cell>
          <cell r="I2212">
            <v>1.1000000000000001</v>
          </cell>
          <cell r="J2212">
            <v>0</v>
          </cell>
          <cell r="K2212">
            <v>0.16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5.5999999999999999E-3</v>
          </cell>
          <cell r="R2212">
            <v>0</v>
          </cell>
          <cell r="S2212">
            <v>0</v>
          </cell>
          <cell r="T2212">
            <v>0</v>
          </cell>
          <cell r="U2212" t="b">
            <v>0</v>
          </cell>
        </row>
        <row r="2213">
          <cell r="A2213" t="str">
            <v>Data split-18;Reg-52</v>
          </cell>
          <cell r="B2213">
            <v>0.24</v>
          </cell>
          <cell r="C2213">
            <v>0</v>
          </cell>
          <cell r="D2213">
            <v>0.31</v>
          </cell>
          <cell r="E2213">
            <v>0</v>
          </cell>
          <cell r="F2213">
            <v>0</v>
          </cell>
          <cell r="G2213">
            <v>0</v>
          </cell>
          <cell r="H2213">
            <v>0</v>
          </cell>
          <cell r="I2213">
            <v>0.81</v>
          </cell>
          <cell r="J2213">
            <v>0</v>
          </cell>
          <cell r="K2213">
            <v>0.17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3.8E-3</v>
          </cell>
          <cell r="S2213">
            <v>0</v>
          </cell>
          <cell r="T2213">
            <v>0</v>
          </cell>
          <cell r="U2213" t="b">
            <v>0</v>
          </cell>
        </row>
        <row r="2214">
          <cell r="A2214" t="str">
            <v>Data split-18;Reg-53</v>
          </cell>
          <cell r="B2214">
            <v>-0.96</v>
          </cell>
          <cell r="C2214">
            <v>0</v>
          </cell>
          <cell r="D2214">
            <v>0.39</v>
          </cell>
          <cell r="E2214">
            <v>0</v>
          </cell>
          <cell r="F2214">
            <v>0</v>
          </cell>
          <cell r="G2214">
            <v>0</v>
          </cell>
          <cell r="H2214">
            <v>0</v>
          </cell>
          <cell r="I2214">
            <v>1.2</v>
          </cell>
          <cell r="J2214">
            <v>0</v>
          </cell>
          <cell r="K2214">
            <v>0</v>
          </cell>
          <cell r="L2214">
            <v>1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6.3E-3</v>
          </cell>
          <cell r="R2214">
            <v>0</v>
          </cell>
          <cell r="S2214">
            <v>0</v>
          </cell>
          <cell r="T2214">
            <v>0</v>
          </cell>
          <cell r="U2214" t="b">
            <v>0</v>
          </cell>
        </row>
        <row r="2215">
          <cell r="A2215" t="str">
            <v>Data split-18;Reg-54</v>
          </cell>
          <cell r="B2215">
            <v>8.3000000000000004E-2</v>
          </cell>
          <cell r="C2215">
            <v>0</v>
          </cell>
          <cell r="D2215">
            <v>0.3</v>
          </cell>
          <cell r="E2215">
            <v>0</v>
          </cell>
          <cell r="F2215">
            <v>0</v>
          </cell>
          <cell r="G2215">
            <v>0</v>
          </cell>
          <cell r="H2215">
            <v>0</v>
          </cell>
          <cell r="I2215">
            <v>0.87</v>
          </cell>
          <cell r="J2215">
            <v>0</v>
          </cell>
          <cell r="K2215">
            <v>0</v>
          </cell>
          <cell r="L2215">
            <v>1.1000000000000001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4.1000000000000003E-3</v>
          </cell>
          <cell r="S2215">
            <v>0</v>
          </cell>
          <cell r="T2215">
            <v>0</v>
          </cell>
          <cell r="U2215" t="b">
            <v>0</v>
          </cell>
        </row>
        <row r="2216">
          <cell r="A2216" t="str">
            <v>Data split-18;Reg-55</v>
          </cell>
          <cell r="B2216">
            <v>-6.6</v>
          </cell>
          <cell r="C2216">
            <v>0</v>
          </cell>
          <cell r="D2216">
            <v>0.23</v>
          </cell>
          <cell r="E2216">
            <v>0</v>
          </cell>
          <cell r="F2216">
            <v>0</v>
          </cell>
          <cell r="G2216">
            <v>0</v>
          </cell>
          <cell r="H2216">
            <v>0</v>
          </cell>
          <cell r="I2216">
            <v>0</v>
          </cell>
          <cell r="J2216">
            <v>22.9</v>
          </cell>
          <cell r="K2216">
            <v>-0.42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1.7000000000000001E-2</v>
          </cell>
          <cell r="R2216">
            <v>0</v>
          </cell>
          <cell r="S2216">
            <v>0</v>
          </cell>
          <cell r="T2216">
            <v>0</v>
          </cell>
          <cell r="U2216" t="b">
            <v>0</v>
          </cell>
        </row>
        <row r="2217">
          <cell r="A2217" t="str">
            <v>Data split-18;Reg-56</v>
          </cell>
          <cell r="B2217">
            <v>-5.8</v>
          </cell>
          <cell r="C2217">
            <v>0</v>
          </cell>
          <cell r="D2217">
            <v>0.13</v>
          </cell>
          <cell r="E2217">
            <v>0</v>
          </cell>
          <cell r="F2217">
            <v>0</v>
          </cell>
          <cell r="G2217">
            <v>0</v>
          </cell>
          <cell r="H2217">
            <v>0</v>
          </cell>
          <cell r="I2217">
            <v>0</v>
          </cell>
          <cell r="J2217">
            <v>21.3</v>
          </cell>
          <cell r="K2217">
            <v>-0.4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5.7000000000000002E-3</v>
          </cell>
          <cell r="S2217">
            <v>0</v>
          </cell>
          <cell r="T2217">
            <v>0</v>
          </cell>
          <cell r="U2217" t="b">
            <v>0</v>
          </cell>
        </row>
        <row r="2218">
          <cell r="A2218" t="str">
            <v>Data split-18;Reg-57</v>
          </cell>
          <cell r="B2218">
            <v>-6.2</v>
          </cell>
          <cell r="C2218">
            <v>0</v>
          </cell>
          <cell r="D2218">
            <v>0.24</v>
          </cell>
          <cell r="E2218">
            <v>0</v>
          </cell>
          <cell r="F2218">
            <v>0</v>
          </cell>
          <cell r="G2218">
            <v>0</v>
          </cell>
          <cell r="H2218">
            <v>0</v>
          </cell>
          <cell r="I2218">
            <v>0</v>
          </cell>
          <cell r="J2218">
            <v>21.8</v>
          </cell>
          <cell r="K2218">
            <v>0</v>
          </cell>
          <cell r="L2218">
            <v>-2.2000000000000002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1.2999999999999999E-2</v>
          </cell>
          <cell r="R2218">
            <v>0</v>
          </cell>
          <cell r="S2218">
            <v>0</v>
          </cell>
          <cell r="T2218">
            <v>0</v>
          </cell>
          <cell r="U2218" t="b">
            <v>0</v>
          </cell>
        </row>
        <row r="2219">
          <cell r="A2219" t="str">
            <v>Data split-18;Reg-58</v>
          </cell>
          <cell r="B2219">
            <v>-4.8</v>
          </cell>
          <cell r="C2219">
            <v>0</v>
          </cell>
          <cell r="D2219">
            <v>0.16</v>
          </cell>
          <cell r="E2219">
            <v>0</v>
          </cell>
          <cell r="F2219">
            <v>0</v>
          </cell>
          <cell r="G2219">
            <v>0</v>
          </cell>
          <cell r="H2219">
            <v>0</v>
          </cell>
          <cell r="I2219">
            <v>0</v>
          </cell>
          <cell r="J2219">
            <v>18.7</v>
          </cell>
          <cell r="K2219">
            <v>0</v>
          </cell>
          <cell r="L2219">
            <v>-1.7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4.7999999999999996E-3</v>
          </cell>
          <cell r="S2219">
            <v>0</v>
          </cell>
          <cell r="T2219">
            <v>0</v>
          </cell>
          <cell r="U2219" t="b">
            <v>0</v>
          </cell>
        </row>
        <row r="2220">
          <cell r="A2220" t="str">
            <v>Data split-18;Reg-59</v>
          </cell>
          <cell r="B2220">
            <v>-1.1000000000000001</v>
          </cell>
          <cell r="C2220">
            <v>0</v>
          </cell>
          <cell r="D2220">
            <v>0.42</v>
          </cell>
          <cell r="E2220">
            <v>0</v>
          </cell>
          <cell r="F2220">
            <v>0</v>
          </cell>
          <cell r="G2220">
            <v>0</v>
          </cell>
          <cell r="H2220">
            <v>0</v>
          </cell>
          <cell r="I2220">
            <v>1.2</v>
          </cell>
          <cell r="J2220">
            <v>0</v>
          </cell>
          <cell r="K2220">
            <v>0.16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2.7000000000000001E-3</v>
          </cell>
          <cell r="T2220">
            <v>0</v>
          </cell>
          <cell r="U2220" t="b">
            <v>0</v>
          </cell>
        </row>
        <row r="2221">
          <cell r="A2221" t="str">
            <v>Data split-18;Reg-60</v>
          </cell>
          <cell r="B2221">
            <v>8.6999999999999994E-2</v>
          </cell>
          <cell r="C2221">
            <v>0</v>
          </cell>
          <cell r="D2221">
            <v>0.32</v>
          </cell>
          <cell r="E2221">
            <v>0</v>
          </cell>
          <cell r="F2221">
            <v>0</v>
          </cell>
          <cell r="G2221">
            <v>0</v>
          </cell>
          <cell r="H2221">
            <v>0</v>
          </cell>
          <cell r="I2221">
            <v>0.87</v>
          </cell>
          <cell r="J2221">
            <v>0</v>
          </cell>
          <cell r="K2221">
            <v>0.17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3.2000000000000002E-3</v>
          </cell>
          <cell r="U2221" t="b">
            <v>0</v>
          </cell>
        </row>
        <row r="2222">
          <cell r="A2222" t="str">
            <v>Data split-18;Reg-61</v>
          </cell>
          <cell r="B2222">
            <v>-1.2</v>
          </cell>
          <cell r="C2222">
            <v>0</v>
          </cell>
          <cell r="D2222">
            <v>0.41</v>
          </cell>
          <cell r="E2222">
            <v>0</v>
          </cell>
          <cell r="F2222">
            <v>0</v>
          </cell>
          <cell r="G2222">
            <v>0</v>
          </cell>
          <cell r="H2222">
            <v>0</v>
          </cell>
          <cell r="I2222">
            <v>1.2</v>
          </cell>
          <cell r="J2222">
            <v>0</v>
          </cell>
          <cell r="K2222">
            <v>0</v>
          </cell>
          <cell r="L2222">
            <v>1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3.5999999999999999E-3</v>
          </cell>
          <cell r="T2222">
            <v>0</v>
          </cell>
          <cell r="U2222" t="b">
            <v>0</v>
          </cell>
        </row>
        <row r="2223">
          <cell r="A2223" t="str">
            <v>Data split-18;Reg-62</v>
          </cell>
          <cell r="B2223">
            <v>-1.4E-2</v>
          </cell>
          <cell r="C2223">
            <v>0</v>
          </cell>
          <cell r="D2223">
            <v>0.31</v>
          </cell>
          <cell r="E2223">
            <v>0</v>
          </cell>
          <cell r="F2223">
            <v>0</v>
          </cell>
          <cell r="G2223">
            <v>0</v>
          </cell>
          <cell r="H2223">
            <v>0</v>
          </cell>
          <cell r="I2223">
            <v>0.91</v>
          </cell>
          <cell r="J2223">
            <v>0</v>
          </cell>
          <cell r="K2223">
            <v>0</v>
          </cell>
          <cell r="L2223">
            <v>1.2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3.5999999999999999E-3</v>
          </cell>
          <cell r="U2223" t="b">
            <v>0</v>
          </cell>
        </row>
        <row r="2224">
          <cell r="A2224" t="str">
            <v>Data split-18;Reg-63</v>
          </cell>
          <cell r="B2224">
            <v>-6.7</v>
          </cell>
          <cell r="C2224">
            <v>0</v>
          </cell>
          <cell r="D2224">
            <v>0.22</v>
          </cell>
          <cell r="E2224">
            <v>0</v>
          </cell>
          <cell r="F2224">
            <v>0</v>
          </cell>
          <cell r="G2224">
            <v>0</v>
          </cell>
          <cell r="H2224">
            <v>0</v>
          </cell>
          <cell r="I2224">
            <v>0</v>
          </cell>
          <cell r="J2224">
            <v>23.3</v>
          </cell>
          <cell r="K2224">
            <v>-0.44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1.6E-2</v>
          </cell>
          <cell r="T2224">
            <v>0</v>
          </cell>
          <cell r="U2224" t="b">
            <v>0</v>
          </cell>
        </row>
        <row r="2225">
          <cell r="A2225" t="str">
            <v>Data split-18;Reg-64</v>
          </cell>
          <cell r="B2225">
            <v>-5.9</v>
          </cell>
          <cell r="C2225">
            <v>0</v>
          </cell>
          <cell r="D2225">
            <v>0.11</v>
          </cell>
          <cell r="E2225">
            <v>0</v>
          </cell>
          <cell r="F2225">
            <v>0</v>
          </cell>
          <cell r="G2225">
            <v>0</v>
          </cell>
          <cell r="H2225">
            <v>0</v>
          </cell>
          <cell r="I2225">
            <v>0</v>
          </cell>
          <cell r="J2225">
            <v>22.1</v>
          </cell>
          <cell r="K2225">
            <v>-0.42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5.5999999999999999E-3</v>
          </cell>
          <cell r="U2225" t="b">
            <v>0</v>
          </cell>
        </row>
        <row r="2226">
          <cell r="A2226" t="str">
            <v>Data split-18;Reg-65</v>
          </cell>
          <cell r="B2226">
            <v>-6.3</v>
          </cell>
          <cell r="C2226">
            <v>0</v>
          </cell>
          <cell r="D2226">
            <v>0.25</v>
          </cell>
          <cell r="E2226">
            <v>0</v>
          </cell>
          <cell r="F2226">
            <v>0</v>
          </cell>
          <cell r="G2226">
            <v>0</v>
          </cell>
          <cell r="H2226">
            <v>0</v>
          </cell>
          <cell r="I2226">
            <v>0</v>
          </cell>
          <cell r="J2226">
            <v>22</v>
          </cell>
          <cell r="K2226">
            <v>0</v>
          </cell>
          <cell r="L2226">
            <v>-2.2000000000000002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1.2E-2</v>
          </cell>
          <cell r="T2226">
            <v>0</v>
          </cell>
          <cell r="U2226" t="b">
            <v>0</v>
          </cell>
        </row>
        <row r="2227">
          <cell r="A2227" t="str">
            <v>Data split-18;Reg-66</v>
          </cell>
          <cell r="B2227">
            <v>-4.8</v>
          </cell>
          <cell r="C2227">
            <v>0</v>
          </cell>
          <cell r="D2227">
            <v>0.15</v>
          </cell>
          <cell r="E2227">
            <v>0</v>
          </cell>
          <cell r="F2227">
            <v>0</v>
          </cell>
          <cell r="G2227">
            <v>0</v>
          </cell>
          <cell r="H2227">
            <v>0</v>
          </cell>
          <cell r="I2227">
            <v>0</v>
          </cell>
          <cell r="J2227">
            <v>19</v>
          </cell>
          <cell r="K2227">
            <v>0</v>
          </cell>
          <cell r="L2227">
            <v>-1.7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4.5999999999999999E-3</v>
          </cell>
          <cell r="U2227" t="b">
            <v>0</v>
          </cell>
        </row>
        <row r="2228">
          <cell r="A2228" t="str">
            <v>Data split-18;Reg-67</v>
          </cell>
          <cell r="B2228">
            <v>-6.4999999999999997E-3</v>
          </cell>
          <cell r="C2228">
            <v>0.35</v>
          </cell>
          <cell r="D2228">
            <v>0</v>
          </cell>
          <cell r="E2228">
            <v>0</v>
          </cell>
          <cell r="F2228">
            <v>0</v>
          </cell>
          <cell r="G2228">
            <v>0.7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 t="b">
            <v>1</v>
          </cell>
        </row>
        <row r="2229">
          <cell r="A2229" t="str">
            <v>Data split-18;Reg-68</v>
          </cell>
          <cell r="B2229">
            <v>-1.6</v>
          </cell>
          <cell r="C2229">
            <v>0.22</v>
          </cell>
          <cell r="D2229">
            <v>0</v>
          </cell>
          <cell r="E2229">
            <v>0</v>
          </cell>
          <cell r="F2229">
            <v>-7.4999999999999997E-2</v>
          </cell>
          <cell r="G2229">
            <v>1.1000000000000001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 t="b">
            <v>0</v>
          </cell>
        </row>
        <row r="2230">
          <cell r="A2230" t="str">
            <v>Data split-18;Reg-69</v>
          </cell>
          <cell r="B2230">
            <v>-4.2</v>
          </cell>
          <cell r="C2230">
            <v>-9.4E-2</v>
          </cell>
          <cell r="D2230">
            <v>0</v>
          </cell>
          <cell r="E2230">
            <v>0</v>
          </cell>
          <cell r="F2230">
            <v>0</v>
          </cell>
          <cell r="G2230">
            <v>0.64</v>
          </cell>
          <cell r="H2230">
            <v>0</v>
          </cell>
          <cell r="I2230">
            <v>0</v>
          </cell>
          <cell r="J2230">
            <v>14.1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 t="b">
            <v>0</v>
          </cell>
        </row>
        <row r="2231">
          <cell r="A2231" t="str">
            <v>Data split-18;Reg-70</v>
          </cell>
          <cell r="B2231">
            <v>-7.1</v>
          </cell>
          <cell r="C2231">
            <v>-0.19</v>
          </cell>
          <cell r="D2231">
            <v>0</v>
          </cell>
          <cell r="E2231">
            <v>0</v>
          </cell>
          <cell r="F2231">
            <v>0</v>
          </cell>
          <cell r="G2231">
            <v>1.1000000000000001</v>
          </cell>
          <cell r="H2231">
            <v>0</v>
          </cell>
          <cell r="I2231">
            <v>0</v>
          </cell>
          <cell r="J2231">
            <v>16.399999999999999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-2.7E-2</v>
          </cell>
          <cell r="T2231">
            <v>0</v>
          </cell>
          <cell r="U2231" t="b">
            <v>0</v>
          </cell>
        </row>
        <row r="2232">
          <cell r="A2232" t="str">
            <v>Data split-18;Reg-71</v>
          </cell>
          <cell r="B2232">
            <v>-0.89</v>
          </cell>
          <cell r="C2232">
            <v>0.2</v>
          </cell>
          <cell r="D2232">
            <v>0</v>
          </cell>
          <cell r="E2232">
            <v>0</v>
          </cell>
          <cell r="F2232">
            <v>-3.6999999999999998E-2</v>
          </cell>
          <cell r="G2232">
            <v>0</v>
          </cell>
          <cell r="H2232">
            <v>1.4</v>
          </cell>
          <cell r="I2232">
            <v>0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-2.3E-2</v>
          </cell>
          <cell r="T2232">
            <v>0</v>
          </cell>
          <cell r="U2232" t="b">
            <v>0</v>
          </cell>
        </row>
        <row r="2233">
          <cell r="A2233" t="str">
            <v>Data split-18;Reg-72</v>
          </cell>
          <cell r="B2233">
            <v>-0.33</v>
          </cell>
          <cell r="C2233">
            <v>0.4</v>
          </cell>
          <cell r="D2233">
            <v>0</v>
          </cell>
          <cell r="E2233">
            <v>0.47</v>
          </cell>
          <cell r="F2233">
            <v>0</v>
          </cell>
          <cell r="G2233">
            <v>0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 t="b">
            <v>1</v>
          </cell>
        </row>
        <row r="2234">
          <cell r="A2234" t="str">
            <v>Data split-18;Reg-73</v>
          </cell>
          <cell r="B2234">
            <v>0.57999999999999996</v>
          </cell>
          <cell r="C2234">
            <v>1</v>
          </cell>
          <cell r="D2234">
            <v>0</v>
          </cell>
          <cell r="E2234">
            <v>0</v>
          </cell>
          <cell r="F2234">
            <v>2.8000000000000001E-2</v>
          </cell>
          <cell r="G2234">
            <v>0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 t="b">
            <v>0</v>
          </cell>
        </row>
        <row r="2235">
          <cell r="A2235" t="str">
            <v>Data split-18;Reg-74</v>
          </cell>
          <cell r="B2235">
            <v>-0.22</v>
          </cell>
          <cell r="C2235">
            <v>0</v>
          </cell>
          <cell r="D2235">
            <v>0.28000000000000003</v>
          </cell>
          <cell r="E2235">
            <v>0.49</v>
          </cell>
          <cell r="F2235">
            <v>0</v>
          </cell>
          <cell r="G2235">
            <v>0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 t="b">
            <v>1</v>
          </cell>
        </row>
        <row r="2236">
          <cell r="A2236" t="str">
            <v>Data split-18;Reg-75</v>
          </cell>
          <cell r="B2236">
            <v>0.68</v>
          </cell>
          <cell r="C2236">
            <v>0</v>
          </cell>
          <cell r="D2236">
            <v>0.76</v>
          </cell>
          <cell r="E2236">
            <v>0</v>
          </cell>
          <cell r="F2236">
            <v>4.7E-2</v>
          </cell>
          <cell r="G2236">
            <v>0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 t="b">
            <v>0</v>
          </cell>
        </row>
        <row r="2237">
          <cell r="A2237" t="str">
            <v>Data split-18;Reg-76</v>
          </cell>
          <cell r="B2237">
            <v>-6.4999999999999997E-3</v>
          </cell>
          <cell r="C2237">
            <v>0.35</v>
          </cell>
          <cell r="D2237">
            <v>0</v>
          </cell>
          <cell r="E2237">
            <v>0</v>
          </cell>
          <cell r="F2237">
            <v>0</v>
          </cell>
          <cell r="G2237">
            <v>0.7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 t="b">
            <v>1</v>
          </cell>
        </row>
        <row r="2238">
          <cell r="A2238" t="str">
            <v>Data split-18;Reg-77</v>
          </cell>
          <cell r="B2238">
            <v>0.77</v>
          </cell>
          <cell r="C2238">
            <v>0.4</v>
          </cell>
          <cell r="D2238">
            <v>0</v>
          </cell>
          <cell r="E2238">
            <v>0</v>
          </cell>
          <cell r="F2238">
            <v>0</v>
          </cell>
          <cell r="G2238">
            <v>0</v>
          </cell>
          <cell r="H2238">
            <v>0.7</v>
          </cell>
          <cell r="I2238">
            <v>0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 t="b">
            <v>0</v>
          </cell>
        </row>
        <row r="2239">
          <cell r="A2239" t="str">
            <v>Data split-18;Reg-78</v>
          </cell>
          <cell r="B2239">
            <v>-0.11</v>
          </cell>
          <cell r="C2239">
            <v>0</v>
          </cell>
          <cell r="D2239">
            <v>0.31</v>
          </cell>
          <cell r="E2239">
            <v>0</v>
          </cell>
          <cell r="F2239">
            <v>0</v>
          </cell>
          <cell r="G2239">
            <v>0.67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 t="b">
            <v>1</v>
          </cell>
        </row>
        <row r="2240">
          <cell r="A2240" t="str">
            <v>Data split-18;Reg-79</v>
          </cell>
          <cell r="B2240">
            <v>0.77</v>
          </cell>
          <cell r="C2240">
            <v>0</v>
          </cell>
          <cell r="D2240">
            <v>0.32</v>
          </cell>
          <cell r="E2240">
            <v>0</v>
          </cell>
          <cell r="F2240">
            <v>0</v>
          </cell>
          <cell r="G2240">
            <v>0</v>
          </cell>
          <cell r="H2240">
            <v>0.69</v>
          </cell>
          <cell r="I2240">
            <v>0</v>
          </cell>
          <cell r="J2240">
            <v>0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 t="b">
            <v>0</v>
          </cell>
        </row>
        <row r="2241">
          <cell r="A2241" t="str">
            <v>Data split-18;Reg-80</v>
          </cell>
          <cell r="B2241">
            <v>-1.5</v>
          </cell>
          <cell r="C2241">
            <v>0.45</v>
          </cell>
          <cell r="D2241">
            <v>0</v>
          </cell>
          <cell r="E2241">
            <v>0</v>
          </cell>
          <cell r="F2241">
            <v>0</v>
          </cell>
          <cell r="G2241">
            <v>0</v>
          </cell>
          <cell r="H2241">
            <v>0</v>
          </cell>
          <cell r="I2241">
            <v>1.6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 t="b">
            <v>0</v>
          </cell>
        </row>
        <row r="2242">
          <cell r="A2242" t="str">
            <v>Data split-18;Reg-81</v>
          </cell>
          <cell r="B2242">
            <v>-4.8</v>
          </cell>
          <cell r="C2242">
            <v>0.56000000000000005</v>
          </cell>
          <cell r="D2242">
            <v>0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0</v>
          </cell>
          <cell r="J2242">
            <v>16.2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 t="b">
            <v>0</v>
          </cell>
        </row>
        <row r="2243">
          <cell r="A2243" t="str">
            <v>Data split-18;Reg-82</v>
          </cell>
          <cell r="B2243">
            <v>-1.9</v>
          </cell>
          <cell r="C2243">
            <v>0</v>
          </cell>
          <cell r="D2243">
            <v>0.45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1.5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 t="b">
            <v>0</v>
          </cell>
        </row>
        <row r="2244">
          <cell r="A2244" t="str">
            <v>Data split-18;Reg-83</v>
          </cell>
          <cell r="B2244">
            <v>-5.0999999999999996</v>
          </cell>
          <cell r="C2244">
            <v>0</v>
          </cell>
          <cell r="D2244">
            <v>0.49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0</v>
          </cell>
          <cell r="J2244">
            <v>15.8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 t="b">
            <v>0</v>
          </cell>
        </row>
        <row r="2245">
          <cell r="A2245" t="str">
            <v>Data split-18;Reg-84</v>
          </cell>
          <cell r="B2245">
            <v>0.62</v>
          </cell>
          <cell r="C2245">
            <v>0.94</v>
          </cell>
          <cell r="D2245">
            <v>0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0</v>
          </cell>
          <cell r="J2245">
            <v>0</v>
          </cell>
          <cell r="K2245">
            <v>0.33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 t="b">
            <v>0</v>
          </cell>
        </row>
        <row r="2246">
          <cell r="A2246" t="str">
            <v>Data split-18;Reg-85</v>
          </cell>
          <cell r="B2246">
            <v>0.17</v>
          </cell>
          <cell r="C2246">
            <v>1.1000000000000001</v>
          </cell>
          <cell r="D2246">
            <v>0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1.3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 t="b">
            <v>0</v>
          </cell>
        </row>
        <row r="2247">
          <cell r="A2247" t="str">
            <v>Data split-18;Reg-86</v>
          </cell>
          <cell r="B2247">
            <v>0.48</v>
          </cell>
          <cell r="C2247">
            <v>0</v>
          </cell>
          <cell r="D2247">
            <v>0.7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0.45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 t="b">
            <v>0</v>
          </cell>
        </row>
        <row r="2248">
          <cell r="A2248" t="str">
            <v>Data split-18;Reg-87</v>
          </cell>
          <cell r="B2248">
            <v>1.0999999999999999E-2</v>
          </cell>
          <cell r="C2248">
            <v>0</v>
          </cell>
          <cell r="D2248">
            <v>0.8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2.1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 t="b">
            <v>0</v>
          </cell>
        </row>
        <row r="2249">
          <cell r="A2249" t="str">
            <v>Data split-18;Reg-88</v>
          </cell>
          <cell r="B2249">
            <v>0.96</v>
          </cell>
          <cell r="C2249">
            <v>0.86</v>
          </cell>
          <cell r="D2249">
            <v>0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0</v>
          </cell>
          <cell r="M2249">
            <v>1.6E-2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 t="b">
            <v>0</v>
          </cell>
        </row>
        <row r="2250">
          <cell r="A2250" t="str">
            <v>Data split-18;Reg-89</v>
          </cell>
          <cell r="B2250">
            <v>0.96</v>
          </cell>
          <cell r="C2250">
            <v>0.76</v>
          </cell>
          <cell r="D2250">
            <v>0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4.7000000000000002E-3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 t="b">
            <v>0</v>
          </cell>
        </row>
        <row r="2251">
          <cell r="A2251" t="str">
            <v>Data split-18;Reg-90</v>
          </cell>
          <cell r="B2251">
            <v>0.75</v>
          </cell>
          <cell r="C2251">
            <v>0</v>
          </cell>
          <cell r="D2251">
            <v>0.71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0</v>
          </cell>
          <cell r="M2251">
            <v>1.2999999999999999E-2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 t="b">
            <v>0</v>
          </cell>
        </row>
        <row r="2252">
          <cell r="A2252" t="str">
            <v>Data split-18;Reg-91</v>
          </cell>
          <cell r="B2252">
            <v>0.84</v>
          </cell>
          <cell r="C2252">
            <v>0</v>
          </cell>
          <cell r="D2252">
            <v>0.62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4.1000000000000003E-3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 t="b">
            <v>0</v>
          </cell>
        </row>
        <row r="2253">
          <cell r="A2253" t="str">
            <v>Data split-18;Reg-92</v>
          </cell>
          <cell r="B2253">
            <v>9.9000000000000005E-2</v>
          </cell>
          <cell r="C2253">
            <v>1.1000000000000001</v>
          </cell>
          <cell r="D2253">
            <v>0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2.7000000000000001E-3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 t="b">
            <v>0</v>
          </cell>
        </row>
        <row r="2254">
          <cell r="A2254" t="str">
            <v>Data split-18;Reg-93</v>
          </cell>
          <cell r="B2254">
            <v>0.11</v>
          </cell>
          <cell r="C2254">
            <v>1.1000000000000001</v>
          </cell>
          <cell r="D2254">
            <v>0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8.1999999999999998E-4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 t="b">
            <v>0</v>
          </cell>
        </row>
        <row r="2255">
          <cell r="A2255" t="str">
            <v>Data split-18;Reg-94</v>
          </cell>
          <cell r="B2255">
            <v>0.2</v>
          </cell>
          <cell r="C2255">
            <v>0</v>
          </cell>
          <cell r="D2255">
            <v>0.81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1.2999999999999999E-2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 t="b">
            <v>0</v>
          </cell>
        </row>
        <row r="2256">
          <cell r="A2256" t="str">
            <v>Data split-18;Reg-95</v>
          </cell>
          <cell r="B2256">
            <v>0.12</v>
          </cell>
          <cell r="C2256">
            <v>0</v>
          </cell>
          <cell r="D2256">
            <v>0.79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3.5000000000000001E-3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 t="b">
            <v>0</v>
          </cell>
        </row>
        <row r="2257">
          <cell r="A2257" t="str">
            <v>Data split-18;Reg-96</v>
          </cell>
          <cell r="B2257">
            <v>-1.4</v>
          </cell>
          <cell r="C2257">
            <v>0.11</v>
          </cell>
          <cell r="D2257">
            <v>0</v>
          </cell>
          <cell r="E2257">
            <v>0.32</v>
          </cell>
          <cell r="F2257">
            <v>0</v>
          </cell>
          <cell r="G2257">
            <v>0</v>
          </cell>
          <cell r="H2257">
            <v>0</v>
          </cell>
          <cell r="I2257">
            <v>1.2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 t="b">
            <v>0</v>
          </cell>
        </row>
        <row r="2258">
          <cell r="A2258" t="str">
            <v>Data split-18;Reg-97</v>
          </cell>
          <cell r="B2258">
            <v>-5.6</v>
          </cell>
          <cell r="C2258">
            <v>-0.33</v>
          </cell>
          <cell r="D2258">
            <v>0</v>
          </cell>
          <cell r="E2258">
            <v>0.53</v>
          </cell>
          <cell r="F2258">
            <v>0</v>
          </cell>
          <cell r="G2258">
            <v>0</v>
          </cell>
          <cell r="H2258">
            <v>0</v>
          </cell>
          <cell r="I2258">
            <v>0</v>
          </cell>
          <cell r="J2258">
            <v>17.8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 t="b">
            <v>0</v>
          </cell>
        </row>
        <row r="2259">
          <cell r="A2259" t="str">
            <v>Data split-18;Reg-98</v>
          </cell>
          <cell r="B2259">
            <v>-3.9</v>
          </cell>
          <cell r="C2259">
            <v>0.31</v>
          </cell>
          <cell r="D2259">
            <v>0</v>
          </cell>
          <cell r="E2259">
            <v>0</v>
          </cell>
          <cell r="F2259">
            <v>-6.7000000000000004E-2</v>
          </cell>
          <cell r="G2259">
            <v>0</v>
          </cell>
          <cell r="H2259">
            <v>0</v>
          </cell>
          <cell r="I2259">
            <v>2.6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 t="b">
            <v>0</v>
          </cell>
        </row>
        <row r="2260">
          <cell r="A2260" t="str">
            <v>Data split-18;Reg-99</v>
          </cell>
          <cell r="B2260">
            <v>-4.2</v>
          </cell>
          <cell r="C2260">
            <v>0.45</v>
          </cell>
          <cell r="D2260">
            <v>0</v>
          </cell>
          <cell r="E2260">
            <v>0</v>
          </cell>
          <cell r="F2260">
            <v>2.5000000000000001E-2</v>
          </cell>
          <cell r="G2260">
            <v>0</v>
          </cell>
          <cell r="H2260">
            <v>0</v>
          </cell>
          <cell r="I2260">
            <v>0</v>
          </cell>
          <cell r="J2260">
            <v>16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 t="b">
            <v>0</v>
          </cell>
        </row>
        <row r="2261">
          <cell r="A2261" t="str">
            <v>Data split-18;Reg-100</v>
          </cell>
          <cell r="B2261">
            <v>-1.9</v>
          </cell>
          <cell r="C2261">
            <v>0</v>
          </cell>
          <cell r="D2261">
            <v>0.43</v>
          </cell>
          <cell r="E2261">
            <v>2.3E-2</v>
          </cell>
          <cell r="F2261">
            <v>0</v>
          </cell>
          <cell r="G2261">
            <v>0</v>
          </cell>
          <cell r="H2261">
            <v>0</v>
          </cell>
          <cell r="I2261">
            <v>1.4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 t="b">
            <v>0</v>
          </cell>
        </row>
        <row r="2262">
          <cell r="A2262" t="str">
            <v>Data split-18;Reg-101</v>
          </cell>
          <cell r="B2262">
            <v>-5</v>
          </cell>
          <cell r="C2262">
            <v>0</v>
          </cell>
          <cell r="D2262">
            <v>-3.9E-2</v>
          </cell>
          <cell r="E2262">
            <v>0.43</v>
          </cell>
          <cell r="F2262">
            <v>0</v>
          </cell>
          <cell r="G2262">
            <v>0</v>
          </cell>
          <cell r="H2262">
            <v>0</v>
          </cell>
          <cell r="I2262">
            <v>0</v>
          </cell>
          <cell r="J2262">
            <v>15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 t="b">
            <v>0</v>
          </cell>
        </row>
        <row r="2263">
          <cell r="A2263" t="str">
            <v>Data split-18;Reg-102</v>
          </cell>
          <cell r="B2263">
            <v>-3.7</v>
          </cell>
          <cell r="C2263">
            <v>0</v>
          </cell>
          <cell r="D2263">
            <v>0.37</v>
          </cell>
          <cell r="E2263">
            <v>0</v>
          </cell>
          <cell r="F2263">
            <v>-5.1999999999999998E-2</v>
          </cell>
          <cell r="G2263">
            <v>0</v>
          </cell>
          <cell r="H2263">
            <v>0</v>
          </cell>
          <cell r="I2263">
            <v>2.2000000000000002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 t="b">
            <v>0</v>
          </cell>
        </row>
        <row r="2264">
          <cell r="A2264" t="str">
            <v>Data split-18;Reg-103</v>
          </cell>
          <cell r="B2264">
            <v>-4.2</v>
          </cell>
          <cell r="C2264">
            <v>0</v>
          </cell>
          <cell r="D2264">
            <v>0.44</v>
          </cell>
          <cell r="E2264">
            <v>0</v>
          </cell>
          <cell r="F2264">
            <v>2.7E-2</v>
          </cell>
          <cell r="G2264">
            <v>0</v>
          </cell>
          <cell r="H2264">
            <v>0</v>
          </cell>
          <cell r="I2264">
            <v>0</v>
          </cell>
          <cell r="J2264">
            <v>14.2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 t="b">
            <v>0</v>
          </cell>
        </row>
        <row r="2265">
          <cell r="A2265" t="str">
            <v>Data split-18;Reg-104</v>
          </cell>
          <cell r="B2265">
            <v>0.61</v>
          </cell>
          <cell r="C2265">
            <v>-0.15</v>
          </cell>
          <cell r="D2265">
            <v>0</v>
          </cell>
          <cell r="E2265">
            <v>0.6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0</v>
          </cell>
          <cell r="K2265">
            <v>0.52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 t="b">
            <v>0</v>
          </cell>
        </row>
        <row r="2266">
          <cell r="A2266" t="str">
            <v>Data split-18;Reg-105</v>
          </cell>
          <cell r="B2266">
            <v>-0.03</v>
          </cell>
          <cell r="C2266">
            <v>-0.14000000000000001</v>
          </cell>
          <cell r="D2266">
            <v>0</v>
          </cell>
          <cell r="E2266">
            <v>0.67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3.1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 t="b">
            <v>0</v>
          </cell>
        </row>
        <row r="2267">
          <cell r="A2267" t="str">
            <v>Data split-18;Reg-106</v>
          </cell>
          <cell r="B2267">
            <v>1.3</v>
          </cell>
          <cell r="C2267">
            <v>0.79</v>
          </cell>
          <cell r="D2267">
            <v>0</v>
          </cell>
          <cell r="E2267">
            <v>0</v>
          </cell>
          <cell r="F2267">
            <v>2.9000000000000001E-2</v>
          </cell>
          <cell r="G2267">
            <v>0</v>
          </cell>
          <cell r="H2267">
            <v>0</v>
          </cell>
          <cell r="I2267">
            <v>0</v>
          </cell>
          <cell r="J2267">
            <v>0</v>
          </cell>
          <cell r="K2267">
            <v>0.34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 t="b">
            <v>0</v>
          </cell>
        </row>
        <row r="2268">
          <cell r="A2268" t="str">
            <v>Data split-18;Reg-107</v>
          </cell>
          <cell r="B2268">
            <v>1.1000000000000001</v>
          </cell>
          <cell r="C2268">
            <v>0.84</v>
          </cell>
          <cell r="D2268">
            <v>0</v>
          </cell>
          <cell r="E2268">
            <v>0</v>
          </cell>
          <cell r="F2268">
            <v>3.9E-2</v>
          </cell>
          <cell r="G2268">
            <v>0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1.8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 t="b">
            <v>0</v>
          </cell>
        </row>
        <row r="2269">
          <cell r="A2269" t="str">
            <v>Data split-18;Reg-108</v>
          </cell>
          <cell r="B2269">
            <v>0.38</v>
          </cell>
          <cell r="C2269">
            <v>0</v>
          </cell>
          <cell r="D2269">
            <v>4.4999999999999998E-2</v>
          </cell>
          <cell r="E2269">
            <v>0.51</v>
          </cell>
          <cell r="F2269">
            <v>0</v>
          </cell>
          <cell r="G2269">
            <v>0</v>
          </cell>
          <cell r="H2269">
            <v>0</v>
          </cell>
          <cell r="I2269">
            <v>0</v>
          </cell>
          <cell r="J2269">
            <v>0</v>
          </cell>
          <cell r="K2269">
            <v>0.47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 t="b">
            <v>0</v>
          </cell>
        </row>
        <row r="2270">
          <cell r="A2270" t="str">
            <v>Data split-18;Reg-109</v>
          </cell>
          <cell r="B2270">
            <v>-8.1000000000000003E-2</v>
          </cell>
          <cell r="C2270">
            <v>0</v>
          </cell>
          <cell r="D2270">
            <v>-7.2999999999999995E-2</v>
          </cell>
          <cell r="E2270">
            <v>0.65</v>
          </cell>
          <cell r="F2270">
            <v>0</v>
          </cell>
          <cell r="G2270">
            <v>0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2.9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 t="b">
            <v>0</v>
          </cell>
        </row>
        <row r="2271">
          <cell r="A2271" t="str">
            <v>Data split-18;Reg-110</v>
          </cell>
          <cell r="B2271">
            <v>1</v>
          </cell>
          <cell r="C2271">
            <v>0</v>
          </cell>
          <cell r="D2271">
            <v>0.61</v>
          </cell>
          <cell r="E2271">
            <v>0</v>
          </cell>
          <cell r="F2271">
            <v>3.6999999999999998E-2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0.4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 t="b">
            <v>0</v>
          </cell>
        </row>
        <row r="2272">
          <cell r="A2272" t="str">
            <v>Data split-18;Reg-111</v>
          </cell>
          <cell r="B2272">
            <v>0.88</v>
          </cell>
          <cell r="C2272">
            <v>0</v>
          </cell>
          <cell r="D2272">
            <v>0.63</v>
          </cell>
          <cell r="E2272">
            <v>0</v>
          </cell>
          <cell r="F2272">
            <v>5.0999999999999997E-2</v>
          </cell>
          <cell r="G2272">
            <v>0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2.2999999999999998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 t="b">
            <v>0</v>
          </cell>
        </row>
        <row r="2273">
          <cell r="A2273" t="str">
            <v>Data split-18;Reg-112</v>
          </cell>
          <cell r="B2273">
            <v>-0.69</v>
          </cell>
          <cell r="C2273">
            <v>0.24</v>
          </cell>
          <cell r="D2273">
            <v>0</v>
          </cell>
          <cell r="E2273">
            <v>0</v>
          </cell>
          <cell r="F2273">
            <v>0</v>
          </cell>
          <cell r="G2273">
            <v>0.52</v>
          </cell>
          <cell r="H2273">
            <v>0</v>
          </cell>
          <cell r="I2273">
            <v>0.74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 t="b">
            <v>0</v>
          </cell>
        </row>
        <row r="2274">
          <cell r="A2274" t="str">
            <v>Data split-18;Reg-113</v>
          </cell>
          <cell r="B2274">
            <v>-4.2</v>
          </cell>
          <cell r="C2274">
            <v>-9.4E-2</v>
          </cell>
          <cell r="D2274">
            <v>0</v>
          </cell>
          <cell r="E2274">
            <v>0</v>
          </cell>
          <cell r="F2274">
            <v>0</v>
          </cell>
          <cell r="G2274">
            <v>0.64</v>
          </cell>
          <cell r="H2274">
            <v>0</v>
          </cell>
          <cell r="I2274">
            <v>0</v>
          </cell>
          <cell r="J2274">
            <v>14.1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 t="b">
            <v>0</v>
          </cell>
        </row>
        <row r="2275">
          <cell r="A2275" t="str">
            <v>Data split-18;Reg-114</v>
          </cell>
          <cell r="B2275">
            <v>-7.8E-2</v>
          </cell>
          <cell r="C2275">
            <v>0.28000000000000003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0.53</v>
          </cell>
          <cell r="I2275">
            <v>0.71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 t="b">
            <v>0</v>
          </cell>
        </row>
        <row r="2276">
          <cell r="A2276" t="str">
            <v>Data split-18;Reg-115</v>
          </cell>
          <cell r="B2276">
            <v>-3.3</v>
          </cell>
          <cell r="C2276">
            <v>-2.0999999999999999E-3</v>
          </cell>
          <cell r="D2276">
            <v>0</v>
          </cell>
          <cell r="E2276">
            <v>0</v>
          </cell>
          <cell r="F2276">
            <v>0</v>
          </cell>
          <cell r="G2276">
            <v>0</v>
          </cell>
          <cell r="H2276">
            <v>0.62</v>
          </cell>
          <cell r="I2276">
            <v>0</v>
          </cell>
          <cell r="J2276">
            <v>13.4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 t="b">
            <v>0</v>
          </cell>
        </row>
        <row r="2277">
          <cell r="A2277" t="str">
            <v>Data split-18;Reg-116</v>
          </cell>
          <cell r="B2277">
            <v>-1.3</v>
          </cell>
          <cell r="C2277">
            <v>0</v>
          </cell>
          <cell r="D2277">
            <v>0.32</v>
          </cell>
          <cell r="E2277">
            <v>0</v>
          </cell>
          <cell r="F2277">
            <v>0</v>
          </cell>
          <cell r="G2277">
            <v>0.31</v>
          </cell>
          <cell r="H2277">
            <v>0</v>
          </cell>
          <cell r="I2277">
            <v>0.99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 t="b">
            <v>0</v>
          </cell>
        </row>
        <row r="2278">
          <cell r="A2278" t="str">
            <v>Data split-18;Reg-117</v>
          </cell>
          <cell r="B2278">
            <v>-3.9</v>
          </cell>
          <cell r="C2278">
            <v>0</v>
          </cell>
          <cell r="D2278">
            <v>0.14000000000000001</v>
          </cell>
          <cell r="E2278">
            <v>0</v>
          </cell>
          <cell r="F2278">
            <v>0</v>
          </cell>
          <cell r="G2278">
            <v>0.5</v>
          </cell>
          <cell r="H2278">
            <v>0</v>
          </cell>
          <cell r="I2278">
            <v>0</v>
          </cell>
          <cell r="J2278">
            <v>12.1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 t="b">
            <v>0</v>
          </cell>
        </row>
        <row r="2279">
          <cell r="A2279" t="str">
            <v>Data split-18;Reg-118</v>
          </cell>
          <cell r="B2279">
            <v>-0.98</v>
          </cell>
          <cell r="C2279">
            <v>0</v>
          </cell>
          <cell r="D2279">
            <v>0.33</v>
          </cell>
          <cell r="E2279">
            <v>0</v>
          </cell>
          <cell r="F2279">
            <v>0</v>
          </cell>
          <cell r="G2279">
            <v>0</v>
          </cell>
          <cell r="H2279">
            <v>0.3</v>
          </cell>
          <cell r="I2279">
            <v>1</v>
          </cell>
          <cell r="J2279">
            <v>0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 t="b">
            <v>0</v>
          </cell>
        </row>
        <row r="2280">
          <cell r="A2280" t="str">
            <v>Data split-18;Reg-119</v>
          </cell>
          <cell r="B2280">
            <v>-3.3</v>
          </cell>
          <cell r="C2280">
            <v>0</v>
          </cell>
          <cell r="D2280">
            <v>0.14000000000000001</v>
          </cell>
          <cell r="E2280">
            <v>0</v>
          </cell>
          <cell r="F2280">
            <v>0</v>
          </cell>
          <cell r="G2280">
            <v>0</v>
          </cell>
          <cell r="H2280">
            <v>0.52</v>
          </cell>
          <cell r="I2280">
            <v>0</v>
          </cell>
          <cell r="J2280">
            <v>12.3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 t="b">
            <v>0</v>
          </cell>
        </row>
        <row r="2281">
          <cell r="A2281" t="str">
            <v>Data split-18;Reg-120</v>
          </cell>
          <cell r="B2281">
            <v>0.67</v>
          </cell>
          <cell r="C2281">
            <v>0.11</v>
          </cell>
          <cell r="D2281">
            <v>0</v>
          </cell>
          <cell r="E2281">
            <v>0</v>
          </cell>
          <cell r="F2281">
            <v>0</v>
          </cell>
          <cell r="G2281">
            <v>0.71</v>
          </cell>
          <cell r="H2281">
            <v>0</v>
          </cell>
          <cell r="I2281">
            <v>0</v>
          </cell>
          <cell r="J2281">
            <v>0</v>
          </cell>
          <cell r="K2281">
            <v>0.35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 t="b">
            <v>0</v>
          </cell>
        </row>
        <row r="2282">
          <cell r="A2282" t="str">
            <v>Data split-18;Reg-121</v>
          </cell>
          <cell r="B2282">
            <v>0.31</v>
          </cell>
          <cell r="C2282">
            <v>8.6999999999999994E-2</v>
          </cell>
          <cell r="D2282">
            <v>0</v>
          </cell>
          <cell r="E2282">
            <v>0</v>
          </cell>
          <cell r="F2282">
            <v>0</v>
          </cell>
          <cell r="G2282">
            <v>0.79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2.2000000000000002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 t="b">
            <v>0</v>
          </cell>
        </row>
        <row r="2283">
          <cell r="A2283" t="str">
            <v>Data split-18;Reg-122</v>
          </cell>
          <cell r="B2283">
            <v>1.4</v>
          </cell>
          <cell r="C2283">
            <v>0.2</v>
          </cell>
          <cell r="D2283">
            <v>0</v>
          </cell>
          <cell r="E2283">
            <v>0</v>
          </cell>
          <cell r="F2283">
            <v>0</v>
          </cell>
          <cell r="G2283">
            <v>0</v>
          </cell>
          <cell r="H2283">
            <v>0.7</v>
          </cell>
          <cell r="I2283">
            <v>0</v>
          </cell>
          <cell r="J2283">
            <v>0</v>
          </cell>
          <cell r="K2283">
            <v>0.32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 t="b">
            <v>0</v>
          </cell>
        </row>
        <row r="2284">
          <cell r="A2284" t="str">
            <v>Data split-18;Reg-123</v>
          </cell>
          <cell r="B2284">
            <v>1.1000000000000001</v>
          </cell>
          <cell r="C2284">
            <v>0.19</v>
          </cell>
          <cell r="D2284">
            <v>0</v>
          </cell>
          <cell r="E2284">
            <v>0</v>
          </cell>
          <cell r="F2284">
            <v>0</v>
          </cell>
          <cell r="G2284">
            <v>0</v>
          </cell>
          <cell r="H2284">
            <v>0.76</v>
          </cell>
          <cell r="I2284">
            <v>0</v>
          </cell>
          <cell r="J2284">
            <v>0</v>
          </cell>
          <cell r="K2284">
            <v>0</v>
          </cell>
          <cell r="L2284">
            <v>2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 t="b">
            <v>0</v>
          </cell>
        </row>
        <row r="2285">
          <cell r="A2285" t="str">
            <v>Data split-18;Reg-124</v>
          </cell>
          <cell r="B2285">
            <v>0.33</v>
          </cell>
          <cell r="C2285">
            <v>0</v>
          </cell>
          <cell r="D2285">
            <v>0.24</v>
          </cell>
          <cell r="E2285">
            <v>0</v>
          </cell>
          <cell r="F2285">
            <v>0</v>
          </cell>
          <cell r="G2285">
            <v>0.57999999999999996</v>
          </cell>
          <cell r="H2285">
            <v>0</v>
          </cell>
          <cell r="I2285">
            <v>0</v>
          </cell>
          <cell r="J2285">
            <v>0</v>
          </cell>
          <cell r="K2285">
            <v>0.34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 t="b">
            <v>0</v>
          </cell>
        </row>
        <row r="2286">
          <cell r="A2286" t="str">
            <v>Data split-18;Reg-125</v>
          </cell>
          <cell r="B2286">
            <v>0.02</v>
          </cell>
          <cell r="C2286">
            <v>0</v>
          </cell>
          <cell r="D2286">
            <v>0.2</v>
          </cell>
          <cell r="E2286">
            <v>0</v>
          </cell>
          <cell r="F2286">
            <v>0</v>
          </cell>
          <cell r="G2286">
            <v>0.67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2.1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 t="b">
            <v>0</v>
          </cell>
        </row>
        <row r="2287">
          <cell r="A2287" t="str">
            <v>Data split-18;Reg-126</v>
          </cell>
          <cell r="B2287">
            <v>1.1000000000000001</v>
          </cell>
          <cell r="C2287">
            <v>0</v>
          </cell>
          <cell r="D2287">
            <v>0.24</v>
          </cell>
          <cell r="E2287">
            <v>0</v>
          </cell>
          <cell r="F2287">
            <v>0</v>
          </cell>
          <cell r="G2287">
            <v>0</v>
          </cell>
          <cell r="H2287">
            <v>0.6</v>
          </cell>
          <cell r="I2287">
            <v>0</v>
          </cell>
          <cell r="J2287">
            <v>0</v>
          </cell>
          <cell r="K2287">
            <v>0.34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 t="b">
            <v>0</v>
          </cell>
        </row>
        <row r="2288">
          <cell r="A2288" t="str">
            <v>Data split-18;Reg-127</v>
          </cell>
          <cell r="B2288">
            <v>0.9</v>
          </cell>
          <cell r="C2288">
            <v>0</v>
          </cell>
          <cell r="D2288">
            <v>0.22</v>
          </cell>
          <cell r="E2288">
            <v>0</v>
          </cell>
          <cell r="F2288">
            <v>0</v>
          </cell>
          <cell r="G2288">
            <v>0</v>
          </cell>
          <cell r="H2288">
            <v>0.69</v>
          </cell>
          <cell r="I2288">
            <v>0</v>
          </cell>
          <cell r="J2288">
            <v>0</v>
          </cell>
          <cell r="K2288">
            <v>0</v>
          </cell>
          <cell r="L2288">
            <v>2.1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 t="b">
            <v>0</v>
          </cell>
        </row>
        <row r="2289">
          <cell r="A2289" t="str">
            <v>Data split-19;Reg-1</v>
          </cell>
          <cell r="B2289">
            <v>0.32</v>
          </cell>
          <cell r="C2289">
            <v>0.4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0.8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-1.7000000000000001E-2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 t="b">
            <v>0</v>
          </cell>
        </row>
        <row r="2290">
          <cell r="A2290" t="str">
            <v>Data split-19;Reg-2</v>
          </cell>
          <cell r="B2290">
            <v>-3.6</v>
          </cell>
          <cell r="C2290">
            <v>0.17</v>
          </cell>
          <cell r="D2290">
            <v>0</v>
          </cell>
          <cell r="E2290">
            <v>0</v>
          </cell>
          <cell r="F2290">
            <v>-5.5E-2</v>
          </cell>
          <cell r="G2290">
            <v>1.7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-8.6999999999999994E-3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 t="b">
            <v>0</v>
          </cell>
        </row>
        <row r="2291">
          <cell r="A2291" t="str">
            <v>Data split-19;Reg-3</v>
          </cell>
          <cell r="B2291">
            <v>-1.4</v>
          </cell>
          <cell r="C2291">
            <v>0.32</v>
          </cell>
          <cell r="D2291">
            <v>0</v>
          </cell>
          <cell r="E2291">
            <v>0</v>
          </cell>
          <cell r="F2291">
            <v>-3.7999999999999999E-2</v>
          </cell>
          <cell r="G2291">
            <v>0</v>
          </cell>
          <cell r="H2291">
            <v>1.5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-3.3000000000000002E-2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 t="b">
            <v>0</v>
          </cell>
        </row>
        <row r="2292">
          <cell r="A2292" t="str">
            <v>Data split-19;Reg-4</v>
          </cell>
          <cell r="B2292">
            <v>-1.8</v>
          </cell>
          <cell r="C2292">
            <v>0.35</v>
          </cell>
          <cell r="D2292">
            <v>0</v>
          </cell>
          <cell r="E2292">
            <v>0</v>
          </cell>
          <cell r="F2292">
            <v>-4.3999999999999997E-2</v>
          </cell>
          <cell r="G2292">
            <v>0</v>
          </cell>
          <cell r="H2292">
            <v>1.9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-1.2E-2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 t="b">
            <v>0</v>
          </cell>
        </row>
        <row r="2293">
          <cell r="A2293" t="str">
            <v>Data split-19;Reg-5</v>
          </cell>
          <cell r="B2293">
            <v>-3.9</v>
          </cell>
          <cell r="C2293">
            <v>0</v>
          </cell>
          <cell r="D2293">
            <v>0.22</v>
          </cell>
          <cell r="E2293">
            <v>0</v>
          </cell>
          <cell r="F2293">
            <v>-3.5000000000000003E-2</v>
          </cell>
          <cell r="G2293">
            <v>1.7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-1.0999999999999999E-2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 t="b">
            <v>0</v>
          </cell>
        </row>
        <row r="2294">
          <cell r="A2294" t="str">
            <v>Data split-19;Reg-6</v>
          </cell>
          <cell r="B2294">
            <v>-1.8</v>
          </cell>
          <cell r="C2294">
            <v>0</v>
          </cell>
          <cell r="D2294">
            <v>0.33</v>
          </cell>
          <cell r="E2294">
            <v>0</v>
          </cell>
          <cell r="F2294">
            <v>-1.6E-2</v>
          </cell>
          <cell r="G2294">
            <v>0</v>
          </cell>
          <cell r="H2294">
            <v>2</v>
          </cell>
          <cell r="I2294">
            <v>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-1.4999999999999999E-2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 t="b">
            <v>0</v>
          </cell>
        </row>
        <row r="2295">
          <cell r="A2295" t="str">
            <v>Data split-19;Reg-7</v>
          </cell>
          <cell r="B2295">
            <v>-3.1</v>
          </cell>
          <cell r="C2295">
            <v>0.16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0.54</v>
          </cell>
          <cell r="I2295">
            <v>1.9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-3.5999999999999997E-2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 t="b">
            <v>0</v>
          </cell>
        </row>
        <row r="2296">
          <cell r="A2296" t="str">
            <v>Data split-19;Reg-8</v>
          </cell>
          <cell r="B2296">
            <v>-2.8</v>
          </cell>
          <cell r="C2296">
            <v>0.24</v>
          </cell>
          <cell r="D2296">
            <v>0</v>
          </cell>
          <cell r="E2296">
            <v>0</v>
          </cell>
          <cell r="F2296">
            <v>0</v>
          </cell>
          <cell r="G2296">
            <v>0</v>
          </cell>
          <cell r="H2296">
            <v>0.5</v>
          </cell>
          <cell r="I2296">
            <v>1.8</v>
          </cell>
          <cell r="J2296">
            <v>0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-8.3999999999999995E-3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 t="b">
            <v>0</v>
          </cell>
        </row>
        <row r="2297">
          <cell r="A2297" t="str">
            <v>Data split-19;Reg-9</v>
          </cell>
          <cell r="B2297">
            <v>0.39</v>
          </cell>
          <cell r="C2297">
            <v>0.34</v>
          </cell>
          <cell r="D2297">
            <v>0</v>
          </cell>
          <cell r="E2297">
            <v>0</v>
          </cell>
          <cell r="F2297">
            <v>0</v>
          </cell>
          <cell r="G2297">
            <v>0.55000000000000004</v>
          </cell>
          <cell r="H2297">
            <v>0</v>
          </cell>
          <cell r="I2297">
            <v>3.5999999999999999E-3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1E-3</v>
          </cell>
          <cell r="S2297">
            <v>0</v>
          </cell>
          <cell r="T2297">
            <v>0</v>
          </cell>
          <cell r="U2297" t="b">
            <v>0</v>
          </cell>
        </row>
        <row r="2298">
          <cell r="A2298" t="str">
            <v>Data split-19;Reg-10</v>
          </cell>
          <cell r="B2298">
            <v>0.21</v>
          </cell>
          <cell r="C2298">
            <v>0.28999999999999998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0.73</v>
          </cell>
          <cell r="I2298">
            <v>0</v>
          </cell>
          <cell r="J2298">
            <v>0</v>
          </cell>
          <cell r="K2298">
            <v>0.55000000000000004</v>
          </cell>
          <cell r="L2298">
            <v>0</v>
          </cell>
          <cell r="M2298">
            <v>0</v>
          </cell>
          <cell r="N2298">
            <v>0</v>
          </cell>
          <cell r="O2298">
            <v>-2.1999999999999999E-2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 t="b">
            <v>0</v>
          </cell>
        </row>
        <row r="2299">
          <cell r="A2299" t="str">
            <v>Data split-19;Reg-11</v>
          </cell>
          <cell r="B2299">
            <v>-2.2999999999999998</v>
          </cell>
          <cell r="C2299">
            <v>0.86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1.7</v>
          </cell>
          <cell r="J2299">
            <v>0</v>
          </cell>
          <cell r="K2299">
            <v>-1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 t="b">
            <v>0</v>
          </cell>
        </row>
        <row r="2300">
          <cell r="A2300" t="str">
            <v>Data split-19;Reg-12</v>
          </cell>
          <cell r="B2300">
            <v>-3.5</v>
          </cell>
          <cell r="C2300">
            <v>0.12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0.68</v>
          </cell>
          <cell r="J2300">
            <v>0</v>
          </cell>
          <cell r="K2300">
            <v>0</v>
          </cell>
          <cell r="L2300">
            <v>19.399999999999999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 t="b">
            <v>0</v>
          </cell>
        </row>
        <row r="2301">
          <cell r="A2301" t="str">
            <v>Data split-19;Reg-13</v>
          </cell>
          <cell r="B2301">
            <v>-12.7</v>
          </cell>
          <cell r="C2301">
            <v>0.35</v>
          </cell>
          <cell r="D2301">
            <v>0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0</v>
          </cell>
          <cell r="J2301">
            <v>35.200000000000003</v>
          </cell>
          <cell r="K2301">
            <v>-0.65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 t="b">
            <v>0</v>
          </cell>
        </row>
        <row r="2302">
          <cell r="A2302" t="str">
            <v>Data split-19;Reg-14</v>
          </cell>
          <cell r="B2302">
            <v>-10.3</v>
          </cell>
          <cell r="C2302">
            <v>6.6000000000000003E-2</v>
          </cell>
          <cell r="D2302">
            <v>0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0</v>
          </cell>
          <cell r="J2302">
            <v>26.8</v>
          </cell>
          <cell r="K2302">
            <v>0</v>
          </cell>
          <cell r="L2302">
            <v>6.5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 t="b">
            <v>0</v>
          </cell>
        </row>
        <row r="2303">
          <cell r="A2303" t="str">
            <v>Data split-19;Reg-15</v>
          </cell>
          <cell r="B2303">
            <v>0.83</v>
          </cell>
          <cell r="C2303">
            <v>0.54</v>
          </cell>
          <cell r="D2303">
            <v>0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0.46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1.7000000000000001E-2</v>
          </cell>
          <cell r="R2303">
            <v>0</v>
          </cell>
          <cell r="S2303">
            <v>0</v>
          </cell>
          <cell r="T2303">
            <v>0</v>
          </cell>
          <cell r="U2303" t="b">
            <v>0</v>
          </cell>
        </row>
        <row r="2304">
          <cell r="A2304" t="str">
            <v>Data split-19;Reg-16</v>
          </cell>
          <cell r="B2304">
            <v>1.4</v>
          </cell>
          <cell r="C2304">
            <v>0.45</v>
          </cell>
          <cell r="D2304">
            <v>0</v>
          </cell>
          <cell r="E2304">
            <v>0</v>
          </cell>
          <cell r="F2304">
            <v>0</v>
          </cell>
          <cell r="G2304">
            <v>0</v>
          </cell>
          <cell r="H2304">
            <v>0</v>
          </cell>
          <cell r="I2304">
            <v>0.25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5.7999999999999996E-3</v>
          </cell>
          <cell r="S2304">
            <v>0</v>
          </cell>
          <cell r="T2304">
            <v>0</v>
          </cell>
          <cell r="U2304" t="b">
            <v>0</v>
          </cell>
        </row>
        <row r="2305">
          <cell r="A2305" t="str">
            <v>Data split-19;Reg-17</v>
          </cell>
          <cell r="B2305">
            <v>-7.7</v>
          </cell>
          <cell r="C2305">
            <v>0.14000000000000001</v>
          </cell>
          <cell r="D2305">
            <v>0</v>
          </cell>
          <cell r="E2305">
            <v>0</v>
          </cell>
          <cell r="F2305">
            <v>0</v>
          </cell>
          <cell r="G2305">
            <v>0</v>
          </cell>
          <cell r="H2305">
            <v>0</v>
          </cell>
          <cell r="I2305">
            <v>0</v>
          </cell>
          <cell r="J2305">
            <v>24.5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1.0999999999999999E-2</v>
          </cell>
          <cell r="R2305">
            <v>0</v>
          </cell>
          <cell r="S2305">
            <v>0</v>
          </cell>
          <cell r="T2305">
            <v>0</v>
          </cell>
          <cell r="U2305" t="b">
            <v>0</v>
          </cell>
        </row>
        <row r="2306">
          <cell r="A2306" t="str">
            <v>Data split-19;Reg-18</v>
          </cell>
          <cell r="B2306">
            <v>-6.4</v>
          </cell>
          <cell r="C2306">
            <v>9.0999999999999998E-2</v>
          </cell>
          <cell r="D2306">
            <v>0</v>
          </cell>
          <cell r="E2306">
            <v>0</v>
          </cell>
          <cell r="F2306">
            <v>0</v>
          </cell>
          <cell r="G2306">
            <v>0</v>
          </cell>
          <cell r="H2306">
            <v>0</v>
          </cell>
          <cell r="I2306">
            <v>0</v>
          </cell>
          <cell r="J2306">
            <v>21.5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3.8999999999999998E-3</v>
          </cell>
          <cell r="S2306">
            <v>0</v>
          </cell>
          <cell r="T2306">
            <v>0</v>
          </cell>
          <cell r="U2306" t="b">
            <v>0</v>
          </cell>
        </row>
        <row r="2307">
          <cell r="A2307" t="str">
            <v>Data split-19;Reg-19</v>
          </cell>
          <cell r="B2307">
            <v>1.8</v>
          </cell>
          <cell r="C2307">
            <v>0.7</v>
          </cell>
          <cell r="D2307">
            <v>0</v>
          </cell>
          <cell r="E2307">
            <v>0</v>
          </cell>
          <cell r="F2307">
            <v>0</v>
          </cell>
          <cell r="G2307">
            <v>0</v>
          </cell>
          <cell r="H2307">
            <v>0</v>
          </cell>
          <cell r="I2307">
            <v>0</v>
          </cell>
          <cell r="J2307">
            <v>0</v>
          </cell>
          <cell r="K2307">
            <v>-0.23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2.3E-2</v>
          </cell>
          <cell r="T2307">
            <v>0</v>
          </cell>
          <cell r="U2307" t="b">
            <v>0</v>
          </cell>
        </row>
        <row r="2308">
          <cell r="A2308" t="str">
            <v>Data split-19;Reg-20</v>
          </cell>
          <cell r="B2308">
            <v>2.2000000000000002</v>
          </cell>
          <cell r="C2308">
            <v>0.62</v>
          </cell>
          <cell r="D2308">
            <v>0</v>
          </cell>
          <cell r="E2308">
            <v>0</v>
          </cell>
          <cell r="F2308">
            <v>0</v>
          </cell>
          <cell r="G2308">
            <v>0</v>
          </cell>
          <cell r="H2308">
            <v>0</v>
          </cell>
          <cell r="I2308">
            <v>0</v>
          </cell>
          <cell r="J2308">
            <v>0</v>
          </cell>
          <cell r="K2308">
            <v>-0.59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7.9000000000000008E-3</v>
          </cell>
          <cell r="U2308" t="b">
            <v>0</v>
          </cell>
        </row>
        <row r="2309">
          <cell r="A2309" t="str">
            <v>Data split-19;Reg-21</v>
          </cell>
          <cell r="B2309">
            <v>-1.2</v>
          </cell>
          <cell r="C2309">
            <v>0.15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17.3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1.4999999999999999E-2</v>
          </cell>
          <cell r="T2309">
            <v>0</v>
          </cell>
          <cell r="U2309" t="b">
            <v>0</v>
          </cell>
        </row>
        <row r="2310">
          <cell r="A2310" t="str">
            <v>Data split-19;Reg-22</v>
          </cell>
          <cell r="B2310">
            <v>-3.3000000000000002E-2</v>
          </cell>
          <cell r="C2310">
            <v>0.17</v>
          </cell>
          <cell r="D2310">
            <v>0</v>
          </cell>
          <cell r="E2310">
            <v>0</v>
          </cell>
          <cell r="F2310">
            <v>0</v>
          </cell>
          <cell r="G2310">
            <v>0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11.8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5.3E-3</v>
          </cell>
          <cell r="U2310" t="b">
            <v>0</v>
          </cell>
        </row>
        <row r="2311">
          <cell r="A2311" t="str">
            <v>Data split-19;Reg-23</v>
          </cell>
          <cell r="B2311">
            <v>-2.9</v>
          </cell>
          <cell r="C2311">
            <v>0</v>
          </cell>
          <cell r="D2311">
            <v>0.65</v>
          </cell>
          <cell r="E2311">
            <v>0</v>
          </cell>
          <cell r="F2311">
            <v>0</v>
          </cell>
          <cell r="G2311">
            <v>0</v>
          </cell>
          <cell r="H2311">
            <v>0</v>
          </cell>
          <cell r="I2311">
            <v>1.9</v>
          </cell>
          <cell r="J2311">
            <v>0</v>
          </cell>
          <cell r="K2311">
            <v>-1.1000000000000001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 t="b">
            <v>0</v>
          </cell>
        </row>
        <row r="2312">
          <cell r="A2312" t="str">
            <v>Data split-19;Reg-24</v>
          </cell>
          <cell r="B2312">
            <v>-1.9</v>
          </cell>
          <cell r="C2312">
            <v>0</v>
          </cell>
          <cell r="D2312">
            <v>0.51</v>
          </cell>
          <cell r="E2312">
            <v>0</v>
          </cell>
          <cell r="F2312">
            <v>0</v>
          </cell>
          <cell r="G2312">
            <v>0</v>
          </cell>
          <cell r="H2312">
            <v>0</v>
          </cell>
          <cell r="I2312">
            <v>0.85</v>
          </cell>
          <cell r="J2312">
            <v>0</v>
          </cell>
          <cell r="K2312">
            <v>0</v>
          </cell>
          <cell r="L2312">
            <v>3.7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 t="b">
            <v>0</v>
          </cell>
        </row>
        <row r="2313">
          <cell r="A2313" t="str">
            <v>Data split-19;Reg-25</v>
          </cell>
          <cell r="B2313">
            <v>-11.1</v>
          </cell>
          <cell r="C2313">
            <v>0</v>
          </cell>
          <cell r="D2313">
            <v>0.42</v>
          </cell>
          <cell r="E2313">
            <v>0</v>
          </cell>
          <cell r="F2313">
            <v>0</v>
          </cell>
          <cell r="G2313">
            <v>0</v>
          </cell>
          <cell r="H2313">
            <v>0</v>
          </cell>
          <cell r="I2313">
            <v>0</v>
          </cell>
          <cell r="J2313">
            <v>29.8</v>
          </cell>
          <cell r="K2313">
            <v>-0.6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 t="b">
            <v>0</v>
          </cell>
        </row>
        <row r="2314">
          <cell r="A2314" t="str">
            <v>Data split-19;Reg-26</v>
          </cell>
          <cell r="B2314">
            <v>-8.8000000000000007</v>
          </cell>
          <cell r="C2314">
            <v>0</v>
          </cell>
          <cell r="D2314">
            <v>0.45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0</v>
          </cell>
          <cell r="J2314">
            <v>26.4</v>
          </cell>
          <cell r="K2314">
            <v>0</v>
          </cell>
          <cell r="L2314">
            <v>-6.5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 t="b">
            <v>0</v>
          </cell>
        </row>
        <row r="2315">
          <cell r="A2315" t="str">
            <v>Data split-19;Reg-27</v>
          </cell>
          <cell r="B2315">
            <v>-1.4</v>
          </cell>
          <cell r="C2315">
            <v>0</v>
          </cell>
          <cell r="D2315">
            <v>0.56000000000000005</v>
          </cell>
          <cell r="E2315">
            <v>0</v>
          </cell>
          <cell r="F2315">
            <v>0</v>
          </cell>
          <cell r="G2315">
            <v>0</v>
          </cell>
          <cell r="H2315">
            <v>0</v>
          </cell>
          <cell r="I2315">
            <v>0.95</v>
          </cell>
          <cell r="J2315">
            <v>0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7.5000000000000002E-4</v>
          </cell>
          <cell r="R2315">
            <v>0</v>
          </cell>
          <cell r="S2315">
            <v>0</v>
          </cell>
          <cell r="T2315">
            <v>0</v>
          </cell>
          <cell r="U2315" t="b">
            <v>0</v>
          </cell>
        </row>
        <row r="2316">
          <cell r="A2316" t="str">
            <v>Data split-19;Reg-28</v>
          </cell>
          <cell r="B2316">
            <v>-0.49</v>
          </cell>
          <cell r="C2316">
            <v>0</v>
          </cell>
          <cell r="D2316">
            <v>0.47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0.74</v>
          </cell>
          <cell r="J2316">
            <v>0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2.2000000000000001E-3</v>
          </cell>
          <cell r="S2316">
            <v>0</v>
          </cell>
          <cell r="T2316">
            <v>0</v>
          </cell>
          <cell r="U2316" t="b">
            <v>0</v>
          </cell>
        </row>
        <row r="2317">
          <cell r="A2317" t="str">
            <v>Data split-19;Reg-29</v>
          </cell>
          <cell r="B2317">
            <v>-7.8</v>
          </cell>
          <cell r="C2317">
            <v>0</v>
          </cell>
          <cell r="D2317">
            <v>0.37</v>
          </cell>
          <cell r="E2317">
            <v>0</v>
          </cell>
          <cell r="F2317">
            <v>0</v>
          </cell>
          <cell r="G2317">
            <v>0</v>
          </cell>
          <cell r="H2317">
            <v>0</v>
          </cell>
          <cell r="I2317">
            <v>0</v>
          </cell>
          <cell r="J2317">
            <v>21.4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2.0999999999999999E-3</v>
          </cell>
          <cell r="R2317">
            <v>0</v>
          </cell>
          <cell r="S2317">
            <v>0</v>
          </cell>
          <cell r="T2317">
            <v>0</v>
          </cell>
          <cell r="U2317" t="b">
            <v>0</v>
          </cell>
        </row>
        <row r="2318">
          <cell r="A2318" t="str">
            <v>Data split-19;Reg-30</v>
          </cell>
          <cell r="B2318">
            <v>-6.7</v>
          </cell>
          <cell r="C2318">
            <v>0</v>
          </cell>
          <cell r="D2318">
            <v>0.32</v>
          </cell>
          <cell r="E2318">
            <v>0</v>
          </cell>
          <cell r="F2318">
            <v>0</v>
          </cell>
          <cell r="G2318">
            <v>0</v>
          </cell>
          <cell r="H2318">
            <v>0</v>
          </cell>
          <cell r="I2318">
            <v>0</v>
          </cell>
          <cell r="J2318">
            <v>19.399999999999999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1.8E-3</v>
          </cell>
          <cell r="S2318">
            <v>0</v>
          </cell>
          <cell r="T2318">
            <v>0</v>
          </cell>
          <cell r="U2318" t="b">
            <v>0</v>
          </cell>
        </row>
        <row r="2319">
          <cell r="A2319" t="str">
            <v>Data split-19;Reg-31</v>
          </cell>
          <cell r="B2319">
            <v>0.46</v>
          </cell>
          <cell r="C2319">
            <v>0</v>
          </cell>
          <cell r="D2319">
            <v>0.55000000000000004</v>
          </cell>
          <cell r="E2319">
            <v>0</v>
          </cell>
          <cell r="F2319">
            <v>0</v>
          </cell>
          <cell r="G2319">
            <v>0</v>
          </cell>
          <cell r="H2319">
            <v>0</v>
          </cell>
          <cell r="I2319">
            <v>0</v>
          </cell>
          <cell r="J2319">
            <v>0</v>
          </cell>
          <cell r="K2319">
            <v>0.61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5.4000000000000003E-3</v>
          </cell>
          <cell r="T2319">
            <v>0</v>
          </cell>
          <cell r="U2319" t="b">
            <v>0</v>
          </cell>
        </row>
        <row r="2320">
          <cell r="A2320" t="str">
            <v>Data split-19;Reg-32</v>
          </cell>
          <cell r="B2320">
            <v>1.2</v>
          </cell>
          <cell r="C2320">
            <v>0</v>
          </cell>
          <cell r="D2320">
            <v>0.46</v>
          </cell>
          <cell r="E2320">
            <v>0</v>
          </cell>
          <cell r="F2320">
            <v>0</v>
          </cell>
          <cell r="G2320">
            <v>0</v>
          </cell>
          <cell r="H2320">
            <v>0</v>
          </cell>
          <cell r="I2320">
            <v>0</v>
          </cell>
          <cell r="J2320">
            <v>0</v>
          </cell>
          <cell r="K2320">
            <v>0.27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4.0000000000000001E-3</v>
          </cell>
          <cell r="U2320" t="b">
            <v>0</v>
          </cell>
        </row>
        <row r="2321">
          <cell r="A2321" t="str">
            <v>Data split-19;Reg-33</v>
          </cell>
          <cell r="B2321">
            <v>-1.4</v>
          </cell>
          <cell r="C2321">
            <v>0</v>
          </cell>
          <cell r="D2321">
            <v>0.39</v>
          </cell>
          <cell r="E2321">
            <v>0</v>
          </cell>
          <cell r="F2321">
            <v>0</v>
          </cell>
          <cell r="G2321">
            <v>0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12.3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8.6999999999999994E-3</v>
          </cell>
          <cell r="T2321">
            <v>0</v>
          </cell>
          <cell r="U2321" t="b">
            <v>0</v>
          </cell>
        </row>
        <row r="2322">
          <cell r="A2322" t="str">
            <v>Data split-19;Reg-34</v>
          </cell>
          <cell r="B2322">
            <v>-0.46</v>
          </cell>
          <cell r="C2322">
            <v>0</v>
          </cell>
          <cell r="D2322">
            <v>0.34</v>
          </cell>
          <cell r="E2322">
            <v>0</v>
          </cell>
          <cell r="F2322">
            <v>0</v>
          </cell>
          <cell r="G2322">
            <v>0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9.4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3.5999999999999999E-3</v>
          </cell>
          <cell r="U2322" t="b">
            <v>0</v>
          </cell>
        </row>
        <row r="2323">
          <cell r="A2323" t="str">
            <v>Data split-19;Reg-35</v>
          </cell>
          <cell r="B2323">
            <v>-0.74</v>
          </cell>
          <cell r="C2323">
            <v>0.8</v>
          </cell>
          <cell r="D2323">
            <v>0</v>
          </cell>
          <cell r="E2323">
            <v>0</v>
          </cell>
          <cell r="F2323">
            <v>0</v>
          </cell>
          <cell r="G2323">
            <v>0</v>
          </cell>
          <cell r="H2323">
            <v>0</v>
          </cell>
          <cell r="I2323">
            <v>1.5</v>
          </cell>
          <cell r="J2323">
            <v>0</v>
          </cell>
          <cell r="K2323">
            <v>-1.7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2.1000000000000001E-2</v>
          </cell>
          <cell r="R2323">
            <v>0</v>
          </cell>
          <cell r="S2323">
            <v>0</v>
          </cell>
          <cell r="T2323">
            <v>0</v>
          </cell>
          <cell r="U2323" t="b">
            <v>0</v>
          </cell>
        </row>
        <row r="2324">
          <cell r="A2324" t="str">
            <v>Data split-19;Reg-36</v>
          </cell>
          <cell r="B2324">
            <v>-0.46</v>
          </cell>
          <cell r="C2324">
            <v>0.74</v>
          </cell>
          <cell r="D2324">
            <v>0</v>
          </cell>
          <cell r="E2324">
            <v>0</v>
          </cell>
          <cell r="F2324">
            <v>0</v>
          </cell>
          <cell r="G2324">
            <v>0</v>
          </cell>
          <cell r="H2324">
            <v>0</v>
          </cell>
          <cell r="I2324">
            <v>1.4</v>
          </cell>
          <cell r="J2324">
            <v>0</v>
          </cell>
          <cell r="K2324">
            <v>-1.9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7.0000000000000001E-3</v>
          </cell>
          <cell r="S2324">
            <v>0</v>
          </cell>
          <cell r="T2324">
            <v>0</v>
          </cell>
          <cell r="U2324" t="b">
            <v>0</v>
          </cell>
        </row>
        <row r="2325">
          <cell r="A2325" t="str">
            <v>Data split-19;Reg-37</v>
          </cell>
          <cell r="B2325">
            <v>-1.4</v>
          </cell>
          <cell r="C2325">
            <v>0.13</v>
          </cell>
          <cell r="D2325">
            <v>0</v>
          </cell>
          <cell r="E2325">
            <v>0</v>
          </cell>
          <cell r="F2325">
            <v>0</v>
          </cell>
          <cell r="G2325">
            <v>0</v>
          </cell>
          <cell r="H2325">
            <v>0</v>
          </cell>
          <cell r="I2325">
            <v>0.31</v>
          </cell>
          <cell r="J2325">
            <v>0</v>
          </cell>
          <cell r="K2325">
            <v>0</v>
          </cell>
          <cell r="L2325">
            <v>15.5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1.4E-2</v>
          </cell>
          <cell r="R2325">
            <v>0</v>
          </cell>
          <cell r="S2325">
            <v>0</v>
          </cell>
          <cell r="T2325">
            <v>0</v>
          </cell>
          <cell r="U2325" t="b">
            <v>0</v>
          </cell>
        </row>
        <row r="2326">
          <cell r="A2326" t="str">
            <v>Data split-19;Reg-38</v>
          </cell>
          <cell r="B2326">
            <v>-0.39</v>
          </cell>
          <cell r="C2326">
            <v>0.15</v>
          </cell>
          <cell r="D2326">
            <v>0</v>
          </cell>
          <cell r="E2326">
            <v>0</v>
          </cell>
          <cell r="F2326">
            <v>0</v>
          </cell>
          <cell r="G2326">
            <v>0</v>
          </cell>
          <cell r="H2326">
            <v>0</v>
          </cell>
          <cell r="I2326">
            <v>0.17</v>
          </cell>
          <cell r="J2326">
            <v>0</v>
          </cell>
          <cell r="K2326">
            <v>0</v>
          </cell>
          <cell r="L2326">
            <v>11.4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5.1000000000000004E-3</v>
          </cell>
          <cell r="S2326">
            <v>0</v>
          </cell>
          <cell r="T2326">
            <v>0</v>
          </cell>
          <cell r="U2326" t="b">
            <v>0</v>
          </cell>
        </row>
        <row r="2327">
          <cell r="A2327" t="str">
            <v>Data split-19;Reg-39</v>
          </cell>
          <cell r="B2327">
            <v>-10.5</v>
          </cell>
          <cell r="C2327">
            <v>0.35</v>
          </cell>
          <cell r="D2327">
            <v>0</v>
          </cell>
          <cell r="E2327">
            <v>0</v>
          </cell>
          <cell r="F2327">
            <v>0</v>
          </cell>
          <cell r="G2327">
            <v>0</v>
          </cell>
          <cell r="H2327">
            <v>0</v>
          </cell>
          <cell r="I2327">
            <v>0</v>
          </cell>
          <cell r="J2327">
            <v>32.299999999999997</v>
          </cell>
          <cell r="K2327">
            <v>-1.3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1.7999999999999999E-2</v>
          </cell>
          <cell r="R2327">
            <v>0</v>
          </cell>
          <cell r="S2327">
            <v>0</v>
          </cell>
          <cell r="T2327">
            <v>0</v>
          </cell>
          <cell r="U2327" t="b">
            <v>0</v>
          </cell>
        </row>
        <row r="2328">
          <cell r="A2328" t="str">
            <v>Data split-19;Reg-40</v>
          </cell>
          <cell r="B2328">
            <v>-9.4</v>
          </cell>
          <cell r="C2328">
            <v>0.33</v>
          </cell>
          <cell r="D2328">
            <v>0</v>
          </cell>
          <cell r="E2328">
            <v>0</v>
          </cell>
          <cell r="F2328">
            <v>0</v>
          </cell>
          <cell r="G2328">
            <v>0</v>
          </cell>
          <cell r="H2328">
            <v>0</v>
          </cell>
          <cell r="I2328">
            <v>0</v>
          </cell>
          <cell r="J2328">
            <v>29.8</v>
          </cell>
          <cell r="K2328">
            <v>-1.4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5.8999999999999999E-3</v>
          </cell>
          <cell r="S2328">
            <v>0</v>
          </cell>
          <cell r="T2328">
            <v>0</v>
          </cell>
          <cell r="U2328" t="b">
            <v>0</v>
          </cell>
        </row>
        <row r="2329">
          <cell r="A2329" t="str">
            <v>Data split-19;Reg-41</v>
          </cell>
          <cell r="B2329">
            <v>-7.8</v>
          </cell>
          <cell r="C2329">
            <v>5.1999999999999998E-2</v>
          </cell>
          <cell r="D2329">
            <v>0</v>
          </cell>
          <cell r="E2329">
            <v>0</v>
          </cell>
          <cell r="F2329">
            <v>0</v>
          </cell>
          <cell r="G2329">
            <v>0</v>
          </cell>
          <cell r="H2329">
            <v>0</v>
          </cell>
          <cell r="I2329">
            <v>0</v>
          </cell>
          <cell r="J2329">
            <v>23.1</v>
          </cell>
          <cell r="K2329">
            <v>0</v>
          </cell>
          <cell r="L2329">
            <v>3.8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0.01</v>
          </cell>
          <cell r="R2329">
            <v>0</v>
          </cell>
          <cell r="S2329">
            <v>0</v>
          </cell>
          <cell r="T2329">
            <v>0</v>
          </cell>
          <cell r="U2329" t="b">
            <v>0</v>
          </cell>
        </row>
        <row r="2330">
          <cell r="A2330" t="str">
            <v>Data split-19;Reg-42</v>
          </cell>
          <cell r="B2330">
            <v>-6.4</v>
          </cell>
          <cell r="C2330">
            <v>7.0999999999999994E-2</v>
          </cell>
          <cell r="D2330">
            <v>0</v>
          </cell>
          <cell r="E2330">
            <v>0</v>
          </cell>
          <cell r="F2330">
            <v>0</v>
          </cell>
          <cell r="G2330">
            <v>0</v>
          </cell>
          <cell r="H2330">
            <v>0</v>
          </cell>
          <cell r="I2330">
            <v>0</v>
          </cell>
          <cell r="J2330">
            <v>21.2</v>
          </cell>
          <cell r="K2330">
            <v>0</v>
          </cell>
          <cell r="L2330">
            <v>0.95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3.8999999999999998E-3</v>
          </cell>
          <cell r="S2330">
            <v>0</v>
          </cell>
          <cell r="T2330">
            <v>0</v>
          </cell>
          <cell r="U2330" t="b">
            <v>0</v>
          </cell>
        </row>
        <row r="2331">
          <cell r="A2331" t="str">
            <v>Data split-19;Reg-43</v>
          </cell>
          <cell r="B2331">
            <v>-0.71</v>
          </cell>
          <cell r="C2331">
            <v>0.8</v>
          </cell>
          <cell r="D2331">
            <v>0</v>
          </cell>
          <cell r="E2331">
            <v>0</v>
          </cell>
          <cell r="F2331">
            <v>0</v>
          </cell>
          <cell r="G2331">
            <v>0</v>
          </cell>
          <cell r="H2331">
            <v>0</v>
          </cell>
          <cell r="I2331">
            <v>1.6</v>
          </cell>
          <cell r="J2331">
            <v>0</v>
          </cell>
          <cell r="K2331">
            <v>-1.8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2.1999999999999999E-2</v>
          </cell>
          <cell r="T2331">
            <v>0</v>
          </cell>
          <cell r="U2331" t="b">
            <v>0</v>
          </cell>
        </row>
        <row r="2332">
          <cell r="A2332" t="str">
            <v>Data split-19;Reg-44</v>
          </cell>
          <cell r="B2332">
            <v>-0.33</v>
          </cell>
          <cell r="C2332">
            <v>0.72</v>
          </cell>
          <cell r="D2332">
            <v>0</v>
          </cell>
          <cell r="E2332">
            <v>0</v>
          </cell>
          <cell r="F2332">
            <v>0</v>
          </cell>
          <cell r="G2332">
            <v>0</v>
          </cell>
          <cell r="H2332">
            <v>0</v>
          </cell>
          <cell r="I2332">
            <v>1.6</v>
          </cell>
          <cell r="J2332">
            <v>0</v>
          </cell>
          <cell r="K2332">
            <v>-2.2000000000000002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7.7000000000000002E-3</v>
          </cell>
          <cell r="U2332" t="b">
            <v>0</v>
          </cell>
        </row>
        <row r="2333">
          <cell r="A2333" t="str">
            <v>Data split-19;Reg-45</v>
          </cell>
          <cell r="B2333">
            <v>-1.6</v>
          </cell>
          <cell r="C2333">
            <v>0.12</v>
          </cell>
          <cell r="D2333">
            <v>0</v>
          </cell>
          <cell r="E2333">
            <v>0</v>
          </cell>
          <cell r="F2333">
            <v>0</v>
          </cell>
          <cell r="G2333">
            <v>0</v>
          </cell>
          <cell r="H2333">
            <v>0</v>
          </cell>
          <cell r="I2333">
            <v>0.36</v>
          </cell>
          <cell r="J2333">
            <v>0</v>
          </cell>
          <cell r="K2333">
            <v>0</v>
          </cell>
          <cell r="L2333">
            <v>15.8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1.2E-2</v>
          </cell>
          <cell r="T2333">
            <v>0</v>
          </cell>
          <cell r="U2333" t="b">
            <v>0</v>
          </cell>
        </row>
        <row r="2334">
          <cell r="A2334" t="str">
            <v>Data split-19;Reg-46</v>
          </cell>
          <cell r="B2334">
            <v>-0.33</v>
          </cell>
          <cell r="C2334">
            <v>0.14000000000000001</v>
          </cell>
          <cell r="D2334">
            <v>0</v>
          </cell>
          <cell r="E2334">
            <v>0</v>
          </cell>
          <cell r="F2334">
            <v>0</v>
          </cell>
          <cell r="G2334">
            <v>0</v>
          </cell>
          <cell r="H2334">
            <v>0</v>
          </cell>
          <cell r="I2334">
            <v>0.22</v>
          </cell>
          <cell r="J2334">
            <v>0</v>
          </cell>
          <cell r="K2334">
            <v>0</v>
          </cell>
          <cell r="L2334">
            <v>11.1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4.7999999999999996E-3</v>
          </cell>
          <cell r="U2334" t="b">
            <v>0</v>
          </cell>
        </row>
        <row r="2335">
          <cell r="A2335" t="str">
            <v>Data split-19;Reg-47</v>
          </cell>
          <cell r="B2335">
            <v>-10.7</v>
          </cell>
          <cell r="C2335">
            <v>0.33</v>
          </cell>
          <cell r="D2335">
            <v>0</v>
          </cell>
          <cell r="E2335">
            <v>0</v>
          </cell>
          <cell r="F2335">
            <v>0</v>
          </cell>
          <cell r="G2335">
            <v>0</v>
          </cell>
          <cell r="H2335">
            <v>0</v>
          </cell>
          <cell r="I2335">
            <v>0</v>
          </cell>
          <cell r="J2335">
            <v>33.299999999999997</v>
          </cell>
          <cell r="K2335">
            <v>-1.4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1.9E-2</v>
          </cell>
          <cell r="T2335">
            <v>0</v>
          </cell>
          <cell r="U2335" t="b">
            <v>0</v>
          </cell>
        </row>
        <row r="2336">
          <cell r="A2336" t="str">
            <v>Data split-19;Reg-48</v>
          </cell>
          <cell r="B2336">
            <v>-9.6</v>
          </cell>
          <cell r="C2336">
            <v>0.28000000000000003</v>
          </cell>
          <cell r="D2336">
            <v>0</v>
          </cell>
          <cell r="E2336">
            <v>0</v>
          </cell>
          <cell r="F2336">
            <v>0</v>
          </cell>
          <cell r="G2336">
            <v>0</v>
          </cell>
          <cell r="H2336">
            <v>0</v>
          </cell>
          <cell r="I2336">
            <v>0</v>
          </cell>
          <cell r="J2336">
            <v>31.3</v>
          </cell>
          <cell r="K2336">
            <v>-1.6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6.6E-3</v>
          </cell>
          <cell r="U2336" t="b">
            <v>0</v>
          </cell>
        </row>
        <row r="2337">
          <cell r="A2337" t="str">
            <v>Data split-19;Reg-49</v>
          </cell>
          <cell r="B2337">
            <v>-8.1</v>
          </cell>
          <cell r="C2337">
            <v>4.7E-2</v>
          </cell>
          <cell r="D2337">
            <v>0</v>
          </cell>
          <cell r="E2337">
            <v>0</v>
          </cell>
          <cell r="F2337">
            <v>0</v>
          </cell>
          <cell r="G2337">
            <v>0</v>
          </cell>
          <cell r="H2337">
            <v>0</v>
          </cell>
          <cell r="I2337">
            <v>0</v>
          </cell>
          <cell r="J2337">
            <v>23.9</v>
          </cell>
          <cell r="K2337">
            <v>0</v>
          </cell>
          <cell r="L2337">
            <v>3.7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9.1999999999999998E-3</v>
          </cell>
          <cell r="T2337">
            <v>0</v>
          </cell>
          <cell r="U2337" t="b">
            <v>0</v>
          </cell>
        </row>
        <row r="2338">
          <cell r="A2338" t="str">
            <v>Data split-19;Reg-50</v>
          </cell>
          <cell r="B2338">
            <v>-6.6</v>
          </cell>
          <cell r="C2338">
            <v>5.8999999999999997E-2</v>
          </cell>
          <cell r="D2338">
            <v>0</v>
          </cell>
          <cell r="E2338">
            <v>0</v>
          </cell>
          <cell r="F2338">
            <v>0</v>
          </cell>
          <cell r="G2338">
            <v>0</v>
          </cell>
          <cell r="H2338">
            <v>0</v>
          </cell>
          <cell r="I2338">
            <v>0</v>
          </cell>
          <cell r="J2338">
            <v>22.4</v>
          </cell>
          <cell r="K2338">
            <v>0</v>
          </cell>
          <cell r="L2338">
            <v>2.3E-2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3.8E-3</v>
          </cell>
          <cell r="U2338" t="b">
            <v>0</v>
          </cell>
        </row>
        <row r="2339">
          <cell r="A2339" t="str">
            <v>Data split-19;Reg-51</v>
          </cell>
          <cell r="B2339">
            <v>-2.6</v>
          </cell>
          <cell r="C2339">
            <v>0</v>
          </cell>
          <cell r="D2339">
            <v>0.63</v>
          </cell>
          <cell r="E2339">
            <v>0</v>
          </cell>
          <cell r="F2339">
            <v>0</v>
          </cell>
          <cell r="G2339">
            <v>0</v>
          </cell>
          <cell r="H2339">
            <v>0</v>
          </cell>
          <cell r="I2339">
            <v>1.9</v>
          </cell>
          <cell r="J2339">
            <v>0</v>
          </cell>
          <cell r="K2339">
            <v>-1.2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2.7000000000000001E-3</v>
          </cell>
          <cell r="R2339">
            <v>0</v>
          </cell>
          <cell r="S2339">
            <v>0</v>
          </cell>
          <cell r="T2339">
            <v>0</v>
          </cell>
          <cell r="U2339" t="b">
            <v>0</v>
          </cell>
        </row>
        <row r="2340">
          <cell r="A2340" t="str">
            <v>Data split-19;Reg-52</v>
          </cell>
          <cell r="B2340">
            <v>-1.8</v>
          </cell>
          <cell r="C2340">
            <v>0</v>
          </cell>
          <cell r="D2340">
            <v>0.55000000000000004</v>
          </cell>
          <cell r="E2340">
            <v>0</v>
          </cell>
          <cell r="F2340">
            <v>0</v>
          </cell>
          <cell r="G2340">
            <v>0</v>
          </cell>
          <cell r="H2340">
            <v>0</v>
          </cell>
          <cell r="I2340">
            <v>1.7</v>
          </cell>
          <cell r="J2340">
            <v>0</v>
          </cell>
          <cell r="K2340">
            <v>-1.3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2.8E-3</v>
          </cell>
          <cell r="S2340">
            <v>0</v>
          </cell>
          <cell r="T2340">
            <v>0</v>
          </cell>
          <cell r="U2340" t="b">
            <v>0</v>
          </cell>
        </row>
        <row r="2341">
          <cell r="A2341" t="str">
            <v>Data split-19;Reg-53</v>
          </cell>
          <cell r="B2341">
            <v>-1.8</v>
          </cell>
          <cell r="C2341">
            <v>0</v>
          </cell>
          <cell r="D2341">
            <v>0.49</v>
          </cell>
          <cell r="E2341">
            <v>0</v>
          </cell>
          <cell r="F2341">
            <v>0</v>
          </cell>
          <cell r="G2341">
            <v>0</v>
          </cell>
          <cell r="H2341">
            <v>0</v>
          </cell>
          <cell r="I2341">
            <v>0.81</v>
          </cell>
          <cell r="J2341">
            <v>0</v>
          </cell>
          <cell r="K2341">
            <v>0</v>
          </cell>
          <cell r="L2341">
            <v>3.8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1.2999999999999999E-3</v>
          </cell>
          <cell r="R2341">
            <v>0</v>
          </cell>
          <cell r="S2341">
            <v>0</v>
          </cell>
          <cell r="T2341">
            <v>0</v>
          </cell>
          <cell r="U2341" t="b">
            <v>0</v>
          </cell>
        </row>
        <row r="2342">
          <cell r="A2342" t="str">
            <v>Data split-19;Reg-54</v>
          </cell>
          <cell r="B2342">
            <v>-0.94</v>
          </cell>
          <cell r="C2342">
            <v>0</v>
          </cell>
          <cell r="D2342">
            <v>0.41</v>
          </cell>
          <cell r="E2342">
            <v>0</v>
          </cell>
          <cell r="F2342">
            <v>0</v>
          </cell>
          <cell r="G2342">
            <v>0</v>
          </cell>
          <cell r="H2342">
            <v>0</v>
          </cell>
          <cell r="I2342">
            <v>0.6</v>
          </cell>
          <cell r="J2342">
            <v>0</v>
          </cell>
          <cell r="K2342">
            <v>0</v>
          </cell>
          <cell r="L2342">
            <v>4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2.2000000000000001E-3</v>
          </cell>
          <cell r="S2342">
            <v>0</v>
          </cell>
          <cell r="T2342">
            <v>0</v>
          </cell>
          <cell r="U2342" t="b">
            <v>0</v>
          </cell>
        </row>
        <row r="2343">
          <cell r="A2343" t="str">
            <v>Data split-19;Reg-55</v>
          </cell>
          <cell r="B2343">
            <v>-10.5</v>
          </cell>
          <cell r="C2343">
            <v>0</v>
          </cell>
          <cell r="D2343">
            <v>0.35</v>
          </cell>
          <cell r="E2343">
            <v>0</v>
          </cell>
          <cell r="F2343">
            <v>0</v>
          </cell>
          <cell r="G2343">
            <v>0</v>
          </cell>
          <cell r="H2343">
            <v>0</v>
          </cell>
          <cell r="I2343">
            <v>0</v>
          </cell>
          <cell r="J2343">
            <v>29.9</v>
          </cell>
          <cell r="K2343">
            <v>-0.84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8.3000000000000001E-3</v>
          </cell>
          <cell r="R2343">
            <v>0</v>
          </cell>
          <cell r="S2343">
            <v>0</v>
          </cell>
          <cell r="T2343">
            <v>0</v>
          </cell>
          <cell r="U2343" t="b">
            <v>0</v>
          </cell>
        </row>
        <row r="2344">
          <cell r="A2344" t="str">
            <v>Data split-19;Reg-56</v>
          </cell>
          <cell r="B2344">
            <v>-9.8000000000000007</v>
          </cell>
          <cell r="C2344">
            <v>0</v>
          </cell>
          <cell r="D2344">
            <v>0.28999999999999998</v>
          </cell>
          <cell r="E2344">
            <v>0</v>
          </cell>
          <cell r="F2344">
            <v>0</v>
          </cell>
          <cell r="G2344">
            <v>0</v>
          </cell>
          <cell r="H2344">
            <v>0</v>
          </cell>
          <cell r="I2344">
            <v>0</v>
          </cell>
          <cell r="J2344">
            <v>29.1</v>
          </cell>
          <cell r="K2344">
            <v>-1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3.7000000000000002E-3</v>
          </cell>
          <cell r="S2344">
            <v>0</v>
          </cell>
          <cell r="T2344">
            <v>0</v>
          </cell>
          <cell r="U2344" t="b">
            <v>0</v>
          </cell>
        </row>
        <row r="2345">
          <cell r="A2345" t="str">
            <v>Data split-19;Reg-57</v>
          </cell>
          <cell r="B2345">
            <v>-8.3000000000000007</v>
          </cell>
          <cell r="C2345">
            <v>0</v>
          </cell>
          <cell r="D2345">
            <v>0.43</v>
          </cell>
          <cell r="E2345">
            <v>0</v>
          </cell>
          <cell r="F2345">
            <v>0</v>
          </cell>
          <cell r="G2345">
            <v>0</v>
          </cell>
          <cell r="H2345">
            <v>0</v>
          </cell>
          <cell r="I2345">
            <v>0</v>
          </cell>
          <cell r="J2345">
            <v>25.7</v>
          </cell>
          <cell r="K2345">
            <v>0</v>
          </cell>
          <cell r="L2345">
            <v>-6.5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2.0999999999999999E-3</v>
          </cell>
          <cell r="R2345">
            <v>0</v>
          </cell>
          <cell r="S2345">
            <v>0</v>
          </cell>
          <cell r="T2345">
            <v>0</v>
          </cell>
          <cell r="U2345" t="b">
            <v>0</v>
          </cell>
        </row>
        <row r="2346">
          <cell r="A2346" t="str">
            <v>Data split-19;Reg-58</v>
          </cell>
          <cell r="B2346">
            <v>-7.2</v>
          </cell>
          <cell r="C2346">
            <v>0</v>
          </cell>
          <cell r="D2346">
            <v>0.38</v>
          </cell>
          <cell r="E2346">
            <v>0</v>
          </cell>
          <cell r="F2346">
            <v>0</v>
          </cell>
          <cell r="G2346">
            <v>0</v>
          </cell>
          <cell r="H2346">
            <v>0</v>
          </cell>
          <cell r="I2346">
            <v>0</v>
          </cell>
          <cell r="J2346">
            <v>23.8</v>
          </cell>
          <cell r="K2346">
            <v>0</v>
          </cell>
          <cell r="L2346">
            <v>-6.9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1.9E-3</v>
          </cell>
          <cell r="S2346">
            <v>0</v>
          </cell>
          <cell r="T2346">
            <v>0</v>
          </cell>
          <cell r="U2346" t="b">
            <v>0</v>
          </cell>
        </row>
        <row r="2347">
          <cell r="A2347" t="str">
            <v>Data split-19;Reg-59</v>
          </cell>
          <cell r="B2347">
            <v>-2.8</v>
          </cell>
          <cell r="C2347">
            <v>0</v>
          </cell>
          <cell r="D2347">
            <v>0.65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1.9</v>
          </cell>
          <cell r="J2347">
            <v>0</v>
          </cell>
          <cell r="K2347">
            <v>-1.2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1.1999999999999999E-3</v>
          </cell>
          <cell r="T2347">
            <v>0</v>
          </cell>
          <cell r="U2347" t="b">
            <v>0</v>
          </cell>
        </row>
        <row r="2348">
          <cell r="A2348" t="str">
            <v>Data split-19;Reg-60</v>
          </cell>
          <cell r="B2348">
            <v>-1.8</v>
          </cell>
          <cell r="C2348">
            <v>0</v>
          </cell>
          <cell r="D2348">
            <v>0.55000000000000004</v>
          </cell>
          <cell r="E2348">
            <v>0</v>
          </cell>
          <cell r="F2348">
            <v>0</v>
          </cell>
          <cell r="G2348">
            <v>0</v>
          </cell>
          <cell r="H2348">
            <v>0</v>
          </cell>
          <cell r="I2348">
            <v>1.8</v>
          </cell>
          <cell r="J2348">
            <v>0</v>
          </cell>
          <cell r="K2348">
            <v>-1.4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2.8999999999999998E-3</v>
          </cell>
          <cell r="U2348" t="b">
            <v>0</v>
          </cell>
        </row>
        <row r="2349">
          <cell r="A2349" t="str">
            <v>Data split-19;Reg-61</v>
          </cell>
          <cell r="B2349">
            <v>-2.2000000000000002</v>
          </cell>
          <cell r="C2349">
            <v>0</v>
          </cell>
          <cell r="D2349">
            <v>0.53</v>
          </cell>
          <cell r="E2349">
            <v>0</v>
          </cell>
          <cell r="F2349">
            <v>0</v>
          </cell>
          <cell r="G2349">
            <v>0</v>
          </cell>
          <cell r="H2349">
            <v>0</v>
          </cell>
          <cell r="I2349">
            <v>0.91</v>
          </cell>
          <cell r="J2349">
            <v>0</v>
          </cell>
          <cell r="K2349">
            <v>0</v>
          </cell>
          <cell r="L2349">
            <v>3.5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-2.0999999999999999E-3</v>
          </cell>
          <cell r="T2349">
            <v>0</v>
          </cell>
          <cell r="U2349" t="b">
            <v>0</v>
          </cell>
        </row>
        <row r="2350">
          <cell r="A2350" t="str">
            <v>Data split-19;Reg-62</v>
          </cell>
          <cell r="B2350">
            <v>-1.2</v>
          </cell>
          <cell r="C2350">
            <v>0</v>
          </cell>
          <cell r="D2350">
            <v>0.45</v>
          </cell>
          <cell r="E2350">
            <v>0</v>
          </cell>
          <cell r="F2350">
            <v>0</v>
          </cell>
          <cell r="G2350">
            <v>0</v>
          </cell>
          <cell r="H2350">
            <v>0</v>
          </cell>
          <cell r="I2350">
            <v>0.7</v>
          </cell>
          <cell r="J2350">
            <v>0</v>
          </cell>
          <cell r="K2350">
            <v>0</v>
          </cell>
          <cell r="L2350">
            <v>3.4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1.5E-3</v>
          </cell>
          <cell r="U2350" t="b">
            <v>0</v>
          </cell>
        </row>
        <row r="2351">
          <cell r="A2351" t="str">
            <v>Data split-19;Reg-63</v>
          </cell>
          <cell r="B2351">
            <v>-10.6</v>
          </cell>
          <cell r="C2351">
            <v>0</v>
          </cell>
          <cell r="D2351">
            <v>0.35</v>
          </cell>
          <cell r="E2351">
            <v>0</v>
          </cell>
          <cell r="F2351">
            <v>0</v>
          </cell>
          <cell r="G2351">
            <v>0</v>
          </cell>
          <cell r="H2351">
            <v>0</v>
          </cell>
          <cell r="I2351">
            <v>0</v>
          </cell>
          <cell r="J2351">
            <v>30.3</v>
          </cell>
          <cell r="K2351">
            <v>-0.88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8.3000000000000001E-3</v>
          </cell>
          <cell r="T2351">
            <v>0</v>
          </cell>
          <cell r="U2351" t="b">
            <v>0</v>
          </cell>
        </row>
        <row r="2352">
          <cell r="A2352" t="str">
            <v>Data split-19;Reg-64</v>
          </cell>
          <cell r="B2352">
            <v>-9.9</v>
          </cell>
          <cell r="C2352">
            <v>0</v>
          </cell>
          <cell r="D2352">
            <v>0.27</v>
          </cell>
          <cell r="E2352">
            <v>0</v>
          </cell>
          <cell r="F2352">
            <v>0</v>
          </cell>
          <cell r="G2352">
            <v>0</v>
          </cell>
          <cell r="H2352">
            <v>0</v>
          </cell>
          <cell r="I2352">
            <v>0</v>
          </cell>
          <cell r="J2352">
            <v>30.1</v>
          </cell>
          <cell r="K2352">
            <v>-1.1000000000000001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4.1999999999999997E-3</v>
          </cell>
          <cell r="U2352" t="b">
            <v>0</v>
          </cell>
        </row>
        <row r="2353">
          <cell r="A2353" t="str">
            <v>Data split-19;Reg-65</v>
          </cell>
          <cell r="B2353">
            <v>-8.6</v>
          </cell>
          <cell r="C2353">
            <v>0</v>
          </cell>
          <cell r="D2353">
            <v>0.45</v>
          </cell>
          <cell r="E2353">
            <v>0</v>
          </cell>
          <cell r="F2353">
            <v>0</v>
          </cell>
          <cell r="G2353">
            <v>0</v>
          </cell>
          <cell r="H2353">
            <v>0</v>
          </cell>
          <cell r="I2353">
            <v>0</v>
          </cell>
          <cell r="J2353">
            <v>26.2</v>
          </cell>
          <cell r="K2353">
            <v>0</v>
          </cell>
          <cell r="L2353">
            <v>-6.5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7.3999999999999999E-4</v>
          </cell>
          <cell r="T2353">
            <v>0</v>
          </cell>
          <cell r="U2353" t="b">
            <v>0</v>
          </cell>
        </row>
        <row r="2354">
          <cell r="A2354" t="str">
            <v>Data split-19;Reg-66</v>
          </cell>
          <cell r="B2354">
            <v>-7.4</v>
          </cell>
          <cell r="C2354">
            <v>0</v>
          </cell>
          <cell r="D2354">
            <v>0.4</v>
          </cell>
          <cell r="E2354">
            <v>0</v>
          </cell>
          <cell r="F2354">
            <v>0</v>
          </cell>
          <cell r="G2354">
            <v>0</v>
          </cell>
          <cell r="H2354">
            <v>0</v>
          </cell>
          <cell r="I2354">
            <v>0</v>
          </cell>
          <cell r="J2354">
            <v>24.6</v>
          </cell>
          <cell r="K2354">
            <v>0</v>
          </cell>
          <cell r="L2354">
            <v>-7.6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1.6000000000000001E-3</v>
          </cell>
          <cell r="U2354" t="b">
            <v>0</v>
          </cell>
        </row>
        <row r="2355">
          <cell r="A2355" t="str">
            <v>Data split-19;Reg-67</v>
          </cell>
          <cell r="B2355">
            <v>0.13</v>
          </cell>
          <cell r="C2355">
            <v>0.32</v>
          </cell>
          <cell r="D2355">
            <v>0</v>
          </cell>
          <cell r="E2355">
            <v>0</v>
          </cell>
          <cell r="F2355">
            <v>0</v>
          </cell>
          <cell r="G2355">
            <v>0.64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 t="b">
            <v>0</v>
          </cell>
        </row>
        <row r="2356">
          <cell r="A2356" t="str">
            <v>Data split-19;Reg-68</v>
          </cell>
          <cell r="B2356">
            <v>-1.3</v>
          </cell>
          <cell r="C2356">
            <v>0.27</v>
          </cell>
          <cell r="D2356">
            <v>0</v>
          </cell>
          <cell r="E2356">
            <v>0</v>
          </cell>
          <cell r="F2356">
            <v>-6.2E-2</v>
          </cell>
          <cell r="G2356">
            <v>0.96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 t="b">
            <v>0</v>
          </cell>
        </row>
        <row r="2357">
          <cell r="A2357" t="str">
            <v>Data split-19;Reg-69</v>
          </cell>
          <cell r="B2357">
            <v>-6.9</v>
          </cell>
          <cell r="C2357">
            <v>6.5000000000000002E-2</v>
          </cell>
          <cell r="D2357">
            <v>0</v>
          </cell>
          <cell r="E2357">
            <v>0</v>
          </cell>
          <cell r="F2357">
            <v>0</v>
          </cell>
          <cell r="G2357">
            <v>0.36</v>
          </cell>
          <cell r="H2357">
            <v>0</v>
          </cell>
          <cell r="I2357">
            <v>0</v>
          </cell>
          <cell r="J2357">
            <v>20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 t="b">
            <v>0</v>
          </cell>
        </row>
        <row r="2358">
          <cell r="A2358" t="str">
            <v>Data split-19;Reg-70</v>
          </cell>
          <cell r="B2358">
            <v>-7.1</v>
          </cell>
          <cell r="C2358">
            <v>4.9000000000000002E-2</v>
          </cell>
          <cell r="D2358">
            <v>0</v>
          </cell>
          <cell r="E2358">
            <v>0</v>
          </cell>
          <cell r="F2358">
            <v>0</v>
          </cell>
          <cell r="G2358">
            <v>0.73</v>
          </cell>
          <cell r="H2358">
            <v>0</v>
          </cell>
          <cell r="I2358">
            <v>0</v>
          </cell>
          <cell r="J2358">
            <v>16.899999999999999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-1.4999999999999999E-2</v>
          </cell>
          <cell r="T2358">
            <v>0</v>
          </cell>
          <cell r="U2358" t="b">
            <v>0</v>
          </cell>
        </row>
        <row r="2359">
          <cell r="A2359" t="str">
            <v>Data split-19;Reg-71</v>
          </cell>
          <cell r="B2359">
            <v>-1.5</v>
          </cell>
          <cell r="C2359">
            <v>0.32</v>
          </cell>
          <cell r="D2359">
            <v>0</v>
          </cell>
          <cell r="E2359">
            <v>0</v>
          </cell>
          <cell r="F2359">
            <v>-2.5000000000000001E-2</v>
          </cell>
          <cell r="G2359">
            <v>0</v>
          </cell>
          <cell r="H2359">
            <v>1.4</v>
          </cell>
          <cell r="I2359">
            <v>0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-3.4000000000000002E-2</v>
          </cell>
          <cell r="T2359">
            <v>0</v>
          </cell>
          <cell r="U2359" t="b">
            <v>0</v>
          </cell>
        </row>
        <row r="2360">
          <cell r="A2360" t="str">
            <v>Data split-19;Reg-72</v>
          </cell>
          <cell r="B2360">
            <v>0.11</v>
          </cell>
          <cell r="C2360">
            <v>0.1</v>
          </cell>
          <cell r="D2360">
            <v>0</v>
          </cell>
          <cell r="E2360">
            <v>0.56999999999999995</v>
          </cell>
          <cell r="F2360">
            <v>0</v>
          </cell>
          <cell r="G2360">
            <v>0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 t="b">
            <v>0</v>
          </cell>
        </row>
        <row r="2361">
          <cell r="A2361" t="str">
            <v>Data split-19;Reg-73</v>
          </cell>
          <cell r="B2361">
            <v>5.1999999999999998E-2</v>
          </cell>
          <cell r="C2361">
            <v>1.1000000000000001</v>
          </cell>
          <cell r="D2361">
            <v>0</v>
          </cell>
          <cell r="E2361">
            <v>0</v>
          </cell>
          <cell r="F2361">
            <v>7.1000000000000004E-3</v>
          </cell>
          <cell r="G2361">
            <v>0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 t="b">
            <v>0</v>
          </cell>
        </row>
        <row r="2362">
          <cell r="A2362" t="str">
            <v>Data split-19;Reg-74</v>
          </cell>
          <cell r="B2362">
            <v>1.2E-2</v>
          </cell>
          <cell r="C2362">
            <v>0</v>
          </cell>
          <cell r="D2362">
            <v>0.24</v>
          </cell>
          <cell r="E2362">
            <v>0.46</v>
          </cell>
          <cell r="F2362">
            <v>0</v>
          </cell>
          <cell r="G2362">
            <v>0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 t="b">
            <v>0</v>
          </cell>
        </row>
        <row r="2363">
          <cell r="A2363" t="str">
            <v>Data split-19;Reg-75</v>
          </cell>
          <cell r="B2363">
            <v>0.48</v>
          </cell>
          <cell r="C2363">
            <v>0</v>
          </cell>
          <cell r="D2363">
            <v>0.74</v>
          </cell>
          <cell r="E2363">
            <v>0</v>
          </cell>
          <cell r="F2363">
            <v>2.8000000000000001E-2</v>
          </cell>
          <cell r="G2363">
            <v>0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 t="b">
            <v>0</v>
          </cell>
        </row>
        <row r="2364">
          <cell r="A2364" t="str">
            <v>Data split-19;Reg-76</v>
          </cell>
          <cell r="B2364">
            <v>0.13</v>
          </cell>
          <cell r="C2364">
            <v>0.32</v>
          </cell>
          <cell r="D2364">
            <v>0</v>
          </cell>
          <cell r="E2364">
            <v>0</v>
          </cell>
          <cell r="F2364">
            <v>0</v>
          </cell>
          <cell r="G2364">
            <v>0.64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 t="b">
            <v>0</v>
          </cell>
        </row>
        <row r="2365">
          <cell r="A2365" t="str">
            <v>Data split-19;Reg-77</v>
          </cell>
          <cell r="B2365">
            <v>0.94</v>
          </cell>
          <cell r="C2365">
            <v>0.39</v>
          </cell>
          <cell r="D2365">
            <v>0</v>
          </cell>
          <cell r="E2365">
            <v>0</v>
          </cell>
          <cell r="F2365">
            <v>0</v>
          </cell>
          <cell r="G2365">
            <v>0</v>
          </cell>
          <cell r="H2365">
            <v>0.61</v>
          </cell>
          <cell r="I2365">
            <v>0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 t="b">
            <v>0</v>
          </cell>
        </row>
        <row r="2366">
          <cell r="A2366" t="str">
            <v>Data split-19;Reg-78</v>
          </cell>
          <cell r="B2366">
            <v>-4.7E-2</v>
          </cell>
          <cell r="C2366">
            <v>0</v>
          </cell>
          <cell r="D2366">
            <v>0.38</v>
          </cell>
          <cell r="E2366">
            <v>0</v>
          </cell>
          <cell r="F2366">
            <v>0</v>
          </cell>
          <cell r="G2366">
            <v>0.51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 t="b">
            <v>1</v>
          </cell>
        </row>
        <row r="2367">
          <cell r="A2367" t="str">
            <v>Data split-19;Reg-79</v>
          </cell>
          <cell r="B2367">
            <v>0.7</v>
          </cell>
          <cell r="C2367">
            <v>0</v>
          </cell>
          <cell r="D2367">
            <v>0.4</v>
          </cell>
          <cell r="E2367">
            <v>0</v>
          </cell>
          <cell r="F2367">
            <v>0</v>
          </cell>
          <cell r="G2367">
            <v>0</v>
          </cell>
          <cell r="H2367">
            <v>0.5</v>
          </cell>
          <cell r="I2367">
            <v>0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 t="b">
            <v>0</v>
          </cell>
        </row>
        <row r="2368">
          <cell r="A2368" t="str">
            <v>Data split-19;Reg-80</v>
          </cell>
          <cell r="B2368">
            <v>-1.1000000000000001</v>
          </cell>
          <cell r="C2368">
            <v>0.68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0.98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 t="b">
            <v>0</v>
          </cell>
        </row>
        <row r="2369">
          <cell r="A2369" t="str">
            <v>Data split-19;Reg-81</v>
          </cell>
          <cell r="B2369">
            <v>-10.3</v>
          </cell>
          <cell r="C2369">
            <v>0.21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29.5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 t="b">
            <v>0</v>
          </cell>
        </row>
        <row r="2370">
          <cell r="A2370" t="str">
            <v>Data split-19;Reg-82</v>
          </cell>
          <cell r="B2370">
            <v>-1.5</v>
          </cell>
          <cell r="C2370">
            <v>0</v>
          </cell>
          <cell r="D2370">
            <v>0.56000000000000005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0.97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 t="b">
            <v>0</v>
          </cell>
        </row>
        <row r="2371">
          <cell r="A2371" t="str">
            <v>Data split-19;Reg-83</v>
          </cell>
          <cell r="B2371">
            <v>-8.1999999999999993</v>
          </cell>
          <cell r="C2371">
            <v>0</v>
          </cell>
          <cell r="D2371">
            <v>0.38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22.1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 t="b">
            <v>0</v>
          </cell>
        </row>
        <row r="2372">
          <cell r="A2372" t="str">
            <v>Data split-19;Reg-84</v>
          </cell>
          <cell r="B2372">
            <v>0.25</v>
          </cell>
          <cell r="C2372">
            <v>0.75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0.73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 t="b">
            <v>0</v>
          </cell>
        </row>
        <row r="2373">
          <cell r="A2373" t="str">
            <v>Data split-19;Reg-85</v>
          </cell>
          <cell r="B2373">
            <v>-3.7</v>
          </cell>
          <cell r="C2373">
            <v>0.21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25.3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 t="b">
            <v>0</v>
          </cell>
        </row>
        <row r="2374">
          <cell r="A2374" t="str">
            <v>Data split-19;Reg-86</v>
          </cell>
          <cell r="B2374">
            <v>-5.5999999999999999E-3</v>
          </cell>
          <cell r="C2374">
            <v>0</v>
          </cell>
          <cell r="D2374">
            <v>0.59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0.78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 t="b">
            <v>0</v>
          </cell>
        </row>
        <row r="2375">
          <cell r="A2375" t="str">
            <v>Data split-19;Reg-87</v>
          </cell>
          <cell r="B2375">
            <v>-2.6</v>
          </cell>
          <cell r="C2375">
            <v>0</v>
          </cell>
          <cell r="D2375">
            <v>0.47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15.3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 t="b">
            <v>0</v>
          </cell>
        </row>
        <row r="2376">
          <cell r="A2376" t="str">
            <v>Data split-19;Reg-88</v>
          </cell>
          <cell r="B2376">
            <v>1.4</v>
          </cell>
          <cell r="C2376">
            <v>0.69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1.7000000000000001E-2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 t="b">
            <v>0</v>
          </cell>
        </row>
        <row r="2377">
          <cell r="A2377" t="str">
            <v>Data split-19;Reg-89</v>
          </cell>
          <cell r="B2377">
            <v>1.7</v>
          </cell>
          <cell r="C2377">
            <v>0.53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5.5999999999999999E-3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 t="b">
            <v>0</v>
          </cell>
        </row>
        <row r="2378">
          <cell r="A2378" t="str">
            <v>Data split-19;Reg-90</v>
          </cell>
          <cell r="B2378">
            <v>1.1000000000000001</v>
          </cell>
          <cell r="C2378">
            <v>0</v>
          </cell>
          <cell r="D2378">
            <v>0.61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1.2999999999999999E-2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 t="b">
            <v>0</v>
          </cell>
        </row>
        <row r="2379">
          <cell r="A2379" t="str">
            <v>Data split-19;Reg-91</v>
          </cell>
          <cell r="B2379">
            <v>1.3</v>
          </cell>
          <cell r="C2379">
            <v>0</v>
          </cell>
          <cell r="D2379">
            <v>0.5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4.4000000000000003E-3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 t="b">
            <v>0</v>
          </cell>
        </row>
        <row r="2380">
          <cell r="A2380" t="str">
            <v>Data split-19;Reg-92</v>
          </cell>
          <cell r="B2380">
            <v>-0.25</v>
          </cell>
          <cell r="C2380">
            <v>1.1000000000000001</v>
          </cell>
          <cell r="D2380">
            <v>0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-2.0999999999999999E-3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 t="b">
            <v>1</v>
          </cell>
        </row>
        <row r="2381">
          <cell r="A2381" t="str">
            <v>Data split-19;Reg-93</v>
          </cell>
          <cell r="B2381">
            <v>-0.19</v>
          </cell>
          <cell r="C2381">
            <v>1.1000000000000001</v>
          </cell>
          <cell r="D2381">
            <v>0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-3.1E-4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 t="b">
            <v>1</v>
          </cell>
        </row>
        <row r="2382">
          <cell r="A2382" t="str">
            <v>Data split-19;Reg-94</v>
          </cell>
          <cell r="B2382">
            <v>0.22</v>
          </cell>
          <cell r="C2382">
            <v>0</v>
          </cell>
          <cell r="D2382">
            <v>0.77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8.8999999999999999E-3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 t="b">
            <v>0</v>
          </cell>
        </row>
        <row r="2383">
          <cell r="A2383" t="str">
            <v>Data split-19;Reg-95</v>
          </cell>
          <cell r="B2383">
            <v>0.17</v>
          </cell>
          <cell r="C2383">
            <v>0</v>
          </cell>
          <cell r="D2383">
            <v>0.75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2.5000000000000001E-3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 t="b">
            <v>0</v>
          </cell>
        </row>
        <row r="2384">
          <cell r="A2384" t="str">
            <v>Data split-19;Reg-96</v>
          </cell>
          <cell r="B2384">
            <v>-0.34</v>
          </cell>
          <cell r="C2384">
            <v>3.4000000000000002E-2</v>
          </cell>
          <cell r="D2384">
            <v>0</v>
          </cell>
          <cell r="E2384">
            <v>0.5</v>
          </cell>
          <cell r="F2384">
            <v>0</v>
          </cell>
          <cell r="G2384">
            <v>0</v>
          </cell>
          <cell r="H2384">
            <v>0</v>
          </cell>
          <cell r="I2384">
            <v>0.43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 t="b">
            <v>0</v>
          </cell>
        </row>
        <row r="2385">
          <cell r="A2385" t="str">
            <v>Data split-19;Reg-97</v>
          </cell>
          <cell r="B2385">
            <v>-7.5</v>
          </cell>
          <cell r="C2385">
            <v>-0.21</v>
          </cell>
          <cell r="D2385">
            <v>0</v>
          </cell>
          <cell r="E2385">
            <v>0.38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21.6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 t="b">
            <v>0</v>
          </cell>
        </row>
        <row r="2386">
          <cell r="A2386" t="str">
            <v>Data split-19;Reg-98</v>
          </cell>
          <cell r="B2386">
            <v>-6.9</v>
          </cell>
          <cell r="C2386">
            <v>0.39</v>
          </cell>
          <cell r="D2386">
            <v>0</v>
          </cell>
          <cell r="E2386">
            <v>0</v>
          </cell>
          <cell r="F2386">
            <v>-0.14000000000000001</v>
          </cell>
          <cell r="G2386">
            <v>0</v>
          </cell>
          <cell r="H2386">
            <v>0</v>
          </cell>
          <cell r="I2386">
            <v>3.3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 t="b">
            <v>0</v>
          </cell>
        </row>
        <row r="2387">
          <cell r="A2387" t="str">
            <v>Data split-19;Reg-99</v>
          </cell>
          <cell r="B2387">
            <v>-14.7</v>
          </cell>
          <cell r="C2387">
            <v>0.2</v>
          </cell>
          <cell r="D2387">
            <v>0</v>
          </cell>
          <cell r="E2387">
            <v>0</v>
          </cell>
          <cell r="F2387">
            <v>-4.8000000000000001E-2</v>
          </cell>
          <cell r="G2387">
            <v>0</v>
          </cell>
          <cell r="H2387">
            <v>0</v>
          </cell>
          <cell r="I2387">
            <v>0</v>
          </cell>
          <cell r="J2387">
            <v>38.5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 t="b">
            <v>0</v>
          </cell>
        </row>
        <row r="2388">
          <cell r="A2388" t="str">
            <v>Data split-19;Reg-100</v>
          </cell>
          <cell r="B2388">
            <v>-1.3</v>
          </cell>
          <cell r="C2388">
            <v>0</v>
          </cell>
          <cell r="D2388">
            <v>0.46</v>
          </cell>
          <cell r="E2388">
            <v>0.11</v>
          </cell>
          <cell r="F2388">
            <v>0</v>
          </cell>
          <cell r="G2388">
            <v>0</v>
          </cell>
          <cell r="H2388">
            <v>0</v>
          </cell>
          <cell r="I2388">
            <v>0.83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 t="b">
            <v>0</v>
          </cell>
        </row>
        <row r="2389">
          <cell r="A2389" t="str">
            <v>Data split-19;Reg-101</v>
          </cell>
          <cell r="B2389">
            <v>-8</v>
          </cell>
          <cell r="C2389">
            <v>0</v>
          </cell>
          <cell r="D2389">
            <v>0.36</v>
          </cell>
          <cell r="E2389">
            <v>2.8000000000000001E-2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21.5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 t="b">
            <v>0</v>
          </cell>
        </row>
        <row r="2390">
          <cell r="A2390" t="str">
            <v>Data split-19;Reg-102</v>
          </cell>
          <cell r="B2390">
            <v>-6</v>
          </cell>
          <cell r="C2390">
            <v>0</v>
          </cell>
          <cell r="D2390">
            <v>0.42</v>
          </cell>
          <cell r="E2390">
            <v>0</v>
          </cell>
          <cell r="F2390">
            <v>-0.11</v>
          </cell>
          <cell r="G2390">
            <v>0</v>
          </cell>
          <cell r="H2390">
            <v>0</v>
          </cell>
          <cell r="I2390">
            <v>2.7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 t="b">
            <v>0</v>
          </cell>
        </row>
        <row r="2391">
          <cell r="A2391" t="str">
            <v>Data split-19;Reg-103</v>
          </cell>
          <cell r="B2391">
            <v>-11.8</v>
          </cell>
          <cell r="C2391">
            <v>0</v>
          </cell>
          <cell r="D2391">
            <v>0.33</v>
          </cell>
          <cell r="E2391">
            <v>0</v>
          </cell>
          <cell r="F2391">
            <v>-3.5000000000000003E-2</v>
          </cell>
          <cell r="G2391">
            <v>0</v>
          </cell>
          <cell r="H2391">
            <v>0</v>
          </cell>
          <cell r="I2391">
            <v>0</v>
          </cell>
          <cell r="J2391">
            <v>30.1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 t="b">
            <v>0</v>
          </cell>
        </row>
        <row r="2392">
          <cell r="A2392" t="str">
            <v>Data split-19;Reg-104</v>
          </cell>
          <cell r="B2392">
            <v>3.7999999999999999E-2</v>
          </cell>
          <cell r="C2392">
            <v>0.14000000000000001</v>
          </cell>
          <cell r="D2392">
            <v>0</v>
          </cell>
          <cell r="E2392">
            <v>0.59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0</v>
          </cell>
          <cell r="K2392">
            <v>-0.17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 t="b">
            <v>0</v>
          </cell>
        </row>
        <row r="2393">
          <cell r="A2393" t="str">
            <v>Data split-19;Reg-105</v>
          </cell>
          <cell r="B2393">
            <v>-1.7</v>
          </cell>
          <cell r="C2393">
            <v>-0.18</v>
          </cell>
          <cell r="D2393">
            <v>0</v>
          </cell>
          <cell r="E2393">
            <v>0.49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12.3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 t="b">
            <v>0</v>
          </cell>
        </row>
        <row r="2394">
          <cell r="A2394" t="str">
            <v>Data split-19;Reg-106</v>
          </cell>
          <cell r="B2394">
            <v>-0.94</v>
          </cell>
          <cell r="C2394">
            <v>0.35</v>
          </cell>
          <cell r="D2394">
            <v>0</v>
          </cell>
          <cell r="E2394">
            <v>0</v>
          </cell>
          <cell r="F2394">
            <v>-8.3000000000000004E-2</v>
          </cell>
          <cell r="G2394">
            <v>0</v>
          </cell>
          <cell r="H2394">
            <v>0</v>
          </cell>
          <cell r="I2394">
            <v>0</v>
          </cell>
          <cell r="J2394">
            <v>0</v>
          </cell>
          <cell r="K2394">
            <v>2.5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 t="b">
            <v>0</v>
          </cell>
        </row>
        <row r="2395">
          <cell r="A2395" t="str">
            <v>Data split-19;Reg-107</v>
          </cell>
          <cell r="B2395">
            <v>-4.2</v>
          </cell>
          <cell r="C2395">
            <v>0.21</v>
          </cell>
          <cell r="D2395">
            <v>0</v>
          </cell>
          <cell r="E2395">
            <v>0</v>
          </cell>
          <cell r="F2395">
            <v>-0.01</v>
          </cell>
          <cell r="G2395">
            <v>0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26.8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 t="b">
            <v>0</v>
          </cell>
        </row>
        <row r="2396">
          <cell r="A2396" t="str">
            <v>Data split-19;Reg-108</v>
          </cell>
          <cell r="B2396">
            <v>9.4000000000000004E-3</v>
          </cell>
          <cell r="C2396">
            <v>0</v>
          </cell>
          <cell r="D2396">
            <v>0.27</v>
          </cell>
          <cell r="E2396">
            <v>0.38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0</v>
          </cell>
          <cell r="K2396">
            <v>0.18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 t="b">
            <v>0</v>
          </cell>
        </row>
        <row r="2397">
          <cell r="A2397" t="str">
            <v>Data split-19;Reg-109</v>
          </cell>
          <cell r="B2397">
            <v>-1.4</v>
          </cell>
          <cell r="C2397">
            <v>0</v>
          </cell>
          <cell r="D2397">
            <v>0.21</v>
          </cell>
          <cell r="E2397">
            <v>0.32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8.4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 t="b">
            <v>0</v>
          </cell>
        </row>
        <row r="2398">
          <cell r="A2398" t="str">
            <v>Data split-19;Reg-110</v>
          </cell>
          <cell r="B2398">
            <v>-0.66</v>
          </cell>
          <cell r="C2398">
            <v>0</v>
          </cell>
          <cell r="D2398">
            <v>0.5</v>
          </cell>
          <cell r="E2398">
            <v>0</v>
          </cell>
          <cell r="F2398">
            <v>-3.7999999999999999E-2</v>
          </cell>
          <cell r="G2398">
            <v>0</v>
          </cell>
          <cell r="H2398">
            <v>0</v>
          </cell>
          <cell r="I2398">
            <v>0</v>
          </cell>
          <cell r="J2398">
            <v>0</v>
          </cell>
          <cell r="K2398">
            <v>1.5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 t="b">
            <v>0</v>
          </cell>
        </row>
        <row r="2399">
          <cell r="A2399" t="str">
            <v>Data split-19;Reg-111</v>
          </cell>
          <cell r="B2399">
            <v>-2.2999999999999998</v>
          </cell>
          <cell r="C2399">
            <v>0</v>
          </cell>
          <cell r="D2399">
            <v>0.48</v>
          </cell>
          <cell r="E2399">
            <v>0</v>
          </cell>
          <cell r="F2399">
            <v>5.0000000000000001E-3</v>
          </cell>
          <cell r="G2399">
            <v>0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14.2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 t="b">
            <v>0</v>
          </cell>
        </row>
        <row r="2400">
          <cell r="A2400" t="str">
            <v>Data split-19;Reg-112</v>
          </cell>
          <cell r="B2400">
            <v>0.16</v>
          </cell>
          <cell r="C2400">
            <v>0.32</v>
          </cell>
          <cell r="D2400">
            <v>0</v>
          </cell>
          <cell r="E2400">
            <v>0</v>
          </cell>
          <cell r="F2400">
            <v>0</v>
          </cell>
          <cell r="G2400">
            <v>0.65</v>
          </cell>
          <cell r="H2400">
            <v>0</v>
          </cell>
          <cell r="I2400">
            <v>-0.03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 t="b">
            <v>0</v>
          </cell>
        </row>
        <row r="2401">
          <cell r="A2401" t="str">
            <v>Data split-19;Reg-113</v>
          </cell>
          <cell r="B2401">
            <v>-6.9</v>
          </cell>
          <cell r="C2401">
            <v>6.5000000000000002E-2</v>
          </cell>
          <cell r="D2401">
            <v>0</v>
          </cell>
          <cell r="E2401">
            <v>0</v>
          </cell>
          <cell r="F2401">
            <v>0</v>
          </cell>
          <cell r="G2401">
            <v>0.36</v>
          </cell>
          <cell r="H2401">
            <v>0</v>
          </cell>
          <cell r="I2401">
            <v>0</v>
          </cell>
          <cell r="J2401">
            <v>20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 t="b">
            <v>0</v>
          </cell>
        </row>
        <row r="2402">
          <cell r="A2402" t="str">
            <v>Data split-19;Reg-114</v>
          </cell>
          <cell r="B2402">
            <v>0.91</v>
          </cell>
          <cell r="C2402">
            <v>0.38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0.61</v>
          </cell>
          <cell r="I2402">
            <v>2.1000000000000001E-2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 t="b">
            <v>0</v>
          </cell>
        </row>
        <row r="2403">
          <cell r="A2403" t="str">
            <v>Data split-19;Reg-115</v>
          </cell>
          <cell r="B2403">
            <v>-6.5</v>
          </cell>
          <cell r="C2403">
            <v>7.8E-2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0.36</v>
          </cell>
          <cell r="I2403">
            <v>0</v>
          </cell>
          <cell r="J2403">
            <v>20.100000000000001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 t="b">
            <v>0</v>
          </cell>
        </row>
        <row r="2404">
          <cell r="A2404" t="str">
            <v>Data split-19;Reg-116</v>
          </cell>
          <cell r="B2404">
            <v>-0.85</v>
          </cell>
          <cell r="C2404">
            <v>0</v>
          </cell>
          <cell r="D2404">
            <v>0.44</v>
          </cell>
          <cell r="E2404">
            <v>0</v>
          </cell>
          <cell r="F2404">
            <v>0</v>
          </cell>
          <cell r="G2404">
            <v>0.28000000000000003</v>
          </cell>
          <cell r="H2404">
            <v>0</v>
          </cell>
          <cell r="I2404">
            <v>0.55000000000000004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 t="b">
            <v>0</v>
          </cell>
        </row>
        <row r="2405">
          <cell r="A2405" t="str">
            <v>Data split-19;Reg-117</v>
          </cell>
          <cell r="B2405">
            <v>-7.2</v>
          </cell>
          <cell r="C2405">
            <v>0</v>
          </cell>
          <cell r="D2405">
            <v>0.34</v>
          </cell>
          <cell r="E2405">
            <v>0</v>
          </cell>
          <cell r="F2405">
            <v>0</v>
          </cell>
          <cell r="G2405">
            <v>0.11</v>
          </cell>
          <cell r="H2405">
            <v>0</v>
          </cell>
          <cell r="I2405">
            <v>0</v>
          </cell>
          <cell r="J2405">
            <v>19.3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 t="b">
            <v>0</v>
          </cell>
        </row>
        <row r="2406">
          <cell r="A2406" t="str">
            <v>Data split-19;Reg-118</v>
          </cell>
          <cell r="B2406">
            <v>-0.53</v>
          </cell>
          <cell r="C2406">
            <v>0</v>
          </cell>
          <cell r="D2406">
            <v>0.44</v>
          </cell>
          <cell r="E2406">
            <v>0</v>
          </cell>
          <cell r="F2406">
            <v>0</v>
          </cell>
          <cell r="G2406">
            <v>0</v>
          </cell>
          <cell r="H2406">
            <v>0.26</v>
          </cell>
          <cell r="I2406">
            <v>0.59</v>
          </cell>
          <cell r="J2406">
            <v>0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 t="b">
            <v>0</v>
          </cell>
        </row>
        <row r="2407">
          <cell r="A2407" t="str">
            <v>Data split-19;Reg-119</v>
          </cell>
          <cell r="B2407">
            <v>-6.8</v>
          </cell>
          <cell r="C2407">
            <v>0</v>
          </cell>
          <cell r="D2407">
            <v>0.33</v>
          </cell>
          <cell r="E2407">
            <v>0</v>
          </cell>
          <cell r="F2407">
            <v>0</v>
          </cell>
          <cell r="G2407">
            <v>0</v>
          </cell>
          <cell r="H2407">
            <v>0.15</v>
          </cell>
          <cell r="I2407">
            <v>0</v>
          </cell>
          <cell r="J2407">
            <v>18.8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 t="b">
            <v>0</v>
          </cell>
        </row>
        <row r="2408">
          <cell r="A2408" t="str">
            <v>Data split-19;Reg-120</v>
          </cell>
          <cell r="B2408">
            <v>-0.37</v>
          </cell>
          <cell r="C2408">
            <v>0.53</v>
          </cell>
          <cell r="D2408">
            <v>0</v>
          </cell>
          <cell r="E2408">
            <v>0</v>
          </cell>
          <cell r="F2408">
            <v>0</v>
          </cell>
          <cell r="G2408">
            <v>0.94</v>
          </cell>
          <cell r="H2408">
            <v>0</v>
          </cell>
          <cell r="I2408">
            <v>0</v>
          </cell>
          <cell r="J2408">
            <v>0</v>
          </cell>
          <cell r="K2408">
            <v>-1.2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 t="b">
            <v>1</v>
          </cell>
        </row>
        <row r="2409">
          <cell r="A2409" t="str">
            <v>Data split-19;Reg-121</v>
          </cell>
          <cell r="B2409">
            <v>-0.82</v>
          </cell>
          <cell r="C2409">
            <v>0.17</v>
          </cell>
          <cell r="D2409">
            <v>0</v>
          </cell>
          <cell r="E2409">
            <v>0</v>
          </cell>
          <cell r="F2409">
            <v>0</v>
          </cell>
          <cell r="G2409">
            <v>0.57999999999999996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6.5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 t="b">
            <v>0</v>
          </cell>
        </row>
        <row r="2410">
          <cell r="A2410" t="str">
            <v>Data split-19;Reg-122</v>
          </cell>
          <cell r="B2410">
            <v>0.81</v>
          </cell>
          <cell r="C2410">
            <v>0.6</v>
          </cell>
          <cell r="D2410">
            <v>0</v>
          </cell>
          <cell r="E2410">
            <v>0</v>
          </cell>
          <cell r="F2410">
            <v>0</v>
          </cell>
          <cell r="G2410">
            <v>0</v>
          </cell>
          <cell r="H2410">
            <v>0.83</v>
          </cell>
          <cell r="I2410">
            <v>0</v>
          </cell>
          <cell r="J2410">
            <v>0</v>
          </cell>
          <cell r="K2410">
            <v>-0.99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 t="b">
            <v>0</v>
          </cell>
        </row>
        <row r="2411">
          <cell r="A2411" t="str">
            <v>Data split-19;Reg-123</v>
          </cell>
          <cell r="B2411">
            <v>-0.34</v>
          </cell>
          <cell r="C2411">
            <v>0.19</v>
          </cell>
          <cell r="D2411">
            <v>0</v>
          </cell>
          <cell r="E2411">
            <v>0</v>
          </cell>
          <cell r="F2411">
            <v>0</v>
          </cell>
          <cell r="G2411">
            <v>0</v>
          </cell>
          <cell r="H2411">
            <v>0.54</v>
          </cell>
          <cell r="I2411">
            <v>0</v>
          </cell>
          <cell r="J2411">
            <v>0</v>
          </cell>
          <cell r="K2411">
            <v>0</v>
          </cell>
          <cell r="L2411">
            <v>8.1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 t="b">
            <v>0</v>
          </cell>
        </row>
        <row r="2412">
          <cell r="A2412" t="str">
            <v>Data split-19;Reg-124</v>
          </cell>
          <cell r="B2412">
            <v>-5.7000000000000002E-2</v>
          </cell>
          <cell r="C2412">
            <v>0</v>
          </cell>
          <cell r="D2412">
            <v>0.37</v>
          </cell>
          <cell r="E2412">
            <v>0</v>
          </cell>
          <cell r="F2412">
            <v>0</v>
          </cell>
          <cell r="G2412">
            <v>0.64</v>
          </cell>
          <cell r="H2412">
            <v>0</v>
          </cell>
          <cell r="I2412">
            <v>0</v>
          </cell>
          <cell r="J2412">
            <v>0</v>
          </cell>
          <cell r="K2412">
            <v>-0.33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 t="b">
            <v>1</v>
          </cell>
        </row>
        <row r="2413">
          <cell r="A2413" t="str">
            <v>Data split-19;Reg-125</v>
          </cell>
          <cell r="B2413">
            <v>-0.76</v>
          </cell>
          <cell r="C2413">
            <v>0</v>
          </cell>
          <cell r="D2413">
            <v>0.34</v>
          </cell>
          <cell r="E2413">
            <v>0</v>
          </cell>
          <cell r="F2413">
            <v>0</v>
          </cell>
          <cell r="G2413">
            <v>0.44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4.2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 t="b">
            <v>0</v>
          </cell>
        </row>
        <row r="2414">
          <cell r="A2414" t="str">
            <v>Data split-19;Reg-126</v>
          </cell>
          <cell r="B2414">
            <v>0.75</v>
          </cell>
          <cell r="C2414">
            <v>0</v>
          </cell>
          <cell r="D2414">
            <v>0.4</v>
          </cell>
          <cell r="E2414">
            <v>0</v>
          </cell>
          <cell r="F2414">
            <v>0</v>
          </cell>
          <cell r="G2414">
            <v>0</v>
          </cell>
          <cell r="H2414">
            <v>0.54</v>
          </cell>
          <cell r="I2414">
            <v>0</v>
          </cell>
          <cell r="J2414">
            <v>0</v>
          </cell>
          <cell r="K2414">
            <v>-9.2999999999999999E-2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 t="b">
            <v>0</v>
          </cell>
        </row>
        <row r="2415">
          <cell r="A2415" t="str">
            <v>Data split-19;Reg-127</v>
          </cell>
          <cell r="B2415">
            <v>-0.48</v>
          </cell>
          <cell r="C2415">
            <v>0</v>
          </cell>
          <cell r="D2415">
            <v>0.33</v>
          </cell>
          <cell r="E2415">
            <v>0</v>
          </cell>
          <cell r="F2415">
            <v>0</v>
          </cell>
          <cell r="G2415">
            <v>0</v>
          </cell>
          <cell r="H2415">
            <v>0.41</v>
          </cell>
          <cell r="I2415">
            <v>0</v>
          </cell>
          <cell r="J2415">
            <v>0</v>
          </cell>
          <cell r="K2415">
            <v>0</v>
          </cell>
          <cell r="L2415">
            <v>6.2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 t="b">
            <v>0</v>
          </cell>
        </row>
        <row r="2416">
          <cell r="A2416" t="str">
            <v>Data split-20;Reg-1</v>
          </cell>
          <cell r="B2416">
            <v>-1.2</v>
          </cell>
          <cell r="C2416">
            <v>0.38</v>
          </cell>
          <cell r="D2416">
            <v>0</v>
          </cell>
          <cell r="E2416">
            <v>0</v>
          </cell>
          <cell r="F2416">
            <v>0</v>
          </cell>
          <cell r="G2416">
            <v>0</v>
          </cell>
          <cell r="H2416">
            <v>0.78</v>
          </cell>
          <cell r="I2416">
            <v>0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-0.01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 t="b">
            <v>1</v>
          </cell>
        </row>
        <row r="2417">
          <cell r="A2417" t="str">
            <v>Data split-20;Reg-2</v>
          </cell>
          <cell r="B2417">
            <v>-5.0999999999999996</v>
          </cell>
          <cell r="C2417">
            <v>9.5000000000000001E-2</v>
          </cell>
          <cell r="D2417">
            <v>0</v>
          </cell>
          <cell r="E2417">
            <v>0</v>
          </cell>
          <cell r="F2417">
            <v>-4.4999999999999998E-2</v>
          </cell>
          <cell r="G2417">
            <v>1.7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-8.3000000000000001E-3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 t="b">
            <v>0</v>
          </cell>
        </row>
        <row r="2418">
          <cell r="A2418" t="str">
            <v>Data split-20;Reg-3</v>
          </cell>
          <cell r="B2418">
            <v>-3.6</v>
          </cell>
          <cell r="C2418">
            <v>0.28999999999999998</v>
          </cell>
          <cell r="D2418">
            <v>0</v>
          </cell>
          <cell r="E2418">
            <v>0</v>
          </cell>
          <cell r="F2418">
            <v>-2.5999999999999999E-2</v>
          </cell>
          <cell r="G2418">
            <v>0</v>
          </cell>
          <cell r="H2418">
            <v>2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-5.8999999999999997E-2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 t="b">
            <v>0</v>
          </cell>
        </row>
        <row r="2419">
          <cell r="A2419" t="str">
            <v>Data split-20;Reg-4</v>
          </cell>
          <cell r="B2419">
            <v>-4.5999999999999996</v>
          </cell>
          <cell r="C2419">
            <v>0.42</v>
          </cell>
          <cell r="D2419">
            <v>0</v>
          </cell>
          <cell r="E2419">
            <v>0</v>
          </cell>
          <cell r="F2419">
            <v>-2.5999999999999999E-2</v>
          </cell>
          <cell r="G2419">
            <v>0</v>
          </cell>
          <cell r="H2419">
            <v>3.4</v>
          </cell>
          <cell r="I2419">
            <v>0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-0.03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 t="b">
            <v>0</v>
          </cell>
        </row>
        <row r="2420">
          <cell r="A2420" t="str">
            <v>Data split-20;Reg-5</v>
          </cell>
          <cell r="B2420">
            <v>-5</v>
          </cell>
          <cell r="C2420">
            <v>0</v>
          </cell>
          <cell r="D2420">
            <v>0.18</v>
          </cell>
          <cell r="E2420">
            <v>0</v>
          </cell>
          <cell r="F2420">
            <v>-2.9000000000000001E-2</v>
          </cell>
          <cell r="G2420">
            <v>1.7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-0.01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 t="b">
            <v>0</v>
          </cell>
        </row>
        <row r="2421">
          <cell r="A2421" t="str">
            <v>Data split-20;Reg-6</v>
          </cell>
          <cell r="B2421">
            <v>-4.4000000000000004</v>
          </cell>
          <cell r="C2421">
            <v>0</v>
          </cell>
          <cell r="D2421">
            <v>0.37</v>
          </cell>
          <cell r="E2421">
            <v>0</v>
          </cell>
          <cell r="F2421">
            <v>4.4999999999999997E-3</v>
          </cell>
          <cell r="G2421">
            <v>0</v>
          </cell>
          <cell r="H2421">
            <v>3.6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-3.5000000000000003E-2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 t="b">
            <v>1</v>
          </cell>
        </row>
        <row r="2422">
          <cell r="A2422" t="str">
            <v>Data split-20;Reg-7</v>
          </cell>
          <cell r="B2422">
            <v>-1.4</v>
          </cell>
          <cell r="C2422">
            <v>0.27</v>
          </cell>
          <cell r="D2422">
            <v>0</v>
          </cell>
          <cell r="E2422">
            <v>0</v>
          </cell>
          <cell r="F2422">
            <v>0</v>
          </cell>
          <cell r="G2422">
            <v>0</v>
          </cell>
          <cell r="H2422">
            <v>0.62</v>
          </cell>
          <cell r="I2422">
            <v>0.98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-1.9E-2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 t="b">
            <v>0</v>
          </cell>
        </row>
        <row r="2423">
          <cell r="A2423" t="str">
            <v>Data split-20;Reg-8</v>
          </cell>
          <cell r="B2423">
            <v>-1.2</v>
          </cell>
          <cell r="C2423">
            <v>0.34</v>
          </cell>
          <cell r="D2423">
            <v>0</v>
          </cell>
          <cell r="E2423">
            <v>0</v>
          </cell>
          <cell r="F2423">
            <v>0</v>
          </cell>
          <cell r="G2423">
            <v>0</v>
          </cell>
          <cell r="H2423">
            <v>0.61</v>
          </cell>
          <cell r="I2423">
            <v>0.74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-3.3E-3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 t="b">
            <v>0</v>
          </cell>
        </row>
        <row r="2424">
          <cell r="A2424" t="str">
            <v>Data split-20;Reg-9</v>
          </cell>
          <cell r="B2424">
            <v>-3.1</v>
          </cell>
          <cell r="C2424">
            <v>0.16</v>
          </cell>
          <cell r="D2424">
            <v>0</v>
          </cell>
          <cell r="E2424">
            <v>0</v>
          </cell>
          <cell r="F2424">
            <v>0</v>
          </cell>
          <cell r="G2424">
            <v>1.1000000000000001</v>
          </cell>
          <cell r="H2424">
            <v>0</v>
          </cell>
          <cell r="I2424">
            <v>5.7000000000000002E-2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-4.4000000000000003E-3</v>
          </cell>
          <cell r="S2424">
            <v>0</v>
          </cell>
          <cell r="T2424">
            <v>0</v>
          </cell>
          <cell r="U2424" t="b">
            <v>0</v>
          </cell>
        </row>
        <row r="2425">
          <cell r="A2425" t="str">
            <v>Data split-20;Reg-10</v>
          </cell>
          <cell r="B2425">
            <v>-1.3</v>
          </cell>
          <cell r="C2425">
            <v>0.24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0.7</v>
          </cell>
          <cell r="I2425">
            <v>0</v>
          </cell>
          <cell r="J2425">
            <v>0</v>
          </cell>
          <cell r="K2425">
            <v>0.74</v>
          </cell>
          <cell r="L2425">
            <v>0</v>
          </cell>
          <cell r="M2425">
            <v>0</v>
          </cell>
          <cell r="N2425">
            <v>0</v>
          </cell>
          <cell r="O2425">
            <v>-1.7000000000000001E-2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 t="b">
            <v>0</v>
          </cell>
        </row>
        <row r="2426">
          <cell r="A2426" t="str">
            <v>Data split-20;Reg-11</v>
          </cell>
          <cell r="B2426">
            <v>-1</v>
          </cell>
          <cell r="C2426">
            <v>0.7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1.4</v>
          </cell>
          <cell r="J2426">
            <v>0</v>
          </cell>
          <cell r="K2426">
            <v>-0.34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 t="b">
            <v>0</v>
          </cell>
        </row>
        <row r="2427">
          <cell r="A2427" t="str">
            <v>Data split-20;Reg-12</v>
          </cell>
          <cell r="B2427">
            <v>-2.8</v>
          </cell>
          <cell r="C2427">
            <v>0.11</v>
          </cell>
          <cell r="D2427">
            <v>0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0.59</v>
          </cell>
          <cell r="J2427">
            <v>0</v>
          </cell>
          <cell r="K2427">
            <v>0</v>
          </cell>
          <cell r="L2427">
            <v>23.9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 t="b">
            <v>0</v>
          </cell>
        </row>
        <row r="2428">
          <cell r="A2428" t="str">
            <v>Data split-20;Reg-13</v>
          </cell>
          <cell r="B2428">
            <v>-4.2</v>
          </cell>
          <cell r="C2428">
            <v>0.37</v>
          </cell>
          <cell r="D2428">
            <v>0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0</v>
          </cell>
          <cell r="J2428">
            <v>35.299999999999997</v>
          </cell>
          <cell r="K2428">
            <v>-0.59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 t="b">
            <v>0</v>
          </cell>
        </row>
        <row r="2429">
          <cell r="A2429" t="str">
            <v>Data split-20;Reg-14</v>
          </cell>
          <cell r="B2429">
            <v>-4</v>
          </cell>
          <cell r="C2429">
            <v>0.11</v>
          </cell>
          <cell r="D2429">
            <v>0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0</v>
          </cell>
          <cell r="J2429">
            <v>24.7</v>
          </cell>
          <cell r="K2429">
            <v>0</v>
          </cell>
          <cell r="L2429">
            <v>9.4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 t="b">
            <v>0</v>
          </cell>
        </row>
        <row r="2430">
          <cell r="A2430" t="str">
            <v>Data split-20;Reg-15</v>
          </cell>
          <cell r="B2430">
            <v>-0.57999999999999996</v>
          </cell>
          <cell r="C2430">
            <v>0.53</v>
          </cell>
          <cell r="D2430">
            <v>0</v>
          </cell>
          <cell r="E2430">
            <v>0</v>
          </cell>
          <cell r="F2430">
            <v>0</v>
          </cell>
          <cell r="G2430">
            <v>0</v>
          </cell>
          <cell r="H2430">
            <v>0</v>
          </cell>
          <cell r="I2430">
            <v>0.64</v>
          </cell>
          <cell r="J2430">
            <v>0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1.7000000000000001E-2</v>
          </cell>
          <cell r="R2430">
            <v>0</v>
          </cell>
          <cell r="S2430">
            <v>0</v>
          </cell>
          <cell r="T2430">
            <v>0</v>
          </cell>
          <cell r="U2430" t="b">
            <v>0</v>
          </cell>
        </row>
        <row r="2431">
          <cell r="A2431" t="str">
            <v>Data split-20;Reg-16</v>
          </cell>
          <cell r="B2431">
            <v>-0.69</v>
          </cell>
          <cell r="C2431">
            <v>0.43</v>
          </cell>
          <cell r="D2431">
            <v>0</v>
          </cell>
          <cell r="E2431">
            <v>0</v>
          </cell>
          <cell r="F2431">
            <v>0</v>
          </cell>
          <cell r="G2431">
            <v>0</v>
          </cell>
          <cell r="H2431">
            <v>0</v>
          </cell>
          <cell r="I2431">
            <v>0.35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6.4000000000000003E-3</v>
          </cell>
          <cell r="S2431">
            <v>0</v>
          </cell>
          <cell r="T2431">
            <v>0</v>
          </cell>
          <cell r="U2431" t="b">
            <v>0</v>
          </cell>
        </row>
        <row r="2432">
          <cell r="A2432" t="str">
            <v>Data split-20;Reg-17</v>
          </cell>
          <cell r="B2432">
            <v>-3.3</v>
          </cell>
          <cell r="C2432">
            <v>0.24</v>
          </cell>
          <cell r="D2432">
            <v>0</v>
          </cell>
          <cell r="E2432">
            <v>0</v>
          </cell>
          <cell r="F2432">
            <v>0</v>
          </cell>
          <cell r="G2432">
            <v>0</v>
          </cell>
          <cell r="H2432">
            <v>0</v>
          </cell>
          <cell r="I2432">
            <v>0</v>
          </cell>
          <cell r="J2432">
            <v>26.8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6.1999999999999998E-3</v>
          </cell>
          <cell r="R2432">
            <v>0</v>
          </cell>
          <cell r="S2432">
            <v>0</v>
          </cell>
          <cell r="T2432">
            <v>0</v>
          </cell>
          <cell r="U2432" t="b">
            <v>0</v>
          </cell>
        </row>
        <row r="2433">
          <cell r="A2433" t="str">
            <v>Data split-20;Reg-18</v>
          </cell>
          <cell r="B2433">
            <v>-3</v>
          </cell>
          <cell r="C2433">
            <v>0.21</v>
          </cell>
          <cell r="D2433">
            <v>0</v>
          </cell>
          <cell r="E2433">
            <v>0</v>
          </cell>
          <cell r="F2433">
            <v>0</v>
          </cell>
          <cell r="G2433">
            <v>0</v>
          </cell>
          <cell r="H2433">
            <v>0</v>
          </cell>
          <cell r="I2433">
            <v>0</v>
          </cell>
          <cell r="J2433">
            <v>23.1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2.8999999999999998E-3</v>
          </cell>
          <cell r="S2433">
            <v>0</v>
          </cell>
          <cell r="T2433">
            <v>0</v>
          </cell>
          <cell r="U2433" t="b">
            <v>0</v>
          </cell>
        </row>
        <row r="2434">
          <cell r="A2434" t="str">
            <v>Data split-20;Reg-19</v>
          </cell>
          <cell r="B2434">
            <v>-0.4</v>
          </cell>
          <cell r="C2434">
            <v>0.62</v>
          </cell>
          <cell r="D2434">
            <v>0</v>
          </cell>
          <cell r="E2434">
            <v>0</v>
          </cell>
          <cell r="F2434">
            <v>0</v>
          </cell>
          <cell r="G2434">
            <v>0</v>
          </cell>
          <cell r="H2434">
            <v>0</v>
          </cell>
          <cell r="I2434">
            <v>0</v>
          </cell>
          <cell r="J2434">
            <v>0</v>
          </cell>
          <cell r="K2434">
            <v>0.32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1.7999999999999999E-2</v>
          </cell>
          <cell r="T2434">
            <v>0</v>
          </cell>
          <cell r="U2434" t="b">
            <v>0</v>
          </cell>
        </row>
        <row r="2435">
          <cell r="A2435" t="str">
            <v>Data split-20;Reg-20</v>
          </cell>
          <cell r="B2435">
            <v>-0.51</v>
          </cell>
          <cell r="C2435">
            <v>0.54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-0.19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7.3000000000000001E-3</v>
          </cell>
          <cell r="U2435" t="b">
            <v>0</v>
          </cell>
        </row>
        <row r="2436">
          <cell r="A2436" t="str">
            <v>Data split-20;Reg-21</v>
          </cell>
          <cell r="B2436">
            <v>-2.5</v>
          </cell>
          <cell r="C2436">
            <v>0.13</v>
          </cell>
          <cell r="D2436">
            <v>0</v>
          </cell>
          <cell r="E2436">
            <v>0</v>
          </cell>
          <cell r="F2436">
            <v>0</v>
          </cell>
          <cell r="G2436">
            <v>0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23.9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1.0999999999999999E-2</v>
          </cell>
          <cell r="T2436">
            <v>0</v>
          </cell>
          <cell r="U2436" t="b">
            <v>0</v>
          </cell>
        </row>
        <row r="2437">
          <cell r="A2437" t="str">
            <v>Data split-20;Reg-22</v>
          </cell>
          <cell r="B2437">
            <v>-2.2000000000000002</v>
          </cell>
          <cell r="C2437">
            <v>0.12</v>
          </cell>
          <cell r="D2437">
            <v>0</v>
          </cell>
          <cell r="E2437">
            <v>0</v>
          </cell>
          <cell r="F2437">
            <v>0</v>
          </cell>
          <cell r="G2437">
            <v>0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19.2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4.1999999999999997E-3</v>
          </cell>
          <cell r="U2437" t="b">
            <v>0</v>
          </cell>
        </row>
        <row r="2438">
          <cell r="A2438" t="str">
            <v>Data split-20;Reg-23</v>
          </cell>
          <cell r="B2438">
            <v>-0.77</v>
          </cell>
          <cell r="C2438">
            <v>0</v>
          </cell>
          <cell r="D2438">
            <v>0.53</v>
          </cell>
          <cell r="E2438">
            <v>0</v>
          </cell>
          <cell r="F2438">
            <v>0</v>
          </cell>
          <cell r="G2438">
            <v>0</v>
          </cell>
          <cell r="H2438">
            <v>0</v>
          </cell>
          <cell r="I2438">
            <v>1.2</v>
          </cell>
          <cell r="J2438">
            <v>0</v>
          </cell>
          <cell r="K2438">
            <v>-2.3E-2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 t="b">
            <v>0</v>
          </cell>
        </row>
        <row r="2439">
          <cell r="A2439" t="str">
            <v>Data split-20;Reg-24</v>
          </cell>
          <cell r="B2439">
            <v>-2.2000000000000002</v>
          </cell>
          <cell r="C2439">
            <v>0</v>
          </cell>
          <cell r="D2439">
            <v>0.32</v>
          </cell>
          <cell r="E2439">
            <v>0</v>
          </cell>
          <cell r="F2439">
            <v>0</v>
          </cell>
          <cell r="G2439">
            <v>0</v>
          </cell>
          <cell r="H2439">
            <v>0</v>
          </cell>
          <cell r="I2439">
            <v>0.6</v>
          </cell>
          <cell r="J2439">
            <v>0</v>
          </cell>
          <cell r="K2439">
            <v>0</v>
          </cell>
          <cell r="L2439">
            <v>16.100000000000001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 t="b">
            <v>0</v>
          </cell>
        </row>
        <row r="2440">
          <cell r="A2440" t="str">
            <v>Data split-20;Reg-25</v>
          </cell>
          <cell r="B2440">
            <v>-3.6</v>
          </cell>
          <cell r="C2440">
            <v>0</v>
          </cell>
          <cell r="D2440">
            <v>0.3</v>
          </cell>
          <cell r="E2440">
            <v>0</v>
          </cell>
          <cell r="F2440">
            <v>0</v>
          </cell>
          <cell r="G2440">
            <v>0</v>
          </cell>
          <cell r="H2440">
            <v>0</v>
          </cell>
          <cell r="I2440">
            <v>0</v>
          </cell>
          <cell r="J2440">
            <v>30.4</v>
          </cell>
          <cell r="K2440">
            <v>-0.27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 t="b">
            <v>0</v>
          </cell>
        </row>
        <row r="2441">
          <cell r="A2441" t="str">
            <v>Data split-20;Reg-26</v>
          </cell>
          <cell r="B2441">
            <v>-3.5</v>
          </cell>
          <cell r="C2441">
            <v>0</v>
          </cell>
          <cell r="D2441">
            <v>0.24</v>
          </cell>
          <cell r="E2441">
            <v>0</v>
          </cell>
          <cell r="F2441">
            <v>0</v>
          </cell>
          <cell r="G2441">
            <v>0</v>
          </cell>
          <cell r="H2441">
            <v>0</v>
          </cell>
          <cell r="I2441">
            <v>0</v>
          </cell>
          <cell r="J2441">
            <v>22.2</v>
          </cell>
          <cell r="K2441">
            <v>0</v>
          </cell>
          <cell r="L2441">
            <v>6.5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 t="b">
            <v>0</v>
          </cell>
        </row>
        <row r="2442">
          <cell r="A2442" t="str">
            <v>Data split-20;Reg-27</v>
          </cell>
          <cell r="B2442">
            <v>-0.65</v>
          </cell>
          <cell r="C2442">
            <v>0</v>
          </cell>
          <cell r="D2442">
            <v>0.49</v>
          </cell>
          <cell r="E2442">
            <v>0</v>
          </cell>
          <cell r="F2442">
            <v>0</v>
          </cell>
          <cell r="G2442">
            <v>0</v>
          </cell>
          <cell r="H2442">
            <v>0</v>
          </cell>
          <cell r="I2442">
            <v>1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5.3E-3</v>
          </cell>
          <cell r="R2442">
            <v>0</v>
          </cell>
          <cell r="S2442">
            <v>0</v>
          </cell>
          <cell r="T2442">
            <v>0</v>
          </cell>
          <cell r="U2442" t="b">
            <v>0</v>
          </cell>
        </row>
        <row r="2443">
          <cell r="A2443" t="str">
            <v>Data split-20;Reg-28</v>
          </cell>
          <cell r="B2443">
            <v>-0.62</v>
          </cell>
          <cell r="C2443">
            <v>0</v>
          </cell>
          <cell r="D2443">
            <v>0.38</v>
          </cell>
          <cell r="E2443">
            <v>0</v>
          </cell>
          <cell r="F2443">
            <v>0</v>
          </cell>
          <cell r="G2443">
            <v>0</v>
          </cell>
          <cell r="H2443">
            <v>0</v>
          </cell>
          <cell r="I2443">
            <v>0.73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4.0000000000000001E-3</v>
          </cell>
          <cell r="S2443">
            <v>0</v>
          </cell>
          <cell r="T2443">
            <v>0</v>
          </cell>
          <cell r="U2443" t="b">
            <v>0</v>
          </cell>
        </row>
        <row r="2444">
          <cell r="A2444" t="str">
            <v>Data split-20;Reg-29</v>
          </cell>
          <cell r="B2444">
            <v>-3.2</v>
          </cell>
          <cell r="C2444">
            <v>0</v>
          </cell>
          <cell r="D2444">
            <v>0.28000000000000003</v>
          </cell>
          <cell r="E2444">
            <v>0</v>
          </cell>
          <cell r="F2444">
            <v>0</v>
          </cell>
          <cell r="G2444">
            <v>0</v>
          </cell>
          <cell r="H2444">
            <v>0</v>
          </cell>
          <cell r="I2444">
            <v>0</v>
          </cell>
          <cell r="J2444">
            <v>26.4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1.5E-3</v>
          </cell>
          <cell r="R2444">
            <v>0</v>
          </cell>
          <cell r="S2444">
            <v>0</v>
          </cell>
          <cell r="T2444">
            <v>0</v>
          </cell>
          <cell r="U2444" t="b">
            <v>0</v>
          </cell>
        </row>
        <row r="2445">
          <cell r="A2445" t="str">
            <v>Data split-20;Reg-30</v>
          </cell>
          <cell r="B2445">
            <v>-3</v>
          </cell>
          <cell r="C2445">
            <v>0</v>
          </cell>
          <cell r="D2445">
            <v>0.24</v>
          </cell>
          <cell r="E2445">
            <v>0</v>
          </cell>
          <cell r="F2445">
            <v>0</v>
          </cell>
          <cell r="G2445">
            <v>0</v>
          </cell>
          <cell r="H2445">
            <v>0</v>
          </cell>
          <cell r="I2445">
            <v>0</v>
          </cell>
          <cell r="J2445">
            <v>23.6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1.6999999999999999E-3</v>
          </cell>
          <cell r="S2445">
            <v>0</v>
          </cell>
          <cell r="T2445">
            <v>0</v>
          </cell>
          <cell r="U2445" t="b">
            <v>0</v>
          </cell>
        </row>
        <row r="2446">
          <cell r="A2446" t="str">
            <v>Data split-20;Reg-31</v>
          </cell>
          <cell r="B2446">
            <v>-0.55000000000000004</v>
          </cell>
          <cell r="C2446">
            <v>0</v>
          </cell>
          <cell r="D2446">
            <v>0.5</v>
          </cell>
          <cell r="E2446">
            <v>0</v>
          </cell>
          <cell r="F2446">
            <v>0</v>
          </cell>
          <cell r="G2446">
            <v>0</v>
          </cell>
          <cell r="H2446">
            <v>0</v>
          </cell>
          <cell r="I2446">
            <v>0</v>
          </cell>
          <cell r="J2446">
            <v>0</v>
          </cell>
          <cell r="K2446">
            <v>1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3.3999999999999998E-3</v>
          </cell>
          <cell r="T2446">
            <v>0</v>
          </cell>
          <cell r="U2446" t="b">
            <v>0</v>
          </cell>
        </row>
        <row r="2447">
          <cell r="A2447" t="str">
            <v>Data split-20;Reg-32</v>
          </cell>
          <cell r="B2447">
            <v>-0.46</v>
          </cell>
          <cell r="C2447">
            <v>0</v>
          </cell>
          <cell r="D2447">
            <v>0.41</v>
          </cell>
          <cell r="E2447">
            <v>0</v>
          </cell>
          <cell r="F2447">
            <v>0</v>
          </cell>
          <cell r="G2447">
            <v>0</v>
          </cell>
          <cell r="H2447">
            <v>0</v>
          </cell>
          <cell r="I2447">
            <v>0</v>
          </cell>
          <cell r="J2447">
            <v>0</v>
          </cell>
          <cell r="K2447">
            <v>0.56999999999999995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3.8999999999999998E-3</v>
          </cell>
          <cell r="U2447" t="b">
            <v>0</v>
          </cell>
        </row>
        <row r="2448">
          <cell r="A2448" t="str">
            <v>Data split-20;Reg-33</v>
          </cell>
          <cell r="B2448">
            <v>-2.2999999999999998</v>
          </cell>
          <cell r="C2448">
            <v>0</v>
          </cell>
          <cell r="D2448">
            <v>0.28000000000000003</v>
          </cell>
          <cell r="E2448">
            <v>0</v>
          </cell>
          <cell r="F2448">
            <v>0</v>
          </cell>
          <cell r="G2448">
            <v>0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20.8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5.7999999999999996E-3</v>
          </cell>
          <cell r="T2448">
            <v>0</v>
          </cell>
          <cell r="U2448" t="b">
            <v>0</v>
          </cell>
        </row>
        <row r="2449">
          <cell r="A2449" t="str">
            <v>Data split-20;Reg-34</v>
          </cell>
          <cell r="B2449">
            <v>-2.1</v>
          </cell>
          <cell r="C2449">
            <v>0</v>
          </cell>
          <cell r="D2449">
            <v>0.24</v>
          </cell>
          <cell r="E2449">
            <v>0</v>
          </cell>
          <cell r="F2449">
            <v>0</v>
          </cell>
          <cell r="G2449">
            <v>0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17.7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2.8999999999999998E-3</v>
          </cell>
          <cell r="U2449" t="b">
            <v>0</v>
          </cell>
        </row>
        <row r="2450">
          <cell r="A2450" t="str">
            <v>Data split-20;Reg-35</v>
          </cell>
          <cell r="B2450">
            <v>-0.59</v>
          </cell>
          <cell r="C2450">
            <v>0.65</v>
          </cell>
          <cell r="D2450">
            <v>0</v>
          </cell>
          <cell r="E2450">
            <v>0</v>
          </cell>
          <cell r="F2450">
            <v>0</v>
          </cell>
          <cell r="G2450">
            <v>0</v>
          </cell>
          <cell r="H2450">
            <v>0</v>
          </cell>
          <cell r="I2450">
            <v>1.2</v>
          </cell>
          <cell r="J2450">
            <v>0</v>
          </cell>
          <cell r="K2450">
            <v>-0.89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0.02</v>
          </cell>
          <cell r="R2450">
            <v>0</v>
          </cell>
          <cell r="S2450">
            <v>0</v>
          </cell>
          <cell r="T2450">
            <v>0</v>
          </cell>
          <cell r="U2450" t="b">
            <v>0</v>
          </cell>
        </row>
        <row r="2451">
          <cell r="A2451" t="str">
            <v>Data split-20;Reg-36</v>
          </cell>
          <cell r="B2451">
            <v>-0.74</v>
          </cell>
          <cell r="C2451">
            <v>0.56000000000000005</v>
          </cell>
          <cell r="D2451">
            <v>0</v>
          </cell>
          <cell r="E2451">
            <v>0</v>
          </cell>
          <cell r="F2451">
            <v>0</v>
          </cell>
          <cell r="G2451">
            <v>0</v>
          </cell>
          <cell r="H2451">
            <v>0</v>
          </cell>
          <cell r="I2451">
            <v>1.1000000000000001</v>
          </cell>
          <cell r="J2451">
            <v>0</v>
          </cell>
          <cell r="K2451">
            <v>-1.1000000000000001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7.1999999999999998E-3</v>
          </cell>
          <cell r="S2451">
            <v>0</v>
          </cell>
          <cell r="T2451">
            <v>0</v>
          </cell>
          <cell r="U2451" t="b">
            <v>0</v>
          </cell>
        </row>
        <row r="2452">
          <cell r="A2452" t="str">
            <v>Data split-20;Reg-37</v>
          </cell>
          <cell r="B2452">
            <v>-2.2999999999999998</v>
          </cell>
          <cell r="C2452">
            <v>0.11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0</v>
          </cell>
          <cell r="I2452">
            <v>0.32</v>
          </cell>
          <cell r="J2452">
            <v>0</v>
          </cell>
          <cell r="K2452">
            <v>0</v>
          </cell>
          <cell r="L2452">
            <v>20.7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1.0999999999999999E-2</v>
          </cell>
          <cell r="R2452">
            <v>0</v>
          </cell>
          <cell r="S2452">
            <v>0</v>
          </cell>
          <cell r="T2452">
            <v>0</v>
          </cell>
          <cell r="U2452" t="b">
            <v>0</v>
          </cell>
        </row>
        <row r="2453">
          <cell r="A2453" t="str">
            <v>Data split-20;Reg-38</v>
          </cell>
          <cell r="B2453">
            <v>-2.1</v>
          </cell>
          <cell r="C2453">
            <v>0.12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0</v>
          </cell>
          <cell r="I2453">
            <v>0.17</v>
          </cell>
          <cell r="J2453">
            <v>0</v>
          </cell>
          <cell r="K2453">
            <v>0</v>
          </cell>
          <cell r="L2453">
            <v>16.5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4.4999999999999997E-3</v>
          </cell>
          <cell r="S2453">
            <v>0</v>
          </cell>
          <cell r="T2453">
            <v>0</v>
          </cell>
          <cell r="U2453" t="b">
            <v>0</v>
          </cell>
        </row>
        <row r="2454">
          <cell r="A2454" t="str">
            <v>Data split-20;Reg-39</v>
          </cell>
          <cell r="B2454">
            <v>-3.7</v>
          </cell>
          <cell r="C2454">
            <v>0.37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0</v>
          </cell>
          <cell r="I2454">
            <v>0</v>
          </cell>
          <cell r="J2454">
            <v>32.200000000000003</v>
          </cell>
          <cell r="K2454">
            <v>-0.88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1.0999999999999999E-2</v>
          </cell>
          <cell r="R2454">
            <v>0</v>
          </cell>
          <cell r="S2454">
            <v>0</v>
          </cell>
          <cell r="T2454">
            <v>0</v>
          </cell>
          <cell r="U2454" t="b">
            <v>0</v>
          </cell>
        </row>
        <row r="2455">
          <cell r="A2455" t="str">
            <v>Data split-20;Reg-40</v>
          </cell>
          <cell r="B2455">
            <v>-3.4</v>
          </cell>
          <cell r="C2455">
            <v>0.35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H2455">
            <v>0</v>
          </cell>
          <cell r="I2455">
            <v>0</v>
          </cell>
          <cell r="J2455">
            <v>28.7</v>
          </cell>
          <cell r="K2455">
            <v>-0.97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4.3E-3</v>
          </cell>
          <cell r="S2455">
            <v>0</v>
          </cell>
          <cell r="T2455">
            <v>0</v>
          </cell>
          <cell r="U2455" t="b">
            <v>0</v>
          </cell>
        </row>
        <row r="2456">
          <cell r="A2456" t="str">
            <v>Data split-20;Reg-41</v>
          </cell>
          <cell r="B2456">
            <v>-3.6</v>
          </cell>
          <cell r="C2456">
            <v>0.1</v>
          </cell>
          <cell r="D2456">
            <v>0</v>
          </cell>
          <cell r="E2456">
            <v>0</v>
          </cell>
          <cell r="F2456">
            <v>0</v>
          </cell>
          <cell r="G2456">
            <v>0</v>
          </cell>
          <cell r="H2456">
            <v>0</v>
          </cell>
          <cell r="I2456">
            <v>0</v>
          </cell>
          <cell r="J2456">
            <v>22.7</v>
          </cell>
          <cell r="K2456">
            <v>0</v>
          </cell>
          <cell r="L2456">
            <v>8.5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4.8999999999999998E-3</v>
          </cell>
          <cell r="R2456">
            <v>0</v>
          </cell>
          <cell r="S2456">
            <v>0</v>
          </cell>
          <cell r="T2456">
            <v>0</v>
          </cell>
          <cell r="U2456" t="b">
            <v>0</v>
          </cell>
        </row>
        <row r="2457">
          <cell r="A2457" t="str">
            <v>Data split-20;Reg-42</v>
          </cell>
          <cell r="B2457">
            <v>-3.3</v>
          </cell>
          <cell r="C2457">
            <v>0.1</v>
          </cell>
          <cell r="D2457">
            <v>0</v>
          </cell>
          <cell r="E2457">
            <v>0</v>
          </cell>
          <cell r="F2457">
            <v>0</v>
          </cell>
          <cell r="G2457">
            <v>0</v>
          </cell>
          <cell r="H2457">
            <v>0</v>
          </cell>
          <cell r="I2457">
            <v>0</v>
          </cell>
          <cell r="J2457">
            <v>20.3</v>
          </cell>
          <cell r="K2457">
            <v>0</v>
          </cell>
          <cell r="L2457">
            <v>6.7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2.5000000000000001E-3</v>
          </cell>
          <cell r="S2457">
            <v>0</v>
          </cell>
          <cell r="T2457">
            <v>0</v>
          </cell>
          <cell r="U2457" t="b">
            <v>0</v>
          </cell>
        </row>
        <row r="2458">
          <cell r="A2458" t="str">
            <v>Data split-20;Reg-43</v>
          </cell>
          <cell r="B2458">
            <v>-0.63</v>
          </cell>
          <cell r="C2458">
            <v>0.67</v>
          </cell>
          <cell r="D2458">
            <v>0</v>
          </cell>
          <cell r="E2458">
            <v>0</v>
          </cell>
          <cell r="F2458">
            <v>0</v>
          </cell>
          <cell r="G2458">
            <v>0</v>
          </cell>
          <cell r="H2458">
            <v>0</v>
          </cell>
          <cell r="I2458">
            <v>1.2</v>
          </cell>
          <cell r="J2458">
            <v>0</v>
          </cell>
          <cell r="K2458">
            <v>-0.82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1.6E-2</v>
          </cell>
          <cell r="T2458">
            <v>0</v>
          </cell>
          <cell r="U2458" t="b">
            <v>0</v>
          </cell>
        </row>
        <row r="2459">
          <cell r="A2459" t="str">
            <v>Data split-20;Reg-44</v>
          </cell>
          <cell r="B2459">
            <v>-0.68</v>
          </cell>
          <cell r="C2459">
            <v>0.59</v>
          </cell>
          <cell r="D2459">
            <v>0</v>
          </cell>
          <cell r="E2459">
            <v>0</v>
          </cell>
          <cell r="F2459">
            <v>0</v>
          </cell>
          <cell r="G2459">
            <v>0</v>
          </cell>
          <cell r="H2459">
            <v>0</v>
          </cell>
          <cell r="I2459">
            <v>1.1000000000000001</v>
          </cell>
          <cell r="J2459">
            <v>0</v>
          </cell>
          <cell r="K2459">
            <v>-1.1000000000000001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6.6E-3</v>
          </cell>
          <cell r="U2459" t="b">
            <v>0</v>
          </cell>
        </row>
        <row r="2460">
          <cell r="A2460" t="str">
            <v>Data split-20;Reg-45</v>
          </cell>
          <cell r="B2460">
            <v>-2.5</v>
          </cell>
          <cell r="C2460">
            <v>0.11</v>
          </cell>
          <cell r="D2460">
            <v>0</v>
          </cell>
          <cell r="E2460">
            <v>0</v>
          </cell>
          <cell r="F2460">
            <v>0</v>
          </cell>
          <cell r="G2460">
            <v>0</v>
          </cell>
          <cell r="H2460">
            <v>0</v>
          </cell>
          <cell r="I2460">
            <v>0.39</v>
          </cell>
          <cell r="J2460">
            <v>0</v>
          </cell>
          <cell r="K2460">
            <v>0</v>
          </cell>
          <cell r="L2460">
            <v>22.1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7.1000000000000004E-3</v>
          </cell>
          <cell r="T2460">
            <v>0</v>
          </cell>
          <cell r="U2460" t="b">
            <v>0</v>
          </cell>
        </row>
        <row r="2461">
          <cell r="A2461" t="str">
            <v>Data split-20;Reg-46</v>
          </cell>
          <cell r="B2461">
            <v>-2.2000000000000002</v>
          </cell>
          <cell r="C2461">
            <v>0.11</v>
          </cell>
          <cell r="D2461">
            <v>0</v>
          </cell>
          <cell r="E2461">
            <v>0</v>
          </cell>
          <cell r="F2461">
            <v>0</v>
          </cell>
          <cell r="G2461">
            <v>0</v>
          </cell>
          <cell r="H2461">
            <v>0</v>
          </cell>
          <cell r="I2461">
            <v>0.2</v>
          </cell>
          <cell r="J2461">
            <v>0</v>
          </cell>
          <cell r="K2461">
            <v>0</v>
          </cell>
          <cell r="L2461">
            <v>18.600000000000001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3.5999999999999999E-3</v>
          </cell>
          <cell r="U2461" t="b">
            <v>0</v>
          </cell>
        </row>
        <row r="2462">
          <cell r="A2462" t="str">
            <v>Data split-20;Reg-47</v>
          </cell>
          <cell r="B2462">
            <v>-3.8</v>
          </cell>
          <cell r="C2462">
            <v>0.37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0</v>
          </cell>
          <cell r="J2462">
            <v>33.299999999999997</v>
          </cell>
          <cell r="K2462">
            <v>-0.86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8.3999999999999995E-3</v>
          </cell>
          <cell r="T2462">
            <v>0</v>
          </cell>
          <cell r="U2462" t="b">
            <v>0</v>
          </cell>
        </row>
        <row r="2463">
          <cell r="A2463" t="str">
            <v>Data split-20;Reg-48</v>
          </cell>
          <cell r="B2463">
            <v>-3.6</v>
          </cell>
          <cell r="C2463">
            <v>0.36</v>
          </cell>
          <cell r="D2463">
            <v>0</v>
          </cell>
          <cell r="E2463">
            <v>0</v>
          </cell>
          <cell r="F2463">
            <v>0</v>
          </cell>
          <cell r="G2463">
            <v>0</v>
          </cell>
          <cell r="H2463">
            <v>0</v>
          </cell>
          <cell r="I2463">
            <v>0</v>
          </cell>
          <cell r="J2463">
            <v>30.2</v>
          </cell>
          <cell r="K2463">
            <v>-1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3.7000000000000002E-3</v>
          </cell>
          <cell r="U2463" t="b">
            <v>0</v>
          </cell>
        </row>
        <row r="2464">
          <cell r="A2464" t="str">
            <v>Data split-20;Reg-49</v>
          </cell>
          <cell r="B2464">
            <v>-3.8</v>
          </cell>
          <cell r="C2464">
            <v>0.11</v>
          </cell>
          <cell r="D2464">
            <v>0</v>
          </cell>
          <cell r="E2464">
            <v>0</v>
          </cell>
          <cell r="F2464">
            <v>0</v>
          </cell>
          <cell r="G2464">
            <v>0</v>
          </cell>
          <cell r="H2464">
            <v>0</v>
          </cell>
          <cell r="I2464">
            <v>0</v>
          </cell>
          <cell r="J2464">
            <v>24</v>
          </cell>
          <cell r="K2464">
            <v>0</v>
          </cell>
          <cell r="L2464">
            <v>9.1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1.6999999999999999E-3</v>
          </cell>
          <cell r="T2464">
            <v>0</v>
          </cell>
          <cell r="U2464" t="b">
            <v>0</v>
          </cell>
        </row>
        <row r="2465">
          <cell r="A2465" t="str">
            <v>Data split-20;Reg-50</v>
          </cell>
          <cell r="B2465">
            <v>-3.5</v>
          </cell>
          <cell r="C2465">
            <v>0.1</v>
          </cell>
          <cell r="D2465">
            <v>0</v>
          </cell>
          <cell r="E2465">
            <v>0</v>
          </cell>
          <cell r="F2465">
            <v>0</v>
          </cell>
          <cell r="G2465">
            <v>0</v>
          </cell>
          <cell r="H2465">
            <v>0</v>
          </cell>
          <cell r="I2465">
            <v>0</v>
          </cell>
          <cell r="J2465">
            <v>21.9</v>
          </cell>
          <cell r="K2465">
            <v>0</v>
          </cell>
          <cell r="L2465">
            <v>7.9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1.5E-3</v>
          </cell>
          <cell r="U2465" t="b">
            <v>0</v>
          </cell>
        </row>
        <row r="2466">
          <cell r="A2466" t="str">
            <v>Data split-20;Reg-51</v>
          </cell>
          <cell r="B2466">
            <v>-0.65</v>
          </cell>
          <cell r="C2466">
            <v>0</v>
          </cell>
          <cell r="D2466">
            <v>0.49</v>
          </cell>
          <cell r="E2466">
            <v>0</v>
          </cell>
          <cell r="F2466">
            <v>0</v>
          </cell>
          <cell r="G2466">
            <v>0</v>
          </cell>
          <cell r="H2466">
            <v>0</v>
          </cell>
          <cell r="I2466">
            <v>1.1000000000000001</v>
          </cell>
          <cell r="J2466">
            <v>0</v>
          </cell>
          <cell r="K2466">
            <v>-0.12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5.7000000000000002E-3</v>
          </cell>
          <cell r="R2466">
            <v>0</v>
          </cell>
          <cell r="S2466">
            <v>0</v>
          </cell>
          <cell r="T2466">
            <v>0</v>
          </cell>
          <cell r="U2466" t="b">
            <v>0</v>
          </cell>
        </row>
        <row r="2467">
          <cell r="A2467" t="str">
            <v>Data split-20;Reg-52</v>
          </cell>
          <cell r="B2467">
            <v>-0.62</v>
          </cell>
          <cell r="C2467">
            <v>0</v>
          </cell>
          <cell r="D2467">
            <v>0.39</v>
          </cell>
          <cell r="E2467">
            <v>0</v>
          </cell>
          <cell r="F2467">
            <v>0</v>
          </cell>
          <cell r="G2467">
            <v>0</v>
          </cell>
          <cell r="H2467">
            <v>0</v>
          </cell>
          <cell r="I2467">
            <v>0.99</v>
          </cell>
          <cell r="J2467">
            <v>0</v>
          </cell>
          <cell r="K2467">
            <v>-0.36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4.3E-3</v>
          </cell>
          <cell r="S2467">
            <v>0</v>
          </cell>
          <cell r="T2467">
            <v>0</v>
          </cell>
          <cell r="U2467" t="b">
            <v>0</v>
          </cell>
        </row>
        <row r="2468">
          <cell r="A2468" t="str">
            <v>Data split-20;Reg-53</v>
          </cell>
          <cell r="B2468">
            <v>-2.1</v>
          </cell>
          <cell r="C2468">
            <v>0</v>
          </cell>
          <cell r="D2468">
            <v>0.28999999999999998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0.51</v>
          </cell>
          <cell r="J2468">
            <v>0</v>
          </cell>
          <cell r="K2468">
            <v>0</v>
          </cell>
          <cell r="L2468">
            <v>15.9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3.5999999999999999E-3</v>
          </cell>
          <cell r="R2468">
            <v>0</v>
          </cell>
          <cell r="S2468">
            <v>0</v>
          </cell>
          <cell r="T2468">
            <v>0</v>
          </cell>
          <cell r="U2468" t="b">
            <v>0</v>
          </cell>
        </row>
        <row r="2469">
          <cell r="A2469" t="str">
            <v>Data split-20;Reg-54</v>
          </cell>
          <cell r="B2469">
            <v>-1.9</v>
          </cell>
          <cell r="C2469">
            <v>0</v>
          </cell>
          <cell r="D2469">
            <v>0.24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0.34</v>
          </cell>
          <cell r="J2469">
            <v>0</v>
          </cell>
          <cell r="K2469">
            <v>0</v>
          </cell>
          <cell r="L2469">
            <v>14.2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2.8E-3</v>
          </cell>
          <cell r="S2469">
            <v>0</v>
          </cell>
          <cell r="T2469">
            <v>0</v>
          </cell>
          <cell r="U2469" t="b">
            <v>0</v>
          </cell>
        </row>
        <row r="2470">
          <cell r="A2470" t="str">
            <v>Data split-20;Reg-55</v>
          </cell>
          <cell r="B2470">
            <v>-3.5</v>
          </cell>
          <cell r="C2470">
            <v>0</v>
          </cell>
          <cell r="D2470">
            <v>0.27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29.9</v>
          </cell>
          <cell r="K2470">
            <v>-0.37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4.1000000000000003E-3</v>
          </cell>
          <cell r="R2470">
            <v>0</v>
          </cell>
          <cell r="S2470">
            <v>0</v>
          </cell>
          <cell r="T2470">
            <v>0</v>
          </cell>
          <cell r="U2470" t="b">
            <v>0</v>
          </cell>
        </row>
        <row r="2471">
          <cell r="A2471" t="str">
            <v>Data split-20;Reg-56</v>
          </cell>
          <cell r="B2471">
            <v>-3.3</v>
          </cell>
          <cell r="C2471">
            <v>0</v>
          </cell>
          <cell r="D2471">
            <v>0.23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28</v>
          </cell>
          <cell r="K2471">
            <v>-0.5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2.7000000000000001E-3</v>
          </cell>
          <cell r="S2471">
            <v>0</v>
          </cell>
          <cell r="T2471">
            <v>0</v>
          </cell>
          <cell r="U2471" t="b">
            <v>0</v>
          </cell>
        </row>
        <row r="2472">
          <cell r="A2472" t="str">
            <v>Data split-20;Reg-57</v>
          </cell>
          <cell r="B2472">
            <v>-3.4</v>
          </cell>
          <cell r="C2472">
            <v>0</v>
          </cell>
          <cell r="D2472">
            <v>0.23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22</v>
          </cell>
          <cell r="K2472">
            <v>0</v>
          </cell>
          <cell r="L2472">
            <v>6.5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7.7999999999999999E-4</v>
          </cell>
          <cell r="R2472">
            <v>0</v>
          </cell>
          <cell r="S2472">
            <v>0</v>
          </cell>
          <cell r="T2472">
            <v>0</v>
          </cell>
          <cell r="U2472" t="b">
            <v>0</v>
          </cell>
        </row>
        <row r="2473">
          <cell r="A2473" t="str">
            <v>Data split-20;Reg-58</v>
          </cell>
          <cell r="B2473">
            <v>-3.1</v>
          </cell>
          <cell r="C2473">
            <v>0</v>
          </cell>
          <cell r="D2473">
            <v>0.21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20.100000000000001</v>
          </cell>
          <cell r="K2473">
            <v>0</v>
          </cell>
          <cell r="L2473">
            <v>5.7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1.4E-3</v>
          </cell>
          <cell r="S2473">
            <v>0</v>
          </cell>
          <cell r="T2473">
            <v>0</v>
          </cell>
          <cell r="U2473" t="b">
            <v>0</v>
          </cell>
        </row>
        <row r="2474">
          <cell r="A2474" t="str">
            <v>Data split-20;Reg-59</v>
          </cell>
          <cell r="B2474">
            <v>-0.77</v>
          </cell>
          <cell r="C2474">
            <v>0</v>
          </cell>
          <cell r="D2474">
            <v>0.53</v>
          </cell>
          <cell r="E2474">
            <v>0</v>
          </cell>
          <cell r="F2474">
            <v>0</v>
          </cell>
          <cell r="G2474">
            <v>0</v>
          </cell>
          <cell r="H2474">
            <v>0</v>
          </cell>
          <cell r="I2474">
            <v>1.2</v>
          </cell>
          <cell r="J2474">
            <v>0</v>
          </cell>
          <cell r="K2474">
            <v>-2.7E-2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2.0000000000000001E-4</v>
          </cell>
          <cell r="T2474">
            <v>0</v>
          </cell>
          <cell r="U2474" t="b">
            <v>0</v>
          </cell>
        </row>
        <row r="2475">
          <cell r="A2475" t="str">
            <v>Data split-20;Reg-60</v>
          </cell>
          <cell r="B2475">
            <v>-0.62</v>
          </cell>
          <cell r="C2475">
            <v>0</v>
          </cell>
          <cell r="D2475">
            <v>0.44</v>
          </cell>
          <cell r="E2475">
            <v>0</v>
          </cell>
          <cell r="F2475">
            <v>0</v>
          </cell>
          <cell r="G2475">
            <v>0</v>
          </cell>
          <cell r="H2475">
            <v>0</v>
          </cell>
          <cell r="I2475">
            <v>1</v>
          </cell>
          <cell r="J2475">
            <v>0</v>
          </cell>
          <cell r="K2475">
            <v>-0.28999999999999998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3.0999999999999999E-3</v>
          </cell>
          <cell r="U2475" t="b">
            <v>0</v>
          </cell>
        </row>
        <row r="2476">
          <cell r="A2476" t="str">
            <v>Data split-20;Reg-61</v>
          </cell>
          <cell r="B2476">
            <v>-2.2000000000000002</v>
          </cell>
          <cell r="C2476">
            <v>0</v>
          </cell>
          <cell r="D2476">
            <v>0.32</v>
          </cell>
          <cell r="E2476">
            <v>0</v>
          </cell>
          <cell r="F2476">
            <v>0</v>
          </cell>
          <cell r="G2476">
            <v>0</v>
          </cell>
          <cell r="H2476">
            <v>0</v>
          </cell>
          <cell r="I2476">
            <v>0.62</v>
          </cell>
          <cell r="J2476">
            <v>0</v>
          </cell>
          <cell r="K2476">
            <v>0</v>
          </cell>
          <cell r="L2476">
            <v>16.100000000000001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-9.3000000000000005E-4</v>
          </cell>
          <cell r="T2476">
            <v>0</v>
          </cell>
          <cell r="U2476" t="b">
            <v>0</v>
          </cell>
        </row>
        <row r="2477">
          <cell r="A2477" t="str">
            <v>Data split-20;Reg-62</v>
          </cell>
          <cell r="B2477">
            <v>-2</v>
          </cell>
          <cell r="C2477">
            <v>0</v>
          </cell>
          <cell r="D2477">
            <v>0.27</v>
          </cell>
          <cell r="E2477">
            <v>0</v>
          </cell>
          <cell r="F2477">
            <v>0</v>
          </cell>
          <cell r="G2477">
            <v>0</v>
          </cell>
          <cell r="H2477">
            <v>0</v>
          </cell>
          <cell r="I2477">
            <v>0.43</v>
          </cell>
          <cell r="J2477">
            <v>0</v>
          </cell>
          <cell r="K2477">
            <v>0</v>
          </cell>
          <cell r="L2477">
            <v>15.2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1.6000000000000001E-3</v>
          </cell>
          <cell r="U2477" t="b">
            <v>0</v>
          </cell>
        </row>
        <row r="2478">
          <cell r="A2478" t="str">
            <v>Data split-20;Reg-63</v>
          </cell>
          <cell r="B2478">
            <v>-3.6</v>
          </cell>
          <cell r="C2478">
            <v>0</v>
          </cell>
          <cell r="D2478">
            <v>0.28999999999999998</v>
          </cell>
          <cell r="E2478">
            <v>0</v>
          </cell>
          <cell r="F2478">
            <v>0</v>
          </cell>
          <cell r="G2478">
            <v>0</v>
          </cell>
          <cell r="H2478">
            <v>0</v>
          </cell>
          <cell r="I2478">
            <v>0</v>
          </cell>
          <cell r="J2478">
            <v>30.3</v>
          </cell>
          <cell r="K2478">
            <v>-0.28999999999999998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6.8999999999999997E-4</v>
          </cell>
          <cell r="T2478">
            <v>0</v>
          </cell>
          <cell r="U2478" t="b">
            <v>0</v>
          </cell>
        </row>
        <row r="2479">
          <cell r="A2479" t="str">
            <v>Data split-20;Reg-64</v>
          </cell>
          <cell r="B2479">
            <v>-3.4</v>
          </cell>
          <cell r="C2479">
            <v>0</v>
          </cell>
          <cell r="D2479">
            <v>0.26</v>
          </cell>
          <cell r="E2479">
            <v>0</v>
          </cell>
          <cell r="F2479">
            <v>0</v>
          </cell>
          <cell r="G2479">
            <v>0</v>
          </cell>
          <cell r="H2479">
            <v>0</v>
          </cell>
          <cell r="I2479">
            <v>0</v>
          </cell>
          <cell r="J2479">
            <v>29.1</v>
          </cell>
          <cell r="K2479">
            <v>-0.46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1.8E-3</v>
          </cell>
          <cell r="U2479" t="b">
            <v>0</v>
          </cell>
        </row>
        <row r="2480">
          <cell r="A2480" t="str">
            <v>Data split-20;Reg-65</v>
          </cell>
          <cell r="B2480">
            <v>-3.6</v>
          </cell>
          <cell r="C2480">
            <v>0</v>
          </cell>
          <cell r="D2480">
            <v>0.25</v>
          </cell>
          <cell r="E2480">
            <v>0</v>
          </cell>
          <cell r="F2480">
            <v>0</v>
          </cell>
          <cell r="G2480">
            <v>0</v>
          </cell>
          <cell r="H2480">
            <v>0</v>
          </cell>
          <cell r="I2480">
            <v>0</v>
          </cell>
          <cell r="J2480">
            <v>23.1</v>
          </cell>
          <cell r="K2480">
            <v>0</v>
          </cell>
          <cell r="L2480">
            <v>6.8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-2.3999999999999998E-3</v>
          </cell>
          <cell r="T2480">
            <v>0</v>
          </cell>
          <cell r="U2480" t="b">
            <v>0</v>
          </cell>
        </row>
        <row r="2481">
          <cell r="A2481" t="str">
            <v>Data split-20;Reg-66</v>
          </cell>
          <cell r="B2481">
            <v>-3.4</v>
          </cell>
          <cell r="C2481">
            <v>0</v>
          </cell>
          <cell r="D2481">
            <v>0.23</v>
          </cell>
          <cell r="E2481">
            <v>0</v>
          </cell>
          <cell r="F2481">
            <v>0</v>
          </cell>
          <cell r="G2481">
            <v>0</v>
          </cell>
          <cell r="H2481">
            <v>0</v>
          </cell>
          <cell r="I2481">
            <v>0</v>
          </cell>
          <cell r="J2481">
            <v>21.6</v>
          </cell>
          <cell r="K2481">
            <v>0</v>
          </cell>
          <cell r="L2481">
            <v>6.3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3.8000000000000002E-4</v>
          </cell>
          <cell r="U2481" t="b">
            <v>0</v>
          </cell>
        </row>
        <row r="2482">
          <cell r="A2482" t="str">
            <v>Data split-20;Reg-67</v>
          </cell>
          <cell r="B2482">
            <v>-2.2000000000000002</v>
          </cell>
          <cell r="C2482">
            <v>0.25</v>
          </cell>
          <cell r="D2482">
            <v>0</v>
          </cell>
          <cell r="E2482">
            <v>0</v>
          </cell>
          <cell r="F2482">
            <v>0</v>
          </cell>
          <cell r="G2482">
            <v>0.74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 t="b">
            <v>1</v>
          </cell>
        </row>
        <row r="2483">
          <cell r="A2483" t="str">
            <v>Data split-20;Reg-68</v>
          </cell>
          <cell r="B2483">
            <v>-3.4</v>
          </cell>
          <cell r="C2483">
            <v>0.18</v>
          </cell>
          <cell r="D2483">
            <v>0</v>
          </cell>
          <cell r="E2483">
            <v>0</v>
          </cell>
          <cell r="F2483">
            <v>-5.7000000000000002E-2</v>
          </cell>
          <cell r="G2483">
            <v>1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 t="b">
            <v>0</v>
          </cell>
        </row>
        <row r="2484">
          <cell r="A2484" t="str">
            <v>Data split-20;Reg-69</v>
          </cell>
          <cell r="B2484">
            <v>-3.5</v>
          </cell>
          <cell r="C2484">
            <v>0.13</v>
          </cell>
          <cell r="D2484">
            <v>0</v>
          </cell>
          <cell r="E2484">
            <v>0</v>
          </cell>
          <cell r="F2484">
            <v>0</v>
          </cell>
          <cell r="G2484">
            <v>0.33</v>
          </cell>
          <cell r="H2484">
            <v>0</v>
          </cell>
          <cell r="I2484">
            <v>0</v>
          </cell>
          <cell r="J2484">
            <v>21.2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 t="b">
            <v>0</v>
          </cell>
        </row>
        <row r="2485">
          <cell r="A2485" t="str">
            <v>Data split-20;Reg-70</v>
          </cell>
          <cell r="B2485">
            <v>-5.4</v>
          </cell>
          <cell r="C2485">
            <v>-3.5999999999999997E-2</v>
          </cell>
          <cell r="D2485">
            <v>0</v>
          </cell>
          <cell r="E2485">
            <v>0</v>
          </cell>
          <cell r="F2485">
            <v>0</v>
          </cell>
          <cell r="G2485">
            <v>1.1000000000000001</v>
          </cell>
          <cell r="H2485">
            <v>0</v>
          </cell>
          <cell r="I2485">
            <v>0</v>
          </cell>
          <cell r="J2485">
            <v>17.3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-3.2000000000000001E-2</v>
          </cell>
          <cell r="T2485">
            <v>0</v>
          </cell>
          <cell r="U2485" t="b">
            <v>0</v>
          </cell>
        </row>
        <row r="2486">
          <cell r="A2486" t="str">
            <v>Data split-20;Reg-71</v>
          </cell>
          <cell r="B2486">
            <v>-3</v>
          </cell>
          <cell r="C2486">
            <v>0.23</v>
          </cell>
          <cell r="D2486">
            <v>0</v>
          </cell>
          <cell r="E2486">
            <v>0</v>
          </cell>
          <cell r="F2486">
            <v>-0.02</v>
          </cell>
          <cell r="G2486">
            <v>0</v>
          </cell>
          <cell r="H2486">
            <v>1.8</v>
          </cell>
          <cell r="I2486">
            <v>0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-5.3999999999999999E-2</v>
          </cell>
          <cell r="T2486">
            <v>0</v>
          </cell>
          <cell r="U2486" t="b">
            <v>0</v>
          </cell>
        </row>
        <row r="2487">
          <cell r="A2487" t="str">
            <v>Data split-20;Reg-72</v>
          </cell>
          <cell r="B2487">
            <v>-0.3</v>
          </cell>
          <cell r="C2487">
            <v>0.19</v>
          </cell>
          <cell r="D2487">
            <v>0</v>
          </cell>
          <cell r="E2487">
            <v>0.54</v>
          </cell>
          <cell r="F2487">
            <v>0</v>
          </cell>
          <cell r="G2487">
            <v>0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 t="b">
            <v>1</v>
          </cell>
        </row>
        <row r="2488">
          <cell r="A2488" t="str">
            <v>Data split-20;Reg-73</v>
          </cell>
          <cell r="B2488">
            <v>-0.5</v>
          </cell>
          <cell r="C2488">
            <v>1</v>
          </cell>
          <cell r="D2488">
            <v>0</v>
          </cell>
          <cell r="E2488">
            <v>0</v>
          </cell>
          <cell r="F2488">
            <v>1.7999999999999999E-2</v>
          </cell>
          <cell r="G2488">
            <v>0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 t="b">
            <v>1</v>
          </cell>
        </row>
        <row r="2489">
          <cell r="A2489" t="str">
            <v>Data split-20;Reg-74</v>
          </cell>
          <cell r="B2489">
            <v>-0.18</v>
          </cell>
          <cell r="C2489">
            <v>0</v>
          </cell>
          <cell r="D2489">
            <v>0.13</v>
          </cell>
          <cell r="E2489">
            <v>0.55000000000000004</v>
          </cell>
          <cell r="F2489">
            <v>0</v>
          </cell>
          <cell r="G2489">
            <v>0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 t="b">
            <v>1</v>
          </cell>
        </row>
        <row r="2490">
          <cell r="A2490" t="str">
            <v>Data split-20;Reg-75</v>
          </cell>
          <cell r="B2490">
            <v>0.1</v>
          </cell>
          <cell r="C2490">
            <v>0</v>
          </cell>
          <cell r="D2490">
            <v>0.74</v>
          </cell>
          <cell r="E2490">
            <v>0</v>
          </cell>
          <cell r="F2490">
            <v>3.6999999999999998E-2</v>
          </cell>
          <cell r="G2490">
            <v>0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 t="b">
            <v>0</v>
          </cell>
        </row>
        <row r="2491">
          <cell r="A2491" t="str">
            <v>Data split-20;Reg-76</v>
          </cell>
          <cell r="B2491">
            <v>-2.2000000000000002</v>
          </cell>
          <cell r="C2491">
            <v>0.25</v>
          </cell>
          <cell r="D2491">
            <v>0</v>
          </cell>
          <cell r="E2491">
            <v>0</v>
          </cell>
          <cell r="F2491">
            <v>0</v>
          </cell>
          <cell r="G2491">
            <v>0.74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 t="b">
            <v>1</v>
          </cell>
        </row>
        <row r="2492">
          <cell r="A2492" t="str">
            <v>Data split-20;Reg-77</v>
          </cell>
          <cell r="B2492">
            <v>-1.1000000000000001</v>
          </cell>
          <cell r="C2492">
            <v>0.4</v>
          </cell>
          <cell r="D2492">
            <v>0</v>
          </cell>
          <cell r="E2492">
            <v>0</v>
          </cell>
          <cell r="F2492">
            <v>0</v>
          </cell>
          <cell r="G2492">
            <v>0</v>
          </cell>
          <cell r="H2492">
            <v>0.66</v>
          </cell>
          <cell r="I2492">
            <v>0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 t="b">
            <v>1</v>
          </cell>
        </row>
        <row r="2493">
          <cell r="A2493" t="str">
            <v>Data split-20;Reg-78</v>
          </cell>
          <cell r="B2493">
            <v>-2</v>
          </cell>
          <cell r="C2493">
            <v>0</v>
          </cell>
          <cell r="D2493">
            <v>0.27</v>
          </cell>
          <cell r="E2493">
            <v>0</v>
          </cell>
          <cell r="F2493">
            <v>0</v>
          </cell>
          <cell r="G2493">
            <v>0.66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 t="b">
            <v>1</v>
          </cell>
        </row>
        <row r="2494">
          <cell r="A2494" t="str">
            <v>Data split-20;Reg-79</v>
          </cell>
          <cell r="B2494">
            <v>-0.89</v>
          </cell>
          <cell r="C2494">
            <v>0</v>
          </cell>
          <cell r="D2494">
            <v>0.33</v>
          </cell>
          <cell r="E2494">
            <v>0</v>
          </cell>
          <cell r="F2494">
            <v>0</v>
          </cell>
          <cell r="G2494">
            <v>0</v>
          </cell>
          <cell r="H2494">
            <v>0.62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 t="b">
            <v>1</v>
          </cell>
        </row>
        <row r="2495">
          <cell r="A2495" t="str">
            <v>Data split-20;Reg-80</v>
          </cell>
          <cell r="B2495">
            <v>-0.97</v>
          </cell>
          <cell r="C2495">
            <v>0.65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1.2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 t="b">
            <v>0</v>
          </cell>
        </row>
        <row r="2496">
          <cell r="A2496" t="str">
            <v>Data split-20;Reg-81</v>
          </cell>
          <cell r="B2496">
            <v>-3.7</v>
          </cell>
          <cell r="C2496">
            <v>0.27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30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 t="b">
            <v>0</v>
          </cell>
        </row>
        <row r="2497">
          <cell r="A2497" t="str">
            <v>Data split-20;Reg-82</v>
          </cell>
          <cell r="B2497">
            <v>-0.77</v>
          </cell>
          <cell r="C2497">
            <v>0</v>
          </cell>
          <cell r="D2497">
            <v>0.53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1.2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 t="b">
            <v>0</v>
          </cell>
        </row>
        <row r="2498">
          <cell r="A2498" t="str">
            <v>Data split-20;Reg-83</v>
          </cell>
          <cell r="B2498">
            <v>-3.3</v>
          </cell>
          <cell r="C2498">
            <v>0</v>
          </cell>
          <cell r="D2498">
            <v>0.28999999999999998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27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 t="b">
            <v>0</v>
          </cell>
        </row>
        <row r="2499">
          <cell r="A2499" t="str">
            <v>Data split-20;Reg-84</v>
          </cell>
          <cell r="B2499">
            <v>-0.79</v>
          </cell>
          <cell r="C2499">
            <v>0.64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1.1000000000000001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 t="b">
            <v>0</v>
          </cell>
        </row>
        <row r="2500">
          <cell r="A2500" t="str">
            <v>Data split-20;Reg-85</v>
          </cell>
          <cell r="B2500">
            <v>-3.2</v>
          </cell>
          <cell r="C2500">
            <v>0.16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29.5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 t="b">
            <v>0</v>
          </cell>
        </row>
        <row r="2501">
          <cell r="A2501" t="str">
            <v>Data split-20;Reg-86</v>
          </cell>
          <cell r="B2501">
            <v>-0.63</v>
          </cell>
          <cell r="C2501">
            <v>0</v>
          </cell>
          <cell r="D2501">
            <v>0.52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1.1000000000000001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 t="b">
            <v>0</v>
          </cell>
        </row>
        <row r="2502">
          <cell r="A2502" t="str">
            <v>Data split-20;Reg-87</v>
          </cell>
          <cell r="B2502">
            <v>-2.6</v>
          </cell>
          <cell r="C2502">
            <v>0</v>
          </cell>
          <cell r="D2502">
            <v>0.32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23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 t="b">
            <v>0</v>
          </cell>
        </row>
        <row r="2503">
          <cell r="A2503" t="str">
            <v>Data split-20;Reg-88</v>
          </cell>
          <cell r="B2503">
            <v>-0.25</v>
          </cell>
          <cell r="C2503">
            <v>0.7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0.02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 t="b">
            <v>0</v>
          </cell>
        </row>
        <row r="2504">
          <cell r="A2504" t="str">
            <v>Data split-20;Reg-89</v>
          </cell>
          <cell r="B2504">
            <v>-0.41</v>
          </cell>
          <cell r="C2504">
            <v>0.52</v>
          </cell>
          <cell r="D2504">
            <v>0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6.4000000000000003E-3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 t="b">
            <v>0</v>
          </cell>
        </row>
        <row r="2505">
          <cell r="A2505" t="str">
            <v>Data split-20;Reg-90</v>
          </cell>
          <cell r="B2505">
            <v>7.4999999999999997E-2</v>
          </cell>
          <cell r="C2505">
            <v>0</v>
          </cell>
          <cell r="D2505">
            <v>0.57999999999999996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0</v>
          </cell>
          <cell r="M2505">
            <v>1.7000000000000001E-2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 t="b">
            <v>0</v>
          </cell>
        </row>
        <row r="2506">
          <cell r="A2506" t="str">
            <v>Data split-20;Reg-91</v>
          </cell>
          <cell r="B2506">
            <v>-0.15</v>
          </cell>
          <cell r="C2506">
            <v>0</v>
          </cell>
          <cell r="D2506">
            <v>0.44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5.7999999999999996E-3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 t="b">
            <v>0</v>
          </cell>
        </row>
        <row r="2507">
          <cell r="A2507" t="str">
            <v>Data split-20;Reg-92</v>
          </cell>
          <cell r="B2507">
            <v>-0.69</v>
          </cell>
          <cell r="C2507">
            <v>1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6.3E-3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 t="b">
            <v>0</v>
          </cell>
        </row>
        <row r="2508">
          <cell r="A2508" t="str">
            <v>Data split-20;Reg-93</v>
          </cell>
          <cell r="B2508">
            <v>-0.76</v>
          </cell>
          <cell r="C2508">
            <v>1</v>
          </cell>
          <cell r="D2508">
            <v>0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1.8E-3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 t="b">
            <v>0</v>
          </cell>
        </row>
        <row r="2509">
          <cell r="A2509" t="str">
            <v>Data split-20;Reg-94</v>
          </cell>
          <cell r="B2509">
            <v>-0.36</v>
          </cell>
          <cell r="C2509">
            <v>0</v>
          </cell>
          <cell r="D2509">
            <v>0.75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1.6E-2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 t="b">
            <v>0</v>
          </cell>
        </row>
        <row r="2510">
          <cell r="A2510" t="str">
            <v>Data split-20;Reg-95</v>
          </cell>
          <cell r="B2510">
            <v>-0.56999999999999995</v>
          </cell>
          <cell r="C2510">
            <v>0</v>
          </cell>
          <cell r="D2510">
            <v>0.73</v>
          </cell>
          <cell r="E2510">
            <v>0</v>
          </cell>
          <cell r="F2510">
            <v>0</v>
          </cell>
          <cell r="G2510">
            <v>0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4.1999999999999997E-3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 t="b">
            <v>0</v>
          </cell>
        </row>
        <row r="2511">
          <cell r="A2511" t="str">
            <v>Data split-20;Reg-96</v>
          </cell>
          <cell r="B2511">
            <v>-0.55000000000000004</v>
          </cell>
          <cell r="C2511">
            <v>0.11</v>
          </cell>
          <cell r="D2511">
            <v>0</v>
          </cell>
          <cell r="E2511">
            <v>0.43</v>
          </cell>
          <cell r="F2511">
            <v>0</v>
          </cell>
          <cell r="G2511">
            <v>0</v>
          </cell>
          <cell r="H2511">
            <v>0</v>
          </cell>
          <cell r="I2511">
            <v>0.69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 t="b">
            <v>0</v>
          </cell>
        </row>
        <row r="2512">
          <cell r="A2512" t="str">
            <v>Data split-20;Reg-97</v>
          </cell>
          <cell r="B2512">
            <v>-3</v>
          </cell>
          <cell r="C2512">
            <v>2E-3</v>
          </cell>
          <cell r="D2512">
            <v>0</v>
          </cell>
          <cell r="E2512">
            <v>0.25</v>
          </cell>
          <cell r="F2512">
            <v>0</v>
          </cell>
          <cell r="G2512">
            <v>0</v>
          </cell>
          <cell r="H2512">
            <v>0</v>
          </cell>
          <cell r="I2512">
            <v>0</v>
          </cell>
          <cell r="J2512">
            <v>24.2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 t="b">
            <v>0</v>
          </cell>
        </row>
        <row r="2513">
          <cell r="A2513" t="str">
            <v>Data split-20;Reg-98</v>
          </cell>
          <cell r="B2513">
            <v>-2.6</v>
          </cell>
          <cell r="C2513">
            <v>0.46</v>
          </cell>
          <cell r="D2513">
            <v>0</v>
          </cell>
          <cell r="E2513">
            <v>0</v>
          </cell>
          <cell r="F2513">
            <v>-0.12</v>
          </cell>
          <cell r="G2513">
            <v>0</v>
          </cell>
          <cell r="H2513">
            <v>0</v>
          </cell>
          <cell r="I2513">
            <v>3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 t="b">
            <v>0</v>
          </cell>
        </row>
        <row r="2514">
          <cell r="A2514" t="str">
            <v>Data split-20;Reg-99</v>
          </cell>
          <cell r="B2514">
            <v>-4.9000000000000004</v>
          </cell>
          <cell r="C2514">
            <v>0.27</v>
          </cell>
          <cell r="D2514">
            <v>0</v>
          </cell>
          <cell r="E2514">
            <v>0</v>
          </cell>
          <cell r="F2514">
            <v>-4.4999999999999998E-2</v>
          </cell>
          <cell r="G2514">
            <v>0</v>
          </cell>
          <cell r="H2514">
            <v>0</v>
          </cell>
          <cell r="I2514">
            <v>0</v>
          </cell>
          <cell r="J2514">
            <v>37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 t="b">
            <v>0</v>
          </cell>
        </row>
        <row r="2515">
          <cell r="A2515" t="str">
            <v>Data split-20;Reg-100</v>
          </cell>
          <cell r="B2515">
            <v>-0.63</v>
          </cell>
          <cell r="C2515">
            <v>0</v>
          </cell>
          <cell r="D2515">
            <v>0.28000000000000003</v>
          </cell>
          <cell r="E2515">
            <v>0.25</v>
          </cell>
          <cell r="F2515">
            <v>0</v>
          </cell>
          <cell r="G2515">
            <v>0</v>
          </cell>
          <cell r="H2515">
            <v>0</v>
          </cell>
          <cell r="I2515">
            <v>0.87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 t="b">
            <v>0</v>
          </cell>
        </row>
        <row r="2516">
          <cell r="A2516" t="str">
            <v>Data split-20;Reg-101</v>
          </cell>
          <cell r="B2516">
            <v>-3</v>
          </cell>
          <cell r="C2516">
            <v>0</v>
          </cell>
          <cell r="D2516">
            <v>0.17</v>
          </cell>
          <cell r="E2516">
            <v>0.13</v>
          </cell>
          <cell r="F2516">
            <v>0</v>
          </cell>
          <cell r="G2516">
            <v>0</v>
          </cell>
          <cell r="H2516">
            <v>0</v>
          </cell>
          <cell r="I2516">
            <v>0</v>
          </cell>
          <cell r="J2516">
            <v>24.5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 t="b">
            <v>0</v>
          </cell>
        </row>
        <row r="2517">
          <cell r="A2517" t="str">
            <v>Data split-20;Reg-102</v>
          </cell>
          <cell r="B2517">
            <v>-2.1</v>
          </cell>
          <cell r="C2517">
            <v>0</v>
          </cell>
          <cell r="D2517">
            <v>0.39</v>
          </cell>
          <cell r="E2517">
            <v>0</v>
          </cell>
          <cell r="F2517">
            <v>-9.1999999999999998E-2</v>
          </cell>
          <cell r="G2517">
            <v>0</v>
          </cell>
          <cell r="H2517">
            <v>0</v>
          </cell>
          <cell r="I2517">
            <v>2.6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 t="b">
            <v>0</v>
          </cell>
        </row>
        <row r="2518">
          <cell r="A2518" t="str">
            <v>Data split-20;Reg-103</v>
          </cell>
          <cell r="B2518">
            <v>-4.4000000000000004</v>
          </cell>
          <cell r="C2518">
            <v>0</v>
          </cell>
          <cell r="D2518">
            <v>0.24</v>
          </cell>
          <cell r="E2518">
            <v>0</v>
          </cell>
          <cell r="F2518">
            <v>-3.4000000000000002E-2</v>
          </cell>
          <cell r="G2518">
            <v>0</v>
          </cell>
          <cell r="H2518">
            <v>0</v>
          </cell>
          <cell r="I2518">
            <v>0</v>
          </cell>
          <cell r="J2518">
            <v>34.299999999999997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 t="b">
            <v>0</v>
          </cell>
        </row>
        <row r="2519">
          <cell r="A2519" t="str">
            <v>Data split-20;Reg-104</v>
          </cell>
          <cell r="B2519">
            <v>-0.39</v>
          </cell>
          <cell r="C2519">
            <v>9.5000000000000001E-2</v>
          </cell>
          <cell r="D2519">
            <v>0</v>
          </cell>
          <cell r="E2519">
            <v>0.48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0</v>
          </cell>
          <cell r="K2519">
            <v>0.48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 t="b">
            <v>0</v>
          </cell>
        </row>
        <row r="2520">
          <cell r="A2520" t="str">
            <v>Data split-20;Reg-105</v>
          </cell>
          <cell r="B2520">
            <v>-2.2000000000000002</v>
          </cell>
          <cell r="C2520">
            <v>-0.23</v>
          </cell>
          <cell r="D2520">
            <v>0</v>
          </cell>
          <cell r="E2520">
            <v>0.38</v>
          </cell>
          <cell r="F2520">
            <v>0</v>
          </cell>
          <cell r="G2520">
            <v>0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21.6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 t="b">
            <v>0</v>
          </cell>
        </row>
        <row r="2521">
          <cell r="A2521" t="str">
            <v>Data split-20;Reg-106</v>
          </cell>
          <cell r="B2521">
            <v>-2</v>
          </cell>
          <cell r="C2521">
            <v>0.3</v>
          </cell>
          <cell r="D2521">
            <v>0</v>
          </cell>
          <cell r="E2521">
            <v>0</v>
          </cell>
          <cell r="F2521">
            <v>-9.4E-2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2.9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 t="b">
            <v>0</v>
          </cell>
        </row>
        <row r="2522">
          <cell r="A2522" t="str">
            <v>Data split-20;Reg-107</v>
          </cell>
          <cell r="B2522">
            <v>-3.5</v>
          </cell>
          <cell r="C2522">
            <v>0.16</v>
          </cell>
          <cell r="D2522">
            <v>0</v>
          </cell>
          <cell r="E2522">
            <v>0</v>
          </cell>
          <cell r="F2522">
            <v>-1.4E-2</v>
          </cell>
          <cell r="G2522">
            <v>0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31.5</v>
          </cell>
          <cell r="M2522">
            <v>0</v>
          </cell>
          <cell r="N2522">
            <v>0</v>
          </cell>
          <cell r="O2522">
            <v>0</v>
          </cell>
          <cell r="P2522">
            <v>0</v>
          </cell>
          <cell r="Q2522">
            <v>0</v>
          </cell>
          <cell r="R2522">
            <v>0</v>
          </cell>
          <cell r="S2522">
            <v>0</v>
          </cell>
          <cell r="T2522">
            <v>0</v>
          </cell>
          <cell r="U2522" t="b">
            <v>0</v>
          </cell>
        </row>
        <row r="2523">
          <cell r="A2523" t="str">
            <v>Data split-20;Reg-108</v>
          </cell>
          <cell r="B2523">
            <v>-0.46</v>
          </cell>
          <cell r="C2523">
            <v>0</v>
          </cell>
          <cell r="D2523">
            <v>0.23</v>
          </cell>
          <cell r="E2523">
            <v>0.32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0.68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 t="b">
            <v>0</v>
          </cell>
        </row>
        <row r="2524">
          <cell r="A2524" t="str">
            <v>Data split-20;Reg-109</v>
          </cell>
          <cell r="B2524">
            <v>-2.1</v>
          </cell>
          <cell r="C2524">
            <v>0</v>
          </cell>
          <cell r="D2524">
            <v>9.0999999999999998E-2</v>
          </cell>
          <cell r="E2524">
            <v>0.26</v>
          </cell>
          <cell r="F2524">
            <v>0</v>
          </cell>
          <cell r="G2524">
            <v>0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18.3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 t="b">
            <v>0</v>
          </cell>
        </row>
        <row r="2525">
          <cell r="A2525" t="str">
            <v>Data split-20;Reg-110</v>
          </cell>
          <cell r="B2525">
            <v>-1.5</v>
          </cell>
          <cell r="C2525">
            <v>0</v>
          </cell>
          <cell r="D2525">
            <v>0.39</v>
          </cell>
          <cell r="E2525">
            <v>0</v>
          </cell>
          <cell r="F2525">
            <v>-6.3E-2</v>
          </cell>
          <cell r="G2525">
            <v>0</v>
          </cell>
          <cell r="H2525">
            <v>0</v>
          </cell>
          <cell r="I2525">
            <v>0</v>
          </cell>
          <cell r="J2525">
            <v>0</v>
          </cell>
          <cell r="K2525">
            <v>2.2000000000000002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 t="b">
            <v>0</v>
          </cell>
        </row>
        <row r="2526">
          <cell r="A2526" t="str">
            <v>Data split-20;Reg-111</v>
          </cell>
          <cell r="B2526">
            <v>-2.7</v>
          </cell>
          <cell r="C2526">
            <v>0</v>
          </cell>
          <cell r="D2526">
            <v>0.32</v>
          </cell>
          <cell r="E2526">
            <v>0</v>
          </cell>
          <cell r="F2526">
            <v>-5.4999999999999997E-3</v>
          </cell>
          <cell r="G2526">
            <v>0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24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 t="b">
            <v>0</v>
          </cell>
        </row>
        <row r="2527">
          <cell r="A2527" t="str">
            <v>Data split-20;Reg-112</v>
          </cell>
          <cell r="B2527">
            <v>-2.2000000000000002</v>
          </cell>
          <cell r="C2527">
            <v>0.25</v>
          </cell>
          <cell r="D2527">
            <v>0</v>
          </cell>
          <cell r="E2527">
            <v>0</v>
          </cell>
          <cell r="F2527">
            <v>0</v>
          </cell>
          <cell r="G2527">
            <v>0.7</v>
          </cell>
          <cell r="H2527">
            <v>0</v>
          </cell>
          <cell r="I2527">
            <v>0.12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 t="b">
            <v>0</v>
          </cell>
        </row>
        <row r="2528">
          <cell r="A2528" t="str">
            <v>Data split-20;Reg-113</v>
          </cell>
          <cell r="B2528">
            <v>-3.5</v>
          </cell>
          <cell r="C2528">
            <v>0.13</v>
          </cell>
          <cell r="D2528">
            <v>0</v>
          </cell>
          <cell r="E2528">
            <v>0</v>
          </cell>
          <cell r="F2528">
            <v>0</v>
          </cell>
          <cell r="G2528">
            <v>0.33</v>
          </cell>
          <cell r="H2528">
            <v>0</v>
          </cell>
          <cell r="I2528">
            <v>0</v>
          </cell>
          <cell r="J2528">
            <v>21.2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 t="b">
            <v>0</v>
          </cell>
        </row>
        <row r="2529">
          <cell r="A2529" t="str">
            <v>Data split-20;Reg-114</v>
          </cell>
          <cell r="B2529">
            <v>-1.1000000000000001</v>
          </cell>
          <cell r="C2529">
            <v>0.39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0.63</v>
          </cell>
          <cell r="I2529">
            <v>0.1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 t="b">
            <v>0</v>
          </cell>
        </row>
        <row r="2530">
          <cell r="A2530" t="str">
            <v>Data split-20;Reg-115</v>
          </cell>
          <cell r="B2530">
            <v>-3.1</v>
          </cell>
          <cell r="C2530">
            <v>0.2</v>
          </cell>
          <cell r="D2530">
            <v>0</v>
          </cell>
          <cell r="E2530">
            <v>0</v>
          </cell>
          <cell r="F2530">
            <v>0</v>
          </cell>
          <cell r="G2530">
            <v>0</v>
          </cell>
          <cell r="H2530">
            <v>0.27</v>
          </cell>
          <cell r="I2530">
            <v>0</v>
          </cell>
          <cell r="J2530">
            <v>22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 t="b">
            <v>0</v>
          </cell>
        </row>
        <row r="2531">
          <cell r="A2531" t="str">
            <v>Data split-20;Reg-116</v>
          </cell>
          <cell r="B2531">
            <v>-1.8</v>
          </cell>
          <cell r="C2531">
            <v>0</v>
          </cell>
          <cell r="D2531">
            <v>0.28999999999999998</v>
          </cell>
          <cell r="E2531">
            <v>0</v>
          </cell>
          <cell r="F2531">
            <v>0</v>
          </cell>
          <cell r="G2531">
            <v>0.53</v>
          </cell>
          <cell r="H2531">
            <v>0</v>
          </cell>
          <cell r="I2531">
            <v>0.35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 t="b">
            <v>0</v>
          </cell>
        </row>
        <row r="2532">
          <cell r="A2532" t="str">
            <v>Data split-20;Reg-117</v>
          </cell>
          <cell r="B2532">
            <v>-3.2</v>
          </cell>
          <cell r="C2532">
            <v>0</v>
          </cell>
          <cell r="D2532">
            <v>0.21</v>
          </cell>
          <cell r="E2532">
            <v>0</v>
          </cell>
          <cell r="F2532">
            <v>0</v>
          </cell>
          <cell r="G2532">
            <v>0.24</v>
          </cell>
          <cell r="H2532">
            <v>0</v>
          </cell>
          <cell r="I2532">
            <v>0</v>
          </cell>
          <cell r="J2532">
            <v>20.6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 t="b">
            <v>0</v>
          </cell>
        </row>
        <row r="2533">
          <cell r="A2533" t="str">
            <v>Data split-20;Reg-118</v>
          </cell>
          <cell r="B2533">
            <v>-0.94</v>
          </cell>
          <cell r="C2533">
            <v>0</v>
          </cell>
          <cell r="D2533">
            <v>0.35</v>
          </cell>
          <cell r="E2533">
            <v>0</v>
          </cell>
          <cell r="F2533">
            <v>0</v>
          </cell>
          <cell r="G2533">
            <v>0</v>
          </cell>
          <cell r="H2533">
            <v>0.44</v>
          </cell>
          <cell r="I2533">
            <v>0.5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 t="b">
            <v>0</v>
          </cell>
        </row>
        <row r="2534">
          <cell r="A2534" t="str">
            <v>Data split-20;Reg-119</v>
          </cell>
          <cell r="B2534">
            <v>-3</v>
          </cell>
          <cell r="C2534">
            <v>0</v>
          </cell>
          <cell r="D2534">
            <v>0.24</v>
          </cell>
          <cell r="E2534">
            <v>0</v>
          </cell>
          <cell r="F2534">
            <v>0</v>
          </cell>
          <cell r="G2534">
            <v>0</v>
          </cell>
          <cell r="H2534">
            <v>0.18</v>
          </cell>
          <cell r="I2534">
            <v>0</v>
          </cell>
          <cell r="J2534">
            <v>22.3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 t="b">
            <v>0</v>
          </cell>
        </row>
        <row r="2535">
          <cell r="A2535" t="str">
            <v>Data split-20;Reg-120</v>
          </cell>
          <cell r="B2535">
            <v>-2.6</v>
          </cell>
          <cell r="C2535">
            <v>0.34</v>
          </cell>
          <cell r="D2535">
            <v>0</v>
          </cell>
          <cell r="E2535">
            <v>0</v>
          </cell>
          <cell r="F2535">
            <v>0</v>
          </cell>
          <cell r="G2535">
            <v>0.95</v>
          </cell>
          <cell r="H2535">
            <v>0</v>
          </cell>
          <cell r="I2535">
            <v>0</v>
          </cell>
          <cell r="J2535">
            <v>0</v>
          </cell>
          <cell r="K2535">
            <v>-0.79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 t="b">
            <v>1</v>
          </cell>
        </row>
        <row r="2536">
          <cell r="A2536" t="str">
            <v>Data split-20;Reg-121</v>
          </cell>
          <cell r="B2536">
            <v>-2.9</v>
          </cell>
          <cell r="C2536">
            <v>8.2000000000000003E-2</v>
          </cell>
          <cell r="D2536">
            <v>0</v>
          </cell>
          <cell r="E2536">
            <v>0</v>
          </cell>
          <cell r="F2536">
            <v>0</v>
          </cell>
          <cell r="G2536">
            <v>0.54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12.4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 t="b">
            <v>0</v>
          </cell>
        </row>
        <row r="2537">
          <cell r="A2537" t="str">
            <v>Data split-20;Reg-122</v>
          </cell>
          <cell r="B2537">
            <v>-1.2</v>
          </cell>
          <cell r="C2537">
            <v>0.47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0.75</v>
          </cell>
          <cell r="I2537">
            <v>0</v>
          </cell>
          <cell r="J2537">
            <v>0</v>
          </cell>
          <cell r="K2537">
            <v>-0.4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 t="b">
            <v>1</v>
          </cell>
        </row>
        <row r="2538">
          <cell r="A2538" t="str">
            <v>Data split-20;Reg-123</v>
          </cell>
          <cell r="B2538">
            <v>-2.4</v>
          </cell>
          <cell r="C2538">
            <v>8.8999999999999996E-2</v>
          </cell>
          <cell r="D2538">
            <v>0</v>
          </cell>
          <cell r="E2538">
            <v>0</v>
          </cell>
          <cell r="F2538">
            <v>0</v>
          </cell>
          <cell r="G2538">
            <v>0</v>
          </cell>
          <cell r="H2538">
            <v>0.47</v>
          </cell>
          <cell r="I2538">
            <v>0</v>
          </cell>
          <cell r="J2538">
            <v>0</v>
          </cell>
          <cell r="K2538">
            <v>0</v>
          </cell>
          <cell r="L2538">
            <v>16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 t="b">
            <v>0</v>
          </cell>
        </row>
        <row r="2539">
          <cell r="A2539" t="str">
            <v>Data split-20;Reg-124</v>
          </cell>
          <cell r="B2539">
            <v>-2.1</v>
          </cell>
          <cell r="C2539">
            <v>0</v>
          </cell>
          <cell r="D2539">
            <v>0.26</v>
          </cell>
          <cell r="E2539">
            <v>0</v>
          </cell>
          <cell r="F2539">
            <v>0</v>
          </cell>
          <cell r="G2539">
            <v>0.77</v>
          </cell>
          <cell r="H2539">
            <v>0</v>
          </cell>
          <cell r="I2539">
            <v>0</v>
          </cell>
          <cell r="J2539">
            <v>0</v>
          </cell>
          <cell r="K2539">
            <v>-0.28999999999999998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 t="b">
            <v>1</v>
          </cell>
        </row>
        <row r="2540">
          <cell r="A2540" t="str">
            <v>Data split-20;Reg-125</v>
          </cell>
          <cell r="B2540">
            <v>-2.5</v>
          </cell>
          <cell r="C2540">
            <v>0</v>
          </cell>
          <cell r="D2540">
            <v>0.22</v>
          </cell>
          <cell r="E2540">
            <v>0</v>
          </cell>
          <cell r="F2540">
            <v>0</v>
          </cell>
          <cell r="G2540">
            <v>0.43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11.1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 t="b">
            <v>0</v>
          </cell>
        </row>
        <row r="2541">
          <cell r="A2541" t="str">
            <v>Data split-20;Reg-126</v>
          </cell>
          <cell r="B2541">
            <v>-0.9</v>
          </cell>
          <cell r="C2541">
            <v>0</v>
          </cell>
          <cell r="D2541">
            <v>0.33</v>
          </cell>
          <cell r="E2541">
            <v>0</v>
          </cell>
          <cell r="F2541">
            <v>0</v>
          </cell>
          <cell r="G2541">
            <v>0</v>
          </cell>
          <cell r="H2541">
            <v>0.55000000000000004</v>
          </cell>
          <cell r="I2541">
            <v>0</v>
          </cell>
          <cell r="J2541">
            <v>0</v>
          </cell>
          <cell r="K2541">
            <v>0.22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 t="b">
            <v>0</v>
          </cell>
        </row>
        <row r="2542">
          <cell r="A2542" t="str">
            <v>Data split-20;Reg-127</v>
          </cell>
          <cell r="B2542">
            <v>-2.1</v>
          </cell>
          <cell r="C2542">
            <v>0</v>
          </cell>
          <cell r="D2542">
            <v>0.2</v>
          </cell>
          <cell r="E2542">
            <v>0</v>
          </cell>
          <cell r="F2542">
            <v>0</v>
          </cell>
          <cell r="G2542">
            <v>0</v>
          </cell>
          <cell r="H2542">
            <v>0.38</v>
          </cell>
          <cell r="I2542">
            <v>0</v>
          </cell>
          <cell r="J2542">
            <v>0</v>
          </cell>
          <cell r="K2542">
            <v>0</v>
          </cell>
          <cell r="L2542">
            <v>14.5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 t="b">
            <v>0</v>
          </cell>
        </row>
        <row r="2546">
          <cell r="A2546" t="str">
            <v>Data split-1;Reg-1</v>
          </cell>
          <cell r="B2546">
            <v>-2.6</v>
          </cell>
          <cell r="C2546">
            <v>1.9</v>
          </cell>
          <cell r="D2546">
            <v>0</v>
          </cell>
          <cell r="E2546">
            <v>0</v>
          </cell>
          <cell r="F2546">
            <v>9.9000000000000005E-2</v>
          </cell>
          <cell r="G2546">
            <v>0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0.27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 t="b">
            <v>0</v>
          </cell>
        </row>
        <row r="2547">
          <cell r="A2547" t="str">
            <v>Data split-1;Reg-2</v>
          </cell>
          <cell r="B2547">
            <v>-3.3</v>
          </cell>
          <cell r="C2547">
            <v>1.6</v>
          </cell>
          <cell r="D2547">
            <v>0</v>
          </cell>
          <cell r="E2547">
            <v>0</v>
          </cell>
          <cell r="F2547">
            <v>7.3999999999999996E-2</v>
          </cell>
          <cell r="G2547">
            <v>0.96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0</v>
          </cell>
          <cell r="M2547">
            <v>-6.3E-2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 t="b">
            <v>1</v>
          </cell>
        </row>
        <row r="2548">
          <cell r="A2548" t="str">
            <v>Data split-1;Reg-3</v>
          </cell>
          <cell r="B2548">
            <v>-3.6</v>
          </cell>
          <cell r="C2548">
            <v>1.6</v>
          </cell>
          <cell r="D2548">
            <v>0</v>
          </cell>
          <cell r="E2548">
            <v>0</v>
          </cell>
          <cell r="F2548">
            <v>6.6000000000000003E-2</v>
          </cell>
          <cell r="G2548">
            <v>0.97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-1.0999999999999999E-2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 t="b">
            <v>1</v>
          </cell>
        </row>
        <row r="2549">
          <cell r="A2549" t="str">
            <v>Data split-1;Reg-4</v>
          </cell>
          <cell r="B2549">
            <v>-3.2</v>
          </cell>
          <cell r="C2549">
            <v>1.2</v>
          </cell>
          <cell r="D2549">
            <v>0</v>
          </cell>
          <cell r="E2549">
            <v>0</v>
          </cell>
          <cell r="F2549">
            <v>2.1999999999999999E-2</v>
          </cell>
          <cell r="G2549">
            <v>0</v>
          </cell>
          <cell r="H2549">
            <v>2.4</v>
          </cell>
          <cell r="I2549">
            <v>0</v>
          </cell>
          <cell r="J2549">
            <v>0</v>
          </cell>
          <cell r="K2549">
            <v>0</v>
          </cell>
          <cell r="L2549">
            <v>0</v>
          </cell>
          <cell r="M2549">
            <v>-8.1000000000000003E-2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 t="b">
            <v>1</v>
          </cell>
        </row>
        <row r="2550">
          <cell r="A2550" t="str">
            <v>Data split-1;Reg-5</v>
          </cell>
          <cell r="B2550">
            <v>-1.3</v>
          </cell>
          <cell r="C2550">
            <v>0</v>
          </cell>
          <cell r="D2550">
            <v>0.55000000000000004</v>
          </cell>
          <cell r="E2550">
            <v>0</v>
          </cell>
          <cell r="F2550">
            <v>2.5000000000000001E-2</v>
          </cell>
          <cell r="G2550">
            <v>0</v>
          </cell>
          <cell r="H2550">
            <v>3.1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-7.8E-2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 t="b">
            <v>1</v>
          </cell>
        </row>
        <row r="2551">
          <cell r="A2551" t="str">
            <v>Data split-1;Reg-6</v>
          </cell>
          <cell r="B2551">
            <v>-1.7</v>
          </cell>
          <cell r="C2551">
            <v>1.2</v>
          </cell>
          <cell r="D2551">
            <v>0</v>
          </cell>
          <cell r="E2551">
            <v>1.6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0.56999999999999995</v>
          </cell>
          <cell r="M2551">
            <v>-6.7000000000000004E-2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 t="b">
            <v>0</v>
          </cell>
        </row>
        <row r="2552">
          <cell r="A2552" t="str">
            <v>Data split-1;Reg-7</v>
          </cell>
          <cell r="B2552">
            <v>-4.3</v>
          </cell>
          <cell r="C2552">
            <v>1.6</v>
          </cell>
          <cell r="D2552">
            <v>0</v>
          </cell>
          <cell r="E2552">
            <v>0</v>
          </cell>
          <cell r="F2552">
            <v>3.5999999999999997E-2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0.56000000000000005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0.06</v>
          </cell>
          <cell r="T2552">
            <v>0</v>
          </cell>
          <cell r="U2552" t="b">
            <v>0</v>
          </cell>
        </row>
        <row r="2553">
          <cell r="A2553" t="str">
            <v>Data split-1;Reg-8</v>
          </cell>
          <cell r="B2553">
            <v>-4.0999999999999996</v>
          </cell>
          <cell r="C2553">
            <v>1.5</v>
          </cell>
          <cell r="D2553">
            <v>0</v>
          </cell>
          <cell r="E2553">
            <v>0</v>
          </cell>
          <cell r="F2553">
            <v>0</v>
          </cell>
          <cell r="G2553">
            <v>0.67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-0.48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0.01</v>
          </cell>
          <cell r="T2553">
            <v>0</v>
          </cell>
          <cell r="U2553" t="b">
            <v>0</v>
          </cell>
        </row>
        <row r="2554">
          <cell r="A2554" t="str">
            <v>Data split-1;Reg-9</v>
          </cell>
          <cell r="B2554">
            <v>-3</v>
          </cell>
          <cell r="C2554">
            <v>0</v>
          </cell>
          <cell r="D2554">
            <v>0.47</v>
          </cell>
          <cell r="E2554">
            <v>0</v>
          </cell>
          <cell r="F2554">
            <v>0</v>
          </cell>
          <cell r="G2554">
            <v>0</v>
          </cell>
          <cell r="H2554">
            <v>3.4</v>
          </cell>
          <cell r="I2554">
            <v>0</v>
          </cell>
          <cell r="J2554">
            <v>0</v>
          </cell>
          <cell r="K2554">
            <v>0</v>
          </cell>
          <cell r="L2554">
            <v>2.4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-8.4000000000000005E-2</v>
          </cell>
          <cell r="T2554">
            <v>0</v>
          </cell>
          <cell r="U2554" t="b">
            <v>0</v>
          </cell>
        </row>
        <row r="2555">
          <cell r="A2555" t="str">
            <v>Data split-1;Reg-10</v>
          </cell>
          <cell r="B2555">
            <v>-3</v>
          </cell>
          <cell r="C2555">
            <v>0</v>
          </cell>
          <cell r="D2555">
            <v>0.47</v>
          </cell>
          <cell r="E2555">
            <v>0</v>
          </cell>
          <cell r="F2555">
            <v>0</v>
          </cell>
          <cell r="G2555">
            <v>0</v>
          </cell>
          <cell r="H2555">
            <v>3.4</v>
          </cell>
          <cell r="I2555">
            <v>0</v>
          </cell>
          <cell r="J2555">
            <v>0</v>
          </cell>
          <cell r="K2555">
            <v>0</v>
          </cell>
          <cell r="L2555">
            <v>2.4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-8.4000000000000005E-2</v>
          </cell>
          <cell r="T2555">
            <v>0</v>
          </cell>
          <cell r="U2555" t="b">
            <v>0</v>
          </cell>
        </row>
        <row r="2556">
          <cell r="A2556" t="str">
            <v>Data split-1;Reg-11</v>
          </cell>
          <cell r="B2556">
            <v>-3.4</v>
          </cell>
          <cell r="C2556">
            <v>1.3</v>
          </cell>
          <cell r="D2556">
            <v>0</v>
          </cell>
          <cell r="E2556">
            <v>0.62</v>
          </cell>
          <cell r="F2556">
            <v>0</v>
          </cell>
          <cell r="G2556">
            <v>0.38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 t="b">
            <v>1</v>
          </cell>
        </row>
        <row r="2557">
          <cell r="A2557" t="str">
            <v>Data split-1;Reg-12</v>
          </cell>
          <cell r="B2557">
            <v>-4.7</v>
          </cell>
          <cell r="C2557">
            <v>1.2</v>
          </cell>
          <cell r="D2557">
            <v>0</v>
          </cell>
          <cell r="E2557">
            <v>-0.54</v>
          </cell>
          <cell r="F2557">
            <v>0</v>
          </cell>
          <cell r="G2557">
            <v>0</v>
          </cell>
          <cell r="H2557">
            <v>2.2999999999999998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 t="b">
            <v>0</v>
          </cell>
        </row>
        <row r="2558">
          <cell r="A2558" t="str">
            <v>Data split-1;Reg-13</v>
          </cell>
          <cell r="B2558">
            <v>-4</v>
          </cell>
          <cell r="C2558">
            <v>1.5</v>
          </cell>
          <cell r="D2558">
            <v>0</v>
          </cell>
          <cell r="E2558">
            <v>0</v>
          </cell>
          <cell r="F2558">
            <v>0.04</v>
          </cell>
          <cell r="G2558">
            <v>0.67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 t="b">
            <v>1</v>
          </cell>
        </row>
        <row r="2559">
          <cell r="A2559" t="str">
            <v>Data split-1;Reg-14</v>
          </cell>
          <cell r="B2559">
            <v>-4.2</v>
          </cell>
          <cell r="C2559">
            <v>1.1000000000000001</v>
          </cell>
          <cell r="D2559">
            <v>0</v>
          </cell>
          <cell r="E2559">
            <v>0</v>
          </cell>
          <cell r="F2559">
            <v>-9.4999999999999998E-3</v>
          </cell>
          <cell r="G2559">
            <v>0</v>
          </cell>
          <cell r="H2559">
            <v>1.7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 t="b">
            <v>0</v>
          </cell>
        </row>
        <row r="2560">
          <cell r="A2560" t="str">
            <v>Data split-1;Reg-15</v>
          </cell>
          <cell r="B2560">
            <v>-1.3</v>
          </cell>
          <cell r="C2560">
            <v>1.2</v>
          </cell>
          <cell r="D2560">
            <v>0</v>
          </cell>
          <cell r="E2560">
            <v>1.6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-6.7000000000000004E-2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 t="b">
            <v>1</v>
          </cell>
        </row>
        <row r="2561">
          <cell r="A2561" t="str">
            <v>Data split-1;Reg-16</v>
          </cell>
          <cell r="B2561">
            <v>-1.5</v>
          </cell>
          <cell r="C2561">
            <v>1.2</v>
          </cell>
          <cell r="D2561">
            <v>0</v>
          </cell>
          <cell r="E2561">
            <v>1.6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-1.2E-2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 t="b">
            <v>1</v>
          </cell>
        </row>
        <row r="2562">
          <cell r="A2562" t="str">
            <v>Data split-1;Reg-17</v>
          </cell>
          <cell r="B2562">
            <v>-2.7</v>
          </cell>
          <cell r="C2562">
            <v>1.8</v>
          </cell>
          <cell r="D2562">
            <v>0</v>
          </cell>
          <cell r="E2562">
            <v>0</v>
          </cell>
          <cell r="F2562">
            <v>8.5000000000000006E-2</v>
          </cell>
          <cell r="G2562">
            <v>0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0</v>
          </cell>
          <cell r="M2562">
            <v>1.4999999999999999E-2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 t="b">
            <v>0</v>
          </cell>
        </row>
        <row r="2563">
          <cell r="A2563" t="str">
            <v>Data split-1;Reg-18</v>
          </cell>
          <cell r="B2563">
            <v>-3</v>
          </cell>
          <cell r="C2563">
            <v>1.7</v>
          </cell>
          <cell r="D2563">
            <v>0</v>
          </cell>
          <cell r="E2563">
            <v>0</v>
          </cell>
          <cell r="F2563">
            <v>6.6000000000000003E-2</v>
          </cell>
          <cell r="G2563">
            <v>0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6.7999999999999996E-3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 t="b">
            <v>0</v>
          </cell>
        </row>
        <row r="2564">
          <cell r="A2564" t="str">
            <v>Data split-1;Reg-19</v>
          </cell>
          <cell r="B2564">
            <v>-4.4000000000000004</v>
          </cell>
          <cell r="C2564">
            <v>1.5</v>
          </cell>
          <cell r="D2564">
            <v>0</v>
          </cell>
          <cell r="E2564">
            <v>0</v>
          </cell>
          <cell r="F2564">
            <v>0</v>
          </cell>
          <cell r="G2564">
            <v>0.88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-1.9E-2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 t="b">
            <v>1</v>
          </cell>
        </row>
        <row r="2565">
          <cell r="A2565" t="str">
            <v>Data split-1;Reg-20</v>
          </cell>
          <cell r="B2565">
            <v>-4.4000000000000004</v>
          </cell>
          <cell r="C2565">
            <v>1.5</v>
          </cell>
          <cell r="D2565">
            <v>0</v>
          </cell>
          <cell r="E2565">
            <v>0</v>
          </cell>
          <cell r="F2565">
            <v>0</v>
          </cell>
          <cell r="G2565">
            <v>0.87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-3.3E-3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 t="b">
            <v>1</v>
          </cell>
        </row>
        <row r="2566">
          <cell r="A2566" t="str">
            <v>Data split-1;Reg-21</v>
          </cell>
          <cell r="B2566">
            <v>-3.9</v>
          </cell>
          <cell r="C2566">
            <v>0.98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2.2999999999999998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-4.4999999999999998E-2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 t="b">
            <v>1</v>
          </cell>
        </row>
        <row r="2567">
          <cell r="A2567" t="str">
            <v>Data split-1;Reg-22</v>
          </cell>
          <cell r="B2567">
            <v>-4.0999999999999996</v>
          </cell>
          <cell r="C2567">
            <v>1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2.2999999999999998</v>
          </cell>
          <cell r="I2567">
            <v>0</v>
          </cell>
          <cell r="J2567">
            <v>0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-7.4999999999999997E-3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 t="b">
            <v>1</v>
          </cell>
        </row>
        <row r="2568">
          <cell r="A2568" t="str">
            <v>Data split-1;Reg-23</v>
          </cell>
          <cell r="B2568">
            <v>-0.14000000000000001</v>
          </cell>
          <cell r="C2568">
            <v>0</v>
          </cell>
          <cell r="D2568">
            <v>0.57999999999999996</v>
          </cell>
          <cell r="E2568">
            <v>1.5</v>
          </cell>
          <cell r="F2568">
            <v>0</v>
          </cell>
          <cell r="G2568">
            <v>0.11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 t="b">
            <v>1</v>
          </cell>
        </row>
        <row r="2569">
          <cell r="A2569" t="str">
            <v>Data split-1;Reg-24</v>
          </cell>
          <cell r="B2569">
            <v>-2.2000000000000002</v>
          </cell>
          <cell r="C2569">
            <v>0</v>
          </cell>
          <cell r="D2569">
            <v>0.52</v>
          </cell>
          <cell r="E2569">
            <v>5.6000000000000001E-2</v>
          </cell>
          <cell r="F2569">
            <v>0</v>
          </cell>
          <cell r="G2569">
            <v>0</v>
          </cell>
          <cell r="H2569">
            <v>2.4</v>
          </cell>
          <cell r="I2569">
            <v>0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 t="b">
            <v>1</v>
          </cell>
        </row>
        <row r="2570">
          <cell r="A2570" t="str">
            <v>Data split-1;Reg-25</v>
          </cell>
          <cell r="B2570">
            <v>-0.84</v>
          </cell>
          <cell r="C2570">
            <v>0</v>
          </cell>
          <cell r="D2570">
            <v>1</v>
          </cell>
          <cell r="E2570">
            <v>0</v>
          </cell>
          <cell r="F2570">
            <v>8.6999999999999994E-2</v>
          </cell>
          <cell r="G2570">
            <v>0.87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 t="b">
            <v>1</v>
          </cell>
        </row>
        <row r="2571">
          <cell r="A2571" t="str">
            <v>Data split-1;Reg-26</v>
          </cell>
          <cell r="B2571">
            <v>-2.2999999999999998</v>
          </cell>
          <cell r="C2571">
            <v>0</v>
          </cell>
          <cell r="D2571">
            <v>0.53</v>
          </cell>
          <cell r="E2571">
            <v>0</v>
          </cell>
          <cell r="F2571">
            <v>-6.0000000000000001E-3</v>
          </cell>
          <cell r="G2571">
            <v>0</v>
          </cell>
          <cell r="H2571">
            <v>2.5</v>
          </cell>
          <cell r="I2571">
            <v>0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 t="b">
            <v>0</v>
          </cell>
        </row>
        <row r="2572">
          <cell r="A2572" t="str">
            <v>Data split-1;Reg-27</v>
          </cell>
          <cell r="B2572">
            <v>1.4</v>
          </cell>
          <cell r="C2572">
            <v>0</v>
          </cell>
          <cell r="D2572">
            <v>0.55000000000000004</v>
          </cell>
          <cell r="E2572">
            <v>2.2999999999999998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-7.5999999999999998E-2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 t="b">
            <v>0</v>
          </cell>
        </row>
        <row r="2573">
          <cell r="A2573" t="str">
            <v>Data split-1;Reg-28</v>
          </cell>
          <cell r="B2573">
            <v>1.2</v>
          </cell>
          <cell r="C2573">
            <v>0</v>
          </cell>
          <cell r="D2573">
            <v>0.56000000000000005</v>
          </cell>
          <cell r="E2573">
            <v>2.2999999999999998</v>
          </cell>
          <cell r="F2573">
            <v>0</v>
          </cell>
          <cell r="G2573">
            <v>0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-1.4E-2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 t="b">
            <v>0</v>
          </cell>
        </row>
        <row r="2574">
          <cell r="A2574" t="str">
            <v>Data split-1;Reg-29</v>
          </cell>
          <cell r="B2574">
            <v>0.49</v>
          </cell>
          <cell r="C2574">
            <v>0</v>
          </cell>
          <cell r="D2574">
            <v>1.2</v>
          </cell>
          <cell r="E2574">
            <v>0</v>
          </cell>
          <cell r="F2574">
            <v>0.12</v>
          </cell>
          <cell r="G2574">
            <v>0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0</v>
          </cell>
          <cell r="M2574">
            <v>4.4999999999999998E-2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 t="b">
            <v>0</v>
          </cell>
        </row>
        <row r="2575">
          <cell r="A2575" t="str">
            <v>Data split-1;Reg-30</v>
          </cell>
          <cell r="B2575">
            <v>-2.8000000000000001E-2</v>
          </cell>
          <cell r="C2575">
            <v>0</v>
          </cell>
          <cell r="D2575">
            <v>1.1000000000000001</v>
          </cell>
          <cell r="E2575">
            <v>0</v>
          </cell>
          <cell r="F2575">
            <v>0.1</v>
          </cell>
          <cell r="G2575">
            <v>0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1.2999999999999999E-2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 t="b">
            <v>0</v>
          </cell>
        </row>
        <row r="2576">
          <cell r="A2576" t="str">
            <v>Data split-1;Reg-31</v>
          </cell>
          <cell r="B2576">
            <v>-1.8</v>
          </cell>
          <cell r="C2576">
            <v>0</v>
          </cell>
          <cell r="D2576">
            <v>1</v>
          </cell>
          <cell r="E2576">
            <v>0</v>
          </cell>
          <cell r="F2576">
            <v>0</v>
          </cell>
          <cell r="G2576">
            <v>1.4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-5.6000000000000001E-2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 t="b">
            <v>1</v>
          </cell>
        </row>
        <row r="2577">
          <cell r="A2577" t="str">
            <v>Data split-1;Reg-32</v>
          </cell>
          <cell r="B2577">
            <v>-2.1</v>
          </cell>
          <cell r="C2577">
            <v>0</v>
          </cell>
          <cell r="D2577">
            <v>1</v>
          </cell>
          <cell r="E2577">
            <v>0</v>
          </cell>
          <cell r="F2577">
            <v>0</v>
          </cell>
          <cell r="G2577">
            <v>1.5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-1.0999999999999999E-2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 t="b">
            <v>1</v>
          </cell>
        </row>
        <row r="2578">
          <cell r="A2578" t="str">
            <v>Data split-1;Reg-33</v>
          </cell>
          <cell r="B2578">
            <v>-2.4</v>
          </cell>
          <cell r="C2578">
            <v>0</v>
          </cell>
          <cell r="D2578">
            <v>0.38</v>
          </cell>
          <cell r="E2578">
            <v>0</v>
          </cell>
          <cell r="F2578">
            <v>0</v>
          </cell>
          <cell r="G2578">
            <v>0</v>
          </cell>
          <cell r="H2578">
            <v>3.4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-8.2000000000000003E-2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 t="b">
            <v>1</v>
          </cell>
        </row>
        <row r="2579">
          <cell r="A2579" t="str">
            <v>Data split-1;Reg-34</v>
          </cell>
          <cell r="B2579">
            <v>-2.6</v>
          </cell>
          <cell r="C2579">
            <v>0</v>
          </cell>
          <cell r="D2579">
            <v>0.42</v>
          </cell>
          <cell r="E2579">
            <v>0</v>
          </cell>
          <cell r="F2579">
            <v>0</v>
          </cell>
          <cell r="G2579">
            <v>0</v>
          </cell>
          <cell r="H2579">
            <v>3.4</v>
          </cell>
          <cell r="I2579">
            <v>0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-1.4999999999999999E-2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 t="b">
            <v>1</v>
          </cell>
        </row>
        <row r="2580">
          <cell r="A2580" t="str">
            <v>Data split-1;Reg-35</v>
          </cell>
          <cell r="B2580">
            <v>-2.2999999999999998</v>
          </cell>
          <cell r="C2580">
            <v>1.3</v>
          </cell>
          <cell r="D2580">
            <v>0</v>
          </cell>
          <cell r="E2580">
            <v>1.1000000000000001</v>
          </cell>
          <cell r="F2580">
            <v>0</v>
          </cell>
          <cell r="G2580">
            <v>0.55000000000000004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-8.2000000000000003E-2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 t="b">
            <v>1</v>
          </cell>
        </row>
        <row r="2581">
          <cell r="A2581" t="str">
            <v>Data split-1;Reg-36</v>
          </cell>
          <cell r="B2581">
            <v>-2.5</v>
          </cell>
          <cell r="C2581">
            <v>1.3</v>
          </cell>
          <cell r="D2581">
            <v>0</v>
          </cell>
          <cell r="E2581">
            <v>1.1000000000000001</v>
          </cell>
          <cell r="F2581">
            <v>0</v>
          </cell>
          <cell r="G2581">
            <v>0.61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-1.7000000000000001E-2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 t="b">
            <v>1</v>
          </cell>
        </row>
        <row r="2582">
          <cell r="A2582" t="str">
            <v>Data split-1;Reg-37</v>
          </cell>
          <cell r="B2582">
            <v>-3.5</v>
          </cell>
          <cell r="C2582">
            <v>1.2</v>
          </cell>
          <cell r="D2582">
            <v>0</v>
          </cell>
          <cell r="E2582">
            <v>-2.4E-2</v>
          </cell>
          <cell r="F2582">
            <v>0</v>
          </cell>
          <cell r="G2582">
            <v>0</v>
          </cell>
          <cell r="H2582">
            <v>2.5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-7.6999999999999999E-2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 t="b">
            <v>0</v>
          </cell>
        </row>
        <row r="2583">
          <cell r="A2583" t="str">
            <v>Data split-1;Reg-38</v>
          </cell>
          <cell r="B2583">
            <v>-3.7</v>
          </cell>
          <cell r="C2583">
            <v>1.2</v>
          </cell>
          <cell r="D2583">
            <v>0</v>
          </cell>
          <cell r="E2583">
            <v>4.7000000000000002E-3</v>
          </cell>
          <cell r="F2583">
            <v>0</v>
          </cell>
          <cell r="G2583">
            <v>0</v>
          </cell>
          <cell r="H2583">
            <v>2.4</v>
          </cell>
          <cell r="I2583">
            <v>0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-1.4E-2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 t="b">
            <v>1</v>
          </cell>
        </row>
        <row r="2584">
          <cell r="A2584" t="str">
            <v>Data split-1;Reg-39</v>
          </cell>
          <cell r="B2584">
            <v>-3.3</v>
          </cell>
          <cell r="C2584">
            <v>1.6</v>
          </cell>
          <cell r="D2584">
            <v>0</v>
          </cell>
          <cell r="E2584">
            <v>0</v>
          </cell>
          <cell r="F2584">
            <v>7.3999999999999996E-2</v>
          </cell>
          <cell r="G2584">
            <v>0.96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-6.3E-2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 t="b">
            <v>1</v>
          </cell>
        </row>
        <row r="2585">
          <cell r="A2585" t="str">
            <v>Data split-1;Reg-40</v>
          </cell>
          <cell r="B2585">
            <v>-3.6</v>
          </cell>
          <cell r="C2585">
            <v>1.6</v>
          </cell>
          <cell r="D2585">
            <v>0</v>
          </cell>
          <cell r="E2585">
            <v>0</v>
          </cell>
          <cell r="F2585">
            <v>6.6000000000000003E-2</v>
          </cell>
          <cell r="G2585">
            <v>0.97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-1.0999999999999999E-2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 t="b">
            <v>1</v>
          </cell>
        </row>
        <row r="2586">
          <cell r="A2586" t="str">
            <v>Data split-1;Reg-41</v>
          </cell>
          <cell r="B2586">
            <v>-3.2</v>
          </cell>
          <cell r="C2586">
            <v>1.2</v>
          </cell>
          <cell r="D2586">
            <v>0</v>
          </cell>
          <cell r="E2586">
            <v>0</v>
          </cell>
          <cell r="F2586">
            <v>2.1999999999999999E-2</v>
          </cell>
          <cell r="G2586">
            <v>0</v>
          </cell>
          <cell r="H2586">
            <v>2.4</v>
          </cell>
          <cell r="I2586">
            <v>0</v>
          </cell>
          <cell r="J2586">
            <v>0</v>
          </cell>
          <cell r="K2586">
            <v>0</v>
          </cell>
          <cell r="L2586">
            <v>0</v>
          </cell>
          <cell r="M2586">
            <v>-8.1000000000000003E-2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 t="b">
            <v>1</v>
          </cell>
        </row>
        <row r="2587">
          <cell r="A2587" t="str">
            <v>Data split-1;Reg-42</v>
          </cell>
          <cell r="B2587">
            <v>-3.5</v>
          </cell>
          <cell r="C2587">
            <v>1.2</v>
          </cell>
          <cell r="D2587">
            <v>0</v>
          </cell>
          <cell r="E2587">
            <v>0</v>
          </cell>
          <cell r="F2587">
            <v>1.2999999999999999E-2</v>
          </cell>
          <cell r="G2587">
            <v>0</v>
          </cell>
          <cell r="H2587">
            <v>2.4</v>
          </cell>
          <cell r="I2587">
            <v>0</v>
          </cell>
          <cell r="J2587">
            <v>0</v>
          </cell>
          <cell r="K2587">
            <v>0</v>
          </cell>
          <cell r="L2587">
            <v>0</v>
          </cell>
          <cell r="M2587">
            <v>0</v>
          </cell>
          <cell r="N2587">
            <v>-1.4E-2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 t="b">
            <v>1</v>
          </cell>
        </row>
        <row r="2588">
          <cell r="A2588" t="str">
            <v>Data split-1;Reg-43</v>
          </cell>
          <cell r="B2588">
            <v>-3.3</v>
          </cell>
          <cell r="C2588">
            <v>1.2</v>
          </cell>
          <cell r="D2588">
            <v>0</v>
          </cell>
          <cell r="E2588">
            <v>0.73</v>
          </cell>
          <cell r="F2588">
            <v>0</v>
          </cell>
          <cell r="G2588">
            <v>0.56999999999999995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-3.2000000000000001E-2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 t="b">
            <v>1</v>
          </cell>
        </row>
        <row r="2589">
          <cell r="A2589" t="str">
            <v>Data split-1;Reg-44</v>
          </cell>
          <cell r="B2589">
            <v>-3.5</v>
          </cell>
          <cell r="C2589">
            <v>1.2</v>
          </cell>
          <cell r="D2589">
            <v>0</v>
          </cell>
          <cell r="E2589">
            <v>0.71</v>
          </cell>
          <cell r="F2589">
            <v>0</v>
          </cell>
          <cell r="G2589">
            <v>0.57999999999999996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-5.7999999999999996E-3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 t="b">
            <v>1</v>
          </cell>
        </row>
        <row r="2590">
          <cell r="A2590" t="str">
            <v>Data split-1;Reg-45</v>
          </cell>
          <cell r="B2590">
            <v>-4.5</v>
          </cell>
          <cell r="C2590">
            <v>1</v>
          </cell>
          <cell r="D2590">
            <v>0</v>
          </cell>
          <cell r="E2590">
            <v>-0.44</v>
          </cell>
          <cell r="F2590">
            <v>0</v>
          </cell>
          <cell r="G2590">
            <v>0</v>
          </cell>
          <cell r="H2590">
            <v>2.8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-4.2000000000000003E-2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 t="b">
            <v>0</v>
          </cell>
        </row>
        <row r="2591">
          <cell r="A2591" t="str">
            <v>Data split-1;Reg-46</v>
          </cell>
          <cell r="B2591">
            <v>-4.5999999999999996</v>
          </cell>
          <cell r="C2591">
            <v>1.1000000000000001</v>
          </cell>
          <cell r="D2591">
            <v>0</v>
          </cell>
          <cell r="E2591">
            <v>-0.44</v>
          </cell>
          <cell r="F2591">
            <v>0</v>
          </cell>
          <cell r="G2591">
            <v>0</v>
          </cell>
          <cell r="H2591">
            <v>2.8</v>
          </cell>
          <cell r="I2591">
            <v>0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-7.0000000000000001E-3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 t="b">
            <v>0</v>
          </cell>
        </row>
        <row r="2592">
          <cell r="A2592" t="str">
            <v>Data split-1;Reg-47</v>
          </cell>
          <cell r="B2592">
            <v>-3.8</v>
          </cell>
          <cell r="C2592">
            <v>1.5</v>
          </cell>
          <cell r="D2592">
            <v>0</v>
          </cell>
          <cell r="E2592">
            <v>0</v>
          </cell>
          <cell r="F2592">
            <v>6.4000000000000001E-2</v>
          </cell>
          <cell r="G2592">
            <v>0.91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-3.5000000000000003E-2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 t="b">
            <v>1</v>
          </cell>
        </row>
        <row r="2593">
          <cell r="A2593" t="str">
            <v>Data split-1;Reg-48</v>
          </cell>
          <cell r="B2593">
            <v>-4</v>
          </cell>
          <cell r="C2593">
            <v>1.5</v>
          </cell>
          <cell r="D2593">
            <v>0</v>
          </cell>
          <cell r="E2593">
            <v>0</v>
          </cell>
          <cell r="F2593">
            <v>0.06</v>
          </cell>
          <cell r="G2593">
            <v>0.92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-6.1999999999999998E-3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 t="b">
            <v>1</v>
          </cell>
        </row>
        <row r="2594">
          <cell r="A2594" t="str">
            <v>Data split-1;Reg-49</v>
          </cell>
          <cell r="B2594">
            <v>-3.8</v>
          </cell>
          <cell r="C2594">
            <v>0.98</v>
          </cell>
          <cell r="D2594">
            <v>0</v>
          </cell>
          <cell r="E2594">
            <v>0</v>
          </cell>
          <cell r="F2594">
            <v>1.4999999999999999E-2</v>
          </cell>
          <cell r="G2594">
            <v>0</v>
          </cell>
          <cell r="H2594">
            <v>2.2999999999999998</v>
          </cell>
          <cell r="I2594">
            <v>0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-4.7E-2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 t="b">
            <v>1</v>
          </cell>
        </row>
        <row r="2595">
          <cell r="A2595" t="str">
            <v>Data split-1;Reg-50</v>
          </cell>
          <cell r="B2595">
            <v>-4</v>
          </cell>
          <cell r="C2595">
            <v>1</v>
          </cell>
          <cell r="D2595">
            <v>0</v>
          </cell>
          <cell r="E2595">
            <v>0</v>
          </cell>
          <cell r="F2595">
            <v>8.6999999999999994E-3</v>
          </cell>
          <cell r="G2595">
            <v>0</v>
          </cell>
          <cell r="H2595">
            <v>2.2999999999999998</v>
          </cell>
          <cell r="I2595">
            <v>0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-7.7999999999999996E-3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 t="b">
            <v>1</v>
          </cell>
        </row>
        <row r="2596">
          <cell r="A2596" t="str">
            <v>Data split-1;Reg-51</v>
          </cell>
          <cell r="B2596">
            <v>0.94</v>
          </cell>
          <cell r="C2596">
            <v>0</v>
          </cell>
          <cell r="D2596">
            <v>0.56999999999999995</v>
          </cell>
          <cell r="E2596">
            <v>2</v>
          </cell>
          <cell r="F2596">
            <v>0</v>
          </cell>
          <cell r="G2596">
            <v>0.28000000000000003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-8.3000000000000004E-2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 t="b">
            <v>0</v>
          </cell>
        </row>
        <row r="2597">
          <cell r="A2597" t="str">
            <v>Data split-1;Reg-52</v>
          </cell>
          <cell r="B2597">
            <v>0.78</v>
          </cell>
          <cell r="C2597">
            <v>0</v>
          </cell>
          <cell r="D2597">
            <v>0.59</v>
          </cell>
          <cell r="E2597">
            <v>2.1</v>
          </cell>
          <cell r="F2597">
            <v>0</v>
          </cell>
          <cell r="G2597">
            <v>0.35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-1.7000000000000001E-2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 t="b">
            <v>0</v>
          </cell>
        </row>
        <row r="2598">
          <cell r="A2598" t="str">
            <v>Data split-1;Reg-53</v>
          </cell>
          <cell r="B2598">
            <v>-0.87</v>
          </cell>
          <cell r="C2598">
            <v>0</v>
          </cell>
          <cell r="D2598">
            <v>0.49</v>
          </cell>
          <cell r="E2598">
            <v>0.61</v>
          </cell>
          <cell r="F2598">
            <v>0</v>
          </cell>
          <cell r="G2598">
            <v>0</v>
          </cell>
          <cell r="H2598">
            <v>2.6</v>
          </cell>
          <cell r="I2598">
            <v>0</v>
          </cell>
          <cell r="J2598">
            <v>0</v>
          </cell>
          <cell r="K2598">
            <v>0</v>
          </cell>
          <cell r="L2598">
            <v>0</v>
          </cell>
          <cell r="M2598">
            <v>-8.5999999999999993E-2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 t="b">
            <v>1</v>
          </cell>
        </row>
        <row r="2599">
          <cell r="A2599" t="str">
            <v>Data split-1;Reg-54</v>
          </cell>
          <cell r="B2599">
            <v>-0.99</v>
          </cell>
          <cell r="C2599">
            <v>0</v>
          </cell>
          <cell r="D2599">
            <v>0.51</v>
          </cell>
          <cell r="E2599">
            <v>0.67</v>
          </cell>
          <cell r="F2599">
            <v>0</v>
          </cell>
          <cell r="G2599">
            <v>0</v>
          </cell>
          <cell r="H2599">
            <v>2.5</v>
          </cell>
          <cell r="I2599">
            <v>0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-1.6E-2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 t="b">
            <v>1</v>
          </cell>
        </row>
        <row r="2600">
          <cell r="A2600" t="str">
            <v>Data split-1;Reg-55</v>
          </cell>
          <cell r="B2600">
            <v>-0.41</v>
          </cell>
          <cell r="C2600">
            <v>0</v>
          </cell>
          <cell r="D2600">
            <v>1.1000000000000001</v>
          </cell>
          <cell r="E2600">
            <v>0</v>
          </cell>
          <cell r="F2600">
            <v>0.11</v>
          </cell>
          <cell r="G2600">
            <v>1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0</v>
          </cell>
          <cell r="M2600">
            <v>-3.5000000000000003E-2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 t="b">
            <v>1</v>
          </cell>
        </row>
        <row r="2601">
          <cell r="A2601" t="str">
            <v>Data split-1;Reg-56</v>
          </cell>
          <cell r="B2601">
            <v>-0.65</v>
          </cell>
          <cell r="C2601">
            <v>0</v>
          </cell>
          <cell r="D2601">
            <v>1</v>
          </cell>
          <cell r="E2601">
            <v>0</v>
          </cell>
          <cell r="F2601">
            <v>9.7000000000000003E-2</v>
          </cell>
          <cell r="G2601">
            <v>0.98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-4.0000000000000001E-3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 t="b">
            <v>1</v>
          </cell>
        </row>
        <row r="2602">
          <cell r="A2602" t="str">
            <v>Data split-1;Reg-57</v>
          </cell>
          <cell r="B2602">
            <v>-1.3</v>
          </cell>
          <cell r="C2602">
            <v>0</v>
          </cell>
          <cell r="D2602">
            <v>0.55000000000000004</v>
          </cell>
          <cell r="E2602">
            <v>0</v>
          </cell>
          <cell r="F2602">
            <v>2.5000000000000001E-2</v>
          </cell>
          <cell r="G2602">
            <v>0</v>
          </cell>
          <cell r="H2602">
            <v>3.1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-7.8E-2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 t="b">
            <v>1</v>
          </cell>
        </row>
        <row r="2603">
          <cell r="A2603" t="str">
            <v>Data split-1;Reg-58</v>
          </cell>
          <cell r="B2603">
            <v>-1.6</v>
          </cell>
          <cell r="C2603">
            <v>0</v>
          </cell>
          <cell r="D2603">
            <v>0.56999999999999995</v>
          </cell>
          <cell r="E2603">
            <v>0</v>
          </cell>
          <cell r="F2603">
            <v>1.7000000000000001E-2</v>
          </cell>
          <cell r="G2603">
            <v>0</v>
          </cell>
          <cell r="H2603">
            <v>3.1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-1.2999999999999999E-2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 t="b">
            <v>1</v>
          </cell>
        </row>
        <row r="2604">
          <cell r="A2604" t="str">
            <v>Data split-1;Reg-59</v>
          </cell>
          <cell r="B2604">
            <v>-0.41</v>
          </cell>
          <cell r="C2604">
            <v>0</v>
          </cell>
          <cell r="D2604">
            <v>0.5</v>
          </cell>
          <cell r="E2604">
            <v>1.6</v>
          </cell>
          <cell r="F2604">
            <v>0</v>
          </cell>
          <cell r="G2604">
            <v>0.56999999999999995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-7.0000000000000007E-2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 t="b">
            <v>1</v>
          </cell>
        </row>
        <row r="2605">
          <cell r="A2605" t="str">
            <v>Data split-1;Reg-60</v>
          </cell>
          <cell r="B2605">
            <v>-0.68</v>
          </cell>
          <cell r="C2605">
            <v>0</v>
          </cell>
          <cell r="D2605">
            <v>0.53</v>
          </cell>
          <cell r="E2605">
            <v>1.6</v>
          </cell>
          <cell r="F2605">
            <v>0</v>
          </cell>
          <cell r="G2605">
            <v>0.62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-1.4E-2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 t="b">
            <v>1</v>
          </cell>
        </row>
        <row r="2606">
          <cell r="A2606" t="str">
            <v>Data split-1;Reg-61</v>
          </cell>
          <cell r="B2606">
            <v>-2.2999999999999998</v>
          </cell>
          <cell r="C2606">
            <v>0</v>
          </cell>
          <cell r="D2606">
            <v>0.37</v>
          </cell>
          <cell r="E2606">
            <v>9.8000000000000004E-2</v>
          </cell>
          <cell r="F2606">
            <v>0</v>
          </cell>
          <cell r="G2606">
            <v>0</v>
          </cell>
          <cell r="H2606">
            <v>3.3</v>
          </cell>
          <cell r="I2606">
            <v>0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-8.2000000000000003E-2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 t="b">
            <v>1</v>
          </cell>
        </row>
        <row r="2607">
          <cell r="A2607" t="str">
            <v>Data split-1;Reg-62</v>
          </cell>
          <cell r="B2607">
            <v>-2.5</v>
          </cell>
          <cell r="C2607">
            <v>0</v>
          </cell>
          <cell r="D2607">
            <v>0.41</v>
          </cell>
          <cell r="E2607">
            <v>0.13</v>
          </cell>
          <cell r="F2607">
            <v>0</v>
          </cell>
          <cell r="G2607">
            <v>0</v>
          </cell>
          <cell r="H2607">
            <v>3.3</v>
          </cell>
          <cell r="I2607">
            <v>0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-1.4999999999999999E-2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 t="b">
            <v>1</v>
          </cell>
        </row>
        <row r="2608">
          <cell r="A2608" t="str">
            <v>Data split-1;Reg-63</v>
          </cell>
          <cell r="B2608">
            <v>-0.86</v>
          </cell>
          <cell r="C2608">
            <v>0</v>
          </cell>
          <cell r="D2608">
            <v>0.93</v>
          </cell>
          <cell r="E2608">
            <v>0</v>
          </cell>
          <cell r="F2608">
            <v>0.14000000000000001</v>
          </cell>
          <cell r="G2608">
            <v>1.4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-8.6999999999999994E-2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 t="b">
            <v>1</v>
          </cell>
        </row>
        <row r="2609">
          <cell r="A2609" t="str">
            <v>Data split-1;Reg-64</v>
          </cell>
          <cell r="B2609">
            <v>-1.2</v>
          </cell>
          <cell r="C2609">
            <v>0</v>
          </cell>
          <cell r="D2609">
            <v>0.96</v>
          </cell>
          <cell r="E2609">
            <v>0</v>
          </cell>
          <cell r="F2609">
            <v>0.14000000000000001</v>
          </cell>
          <cell r="G2609">
            <v>1.5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-1.7000000000000001E-2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 t="b">
            <v>1</v>
          </cell>
        </row>
        <row r="2610">
          <cell r="A2610" t="str">
            <v>Data split-1;Reg-65</v>
          </cell>
          <cell r="B2610">
            <v>-2.1</v>
          </cell>
          <cell r="C2610">
            <v>0</v>
          </cell>
          <cell r="D2610">
            <v>0.39</v>
          </cell>
          <cell r="E2610">
            <v>0</v>
          </cell>
          <cell r="F2610">
            <v>3.7999999999999999E-2</v>
          </cell>
          <cell r="G2610">
            <v>0</v>
          </cell>
          <cell r="H2610">
            <v>3.4</v>
          </cell>
          <cell r="I2610">
            <v>0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-8.6999999999999994E-2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 t="b">
            <v>1</v>
          </cell>
        </row>
        <row r="2611">
          <cell r="A2611" t="str">
            <v>Data split-1;Reg-66</v>
          </cell>
          <cell r="B2611">
            <v>-2.4</v>
          </cell>
          <cell r="C2611">
            <v>0</v>
          </cell>
          <cell r="D2611">
            <v>0.43</v>
          </cell>
          <cell r="E2611">
            <v>0</v>
          </cell>
          <cell r="F2611">
            <v>0.03</v>
          </cell>
          <cell r="G2611">
            <v>0</v>
          </cell>
          <cell r="H2611">
            <v>3.3</v>
          </cell>
          <cell r="I2611">
            <v>0</v>
          </cell>
          <cell r="J2611">
            <v>0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-1.4999999999999999E-2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 t="b">
            <v>1</v>
          </cell>
        </row>
        <row r="2612">
          <cell r="A2612" t="str">
            <v>Data split-1;Reg-67</v>
          </cell>
          <cell r="B2612">
            <v>-4.3</v>
          </cell>
          <cell r="C2612">
            <v>1.5</v>
          </cell>
          <cell r="D2612">
            <v>0</v>
          </cell>
          <cell r="E2612">
            <v>0</v>
          </cell>
          <cell r="F2612">
            <v>0</v>
          </cell>
          <cell r="G2612">
            <v>0.73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 t="b">
            <v>1</v>
          </cell>
        </row>
        <row r="2613">
          <cell r="A2613" t="str">
            <v>Data split-1;Reg-68</v>
          </cell>
          <cell r="B2613">
            <v>-4</v>
          </cell>
          <cell r="C2613">
            <v>1.5</v>
          </cell>
          <cell r="D2613">
            <v>0</v>
          </cell>
          <cell r="E2613">
            <v>0</v>
          </cell>
          <cell r="F2613">
            <v>0.04</v>
          </cell>
          <cell r="G2613">
            <v>0.67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 t="b">
            <v>1</v>
          </cell>
        </row>
        <row r="2614">
          <cell r="A2614" t="str">
            <v>Data split-1;Reg-69</v>
          </cell>
          <cell r="B2614">
            <v>-4.4000000000000004</v>
          </cell>
          <cell r="C2614">
            <v>1.5</v>
          </cell>
          <cell r="D2614">
            <v>0</v>
          </cell>
          <cell r="E2614">
            <v>0</v>
          </cell>
          <cell r="F2614">
            <v>0</v>
          </cell>
          <cell r="G2614">
            <v>0.72</v>
          </cell>
          <cell r="H2614">
            <v>0</v>
          </cell>
          <cell r="I2614">
            <v>0</v>
          </cell>
          <cell r="J2614">
            <v>0.41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 t="b">
            <v>0</v>
          </cell>
        </row>
        <row r="2615">
          <cell r="A2615" t="str">
            <v>Data split-1;Reg-70</v>
          </cell>
          <cell r="B2615">
            <v>-4.5999999999999996</v>
          </cell>
          <cell r="C2615">
            <v>1.5</v>
          </cell>
          <cell r="D2615">
            <v>0</v>
          </cell>
          <cell r="E2615">
            <v>0</v>
          </cell>
          <cell r="F2615">
            <v>0</v>
          </cell>
          <cell r="G2615">
            <v>0.65</v>
          </cell>
          <cell r="H2615">
            <v>0</v>
          </cell>
          <cell r="I2615">
            <v>0</v>
          </cell>
          <cell r="J2615">
            <v>0.57999999999999996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1.2E-2</v>
          </cell>
          <cell r="T2615">
            <v>0</v>
          </cell>
          <cell r="U2615" t="b">
            <v>0</v>
          </cell>
        </row>
        <row r="2616">
          <cell r="A2616" t="str">
            <v>Data split-1;Reg-71</v>
          </cell>
          <cell r="B2616">
            <v>-1.1000000000000001</v>
          </cell>
          <cell r="C2616">
            <v>0.45</v>
          </cell>
          <cell r="D2616">
            <v>0</v>
          </cell>
          <cell r="E2616">
            <v>0</v>
          </cell>
          <cell r="F2616">
            <v>2.3E-2</v>
          </cell>
          <cell r="G2616">
            <v>0</v>
          </cell>
          <cell r="H2616">
            <v>3.5</v>
          </cell>
          <cell r="I2616">
            <v>0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-9.2999999999999999E-2</v>
          </cell>
          <cell r="T2616">
            <v>0</v>
          </cell>
          <cell r="U2616" t="b">
            <v>1</v>
          </cell>
        </row>
        <row r="2617">
          <cell r="A2617" t="str">
            <v>Data split-1;Reg-72</v>
          </cell>
          <cell r="B2617">
            <v>-2.6</v>
          </cell>
          <cell r="C2617">
            <v>1.2</v>
          </cell>
          <cell r="D2617">
            <v>0</v>
          </cell>
          <cell r="E2617">
            <v>1</v>
          </cell>
          <cell r="F2617">
            <v>0</v>
          </cell>
          <cell r="G2617">
            <v>0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 t="b">
            <v>1</v>
          </cell>
        </row>
        <row r="2618">
          <cell r="A2618" t="str">
            <v>Data split-1;Reg-73</v>
          </cell>
          <cell r="B2618">
            <v>-2.4</v>
          </cell>
          <cell r="C2618">
            <v>1.9</v>
          </cell>
          <cell r="D2618">
            <v>0</v>
          </cell>
          <cell r="E2618">
            <v>0</v>
          </cell>
          <cell r="F2618">
            <v>9.9000000000000005E-2</v>
          </cell>
          <cell r="G2618">
            <v>0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 t="b">
            <v>1</v>
          </cell>
        </row>
        <row r="2619">
          <cell r="A2619" t="str">
            <v>Data split-1;Reg-74</v>
          </cell>
          <cell r="B2619">
            <v>6.5000000000000002E-2</v>
          </cell>
          <cell r="C2619">
            <v>0</v>
          </cell>
          <cell r="D2619">
            <v>0.56999999999999995</v>
          </cell>
          <cell r="E2619">
            <v>1.7</v>
          </cell>
          <cell r="F2619">
            <v>0</v>
          </cell>
          <cell r="G2619">
            <v>0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 t="b">
            <v>0</v>
          </cell>
        </row>
        <row r="2620">
          <cell r="A2620" t="str">
            <v>Data split-1;Reg-75</v>
          </cell>
          <cell r="B2620">
            <v>1.6</v>
          </cell>
          <cell r="C2620">
            <v>0</v>
          </cell>
          <cell r="D2620">
            <v>1.4</v>
          </cell>
          <cell r="E2620">
            <v>0</v>
          </cell>
          <cell r="F2620">
            <v>0.17</v>
          </cell>
          <cell r="G2620">
            <v>0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 t="b">
            <v>0</v>
          </cell>
        </row>
        <row r="2621">
          <cell r="A2621" t="str">
            <v>Data split-1;Reg-76</v>
          </cell>
          <cell r="B2621">
            <v>-4.3</v>
          </cell>
          <cell r="C2621">
            <v>1.5</v>
          </cell>
          <cell r="D2621">
            <v>0</v>
          </cell>
          <cell r="E2621">
            <v>0</v>
          </cell>
          <cell r="F2621">
            <v>0</v>
          </cell>
          <cell r="G2621">
            <v>0.73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 t="b">
            <v>1</v>
          </cell>
        </row>
        <row r="2622">
          <cell r="A2622" t="str">
            <v>Data split-1;Reg-77</v>
          </cell>
          <cell r="B2622">
            <v>-4.0999999999999996</v>
          </cell>
          <cell r="C2622">
            <v>1.1000000000000001</v>
          </cell>
          <cell r="D2622">
            <v>0</v>
          </cell>
          <cell r="E2622">
            <v>0</v>
          </cell>
          <cell r="F2622">
            <v>0</v>
          </cell>
          <cell r="G2622">
            <v>0</v>
          </cell>
          <cell r="H2622">
            <v>1.7</v>
          </cell>
          <cell r="I2622">
            <v>0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 t="b">
            <v>1</v>
          </cell>
        </row>
        <row r="2623">
          <cell r="A2623" t="str">
            <v>Data split-1;Reg-78</v>
          </cell>
          <cell r="B2623">
            <v>-1.5</v>
          </cell>
          <cell r="C2623">
            <v>0</v>
          </cell>
          <cell r="D2623">
            <v>1</v>
          </cell>
          <cell r="E2623">
            <v>0</v>
          </cell>
          <cell r="F2623">
            <v>0</v>
          </cell>
          <cell r="G2623">
            <v>1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 t="b">
            <v>1</v>
          </cell>
        </row>
        <row r="2624">
          <cell r="A2624" t="str">
            <v>Data split-1;Reg-79</v>
          </cell>
          <cell r="B2624">
            <v>-2.2000000000000002</v>
          </cell>
          <cell r="C2624">
            <v>0</v>
          </cell>
          <cell r="D2624">
            <v>0.53</v>
          </cell>
          <cell r="E2624">
            <v>0</v>
          </cell>
          <cell r="F2624">
            <v>0</v>
          </cell>
          <cell r="G2624">
            <v>0</v>
          </cell>
          <cell r="H2624">
            <v>2.4</v>
          </cell>
          <cell r="I2624">
            <v>0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 t="b">
            <v>1</v>
          </cell>
        </row>
        <row r="2625">
          <cell r="A2625" t="str">
            <v>Data split-1;Reg-80</v>
          </cell>
          <cell r="B2625">
            <v>-4.0999999999999996</v>
          </cell>
          <cell r="C2625">
            <v>1.9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0.91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 t="b">
            <v>0</v>
          </cell>
        </row>
        <row r="2626">
          <cell r="A2626" t="str">
            <v>Data split-1;Reg-81</v>
          </cell>
          <cell r="B2626">
            <v>-5.4</v>
          </cell>
          <cell r="C2626">
            <v>1.9</v>
          </cell>
          <cell r="D2626">
            <v>0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8.5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 t="b">
            <v>0</v>
          </cell>
        </row>
        <row r="2627">
          <cell r="A2627" t="str">
            <v>Data split-1;Reg-82</v>
          </cell>
          <cell r="B2627">
            <v>-1.4</v>
          </cell>
          <cell r="C2627">
            <v>0</v>
          </cell>
          <cell r="D2627">
            <v>1.4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1.6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 t="b">
            <v>0</v>
          </cell>
        </row>
        <row r="2628">
          <cell r="A2628" t="str">
            <v>Data split-1;Reg-83</v>
          </cell>
          <cell r="B2628">
            <v>-5.6</v>
          </cell>
          <cell r="C2628">
            <v>0</v>
          </cell>
          <cell r="D2628">
            <v>1.5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20.9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 t="b">
            <v>0</v>
          </cell>
        </row>
        <row r="2629">
          <cell r="A2629" t="str">
            <v>Data split-1;Reg-84</v>
          </cell>
          <cell r="B2629">
            <v>-3.8</v>
          </cell>
          <cell r="C2629">
            <v>2</v>
          </cell>
          <cell r="D2629">
            <v>0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0</v>
          </cell>
          <cell r="K2629">
            <v>0.23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 t="b">
            <v>0</v>
          </cell>
        </row>
        <row r="2630">
          <cell r="A2630" t="str">
            <v>Data split-1;Reg-85</v>
          </cell>
          <cell r="B2630">
            <v>-3.1</v>
          </cell>
          <cell r="C2630">
            <v>2</v>
          </cell>
          <cell r="D2630">
            <v>0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2.1999999999999999E-2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 t="b">
            <v>0</v>
          </cell>
        </row>
        <row r="2631">
          <cell r="A2631" t="str">
            <v>Data split-1;Reg-86</v>
          </cell>
          <cell r="B2631">
            <v>-1.6</v>
          </cell>
          <cell r="C2631">
            <v>0</v>
          </cell>
          <cell r="D2631">
            <v>1.5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0</v>
          </cell>
          <cell r="J2631">
            <v>0</v>
          </cell>
          <cell r="K2631">
            <v>0.76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 t="b">
            <v>0</v>
          </cell>
        </row>
        <row r="2632">
          <cell r="A2632" t="str">
            <v>Data split-1;Reg-87</v>
          </cell>
          <cell r="B2632">
            <v>-2.8</v>
          </cell>
          <cell r="C2632">
            <v>0</v>
          </cell>
          <cell r="D2632">
            <v>1.6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5.4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 t="b">
            <v>0</v>
          </cell>
        </row>
        <row r="2633">
          <cell r="A2633" t="str">
            <v>Data split-1;Reg-88</v>
          </cell>
          <cell r="B2633">
            <v>-3.6</v>
          </cell>
          <cell r="C2633">
            <v>1.8</v>
          </cell>
          <cell r="D2633">
            <v>0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0</v>
          </cell>
          <cell r="M2633">
            <v>3.5000000000000003E-2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 t="b">
            <v>0</v>
          </cell>
        </row>
        <row r="2634">
          <cell r="A2634" t="str">
            <v>Data split-1;Reg-89</v>
          </cell>
          <cell r="B2634">
            <v>-3.7</v>
          </cell>
          <cell r="C2634">
            <v>1.7</v>
          </cell>
          <cell r="D2634">
            <v>0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9.7999999999999997E-3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 t="b">
            <v>0</v>
          </cell>
        </row>
        <row r="2635">
          <cell r="A2635" t="str">
            <v>Data split-1;Reg-90</v>
          </cell>
          <cell r="B2635">
            <v>-0.7</v>
          </cell>
          <cell r="C2635">
            <v>0</v>
          </cell>
          <cell r="D2635">
            <v>1.2</v>
          </cell>
          <cell r="E2635">
            <v>0</v>
          </cell>
          <cell r="F2635">
            <v>0</v>
          </cell>
          <cell r="G2635">
            <v>0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0</v>
          </cell>
          <cell r="M2635">
            <v>7.6999999999999999E-2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 t="b">
            <v>0</v>
          </cell>
        </row>
        <row r="2636">
          <cell r="A2636" t="str">
            <v>Data split-1;Reg-91</v>
          </cell>
          <cell r="B2636">
            <v>-0.96</v>
          </cell>
          <cell r="C2636">
            <v>0</v>
          </cell>
          <cell r="D2636">
            <v>1.1000000000000001</v>
          </cell>
          <cell r="E2636">
            <v>0</v>
          </cell>
          <cell r="F2636">
            <v>0</v>
          </cell>
          <cell r="G2636">
            <v>0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1.7999999999999999E-2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 t="b">
            <v>0</v>
          </cell>
        </row>
        <row r="2637">
          <cell r="A2637" t="str">
            <v>Data split-1;Reg-92</v>
          </cell>
          <cell r="B2637">
            <v>-3.7</v>
          </cell>
          <cell r="C2637">
            <v>1.8</v>
          </cell>
          <cell r="D2637">
            <v>0</v>
          </cell>
          <cell r="E2637">
            <v>0</v>
          </cell>
          <cell r="F2637">
            <v>0</v>
          </cell>
          <cell r="G2637">
            <v>0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4.9000000000000002E-2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 t="b">
            <v>0</v>
          </cell>
        </row>
        <row r="2638">
          <cell r="A2638" t="str">
            <v>Data split-1;Reg-93</v>
          </cell>
          <cell r="B2638">
            <v>-3.5</v>
          </cell>
          <cell r="C2638">
            <v>1.8</v>
          </cell>
          <cell r="D2638">
            <v>0</v>
          </cell>
          <cell r="E2638">
            <v>0</v>
          </cell>
          <cell r="F2638">
            <v>0</v>
          </cell>
          <cell r="G2638">
            <v>0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0.01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 t="b">
            <v>0</v>
          </cell>
        </row>
        <row r="2639">
          <cell r="A2639" t="str">
            <v>Data split-1;Reg-94</v>
          </cell>
          <cell r="B2639">
            <v>0.24</v>
          </cell>
          <cell r="C2639">
            <v>0</v>
          </cell>
          <cell r="D2639">
            <v>1.4</v>
          </cell>
          <cell r="E2639">
            <v>0</v>
          </cell>
          <cell r="F2639">
            <v>0</v>
          </cell>
          <cell r="G2639">
            <v>0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5.3999999999999999E-2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 t="b">
            <v>0</v>
          </cell>
        </row>
        <row r="2640">
          <cell r="A2640" t="str">
            <v>Data split-1;Reg-95</v>
          </cell>
          <cell r="B2640">
            <v>0.3</v>
          </cell>
          <cell r="C2640">
            <v>0</v>
          </cell>
          <cell r="D2640">
            <v>1.4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1.0999999999999999E-2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 t="b">
            <v>0</v>
          </cell>
        </row>
        <row r="2641">
          <cell r="A2641" t="str">
            <v>Data split-1;Reg-96</v>
          </cell>
          <cell r="B2641">
            <v>-2.2000000000000002</v>
          </cell>
          <cell r="C2641">
            <v>1.2</v>
          </cell>
          <cell r="D2641">
            <v>0</v>
          </cell>
          <cell r="E2641">
            <v>1.2</v>
          </cell>
          <cell r="F2641">
            <v>0</v>
          </cell>
          <cell r="G2641">
            <v>0</v>
          </cell>
          <cell r="H2641">
            <v>0</v>
          </cell>
          <cell r="I2641">
            <v>-0.28000000000000003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 t="b">
            <v>1</v>
          </cell>
        </row>
        <row r="2642">
          <cell r="A2642" t="str">
            <v>Data split-1;Reg-97</v>
          </cell>
          <cell r="B2642">
            <v>-3.1</v>
          </cell>
          <cell r="C2642">
            <v>1.3</v>
          </cell>
          <cell r="D2642">
            <v>0</v>
          </cell>
          <cell r="E2642">
            <v>1</v>
          </cell>
          <cell r="F2642">
            <v>0</v>
          </cell>
          <cell r="G2642">
            <v>0</v>
          </cell>
          <cell r="H2642">
            <v>0</v>
          </cell>
          <cell r="I2642">
            <v>0</v>
          </cell>
          <cell r="J2642">
            <v>1.9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 t="b">
            <v>0</v>
          </cell>
        </row>
        <row r="2643">
          <cell r="A2643" t="str">
            <v>Data split-1;Reg-98</v>
          </cell>
          <cell r="B2643">
            <v>-3.4</v>
          </cell>
          <cell r="C2643">
            <v>1.8</v>
          </cell>
          <cell r="D2643">
            <v>0</v>
          </cell>
          <cell r="E2643">
            <v>0</v>
          </cell>
          <cell r="F2643">
            <v>7.1999999999999995E-2</v>
          </cell>
          <cell r="G2643">
            <v>0</v>
          </cell>
          <cell r="H2643">
            <v>0</v>
          </cell>
          <cell r="I2643">
            <v>0.69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 t="b">
            <v>0</v>
          </cell>
        </row>
        <row r="2644">
          <cell r="A2644" t="str">
            <v>Data split-1;Reg-99</v>
          </cell>
          <cell r="B2644">
            <v>-4.4000000000000004</v>
          </cell>
          <cell r="C2644">
            <v>1.8</v>
          </cell>
          <cell r="D2644">
            <v>0</v>
          </cell>
          <cell r="E2644">
            <v>0</v>
          </cell>
          <cell r="F2644">
            <v>0.09</v>
          </cell>
          <cell r="G2644">
            <v>0</v>
          </cell>
          <cell r="H2644">
            <v>0</v>
          </cell>
          <cell r="I2644">
            <v>0</v>
          </cell>
          <cell r="J2644">
            <v>7.3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 t="b">
            <v>0</v>
          </cell>
        </row>
        <row r="2645">
          <cell r="A2645" t="str">
            <v>Data split-1;Reg-100</v>
          </cell>
          <cell r="B2645">
            <v>0.81</v>
          </cell>
          <cell r="C2645">
            <v>0</v>
          </cell>
          <cell r="D2645">
            <v>0.49</v>
          </cell>
          <cell r="E2645">
            <v>1.9</v>
          </cell>
          <cell r="F2645">
            <v>0</v>
          </cell>
          <cell r="G2645">
            <v>0</v>
          </cell>
          <cell r="H2645">
            <v>0</v>
          </cell>
          <cell r="I2645">
            <v>-0.6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 t="b">
            <v>0</v>
          </cell>
        </row>
        <row r="2646">
          <cell r="A2646" t="str">
            <v>Data split-1;Reg-101</v>
          </cell>
          <cell r="B2646">
            <v>-1.7</v>
          </cell>
          <cell r="C2646">
            <v>0</v>
          </cell>
          <cell r="D2646">
            <v>0.64</v>
          </cell>
          <cell r="E2646">
            <v>1.5</v>
          </cell>
          <cell r="F2646">
            <v>0</v>
          </cell>
          <cell r="G2646">
            <v>0</v>
          </cell>
          <cell r="H2646">
            <v>0</v>
          </cell>
          <cell r="I2646">
            <v>0</v>
          </cell>
          <cell r="J2646">
            <v>5.8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 t="b">
            <v>0</v>
          </cell>
        </row>
        <row r="2647">
          <cell r="A2647" t="str">
            <v>Data split-1;Reg-102</v>
          </cell>
          <cell r="B2647">
            <v>-0.33</v>
          </cell>
          <cell r="C2647">
            <v>0</v>
          </cell>
          <cell r="D2647">
            <v>1.3</v>
          </cell>
          <cell r="E2647">
            <v>0</v>
          </cell>
          <cell r="F2647">
            <v>0.12</v>
          </cell>
          <cell r="G2647">
            <v>0</v>
          </cell>
          <cell r="H2647">
            <v>0</v>
          </cell>
          <cell r="I2647">
            <v>1.2</v>
          </cell>
          <cell r="J2647">
            <v>0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 t="b">
            <v>0</v>
          </cell>
        </row>
        <row r="2648">
          <cell r="A2648" t="str">
            <v>Data split-1;Reg-103</v>
          </cell>
          <cell r="B2648">
            <v>-4.0999999999999996</v>
          </cell>
          <cell r="C2648">
            <v>0</v>
          </cell>
          <cell r="D2648">
            <v>1.3</v>
          </cell>
          <cell r="E2648">
            <v>0</v>
          </cell>
          <cell r="F2648">
            <v>0.13</v>
          </cell>
          <cell r="G2648">
            <v>0</v>
          </cell>
          <cell r="H2648">
            <v>0</v>
          </cell>
          <cell r="I2648">
            <v>0</v>
          </cell>
          <cell r="J2648">
            <v>18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 t="b">
            <v>0</v>
          </cell>
        </row>
        <row r="2649">
          <cell r="A2649" t="str">
            <v>Data split-1;Reg-104</v>
          </cell>
          <cell r="B2649">
            <v>-1.9</v>
          </cell>
          <cell r="C2649">
            <v>1.2</v>
          </cell>
          <cell r="D2649">
            <v>0</v>
          </cell>
          <cell r="E2649">
            <v>1.1000000000000001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-0.2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 t="b">
            <v>1</v>
          </cell>
        </row>
        <row r="2650">
          <cell r="A2650" t="str">
            <v>Data split-1;Reg-105</v>
          </cell>
          <cell r="B2650">
            <v>-2.9</v>
          </cell>
          <cell r="C2650">
            <v>1.2</v>
          </cell>
          <cell r="D2650">
            <v>0</v>
          </cell>
          <cell r="E2650">
            <v>1</v>
          </cell>
          <cell r="F2650">
            <v>0</v>
          </cell>
          <cell r="G2650">
            <v>0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0.61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 t="b">
            <v>0</v>
          </cell>
        </row>
        <row r="2651">
          <cell r="A2651" t="str">
            <v>Data split-1;Reg-106</v>
          </cell>
          <cell r="B2651">
            <v>-3</v>
          </cell>
          <cell r="C2651">
            <v>1.8</v>
          </cell>
          <cell r="D2651">
            <v>0</v>
          </cell>
          <cell r="E2651">
            <v>0</v>
          </cell>
          <cell r="F2651">
            <v>9.7000000000000003E-2</v>
          </cell>
          <cell r="G2651">
            <v>0</v>
          </cell>
          <cell r="H2651">
            <v>0</v>
          </cell>
          <cell r="I2651">
            <v>0</v>
          </cell>
          <cell r="J2651">
            <v>0</v>
          </cell>
          <cell r="K2651">
            <v>0.19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 t="b">
            <v>0</v>
          </cell>
        </row>
        <row r="2652">
          <cell r="A2652" t="str">
            <v>Data split-1;Reg-107</v>
          </cell>
          <cell r="B2652">
            <v>-2.6</v>
          </cell>
          <cell r="C2652">
            <v>1.9</v>
          </cell>
          <cell r="D2652">
            <v>0</v>
          </cell>
          <cell r="E2652">
            <v>0</v>
          </cell>
          <cell r="F2652">
            <v>9.9000000000000005E-2</v>
          </cell>
          <cell r="G2652">
            <v>0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0.27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 t="b">
            <v>0</v>
          </cell>
        </row>
        <row r="2653">
          <cell r="A2653" t="str">
            <v>Data split-1;Reg-108</v>
          </cell>
          <cell r="B2653">
            <v>0.37</v>
          </cell>
          <cell r="C2653">
            <v>0</v>
          </cell>
          <cell r="D2653">
            <v>0.56999999999999995</v>
          </cell>
          <cell r="E2653">
            <v>1.7</v>
          </cell>
          <cell r="F2653">
            <v>0</v>
          </cell>
          <cell r="G2653">
            <v>0</v>
          </cell>
          <cell r="H2653">
            <v>0</v>
          </cell>
          <cell r="I2653">
            <v>0</v>
          </cell>
          <cell r="J2653">
            <v>0</v>
          </cell>
          <cell r="K2653">
            <v>-9.7000000000000003E-2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 t="b">
            <v>0</v>
          </cell>
        </row>
        <row r="2654">
          <cell r="A2654" t="str">
            <v>Data split-1;Reg-109</v>
          </cell>
          <cell r="B2654">
            <v>-2.1</v>
          </cell>
          <cell r="C2654">
            <v>0</v>
          </cell>
          <cell r="D2654">
            <v>0.6</v>
          </cell>
          <cell r="E2654">
            <v>1.6</v>
          </cell>
          <cell r="F2654">
            <v>0</v>
          </cell>
          <cell r="G2654">
            <v>0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3.2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 t="b">
            <v>0</v>
          </cell>
        </row>
        <row r="2655">
          <cell r="A2655" t="str">
            <v>Data split-1;Reg-110</v>
          </cell>
          <cell r="B2655">
            <v>-0.49</v>
          </cell>
          <cell r="C2655">
            <v>0</v>
          </cell>
          <cell r="D2655">
            <v>1.3</v>
          </cell>
          <cell r="E2655">
            <v>0</v>
          </cell>
          <cell r="F2655">
            <v>0.16</v>
          </cell>
          <cell r="G2655">
            <v>0</v>
          </cell>
          <cell r="H2655">
            <v>0</v>
          </cell>
          <cell r="I2655">
            <v>0</v>
          </cell>
          <cell r="J2655">
            <v>0</v>
          </cell>
          <cell r="K2655">
            <v>0.63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 t="b">
            <v>0</v>
          </cell>
        </row>
        <row r="2656">
          <cell r="A2656" t="str">
            <v>Data split-1;Reg-111</v>
          </cell>
          <cell r="B2656">
            <v>-1.9</v>
          </cell>
          <cell r="C2656">
            <v>0</v>
          </cell>
          <cell r="D2656">
            <v>1.4</v>
          </cell>
          <cell r="E2656">
            <v>0</v>
          </cell>
          <cell r="F2656">
            <v>0.17</v>
          </cell>
          <cell r="G2656">
            <v>0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5.0999999999999996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 t="b">
            <v>0</v>
          </cell>
        </row>
        <row r="2657">
          <cell r="A2657" t="str">
            <v>Data split-1;Reg-112</v>
          </cell>
          <cell r="B2657">
            <v>-4.0999999999999996</v>
          </cell>
          <cell r="C2657">
            <v>1.5</v>
          </cell>
          <cell r="D2657">
            <v>0</v>
          </cell>
          <cell r="E2657">
            <v>0</v>
          </cell>
          <cell r="F2657">
            <v>0</v>
          </cell>
          <cell r="G2657">
            <v>0.87</v>
          </cell>
          <cell r="H2657">
            <v>0</v>
          </cell>
          <cell r="I2657">
            <v>-0.46</v>
          </cell>
          <cell r="J2657">
            <v>0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 t="b">
            <v>1</v>
          </cell>
        </row>
        <row r="2658">
          <cell r="A2658" t="str">
            <v>Data split-1;Reg-113</v>
          </cell>
          <cell r="B2658">
            <v>-4.4000000000000004</v>
          </cell>
          <cell r="C2658">
            <v>1.5</v>
          </cell>
          <cell r="D2658">
            <v>0</v>
          </cell>
          <cell r="E2658">
            <v>0</v>
          </cell>
          <cell r="F2658">
            <v>0</v>
          </cell>
          <cell r="G2658">
            <v>0.72</v>
          </cell>
          <cell r="H2658">
            <v>0</v>
          </cell>
          <cell r="I2658">
            <v>0</v>
          </cell>
          <cell r="J2658">
            <v>0.41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 t="b">
            <v>0</v>
          </cell>
        </row>
        <row r="2659">
          <cell r="A2659" t="str">
            <v>Data split-1;Reg-114</v>
          </cell>
          <cell r="B2659">
            <v>-3.3</v>
          </cell>
          <cell r="C2659">
            <v>1</v>
          </cell>
          <cell r="D2659">
            <v>0</v>
          </cell>
          <cell r="E2659">
            <v>0</v>
          </cell>
          <cell r="F2659">
            <v>0</v>
          </cell>
          <cell r="G2659">
            <v>0</v>
          </cell>
          <cell r="H2659">
            <v>2.2999999999999998</v>
          </cell>
          <cell r="I2659">
            <v>-1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 t="b">
            <v>1</v>
          </cell>
        </row>
        <row r="2660">
          <cell r="A2660" t="str">
            <v>Data split-1;Reg-115</v>
          </cell>
          <cell r="B2660">
            <v>-4.2</v>
          </cell>
          <cell r="C2660">
            <v>1.1000000000000001</v>
          </cell>
          <cell r="D2660">
            <v>0</v>
          </cell>
          <cell r="E2660">
            <v>0</v>
          </cell>
          <cell r="F2660">
            <v>0</v>
          </cell>
          <cell r="G2660">
            <v>0</v>
          </cell>
          <cell r="H2660">
            <v>1.7</v>
          </cell>
          <cell r="I2660">
            <v>0</v>
          </cell>
          <cell r="J2660">
            <v>0.53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 t="b">
            <v>0</v>
          </cell>
        </row>
        <row r="2661">
          <cell r="A2661" t="str">
            <v>Data split-1;Reg-116</v>
          </cell>
          <cell r="B2661">
            <v>-1.5</v>
          </cell>
          <cell r="C2661">
            <v>0</v>
          </cell>
          <cell r="D2661">
            <v>1</v>
          </cell>
          <cell r="E2661">
            <v>0</v>
          </cell>
          <cell r="F2661">
            <v>0</v>
          </cell>
          <cell r="G2661">
            <v>1</v>
          </cell>
          <cell r="H2661">
            <v>0</v>
          </cell>
          <cell r="I2661">
            <v>-5.0999999999999997E-2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 t="b">
            <v>1</v>
          </cell>
        </row>
        <row r="2662">
          <cell r="A2662" t="str">
            <v>Data split-1;Reg-117</v>
          </cell>
          <cell r="B2662">
            <v>-4.2</v>
          </cell>
          <cell r="C2662">
            <v>0</v>
          </cell>
          <cell r="D2662">
            <v>1.1000000000000001</v>
          </cell>
          <cell r="E2662">
            <v>0</v>
          </cell>
          <cell r="F2662">
            <v>0</v>
          </cell>
          <cell r="G2662">
            <v>0.77</v>
          </cell>
          <cell r="H2662">
            <v>0</v>
          </cell>
          <cell r="I2662">
            <v>0</v>
          </cell>
          <cell r="J2662">
            <v>10.3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 t="b">
            <v>0</v>
          </cell>
        </row>
        <row r="2663">
          <cell r="A2663" t="str">
            <v>Data split-1;Reg-118</v>
          </cell>
          <cell r="B2663">
            <v>-1.3</v>
          </cell>
          <cell r="C2663">
            <v>0</v>
          </cell>
          <cell r="D2663">
            <v>0.3</v>
          </cell>
          <cell r="E2663">
            <v>0</v>
          </cell>
          <cell r="F2663">
            <v>0</v>
          </cell>
          <cell r="G2663">
            <v>0</v>
          </cell>
          <cell r="H2663">
            <v>3.4</v>
          </cell>
          <cell r="I2663">
            <v>-1.5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 t="b">
            <v>1</v>
          </cell>
        </row>
        <row r="2664">
          <cell r="A2664" t="str">
            <v>Data split-1;Reg-119</v>
          </cell>
          <cell r="B2664">
            <v>-3.4</v>
          </cell>
          <cell r="C2664">
            <v>0</v>
          </cell>
          <cell r="D2664">
            <v>0.56999999999999995</v>
          </cell>
          <cell r="E2664">
            <v>0</v>
          </cell>
          <cell r="F2664">
            <v>0</v>
          </cell>
          <cell r="G2664">
            <v>0</v>
          </cell>
          <cell r="H2664">
            <v>2.2999999999999998</v>
          </cell>
          <cell r="I2664">
            <v>0</v>
          </cell>
          <cell r="J2664">
            <v>4.5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 t="b">
            <v>0</v>
          </cell>
        </row>
        <row r="2665">
          <cell r="A2665" t="str">
            <v>Data split-1;Reg-120</v>
          </cell>
          <cell r="B2665">
            <v>-3.2</v>
          </cell>
          <cell r="C2665">
            <v>1.6</v>
          </cell>
          <cell r="D2665">
            <v>0</v>
          </cell>
          <cell r="E2665">
            <v>0</v>
          </cell>
          <cell r="F2665">
            <v>0</v>
          </cell>
          <cell r="G2665">
            <v>0.81</v>
          </cell>
          <cell r="H2665">
            <v>0</v>
          </cell>
          <cell r="I2665">
            <v>0</v>
          </cell>
          <cell r="J2665">
            <v>0</v>
          </cell>
          <cell r="K2665">
            <v>-0.42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 t="b">
            <v>1</v>
          </cell>
        </row>
        <row r="2666">
          <cell r="A2666" t="str">
            <v>Data split-1;Reg-121</v>
          </cell>
          <cell r="B2666">
            <v>-4</v>
          </cell>
          <cell r="C2666">
            <v>1.5</v>
          </cell>
          <cell r="D2666">
            <v>0</v>
          </cell>
          <cell r="E2666">
            <v>0</v>
          </cell>
          <cell r="F2666">
            <v>0</v>
          </cell>
          <cell r="G2666">
            <v>0.73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-0.61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 t="b">
            <v>1</v>
          </cell>
        </row>
        <row r="2667">
          <cell r="A2667" t="str">
            <v>Data split-1;Reg-122</v>
          </cell>
          <cell r="B2667">
            <v>-2.9</v>
          </cell>
          <cell r="C2667">
            <v>1.1000000000000001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1.8</v>
          </cell>
          <cell r="I2667">
            <v>0</v>
          </cell>
          <cell r="J2667">
            <v>0</v>
          </cell>
          <cell r="K2667">
            <v>-0.42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 t="b">
            <v>1</v>
          </cell>
        </row>
        <row r="2668">
          <cell r="A2668" t="str">
            <v>Data split-1;Reg-123</v>
          </cell>
          <cell r="B2668">
            <v>-4.4000000000000004</v>
          </cell>
          <cell r="C2668">
            <v>1.1000000000000001</v>
          </cell>
          <cell r="D2668">
            <v>0</v>
          </cell>
          <cell r="E2668">
            <v>0</v>
          </cell>
          <cell r="F2668">
            <v>0</v>
          </cell>
          <cell r="G2668">
            <v>0</v>
          </cell>
          <cell r="H2668">
            <v>1.7</v>
          </cell>
          <cell r="I2668">
            <v>0</v>
          </cell>
          <cell r="J2668">
            <v>0</v>
          </cell>
          <cell r="K2668">
            <v>0</v>
          </cell>
          <cell r="L2668">
            <v>0.59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 t="b">
            <v>0</v>
          </cell>
        </row>
        <row r="2669">
          <cell r="A2669" t="str">
            <v>Data split-1;Reg-124</v>
          </cell>
          <cell r="B2669">
            <v>-1.2</v>
          </cell>
          <cell r="C2669">
            <v>0</v>
          </cell>
          <cell r="D2669">
            <v>1</v>
          </cell>
          <cell r="E2669">
            <v>0</v>
          </cell>
          <cell r="F2669">
            <v>0</v>
          </cell>
          <cell r="G2669">
            <v>1</v>
          </cell>
          <cell r="H2669">
            <v>0</v>
          </cell>
          <cell r="I2669">
            <v>0</v>
          </cell>
          <cell r="J2669">
            <v>0</v>
          </cell>
          <cell r="K2669">
            <v>-0.13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 t="b">
            <v>1</v>
          </cell>
        </row>
        <row r="2670">
          <cell r="A2670" t="str">
            <v>Data split-1;Reg-125</v>
          </cell>
          <cell r="B2670">
            <v>-3.5</v>
          </cell>
          <cell r="C2670">
            <v>0</v>
          </cell>
          <cell r="D2670">
            <v>1.1000000000000001</v>
          </cell>
          <cell r="E2670">
            <v>0</v>
          </cell>
          <cell r="F2670">
            <v>0</v>
          </cell>
          <cell r="G2670">
            <v>0.96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2.9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 t="b">
            <v>0</v>
          </cell>
        </row>
        <row r="2671">
          <cell r="A2671" t="str">
            <v>Data split-1;Reg-126</v>
          </cell>
          <cell r="B2671">
            <v>-1.2</v>
          </cell>
          <cell r="C2671">
            <v>0</v>
          </cell>
          <cell r="D2671">
            <v>0.51</v>
          </cell>
          <cell r="E2671">
            <v>0</v>
          </cell>
          <cell r="F2671">
            <v>0</v>
          </cell>
          <cell r="G2671">
            <v>0</v>
          </cell>
          <cell r="H2671">
            <v>2.6</v>
          </cell>
          <cell r="I2671">
            <v>0</v>
          </cell>
          <cell r="J2671">
            <v>0</v>
          </cell>
          <cell r="K2671">
            <v>-0.36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 t="b">
            <v>1</v>
          </cell>
        </row>
        <row r="2672">
          <cell r="A2672" t="str">
            <v>Data split-1;Reg-127</v>
          </cell>
          <cell r="B2672">
            <v>-4.2</v>
          </cell>
          <cell r="C2672">
            <v>0</v>
          </cell>
          <cell r="D2672">
            <v>0.56000000000000005</v>
          </cell>
          <cell r="E2672">
            <v>0</v>
          </cell>
          <cell r="F2672">
            <v>0</v>
          </cell>
          <cell r="G2672">
            <v>0</v>
          </cell>
          <cell r="H2672">
            <v>2.4</v>
          </cell>
          <cell r="I2672">
            <v>0</v>
          </cell>
          <cell r="J2672">
            <v>0</v>
          </cell>
          <cell r="K2672">
            <v>0</v>
          </cell>
          <cell r="L2672">
            <v>2.9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 t="b">
            <v>0</v>
          </cell>
        </row>
        <row r="2673">
          <cell r="A2673" t="str">
            <v>Data split-2;Reg-1</v>
          </cell>
          <cell r="B2673">
            <v>-5.0999999999999996</v>
          </cell>
          <cell r="C2673">
            <v>1.6</v>
          </cell>
          <cell r="D2673">
            <v>0</v>
          </cell>
          <cell r="E2673">
            <v>0</v>
          </cell>
          <cell r="F2673">
            <v>0.27</v>
          </cell>
          <cell r="G2673">
            <v>0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0.66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 t="b">
            <v>0</v>
          </cell>
        </row>
        <row r="2674">
          <cell r="A2674" t="str">
            <v>Data split-2;Reg-2</v>
          </cell>
          <cell r="B2674">
            <v>-5.6</v>
          </cell>
          <cell r="C2674">
            <v>1.4</v>
          </cell>
          <cell r="D2674">
            <v>0</v>
          </cell>
          <cell r="E2674">
            <v>0</v>
          </cell>
          <cell r="F2674">
            <v>0.2</v>
          </cell>
          <cell r="G2674">
            <v>1.7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0</v>
          </cell>
          <cell r="M2674">
            <v>-0.14000000000000001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 t="b">
            <v>1</v>
          </cell>
        </row>
        <row r="2675">
          <cell r="A2675" t="str">
            <v>Data split-2;Reg-3</v>
          </cell>
          <cell r="B2675">
            <v>-5.7</v>
          </cell>
          <cell r="C2675">
            <v>1.5</v>
          </cell>
          <cell r="D2675">
            <v>0</v>
          </cell>
          <cell r="E2675">
            <v>0</v>
          </cell>
          <cell r="F2675">
            <v>0.18</v>
          </cell>
          <cell r="G2675">
            <v>1.8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-2.5999999999999999E-2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 t="b">
            <v>1</v>
          </cell>
        </row>
        <row r="2676">
          <cell r="A2676" t="str">
            <v>Data split-2;Reg-4</v>
          </cell>
          <cell r="B2676">
            <v>-4.3</v>
          </cell>
          <cell r="C2676">
            <v>0.84</v>
          </cell>
          <cell r="D2676">
            <v>0</v>
          </cell>
          <cell r="E2676">
            <v>0</v>
          </cell>
          <cell r="F2676">
            <v>0.14000000000000001</v>
          </cell>
          <cell r="G2676">
            <v>0</v>
          </cell>
          <cell r="H2676">
            <v>3.5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-0.15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 t="b">
            <v>1</v>
          </cell>
        </row>
        <row r="2677">
          <cell r="A2677" t="str">
            <v>Data split-2;Reg-5</v>
          </cell>
          <cell r="B2677">
            <v>-2.4</v>
          </cell>
          <cell r="C2677">
            <v>0</v>
          </cell>
          <cell r="D2677">
            <v>0.46</v>
          </cell>
          <cell r="E2677">
            <v>0</v>
          </cell>
          <cell r="F2677">
            <v>0.14000000000000001</v>
          </cell>
          <cell r="G2677">
            <v>0</v>
          </cell>
          <cell r="H2677">
            <v>4.0999999999999996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-0.16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 t="b">
            <v>1</v>
          </cell>
        </row>
        <row r="2678">
          <cell r="A2678" t="str">
            <v>Data split-2;Reg-6</v>
          </cell>
          <cell r="B2678">
            <v>-4.4000000000000004</v>
          </cell>
          <cell r="C2678">
            <v>1.1000000000000001</v>
          </cell>
          <cell r="D2678">
            <v>0</v>
          </cell>
          <cell r="E2678">
            <v>2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-0.44</v>
          </cell>
          <cell r="M2678">
            <v>-8.7999999999999995E-2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 t="b">
            <v>1</v>
          </cell>
        </row>
        <row r="2679">
          <cell r="A2679" t="str">
            <v>Data split-2;Reg-7</v>
          </cell>
          <cell r="B2679">
            <v>-5.2</v>
          </cell>
          <cell r="C2679">
            <v>1.6</v>
          </cell>
          <cell r="D2679">
            <v>0</v>
          </cell>
          <cell r="E2679">
            <v>0</v>
          </cell>
          <cell r="F2679">
            <v>0.26</v>
          </cell>
          <cell r="G2679">
            <v>0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0.69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8.3999999999999995E-3</v>
          </cell>
          <cell r="T2679">
            <v>0</v>
          </cell>
          <cell r="U2679" t="b">
            <v>0</v>
          </cell>
        </row>
        <row r="2680">
          <cell r="A2680" t="str">
            <v>Data split-2;Reg-8</v>
          </cell>
          <cell r="B2680">
            <v>-4.9000000000000004</v>
          </cell>
          <cell r="C2680">
            <v>1.4</v>
          </cell>
          <cell r="D2680">
            <v>0</v>
          </cell>
          <cell r="E2680">
            <v>0</v>
          </cell>
          <cell r="F2680">
            <v>0</v>
          </cell>
          <cell r="G2680">
            <v>1.9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-2.1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-9.8000000000000004E-2</v>
          </cell>
          <cell r="T2680">
            <v>0</v>
          </cell>
          <cell r="U2680" t="b">
            <v>1</v>
          </cell>
        </row>
        <row r="2681">
          <cell r="A2681" t="str">
            <v>Data split-2;Reg-9</v>
          </cell>
          <cell r="B2681">
            <v>-2.9</v>
          </cell>
          <cell r="C2681">
            <v>0</v>
          </cell>
          <cell r="D2681">
            <v>0.28999999999999998</v>
          </cell>
          <cell r="E2681">
            <v>0</v>
          </cell>
          <cell r="F2681">
            <v>0</v>
          </cell>
          <cell r="G2681">
            <v>0</v>
          </cell>
          <cell r="H2681">
            <v>5.5</v>
          </cell>
          <cell r="I2681">
            <v>0</v>
          </cell>
          <cell r="J2681">
            <v>0</v>
          </cell>
          <cell r="K2681">
            <v>0</v>
          </cell>
          <cell r="L2681">
            <v>-0.21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-0.21</v>
          </cell>
          <cell r="T2681">
            <v>0</v>
          </cell>
          <cell r="U2681" t="b">
            <v>1</v>
          </cell>
        </row>
        <row r="2682">
          <cell r="A2682" t="str">
            <v>Data split-2;Reg-10</v>
          </cell>
          <cell r="B2682">
            <v>-2.9</v>
          </cell>
          <cell r="C2682">
            <v>0</v>
          </cell>
          <cell r="D2682">
            <v>0.28999999999999998</v>
          </cell>
          <cell r="E2682">
            <v>0</v>
          </cell>
          <cell r="F2682">
            <v>0</v>
          </cell>
          <cell r="G2682">
            <v>0</v>
          </cell>
          <cell r="H2682">
            <v>5.5</v>
          </cell>
          <cell r="I2682">
            <v>0</v>
          </cell>
          <cell r="J2682">
            <v>0</v>
          </cell>
          <cell r="K2682">
            <v>0</v>
          </cell>
          <cell r="L2682">
            <v>-0.21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-0.21</v>
          </cell>
          <cell r="T2682">
            <v>0</v>
          </cell>
          <cell r="U2682" t="b">
            <v>1</v>
          </cell>
        </row>
        <row r="2683">
          <cell r="A2683" t="str">
            <v>Data split-2;Reg-11</v>
          </cell>
          <cell r="B2683">
            <v>-6.9</v>
          </cell>
          <cell r="C2683">
            <v>1.4</v>
          </cell>
          <cell r="D2683">
            <v>0</v>
          </cell>
          <cell r="E2683">
            <v>-0.44</v>
          </cell>
          <cell r="F2683">
            <v>0</v>
          </cell>
          <cell r="G2683">
            <v>1.5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 t="b">
            <v>0</v>
          </cell>
        </row>
        <row r="2684">
          <cell r="A2684" t="str">
            <v>Data split-2;Reg-12</v>
          </cell>
          <cell r="B2684">
            <v>-6.1</v>
          </cell>
          <cell r="C2684">
            <v>0.99</v>
          </cell>
          <cell r="D2684">
            <v>0</v>
          </cell>
          <cell r="E2684">
            <v>-2.2999999999999998</v>
          </cell>
          <cell r="F2684">
            <v>0</v>
          </cell>
          <cell r="G2684">
            <v>0</v>
          </cell>
          <cell r="H2684">
            <v>5.2</v>
          </cell>
          <cell r="I2684">
            <v>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 t="b">
            <v>0</v>
          </cell>
        </row>
        <row r="2685">
          <cell r="A2685" t="str">
            <v>Data split-2;Reg-13</v>
          </cell>
          <cell r="B2685">
            <v>-5.7</v>
          </cell>
          <cell r="C2685">
            <v>1.2</v>
          </cell>
          <cell r="D2685">
            <v>0</v>
          </cell>
          <cell r="E2685">
            <v>0</v>
          </cell>
          <cell r="F2685">
            <v>0.13</v>
          </cell>
          <cell r="G2685">
            <v>1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 t="b">
            <v>1</v>
          </cell>
        </row>
        <row r="2686">
          <cell r="A2686" t="str">
            <v>Data split-2;Reg-14</v>
          </cell>
          <cell r="B2686">
            <v>-4.9000000000000004</v>
          </cell>
          <cell r="C2686">
            <v>0.82</v>
          </cell>
          <cell r="D2686">
            <v>0</v>
          </cell>
          <cell r="E2686">
            <v>0</v>
          </cell>
          <cell r="F2686">
            <v>9.7000000000000003E-2</v>
          </cell>
          <cell r="G2686">
            <v>0</v>
          </cell>
          <cell r="H2686">
            <v>2.1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 t="b">
            <v>1</v>
          </cell>
        </row>
        <row r="2687">
          <cell r="A2687" t="str">
            <v>Data split-2;Reg-15</v>
          </cell>
          <cell r="B2687">
            <v>-4.8</v>
          </cell>
          <cell r="C2687">
            <v>1.1000000000000001</v>
          </cell>
          <cell r="D2687">
            <v>0</v>
          </cell>
          <cell r="E2687">
            <v>2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-8.6999999999999994E-2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 t="b">
            <v>1</v>
          </cell>
        </row>
        <row r="2688">
          <cell r="A2688" t="str">
            <v>Data split-2;Reg-16</v>
          </cell>
          <cell r="B2688">
            <v>-5</v>
          </cell>
          <cell r="C2688">
            <v>1.1000000000000001</v>
          </cell>
          <cell r="D2688">
            <v>0</v>
          </cell>
          <cell r="E2688">
            <v>1.7</v>
          </cell>
          <cell r="F2688">
            <v>0</v>
          </cell>
          <cell r="G2688">
            <v>0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0</v>
          </cell>
          <cell r="M2688">
            <v>0</v>
          </cell>
          <cell r="N2688">
            <v>-9.9000000000000008E-3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 t="b">
            <v>1</v>
          </cell>
        </row>
        <row r="2689">
          <cell r="A2689" t="str">
            <v>Data split-2;Reg-17</v>
          </cell>
          <cell r="B2689">
            <v>-4.4000000000000004</v>
          </cell>
          <cell r="C2689">
            <v>1.7</v>
          </cell>
          <cell r="D2689">
            <v>0</v>
          </cell>
          <cell r="E2689">
            <v>0</v>
          </cell>
          <cell r="F2689">
            <v>0.3</v>
          </cell>
          <cell r="G2689">
            <v>0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0</v>
          </cell>
          <cell r="M2689">
            <v>-2.7E-2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 t="b">
            <v>1</v>
          </cell>
        </row>
        <row r="2690">
          <cell r="A2690" t="str">
            <v>Data split-2;Reg-18</v>
          </cell>
          <cell r="B2690">
            <v>-4.5</v>
          </cell>
          <cell r="C2690">
            <v>1.6</v>
          </cell>
          <cell r="D2690">
            <v>0</v>
          </cell>
          <cell r="E2690">
            <v>0</v>
          </cell>
          <cell r="F2690">
            <v>0.27</v>
          </cell>
          <cell r="G2690">
            <v>0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6.8999999999999997E-4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 t="b">
            <v>0</v>
          </cell>
        </row>
        <row r="2691">
          <cell r="A2691" t="str">
            <v>Data split-2;Reg-19</v>
          </cell>
          <cell r="B2691">
            <v>-6.8</v>
          </cell>
          <cell r="C2691">
            <v>1.1000000000000001</v>
          </cell>
          <cell r="D2691">
            <v>0</v>
          </cell>
          <cell r="E2691">
            <v>0</v>
          </cell>
          <cell r="F2691">
            <v>0</v>
          </cell>
          <cell r="G2691">
            <v>1.9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-6.7000000000000004E-2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 t="b">
            <v>1</v>
          </cell>
        </row>
        <row r="2692">
          <cell r="A2692" t="str">
            <v>Data split-2;Reg-20</v>
          </cell>
          <cell r="B2692">
            <v>-6.8</v>
          </cell>
          <cell r="C2692">
            <v>1.2</v>
          </cell>
          <cell r="D2692">
            <v>0</v>
          </cell>
          <cell r="E2692">
            <v>0</v>
          </cell>
          <cell r="F2692">
            <v>0</v>
          </cell>
          <cell r="G2692">
            <v>1.6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-7.4999999999999997E-3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 t="b">
            <v>1</v>
          </cell>
        </row>
        <row r="2693">
          <cell r="A2693" t="str">
            <v>Data split-2;Reg-21</v>
          </cell>
          <cell r="B2693">
            <v>-5.3</v>
          </cell>
          <cell r="C2693">
            <v>0.61</v>
          </cell>
          <cell r="D2693">
            <v>0</v>
          </cell>
          <cell r="E2693">
            <v>0</v>
          </cell>
          <cell r="F2693">
            <v>0</v>
          </cell>
          <cell r="G2693">
            <v>0</v>
          </cell>
          <cell r="H2693">
            <v>3</v>
          </cell>
          <cell r="I2693">
            <v>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-3.7999999999999999E-2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 t="b">
            <v>1</v>
          </cell>
        </row>
        <row r="2694">
          <cell r="A2694" t="str">
            <v>Data split-2;Reg-22</v>
          </cell>
          <cell r="B2694">
            <v>-5.4</v>
          </cell>
          <cell r="C2694">
            <v>0.73</v>
          </cell>
          <cell r="D2694">
            <v>0</v>
          </cell>
          <cell r="E2694">
            <v>0</v>
          </cell>
          <cell r="F2694">
            <v>0</v>
          </cell>
          <cell r="G2694">
            <v>0</v>
          </cell>
          <cell r="H2694">
            <v>2.6</v>
          </cell>
          <cell r="I2694">
            <v>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-1.6999999999999999E-3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 t="b">
            <v>1</v>
          </cell>
        </row>
        <row r="2695">
          <cell r="A2695" t="str">
            <v>Data split-2;Reg-23</v>
          </cell>
          <cell r="B2695">
            <v>-3.5</v>
          </cell>
          <cell r="C2695">
            <v>0</v>
          </cell>
          <cell r="D2695">
            <v>0.72</v>
          </cell>
          <cell r="E2695">
            <v>0.36</v>
          </cell>
          <cell r="F2695">
            <v>0</v>
          </cell>
          <cell r="G2695">
            <v>1.3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 t="b">
            <v>1</v>
          </cell>
        </row>
        <row r="2696">
          <cell r="A2696" t="str">
            <v>Data split-2;Reg-24</v>
          </cell>
          <cell r="B2696">
            <v>-3.7</v>
          </cell>
          <cell r="C2696">
            <v>0</v>
          </cell>
          <cell r="D2696">
            <v>0.46</v>
          </cell>
          <cell r="E2696">
            <v>-1.9</v>
          </cell>
          <cell r="F2696">
            <v>0</v>
          </cell>
          <cell r="G2696">
            <v>0</v>
          </cell>
          <cell r="H2696">
            <v>5.3</v>
          </cell>
          <cell r="I2696">
            <v>0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 t="b">
            <v>0</v>
          </cell>
        </row>
        <row r="2697">
          <cell r="A2697" t="str">
            <v>Data split-2;Reg-25</v>
          </cell>
          <cell r="B2697">
            <v>-2.7</v>
          </cell>
          <cell r="C2697">
            <v>0</v>
          </cell>
          <cell r="D2697">
            <v>0.79</v>
          </cell>
          <cell r="E2697">
            <v>0</v>
          </cell>
          <cell r="F2697">
            <v>0.16</v>
          </cell>
          <cell r="G2697">
            <v>1.2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 t="b">
            <v>1</v>
          </cell>
        </row>
        <row r="2698">
          <cell r="A2698" t="str">
            <v>Data split-2;Reg-26</v>
          </cell>
          <cell r="B2698">
            <v>-3</v>
          </cell>
          <cell r="C2698">
            <v>0</v>
          </cell>
          <cell r="D2698">
            <v>0.38</v>
          </cell>
          <cell r="E2698">
            <v>0</v>
          </cell>
          <cell r="F2698">
            <v>8.6999999999999994E-2</v>
          </cell>
          <cell r="G2698">
            <v>0</v>
          </cell>
          <cell r="H2698">
            <v>2.7</v>
          </cell>
          <cell r="I2698">
            <v>0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 t="b">
            <v>1</v>
          </cell>
        </row>
        <row r="2699">
          <cell r="A2699" t="str">
            <v>Data split-2;Reg-27</v>
          </cell>
          <cell r="B2699">
            <v>-2.2000000000000002</v>
          </cell>
          <cell r="C2699">
            <v>0</v>
          </cell>
          <cell r="D2699">
            <v>0.61</v>
          </cell>
          <cell r="E2699">
            <v>2.6</v>
          </cell>
          <cell r="F2699">
            <v>0</v>
          </cell>
          <cell r="G2699">
            <v>0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0</v>
          </cell>
          <cell r="M2699">
            <v>-0.1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 t="b">
            <v>1</v>
          </cell>
        </row>
        <row r="2700">
          <cell r="A2700" t="str">
            <v>Data split-2;Reg-28</v>
          </cell>
          <cell r="B2700">
            <v>-2.2999999999999998</v>
          </cell>
          <cell r="C2700">
            <v>0</v>
          </cell>
          <cell r="D2700">
            <v>0.63</v>
          </cell>
          <cell r="E2700">
            <v>2.2999999999999998</v>
          </cell>
          <cell r="F2700">
            <v>0</v>
          </cell>
          <cell r="G2700">
            <v>0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-1.4E-2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 t="b">
            <v>1</v>
          </cell>
        </row>
        <row r="2701">
          <cell r="A2701" t="str">
            <v>Data split-2;Reg-29</v>
          </cell>
          <cell r="B2701">
            <v>-0.26</v>
          </cell>
          <cell r="C2701">
            <v>0</v>
          </cell>
          <cell r="D2701">
            <v>1.3</v>
          </cell>
          <cell r="E2701">
            <v>0</v>
          </cell>
          <cell r="F2701">
            <v>0.35</v>
          </cell>
          <cell r="G2701">
            <v>0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0</v>
          </cell>
          <cell r="M2701">
            <v>-1.2999999999999999E-2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 t="b">
            <v>1</v>
          </cell>
        </row>
        <row r="2702">
          <cell r="A2702" t="str">
            <v>Data split-2;Reg-30</v>
          </cell>
          <cell r="B2702">
            <v>-0.67</v>
          </cell>
          <cell r="C2702">
            <v>0</v>
          </cell>
          <cell r="D2702">
            <v>1.1000000000000001</v>
          </cell>
          <cell r="E2702">
            <v>0</v>
          </cell>
          <cell r="F2702">
            <v>0.31</v>
          </cell>
          <cell r="G2702">
            <v>0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0</v>
          </cell>
          <cell r="M2702">
            <v>0</v>
          </cell>
          <cell r="N2702">
            <v>3.8999999999999998E-3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 t="b">
            <v>0</v>
          </cell>
        </row>
        <row r="2703">
          <cell r="A2703" t="str">
            <v>Data split-2;Reg-31</v>
          </cell>
          <cell r="B2703">
            <v>-4.7</v>
          </cell>
          <cell r="C2703">
            <v>0</v>
          </cell>
          <cell r="D2703">
            <v>0.7</v>
          </cell>
          <cell r="E2703">
            <v>0</v>
          </cell>
          <cell r="F2703">
            <v>0</v>
          </cell>
          <cell r="G2703">
            <v>2.4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-0.11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 t="b">
            <v>1</v>
          </cell>
        </row>
        <row r="2704">
          <cell r="A2704" t="str">
            <v>Data split-2;Reg-32</v>
          </cell>
          <cell r="B2704">
            <v>-4.5999999999999996</v>
          </cell>
          <cell r="C2704">
            <v>0</v>
          </cell>
          <cell r="D2704">
            <v>0.75</v>
          </cell>
          <cell r="E2704">
            <v>0</v>
          </cell>
          <cell r="F2704">
            <v>0</v>
          </cell>
          <cell r="G2704">
            <v>2.2999999999999998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-1.7000000000000001E-2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 t="b">
            <v>1</v>
          </cell>
        </row>
        <row r="2705">
          <cell r="A2705" t="str">
            <v>Data split-2;Reg-33</v>
          </cell>
          <cell r="B2705">
            <v>-3.9</v>
          </cell>
          <cell r="C2705">
            <v>0</v>
          </cell>
          <cell r="D2705">
            <v>0.18</v>
          </cell>
          <cell r="E2705">
            <v>0</v>
          </cell>
          <cell r="F2705">
            <v>0</v>
          </cell>
          <cell r="G2705">
            <v>0</v>
          </cell>
          <cell r="H2705">
            <v>3.8</v>
          </cell>
          <cell r="I2705">
            <v>0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-6.9000000000000006E-2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 t="b">
            <v>1</v>
          </cell>
        </row>
        <row r="2706">
          <cell r="A2706" t="str">
            <v>Data split-2;Reg-34</v>
          </cell>
          <cell r="B2706">
            <v>-3.8</v>
          </cell>
          <cell r="C2706">
            <v>0</v>
          </cell>
          <cell r="D2706">
            <v>0.25</v>
          </cell>
          <cell r="E2706">
            <v>0</v>
          </cell>
          <cell r="F2706">
            <v>0</v>
          </cell>
          <cell r="G2706">
            <v>0</v>
          </cell>
          <cell r="H2706">
            <v>3.5</v>
          </cell>
          <cell r="I2706">
            <v>0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-7.7999999999999996E-3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 t="b">
            <v>1</v>
          </cell>
        </row>
        <row r="2707">
          <cell r="A2707" t="str">
            <v>Data split-2;Reg-35</v>
          </cell>
          <cell r="B2707">
            <v>-6.5</v>
          </cell>
          <cell r="C2707">
            <v>1.3</v>
          </cell>
          <cell r="D2707">
            <v>0</v>
          </cell>
          <cell r="E2707">
            <v>0.41</v>
          </cell>
          <cell r="F2707">
            <v>0</v>
          </cell>
          <cell r="G2707">
            <v>1.8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0</v>
          </cell>
          <cell r="M2707">
            <v>-0.13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 t="b">
            <v>1</v>
          </cell>
        </row>
        <row r="2708">
          <cell r="A2708" t="str">
            <v>Data split-2;Reg-36</v>
          </cell>
          <cell r="B2708">
            <v>-6.5</v>
          </cell>
          <cell r="C2708">
            <v>1.4</v>
          </cell>
          <cell r="D2708">
            <v>0</v>
          </cell>
          <cell r="E2708">
            <v>0.34</v>
          </cell>
          <cell r="F2708">
            <v>0</v>
          </cell>
          <cell r="G2708">
            <v>1.8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0</v>
          </cell>
          <cell r="M2708">
            <v>0</v>
          </cell>
          <cell r="N2708">
            <v>-2.4E-2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 t="b">
            <v>1</v>
          </cell>
        </row>
        <row r="2709">
          <cell r="A2709" t="str">
            <v>Data split-2;Reg-37</v>
          </cell>
          <cell r="B2709">
            <v>-5.6</v>
          </cell>
          <cell r="C2709">
            <v>0.92</v>
          </cell>
          <cell r="D2709">
            <v>0</v>
          </cell>
          <cell r="E2709">
            <v>-1.6</v>
          </cell>
          <cell r="F2709">
            <v>0</v>
          </cell>
          <cell r="G2709">
            <v>0</v>
          </cell>
          <cell r="H2709">
            <v>5.5</v>
          </cell>
          <cell r="I2709">
            <v>0</v>
          </cell>
          <cell r="J2709">
            <v>0</v>
          </cell>
          <cell r="K2709">
            <v>0</v>
          </cell>
          <cell r="L2709">
            <v>0</v>
          </cell>
          <cell r="M2709">
            <v>-0.11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 t="b">
            <v>0</v>
          </cell>
        </row>
        <row r="2710">
          <cell r="A2710" t="str">
            <v>Data split-2;Reg-38</v>
          </cell>
          <cell r="B2710">
            <v>-5.6</v>
          </cell>
          <cell r="C2710">
            <v>0.94</v>
          </cell>
          <cell r="D2710">
            <v>0</v>
          </cell>
          <cell r="E2710">
            <v>-1.7</v>
          </cell>
          <cell r="F2710">
            <v>0</v>
          </cell>
          <cell r="G2710">
            <v>0</v>
          </cell>
          <cell r="H2710">
            <v>5.5</v>
          </cell>
          <cell r="I2710">
            <v>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-1.9E-2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 t="b">
            <v>0</v>
          </cell>
        </row>
        <row r="2711">
          <cell r="A2711" t="str">
            <v>Data split-2;Reg-39</v>
          </cell>
          <cell r="B2711">
            <v>-5.6</v>
          </cell>
          <cell r="C2711">
            <v>1.4</v>
          </cell>
          <cell r="D2711">
            <v>0</v>
          </cell>
          <cell r="E2711">
            <v>0</v>
          </cell>
          <cell r="F2711">
            <v>0.2</v>
          </cell>
          <cell r="G2711">
            <v>1.7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0</v>
          </cell>
          <cell r="M2711">
            <v>-0.14000000000000001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 t="b">
            <v>1</v>
          </cell>
        </row>
        <row r="2712">
          <cell r="A2712" t="str">
            <v>Data split-2;Reg-40</v>
          </cell>
          <cell r="B2712">
            <v>-5.7</v>
          </cell>
          <cell r="C2712">
            <v>1.5</v>
          </cell>
          <cell r="D2712">
            <v>0</v>
          </cell>
          <cell r="E2712">
            <v>0</v>
          </cell>
          <cell r="F2712">
            <v>0.18</v>
          </cell>
          <cell r="G2712">
            <v>1.8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0</v>
          </cell>
          <cell r="M2712">
            <v>0</v>
          </cell>
          <cell r="N2712">
            <v>-2.5999999999999999E-2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 t="b">
            <v>1</v>
          </cell>
        </row>
        <row r="2713">
          <cell r="A2713" t="str">
            <v>Data split-2;Reg-41</v>
          </cell>
          <cell r="B2713">
            <v>-4.3</v>
          </cell>
          <cell r="C2713">
            <v>0.84</v>
          </cell>
          <cell r="D2713">
            <v>0</v>
          </cell>
          <cell r="E2713">
            <v>0</v>
          </cell>
          <cell r="F2713">
            <v>0.14000000000000001</v>
          </cell>
          <cell r="G2713">
            <v>0</v>
          </cell>
          <cell r="H2713">
            <v>3.5</v>
          </cell>
          <cell r="I2713">
            <v>0</v>
          </cell>
          <cell r="J2713">
            <v>0</v>
          </cell>
          <cell r="K2713">
            <v>0</v>
          </cell>
          <cell r="L2713">
            <v>0</v>
          </cell>
          <cell r="M2713">
            <v>-0.15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 t="b">
            <v>1</v>
          </cell>
        </row>
        <row r="2714">
          <cell r="A2714" t="str">
            <v>Data split-2;Reg-42</v>
          </cell>
          <cell r="B2714">
            <v>-4.3</v>
          </cell>
          <cell r="C2714">
            <v>0.85</v>
          </cell>
          <cell r="D2714">
            <v>0</v>
          </cell>
          <cell r="E2714">
            <v>0</v>
          </cell>
          <cell r="F2714">
            <v>0.13</v>
          </cell>
          <cell r="G2714">
            <v>0</v>
          </cell>
          <cell r="H2714">
            <v>3.6</v>
          </cell>
          <cell r="I2714">
            <v>0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-2.7E-2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 t="b">
            <v>1</v>
          </cell>
        </row>
        <row r="2715">
          <cell r="A2715" t="str">
            <v>Data split-2;Reg-43</v>
          </cell>
          <cell r="B2715">
            <v>-7</v>
          </cell>
          <cell r="C2715">
            <v>1.2</v>
          </cell>
          <cell r="D2715">
            <v>0</v>
          </cell>
          <cell r="E2715">
            <v>-0.27</v>
          </cell>
          <cell r="F2715">
            <v>0</v>
          </cell>
          <cell r="G2715">
            <v>2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-6.2E-2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 t="b">
            <v>0</v>
          </cell>
        </row>
        <row r="2716">
          <cell r="A2716" t="str">
            <v>Data split-2;Reg-44</v>
          </cell>
          <cell r="B2716">
            <v>-7.1</v>
          </cell>
          <cell r="C2716">
            <v>1.3</v>
          </cell>
          <cell r="D2716">
            <v>0</v>
          </cell>
          <cell r="E2716">
            <v>-0.37</v>
          </cell>
          <cell r="F2716">
            <v>0</v>
          </cell>
          <cell r="G2716">
            <v>1.8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-6.4999999999999997E-3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 t="b">
            <v>0</v>
          </cell>
        </row>
        <row r="2717">
          <cell r="A2717" t="str">
            <v>Data split-2;Reg-45</v>
          </cell>
          <cell r="B2717">
            <v>-6</v>
          </cell>
          <cell r="C2717">
            <v>0.88</v>
          </cell>
          <cell r="D2717">
            <v>0</v>
          </cell>
          <cell r="E2717">
            <v>-2.2999999999999998</v>
          </cell>
          <cell r="F2717">
            <v>0</v>
          </cell>
          <cell r="G2717">
            <v>0</v>
          </cell>
          <cell r="H2717">
            <v>5.5</v>
          </cell>
          <cell r="I2717">
            <v>0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-2.7E-2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 t="b">
            <v>0</v>
          </cell>
        </row>
        <row r="2718">
          <cell r="A2718" t="str">
            <v>Data split-2;Reg-46</v>
          </cell>
          <cell r="B2718">
            <v>-6.1</v>
          </cell>
          <cell r="C2718">
            <v>0.98</v>
          </cell>
          <cell r="D2718">
            <v>0</v>
          </cell>
          <cell r="E2718">
            <v>-2.2999999999999998</v>
          </cell>
          <cell r="F2718">
            <v>0</v>
          </cell>
          <cell r="G2718">
            <v>0</v>
          </cell>
          <cell r="H2718">
            <v>5.2</v>
          </cell>
          <cell r="I2718">
            <v>0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-2.9E-4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 t="b">
            <v>0</v>
          </cell>
        </row>
        <row r="2719">
          <cell r="A2719" t="str">
            <v>Data split-2;Reg-47</v>
          </cell>
          <cell r="B2719">
            <v>-5.8</v>
          </cell>
          <cell r="C2719">
            <v>0.95</v>
          </cell>
          <cell r="D2719">
            <v>0</v>
          </cell>
          <cell r="E2719">
            <v>0</v>
          </cell>
          <cell r="F2719">
            <v>0.2</v>
          </cell>
          <cell r="G2719">
            <v>1.9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-0.11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 t="b">
            <v>1</v>
          </cell>
        </row>
        <row r="2720">
          <cell r="A2720" t="str">
            <v>Data split-2;Reg-48</v>
          </cell>
          <cell r="B2720">
            <v>-6</v>
          </cell>
          <cell r="C2720">
            <v>1.1000000000000001</v>
          </cell>
          <cell r="D2720">
            <v>0</v>
          </cell>
          <cell r="E2720">
            <v>0</v>
          </cell>
          <cell r="F2720">
            <v>0.17</v>
          </cell>
          <cell r="G2720">
            <v>1.6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-1.4E-2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 t="b">
            <v>1</v>
          </cell>
        </row>
        <row r="2721">
          <cell r="A2721" t="str">
            <v>Data split-2;Reg-49</v>
          </cell>
          <cell r="B2721">
            <v>-4.5999999999999996</v>
          </cell>
          <cell r="C2721">
            <v>0.61</v>
          </cell>
          <cell r="D2721">
            <v>0</v>
          </cell>
          <cell r="E2721">
            <v>0</v>
          </cell>
          <cell r="F2721">
            <v>0.13</v>
          </cell>
          <cell r="G2721">
            <v>0</v>
          </cell>
          <cell r="H2721">
            <v>2.8</v>
          </cell>
          <cell r="I2721">
            <v>0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-5.5E-2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 t="b">
            <v>1</v>
          </cell>
        </row>
        <row r="2722">
          <cell r="A2722" t="str">
            <v>Data split-2;Reg-50</v>
          </cell>
          <cell r="B2722">
            <v>-4.9000000000000004</v>
          </cell>
          <cell r="C2722">
            <v>0.75</v>
          </cell>
          <cell r="D2722">
            <v>0</v>
          </cell>
          <cell r="E2722">
            <v>0</v>
          </cell>
          <cell r="F2722">
            <v>0.11</v>
          </cell>
          <cell r="G2722">
            <v>0</v>
          </cell>
          <cell r="H2722">
            <v>2.2999999999999998</v>
          </cell>
          <cell r="I2722">
            <v>0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-4.0000000000000001E-3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 t="b">
            <v>1</v>
          </cell>
        </row>
        <row r="2723">
          <cell r="A2723" t="str">
            <v>Data split-2;Reg-51</v>
          </cell>
          <cell r="B2723">
            <v>-3.3</v>
          </cell>
          <cell r="C2723">
            <v>0</v>
          </cell>
          <cell r="D2723">
            <v>0.74</v>
          </cell>
          <cell r="E2723">
            <v>1.2</v>
          </cell>
          <cell r="F2723">
            <v>0</v>
          </cell>
          <cell r="G2723">
            <v>1.6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0</v>
          </cell>
          <cell r="M2723">
            <v>0</v>
          </cell>
          <cell r="N2723">
            <v>0</v>
          </cell>
          <cell r="O2723">
            <v>-0.14000000000000001</v>
          </cell>
          <cell r="P2723">
            <v>0</v>
          </cell>
          <cell r="Q2723">
            <v>0</v>
          </cell>
          <cell r="R2723">
            <v>0</v>
          </cell>
          <cell r="S2723">
            <v>0</v>
          </cell>
          <cell r="T2723">
            <v>0</v>
          </cell>
          <cell r="U2723" t="b">
            <v>1</v>
          </cell>
        </row>
        <row r="2724">
          <cell r="A2724" t="str">
            <v>Data split-2;Reg-52</v>
          </cell>
          <cell r="B2724">
            <v>-3.2</v>
          </cell>
          <cell r="C2724">
            <v>0</v>
          </cell>
          <cell r="D2724">
            <v>0.79</v>
          </cell>
          <cell r="E2724">
            <v>1.2</v>
          </cell>
          <cell r="F2724">
            <v>0</v>
          </cell>
          <cell r="G2724">
            <v>1.7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-2.7E-2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 t="b">
            <v>1</v>
          </cell>
        </row>
        <row r="2725">
          <cell r="A2725" t="str">
            <v>Data split-2;Reg-53</v>
          </cell>
          <cell r="B2725">
            <v>-3.3</v>
          </cell>
          <cell r="C2725">
            <v>0</v>
          </cell>
          <cell r="D2725">
            <v>0.45</v>
          </cell>
          <cell r="E2725">
            <v>-1.1000000000000001</v>
          </cell>
          <cell r="F2725">
            <v>0</v>
          </cell>
          <cell r="G2725">
            <v>0</v>
          </cell>
          <cell r="H2725">
            <v>5.6</v>
          </cell>
          <cell r="I2725">
            <v>0</v>
          </cell>
          <cell r="J2725">
            <v>0</v>
          </cell>
          <cell r="K2725">
            <v>0</v>
          </cell>
          <cell r="L2725">
            <v>0</v>
          </cell>
          <cell r="M2725">
            <v>-0.13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 t="b">
            <v>0</v>
          </cell>
        </row>
        <row r="2726">
          <cell r="A2726" t="str">
            <v>Data split-2;Reg-54</v>
          </cell>
          <cell r="B2726">
            <v>-3.3</v>
          </cell>
          <cell r="C2726">
            <v>0</v>
          </cell>
          <cell r="D2726">
            <v>0.48</v>
          </cell>
          <cell r="E2726">
            <v>-1.3</v>
          </cell>
          <cell r="F2726">
            <v>0</v>
          </cell>
          <cell r="G2726">
            <v>0</v>
          </cell>
          <cell r="H2726">
            <v>5.7</v>
          </cell>
          <cell r="I2726">
            <v>0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-2.1999999999999999E-2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 t="b">
            <v>0</v>
          </cell>
        </row>
        <row r="2727">
          <cell r="A2727" t="str">
            <v>Data split-2;Reg-55</v>
          </cell>
          <cell r="B2727">
            <v>-2.2000000000000002</v>
          </cell>
          <cell r="C2727">
            <v>0</v>
          </cell>
          <cell r="D2727">
            <v>1</v>
          </cell>
          <cell r="E2727">
            <v>0</v>
          </cell>
          <cell r="F2727">
            <v>0.23</v>
          </cell>
          <cell r="G2727">
            <v>1.8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0</v>
          </cell>
          <cell r="M2727">
            <v>-0.13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 t="b">
            <v>1</v>
          </cell>
        </row>
        <row r="2728">
          <cell r="A2728" t="str">
            <v>Data split-2;Reg-56</v>
          </cell>
          <cell r="B2728">
            <v>-2.2000000000000002</v>
          </cell>
          <cell r="C2728">
            <v>0</v>
          </cell>
          <cell r="D2728">
            <v>1</v>
          </cell>
          <cell r="E2728">
            <v>0</v>
          </cell>
          <cell r="F2728">
            <v>0.22</v>
          </cell>
          <cell r="G2728">
            <v>1.9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-2.5000000000000001E-2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 t="b">
            <v>1</v>
          </cell>
        </row>
        <row r="2729">
          <cell r="A2729" t="str">
            <v>Data split-2;Reg-57</v>
          </cell>
          <cell r="B2729">
            <v>-2.4</v>
          </cell>
          <cell r="C2729">
            <v>0</v>
          </cell>
          <cell r="D2729">
            <v>0.46</v>
          </cell>
          <cell r="E2729">
            <v>0</v>
          </cell>
          <cell r="F2729">
            <v>0.14000000000000001</v>
          </cell>
          <cell r="G2729">
            <v>0</v>
          </cell>
          <cell r="H2729">
            <v>4.0999999999999996</v>
          </cell>
          <cell r="I2729">
            <v>0</v>
          </cell>
          <cell r="J2729">
            <v>0</v>
          </cell>
          <cell r="K2729">
            <v>0</v>
          </cell>
          <cell r="L2729">
            <v>0</v>
          </cell>
          <cell r="M2729">
            <v>-0.16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 t="b">
            <v>1</v>
          </cell>
        </row>
        <row r="2730">
          <cell r="A2730" t="str">
            <v>Data split-2;Reg-58</v>
          </cell>
          <cell r="B2730">
            <v>-2.4</v>
          </cell>
          <cell r="C2730">
            <v>0</v>
          </cell>
          <cell r="D2730">
            <v>0.48</v>
          </cell>
          <cell r="E2730">
            <v>0</v>
          </cell>
          <cell r="F2730">
            <v>0.13</v>
          </cell>
          <cell r="G2730">
            <v>0</v>
          </cell>
          <cell r="H2730">
            <v>4.0999999999999996</v>
          </cell>
          <cell r="I2730">
            <v>0</v>
          </cell>
          <cell r="J2730">
            <v>0</v>
          </cell>
          <cell r="K2730">
            <v>0</v>
          </cell>
          <cell r="L2730">
            <v>0</v>
          </cell>
          <cell r="M2730">
            <v>0</v>
          </cell>
          <cell r="N2730">
            <v>-2.9000000000000001E-2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 t="b">
            <v>1</v>
          </cell>
        </row>
        <row r="2731">
          <cell r="A2731" t="str">
            <v>Data split-2;Reg-59</v>
          </cell>
          <cell r="B2731">
            <v>-4.5999999999999996</v>
          </cell>
          <cell r="C2731">
            <v>0</v>
          </cell>
          <cell r="D2731">
            <v>0.57999999999999996</v>
          </cell>
          <cell r="E2731">
            <v>0.44</v>
          </cell>
          <cell r="F2731">
            <v>0</v>
          </cell>
          <cell r="G2731">
            <v>2.2000000000000002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-0.12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 t="b">
            <v>1</v>
          </cell>
        </row>
        <row r="2732">
          <cell r="A2732" t="str">
            <v>Data split-2;Reg-60</v>
          </cell>
          <cell r="B2732">
            <v>-4.5</v>
          </cell>
          <cell r="C2732">
            <v>0</v>
          </cell>
          <cell r="D2732">
            <v>0.65</v>
          </cell>
          <cell r="E2732">
            <v>0.37</v>
          </cell>
          <cell r="F2732">
            <v>0</v>
          </cell>
          <cell r="G2732">
            <v>2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-1.7000000000000001E-2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 t="b">
            <v>1</v>
          </cell>
        </row>
        <row r="2733">
          <cell r="A2733" t="str">
            <v>Data split-2;Reg-61</v>
          </cell>
          <cell r="B2733">
            <v>-4.0999999999999996</v>
          </cell>
          <cell r="C2733">
            <v>0</v>
          </cell>
          <cell r="D2733">
            <v>0.31</v>
          </cell>
          <cell r="E2733">
            <v>-1.9</v>
          </cell>
          <cell r="F2733">
            <v>0</v>
          </cell>
          <cell r="G2733">
            <v>0</v>
          </cell>
          <cell r="H2733">
            <v>6.1</v>
          </cell>
          <cell r="I2733">
            <v>0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-6.7000000000000004E-2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 t="b">
            <v>0</v>
          </cell>
        </row>
        <row r="2734">
          <cell r="A2734" t="str">
            <v>Data split-2;Reg-62</v>
          </cell>
          <cell r="B2734">
            <v>-4</v>
          </cell>
          <cell r="C2734">
            <v>0</v>
          </cell>
          <cell r="D2734">
            <v>0.38</v>
          </cell>
          <cell r="E2734">
            <v>-1.9</v>
          </cell>
          <cell r="F2734">
            <v>0</v>
          </cell>
          <cell r="G2734">
            <v>0</v>
          </cell>
          <cell r="H2734">
            <v>5.8</v>
          </cell>
          <cell r="I2734">
            <v>0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-7.9000000000000008E-3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 t="b">
            <v>0</v>
          </cell>
        </row>
        <row r="2735">
          <cell r="A2735" t="str">
            <v>Data split-2;Reg-63</v>
          </cell>
          <cell r="B2735">
            <v>-3.8</v>
          </cell>
          <cell r="C2735">
            <v>0</v>
          </cell>
          <cell r="D2735">
            <v>0.62</v>
          </cell>
          <cell r="E2735">
            <v>0</v>
          </cell>
          <cell r="F2735">
            <v>0.25</v>
          </cell>
          <cell r="G2735">
            <v>2.2999999999999998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-0.16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 t="b">
            <v>1</v>
          </cell>
        </row>
        <row r="2736">
          <cell r="A2736" t="str">
            <v>Data split-2;Reg-64</v>
          </cell>
          <cell r="B2736">
            <v>-3.9</v>
          </cell>
          <cell r="C2736">
            <v>0</v>
          </cell>
          <cell r="D2736">
            <v>0.69</v>
          </cell>
          <cell r="E2736">
            <v>0</v>
          </cell>
          <cell r="F2736">
            <v>0.22</v>
          </cell>
          <cell r="G2736">
            <v>2.1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-2.3E-2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 t="b">
            <v>1</v>
          </cell>
        </row>
        <row r="2737">
          <cell r="A2737" t="str">
            <v>Data split-2;Reg-65</v>
          </cell>
          <cell r="B2737">
            <v>-3.3</v>
          </cell>
          <cell r="C2737">
            <v>0</v>
          </cell>
          <cell r="D2737">
            <v>0.22</v>
          </cell>
          <cell r="E2737">
            <v>0</v>
          </cell>
          <cell r="F2737">
            <v>0.14000000000000001</v>
          </cell>
          <cell r="G2737">
            <v>0</v>
          </cell>
          <cell r="H2737">
            <v>3.5</v>
          </cell>
          <cell r="I2737">
            <v>0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-8.5000000000000006E-2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 t="b">
            <v>1</v>
          </cell>
        </row>
        <row r="2738">
          <cell r="A2738" t="str">
            <v>Data split-2;Reg-66</v>
          </cell>
          <cell r="B2738">
            <v>-3.3</v>
          </cell>
          <cell r="C2738">
            <v>0</v>
          </cell>
          <cell r="D2738">
            <v>0.3</v>
          </cell>
          <cell r="E2738">
            <v>0</v>
          </cell>
          <cell r="F2738">
            <v>0.11</v>
          </cell>
          <cell r="G2738">
            <v>0</v>
          </cell>
          <cell r="H2738">
            <v>3.2</v>
          </cell>
          <cell r="I2738">
            <v>0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-0.01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 t="b">
            <v>1</v>
          </cell>
        </row>
        <row r="2739">
          <cell r="A2739" t="str">
            <v>Data split-2;Reg-67</v>
          </cell>
          <cell r="B2739">
            <v>-6.5</v>
          </cell>
          <cell r="C2739">
            <v>1.2</v>
          </cell>
          <cell r="D2739">
            <v>0</v>
          </cell>
          <cell r="E2739">
            <v>0</v>
          </cell>
          <cell r="F2739">
            <v>0</v>
          </cell>
          <cell r="G2739">
            <v>1.3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 t="b">
            <v>1</v>
          </cell>
        </row>
        <row r="2740">
          <cell r="A2740" t="str">
            <v>Data split-2;Reg-68</v>
          </cell>
          <cell r="B2740">
            <v>-5.7</v>
          </cell>
          <cell r="C2740">
            <v>1.2</v>
          </cell>
          <cell r="D2740">
            <v>0</v>
          </cell>
          <cell r="E2740">
            <v>0</v>
          </cell>
          <cell r="F2740">
            <v>0.13</v>
          </cell>
          <cell r="G2740">
            <v>1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 t="b">
            <v>1</v>
          </cell>
        </row>
        <row r="2741">
          <cell r="A2741" t="str">
            <v>Data split-2;Reg-69</v>
          </cell>
          <cell r="B2741">
            <v>-5</v>
          </cell>
          <cell r="C2741">
            <v>1.2</v>
          </cell>
          <cell r="D2741">
            <v>0</v>
          </cell>
          <cell r="E2741">
            <v>0</v>
          </cell>
          <cell r="F2741">
            <v>0</v>
          </cell>
          <cell r="G2741">
            <v>1.4</v>
          </cell>
          <cell r="H2741">
            <v>0</v>
          </cell>
          <cell r="I2741">
            <v>0</v>
          </cell>
          <cell r="J2741">
            <v>-4.5999999999999996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 t="b">
            <v>1</v>
          </cell>
        </row>
        <row r="2742">
          <cell r="A2742" t="str">
            <v>Data split-2;Reg-70</v>
          </cell>
          <cell r="B2742">
            <v>-4.4000000000000004</v>
          </cell>
          <cell r="C2742">
            <v>1.4</v>
          </cell>
          <cell r="D2742">
            <v>0</v>
          </cell>
          <cell r="E2742">
            <v>0</v>
          </cell>
          <cell r="F2742">
            <v>0</v>
          </cell>
          <cell r="G2742">
            <v>2</v>
          </cell>
          <cell r="H2742">
            <v>0</v>
          </cell>
          <cell r="I2742">
            <v>0</v>
          </cell>
          <cell r="J2742">
            <v>-7.5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-0.1</v>
          </cell>
          <cell r="T2742">
            <v>0</v>
          </cell>
          <cell r="U2742" t="b">
            <v>1</v>
          </cell>
        </row>
        <row r="2743">
          <cell r="A2743" t="str">
            <v>Data split-2;Reg-71</v>
          </cell>
          <cell r="B2743">
            <v>-2.5</v>
          </cell>
          <cell r="C2743">
            <v>0.36</v>
          </cell>
          <cell r="D2743">
            <v>0</v>
          </cell>
          <cell r="E2743">
            <v>0</v>
          </cell>
          <cell r="F2743">
            <v>0.12</v>
          </cell>
          <cell r="G2743">
            <v>0</v>
          </cell>
          <cell r="H2743">
            <v>5.0999999999999996</v>
          </cell>
          <cell r="I2743">
            <v>0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-0.22</v>
          </cell>
          <cell r="T2743">
            <v>0</v>
          </cell>
          <cell r="U2743" t="b">
            <v>1</v>
          </cell>
        </row>
        <row r="2744">
          <cell r="A2744" t="str">
            <v>Data split-2;Reg-72</v>
          </cell>
          <cell r="B2744">
            <v>-5.3</v>
          </cell>
          <cell r="C2744">
            <v>1.2</v>
          </cell>
          <cell r="D2744">
            <v>0</v>
          </cell>
          <cell r="E2744">
            <v>1.2</v>
          </cell>
          <cell r="F2744">
            <v>0</v>
          </cell>
          <cell r="G2744">
            <v>0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 t="b">
            <v>1</v>
          </cell>
        </row>
        <row r="2745">
          <cell r="A2745" t="str">
            <v>Data split-2;Reg-73</v>
          </cell>
          <cell r="B2745">
            <v>-4.5</v>
          </cell>
          <cell r="C2745">
            <v>1.6</v>
          </cell>
          <cell r="D2745">
            <v>0</v>
          </cell>
          <cell r="E2745">
            <v>0</v>
          </cell>
          <cell r="F2745">
            <v>0.27</v>
          </cell>
          <cell r="G2745">
            <v>0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 t="b">
            <v>1</v>
          </cell>
        </row>
        <row r="2746">
          <cell r="A2746" t="str">
            <v>Data split-2;Reg-74</v>
          </cell>
          <cell r="B2746">
            <v>-2.5</v>
          </cell>
          <cell r="C2746">
            <v>0</v>
          </cell>
          <cell r="D2746">
            <v>0.61</v>
          </cell>
          <cell r="E2746">
            <v>1.7</v>
          </cell>
          <cell r="F2746">
            <v>0</v>
          </cell>
          <cell r="G2746">
            <v>0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 t="b">
            <v>1</v>
          </cell>
        </row>
        <row r="2747">
          <cell r="A2747" t="str">
            <v>Data split-2;Reg-75</v>
          </cell>
          <cell r="B2747">
            <v>-0.41</v>
          </cell>
          <cell r="C2747">
            <v>0</v>
          </cell>
          <cell r="D2747">
            <v>1.2</v>
          </cell>
          <cell r="E2747">
            <v>0</v>
          </cell>
          <cell r="F2747">
            <v>0.33</v>
          </cell>
          <cell r="G2747">
            <v>0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 t="b">
            <v>1</v>
          </cell>
        </row>
        <row r="2748">
          <cell r="A2748" t="str">
            <v>Data split-2;Reg-76</v>
          </cell>
          <cell r="B2748">
            <v>-6.5</v>
          </cell>
          <cell r="C2748">
            <v>1.2</v>
          </cell>
          <cell r="D2748">
            <v>0</v>
          </cell>
          <cell r="E2748">
            <v>0</v>
          </cell>
          <cell r="F2748">
            <v>0</v>
          </cell>
          <cell r="G2748">
            <v>1.3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 t="b">
            <v>1</v>
          </cell>
        </row>
        <row r="2749">
          <cell r="A2749" t="str">
            <v>Data split-2;Reg-77</v>
          </cell>
          <cell r="B2749">
            <v>-5.4</v>
          </cell>
          <cell r="C2749">
            <v>0.77</v>
          </cell>
          <cell r="D2749">
            <v>0</v>
          </cell>
          <cell r="E2749">
            <v>0</v>
          </cell>
          <cell r="F2749">
            <v>0</v>
          </cell>
          <cell r="G2749">
            <v>0</v>
          </cell>
          <cell r="H2749">
            <v>2.4</v>
          </cell>
          <cell r="I2749">
            <v>0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 t="b">
            <v>1</v>
          </cell>
        </row>
        <row r="2750">
          <cell r="A2750" t="str">
            <v>Data split-2;Reg-78</v>
          </cell>
          <cell r="B2750">
            <v>-3.5</v>
          </cell>
          <cell r="C2750">
            <v>0</v>
          </cell>
          <cell r="D2750">
            <v>0.82</v>
          </cell>
          <cell r="E2750">
            <v>0</v>
          </cell>
          <cell r="F2750">
            <v>0</v>
          </cell>
          <cell r="G2750">
            <v>1.5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 t="b">
            <v>1</v>
          </cell>
        </row>
        <row r="2751">
          <cell r="A2751" t="str">
            <v>Data split-2;Reg-79</v>
          </cell>
          <cell r="B2751">
            <v>-3.4</v>
          </cell>
          <cell r="C2751">
            <v>0</v>
          </cell>
          <cell r="D2751">
            <v>0.33</v>
          </cell>
          <cell r="E2751">
            <v>0</v>
          </cell>
          <cell r="F2751">
            <v>0</v>
          </cell>
          <cell r="G2751">
            <v>0</v>
          </cell>
          <cell r="H2751">
            <v>3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 t="b">
            <v>1</v>
          </cell>
        </row>
        <row r="2752">
          <cell r="A2752" t="str">
            <v>Data split-2;Reg-80</v>
          </cell>
          <cell r="B2752">
            <v>-7.6</v>
          </cell>
          <cell r="C2752">
            <v>1.7</v>
          </cell>
          <cell r="D2752">
            <v>0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1.5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 t="b">
            <v>0</v>
          </cell>
        </row>
        <row r="2753">
          <cell r="A2753" t="str">
            <v>Data split-2;Reg-81</v>
          </cell>
          <cell r="B2753">
            <v>-9.1</v>
          </cell>
          <cell r="C2753">
            <v>1.9</v>
          </cell>
          <cell r="D2753">
            <v>0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9.3000000000000007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 t="b">
            <v>0</v>
          </cell>
        </row>
        <row r="2754">
          <cell r="A2754" t="str">
            <v>Data split-2;Reg-82</v>
          </cell>
          <cell r="B2754">
            <v>-4.4000000000000004</v>
          </cell>
          <cell r="C2754">
            <v>0</v>
          </cell>
          <cell r="D2754">
            <v>1.4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2.1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 t="b">
            <v>0</v>
          </cell>
        </row>
        <row r="2755">
          <cell r="A2755" t="str">
            <v>Data split-2;Reg-83</v>
          </cell>
          <cell r="B2755">
            <v>-8.8000000000000007</v>
          </cell>
          <cell r="C2755">
            <v>0</v>
          </cell>
          <cell r="D2755">
            <v>1.6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20.3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 t="b">
            <v>0</v>
          </cell>
        </row>
        <row r="2756">
          <cell r="A2756" t="str">
            <v>Data split-2;Reg-84</v>
          </cell>
          <cell r="B2756">
            <v>-7.1</v>
          </cell>
          <cell r="C2756">
            <v>2</v>
          </cell>
          <cell r="D2756">
            <v>0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0</v>
          </cell>
          <cell r="J2756">
            <v>0</v>
          </cell>
          <cell r="K2756">
            <v>0.28000000000000003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 t="b">
            <v>0</v>
          </cell>
        </row>
        <row r="2757">
          <cell r="A2757" t="str">
            <v>Data split-2;Reg-85</v>
          </cell>
          <cell r="B2757">
            <v>-6.1</v>
          </cell>
          <cell r="C2757">
            <v>2</v>
          </cell>
          <cell r="D2757">
            <v>0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-4.4000000000000003E-3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 t="b">
            <v>1</v>
          </cell>
        </row>
        <row r="2758">
          <cell r="A2758" t="str">
            <v>Data split-2;Reg-86</v>
          </cell>
          <cell r="B2758">
            <v>-6.3</v>
          </cell>
          <cell r="C2758">
            <v>0</v>
          </cell>
          <cell r="D2758">
            <v>1.6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0</v>
          </cell>
          <cell r="J2758">
            <v>0</v>
          </cell>
          <cell r="K2758">
            <v>1.1000000000000001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 t="b">
            <v>0</v>
          </cell>
        </row>
        <row r="2759">
          <cell r="A2759" t="str">
            <v>Data split-2;Reg-87</v>
          </cell>
          <cell r="B2759">
            <v>-5.9</v>
          </cell>
          <cell r="C2759">
            <v>0</v>
          </cell>
          <cell r="D2759">
            <v>1.7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4.8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 t="b">
            <v>0</v>
          </cell>
        </row>
        <row r="2760">
          <cell r="A2760" t="str">
            <v>Data split-2;Reg-88</v>
          </cell>
          <cell r="B2760">
            <v>-6</v>
          </cell>
          <cell r="C2760">
            <v>1.8</v>
          </cell>
          <cell r="D2760">
            <v>0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0</v>
          </cell>
          <cell r="M2760">
            <v>3.6999999999999998E-2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 t="b">
            <v>0</v>
          </cell>
        </row>
        <row r="2761">
          <cell r="A2761" t="str">
            <v>Data split-2;Reg-89</v>
          </cell>
          <cell r="B2761">
            <v>-6</v>
          </cell>
          <cell r="C2761">
            <v>1.6</v>
          </cell>
          <cell r="D2761">
            <v>0</v>
          </cell>
          <cell r="E2761">
            <v>0</v>
          </cell>
          <cell r="F2761">
            <v>0</v>
          </cell>
          <cell r="G2761">
            <v>0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1.2E-2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 t="b">
            <v>0</v>
          </cell>
        </row>
        <row r="2762">
          <cell r="A2762" t="str">
            <v>Data split-2;Reg-90</v>
          </cell>
          <cell r="B2762">
            <v>-1.8</v>
          </cell>
          <cell r="C2762">
            <v>0</v>
          </cell>
          <cell r="D2762">
            <v>1.3</v>
          </cell>
          <cell r="E2762">
            <v>0</v>
          </cell>
          <cell r="F2762">
            <v>0</v>
          </cell>
          <cell r="G2762">
            <v>0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0</v>
          </cell>
          <cell r="M2762">
            <v>6.8000000000000005E-2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 t="b">
            <v>0</v>
          </cell>
        </row>
        <row r="2763">
          <cell r="A2763" t="str">
            <v>Data split-2;Reg-91</v>
          </cell>
          <cell r="B2763">
            <v>-2.2000000000000002</v>
          </cell>
          <cell r="C2763">
            <v>0</v>
          </cell>
          <cell r="D2763">
            <v>1.1000000000000001</v>
          </cell>
          <cell r="E2763">
            <v>0</v>
          </cell>
          <cell r="F2763">
            <v>0</v>
          </cell>
          <cell r="G2763">
            <v>0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1.7999999999999999E-2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 t="b">
            <v>0</v>
          </cell>
        </row>
        <row r="2764">
          <cell r="A2764" t="str">
            <v>Data split-2;Reg-92</v>
          </cell>
          <cell r="B2764">
            <v>-5.9</v>
          </cell>
          <cell r="C2764">
            <v>1.7</v>
          </cell>
          <cell r="D2764">
            <v>0</v>
          </cell>
          <cell r="E2764">
            <v>0</v>
          </cell>
          <cell r="F2764">
            <v>0</v>
          </cell>
          <cell r="G2764">
            <v>0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9.0999999999999998E-2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 t="b">
            <v>0</v>
          </cell>
        </row>
        <row r="2765">
          <cell r="A2765" t="str">
            <v>Data split-2;Reg-93</v>
          </cell>
          <cell r="B2765">
            <v>-5.7</v>
          </cell>
          <cell r="C2765">
            <v>1.6</v>
          </cell>
          <cell r="D2765">
            <v>0</v>
          </cell>
          <cell r="E2765">
            <v>0</v>
          </cell>
          <cell r="F2765">
            <v>0</v>
          </cell>
          <cell r="G2765">
            <v>0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1.9E-2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 t="b">
            <v>0</v>
          </cell>
        </row>
        <row r="2766">
          <cell r="A2766" t="str">
            <v>Data split-2;Reg-94</v>
          </cell>
          <cell r="B2766">
            <v>-1.4</v>
          </cell>
          <cell r="C2766">
            <v>0</v>
          </cell>
          <cell r="D2766">
            <v>1.3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9.5000000000000001E-2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 t="b">
            <v>0</v>
          </cell>
        </row>
        <row r="2767">
          <cell r="A2767" t="str">
            <v>Data split-2;Reg-95</v>
          </cell>
          <cell r="B2767">
            <v>-1.3</v>
          </cell>
          <cell r="C2767">
            <v>0</v>
          </cell>
          <cell r="D2767">
            <v>1.2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0.02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 t="b">
            <v>0</v>
          </cell>
        </row>
        <row r="2768">
          <cell r="A2768" t="str">
            <v>Data split-2;Reg-96</v>
          </cell>
          <cell r="B2768">
            <v>-6.1</v>
          </cell>
          <cell r="C2768">
            <v>1.2</v>
          </cell>
          <cell r="D2768">
            <v>0</v>
          </cell>
          <cell r="E2768">
            <v>0.94</v>
          </cell>
          <cell r="F2768">
            <v>0</v>
          </cell>
          <cell r="G2768">
            <v>0</v>
          </cell>
          <cell r="H2768">
            <v>0</v>
          </cell>
          <cell r="I2768">
            <v>0.64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 t="b">
            <v>0</v>
          </cell>
        </row>
        <row r="2769">
          <cell r="A2769" t="str">
            <v>Data split-2;Reg-97</v>
          </cell>
          <cell r="B2769">
            <v>-6.6</v>
          </cell>
          <cell r="C2769">
            <v>1.2</v>
          </cell>
          <cell r="D2769">
            <v>0</v>
          </cell>
          <cell r="E2769">
            <v>1.1000000000000001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4.0999999999999996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 t="b">
            <v>0</v>
          </cell>
        </row>
        <row r="2770">
          <cell r="A2770" t="str">
            <v>Data split-2;Reg-98</v>
          </cell>
          <cell r="B2770">
            <v>-5.7</v>
          </cell>
          <cell r="C2770">
            <v>1.5</v>
          </cell>
          <cell r="D2770">
            <v>0</v>
          </cell>
          <cell r="E2770">
            <v>0</v>
          </cell>
          <cell r="F2770">
            <v>0.23</v>
          </cell>
          <cell r="G2770">
            <v>0</v>
          </cell>
          <cell r="H2770">
            <v>0</v>
          </cell>
          <cell r="I2770">
            <v>0.89</v>
          </cell>
          <cell r="J2770">
            <v>0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 t="b">
            <v>0</v>
          </cell>
        </row>
        <row r="2771">
          <cell r="A2771" t="str">
            <v>Data split-2;Reg-99</v>
          </cell>
          <cell r="B2771">
            <v>-7</v>
          </cell>
          <cell r="C2771">
            <v>1.6</v>
          </cell>
          <cell r="D2771">
            <v>0</v>
          </cell>
          <cell r="E2771">
            <v>0</v>
          </cell>
          <cell r="F2771">
            <v>0.26</v>
          </cell>
          <cell r="G2771">
            <v>0</v>
          </cell>
          <cell r="H2771">
            <v>0</v>
          </cell>
          <cell r="I2771">
            <v>0</v>
          </cell>
          <cell r="J2771">
            <v>7.4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 t="b">
            <v>0</v>
          </cell>
        </row>
        <row r="2772">
          <cell r="A2772" t="str">
            <v>Data split-2;Reg-100</v>
          </cell>
          <cell r="B2772">
            <v>-3.3</v>
          </cell>
          <cell r="C2772">
            <v>0</v>
          </cell>
          <cell r="D2772">
            <v>0.71</v>
          </cell>
          <cell r="E2772">
            <v>1.4</v>
          </cell>
          <cell r="F2772">
            <v>0</v>
          </cell>
          <cell r="G2772">
            <v>0</v>
          </cell>
          <cell r="H2772">
            <v>0</v>
          </cell>
          <cell r="I2772">
            <v>0.63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 t="b">
            <v>0</v>
          </cell>
        </row>
        <row r="2773">
          <cell r="A2773" t="str">
            <v>Data split-2;Reg-101</v>
          </cell>
          <cell r="B2773">
            <v>-5.6</v>
          </cell>
          <cell r="C2773">
            <v>0</v>
          </cell>
          <cell r="D2773">
            <v>0.78</v>
          </cell>
          <cell r="E2773">
            <v>1.4</v>
          </cell>
          <cell r="F2773">
            <v>0</v>
          </cell>
          <cell r="G2773">
            <v>0</v>
          </cell>
          <cell r="H2773">
            <v>0</v>
          </cell>
          <cell r="I2773">
            <v>0</v>
          </cell>
          <cell r="J2773">
            <v>8.8000000000000007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 t="b">
            <v>0</v>
          </cell>
        </row>
        <row r="2774">
          <cell r="A2774" t="str">
            <v>Data split-2;Reg-102</v>
          </cell>
          <cell r="B2774">
            <v>-2.7</v>
          </cell>
          <cell r="C2774">
            <v>0</v>
          </cell>
          <cell r="D2774">
            <v>1.1000000000000001</v>
          </cell>
          <cell r="E2774">
            <v>0</v>
          </cell>
          <cell r="F2774">
            <v>0.25</v>
          </cell>
          <cell r="G2774">
            <v>0</v>
          </cell>
          <cell r="H2774">
            <v>0</v>
          </cell>
          <cell r="I2774">
            <v>1.3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 t="b">
            <v>0</v>
          </cell>
        </row>
        <row r="2775">
          <cell r="A2775" t="str">
            <v>Data split-2;Reg-103</v>
          </cell>
          <cell r="B2775">
            <v>-6.5</v>
          </cell>
          <cell r="C2775">
            <v>0</v>
          </cell>
          <cell r="D2775">
            <v>1.2</v>
          </cell>
          <cell r="E2775">
            <v>0</v>
          </cell>
          <cell r="F2775">
            <v>0.28999999999999998</v>
          </cell>
          <cell r="G2775">
            <v>0</v>
          </cell>
          <cell r="H2775">
            <v>0</v>
          </cell>
          <cell r="I2775">
            <v>0</v>
          </cell>
          <cell r="J2775">
            <v>15.9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 t="b">
            <v>0</v>
          </cell>
        </row>
        <row r="2776">
          <cell r="A2776" t="str">
            <v>Data split-2;Reg-104</v>
          </cell>
          <cell r="B2776">
            <v>-4.7</v>
          </cell>
          <cell r="C2776">
            <v>1.1000000000000001</v>
          </cell>
          <cell r="D2776">
            <v>0</v>
          </cell>
          <cell r="E2776">
            <v>1.3</v>
          </cell>
          <cell r="F2776">
            <v>0</v>
          </cell>
          <cell r="G2776">
            <v>0</v>
          </cell>
          <cell r="H2776">
            <v>0</v>
          </cell>
          <cell r="I2776">
            <v>0</v>
          </cell>
          <cell r="J2776">
            <v>0</v>
          </cell>
          <cell r="K2776">
            <v>-0.13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 t="b">
            <v>1</v>
          </cell>
        </row>
        <row r="2777">
          <cell r="A2777" t="str">
            <v>Data split-2;Reg-105</v>
          </cell>
          <cell r="B2777">
            <v>-5.4</v>
          </cell>
          <cell r="C2777">
            <v>1.2</v>
          </cell>
          <cell r="D2777">
            <v>0</v>
          </cell>
          <cell r="E2777">
            <v>1.2</v>
          </cell>
          <cell r="F2777">
            <v>0</v>
          </cell>
          <cell r="G2777">
            <v>0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0.21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 t="b">
            <v>0</v>
          </cell>
        </row>
        <row r="2778">
          <cell r="A2778" t="str">
            <v>Data split-2;Reg-106</v>
          </cell>
          <cell r="B2778">
            <v>-5.4</v>
          </cell>
          <cell r="C2778">
            <v>1.6</v>
          </cell>
          <cell r="D2778">
            <v>0</v>
          </cell>
          <cell r="E2778">
            <v>0</v>
          </cell>
          <cell r="F2778">
            <v>0.27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0.22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 t="b">
            <v>0</v>
          </cell>
        </row>
        <row r="2779">
          <cell r="A2779" t="str">
            <v>Data split-2;Reg-107</v>
          </cell>
          <cell r="B2779">
            <v>-5.0999999999999996</v>
          </cell>
          <cell r="C2779">
            <v>1.6</v>
          </cell>
          <cell r="D2779">
            <v>0</v>
          </cell>
          <cell r="E2779">
            <v>0</v>
          </cell>
          <cell r="F2779">
            <v>0.27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0.66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 t="b">
            <v>0</v>
          </cell>
        </row>
        <row r="2780">
          <cell r="A2780" t="str">
            <v>Data split-2;Reg-108</v>
          </cell>
          <cell r="B2780">
            <v>-3.1</v>
          </cell>
          <cell r="C2780">
            <v>0</v>
          </cell>
          <cell r="D2780">
            <v>0.64</v>
          </cell>
          <cell r="E2780">
            <v>1.7</v>
          </cell>
          <cell r="F2780">
            <v>0</v>
          </cell>
          <cell r="G2780">
            <v>0</v>
          </cell>
          <cell r="H2780">
            <v>0</v>
          </cell>
          <cell r="I2780">
            <v>0</v>
          </cell>
          <cell r="J2780">
            <v>0</v>
          </cell>
          <cell r="K2780">
            <v>0.14000000000000001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 t="b">
            <v>0</v>
          </cell>
        </row>
        <row r="2781">
          <cell r="A2781" t="str">
            <v>Data split-2;Reg-109</v>
          </cell>
          <cell r="B2781">
            <v>-4.7</v>
          </cell>
          <cell r="C2781">
            <v>0</v>
          </cell>
          <cell r="D2781">
            <v>0.68</v>
          </cell>
          <cell r="E2781">
            <v>1.7</v>
          </cell>
          <cell r="F2781">
            <v>0</v>
          </cell>
          <cell r="G2781">
            <v>0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2.2000000000000002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 t="b">
            <v>0</v>
          </cell>
        </row>
        <row r="2782">
          <cell r="A2782" t="str">
            <v>Data split-2;Reg-110</v>
          </cell>
          <cell r="B2782">
            <v>-4.4000000000000004</v>
          </cell>
          <cell r="C2782">
            <v>0</v>
          </cell>
          <cell r="D2782">
            <v>1.2</v>
          </cell>
          <cell r="E2782">
            <v>0</v>
          </cell>
          <cell r="F2782">
            <v>0.31</v>
          </cell>
          <cell r="G2782">
            <v>0</v>
          </cell>
          <cell r="H2782">
            <v>0</v>
          </cell>
          <cell r="I2782">
            <v>0</v>
          </cell>
          <cell r="J2782">
            <v>0</v>
          </cell>
          <cell r="K2782">
            <v>0.87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 t="b">
            <v>0</v>
          </cell>
        </row>
        <row r="2783">
          <cell r="A2783" t="str">
            <v>Data split-2;Reg-111</v>
          </cell>
          <cell r="B2783">
            <v>-4.8</v>
          </cell>
          <cell r="C2783">
            <v>0</v>
          </cell>
          <cell r="D2783">
            <v>1.3</v>
          </cell>
          <cell r="E2783">
            <v>0</v>
          </cell>
          <cell r="F2783">
            <v>0.33</v>
          </cell>
          <cell r="G2783">
            <v>0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4.5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 t="b">
            <v>0</v>
          </cell>
        </row>
        <row r="2784">
          <cell r="A2784" t="str">
            <v>Data split-2;Reg-112</v>
          </cell>
          <cell r="B2784">
            <v>-5.5</v>
          </cell>
          <cell r="C2784">
            <v>1.1000000000000001</v>
          </cell>
          <cell r="D2784">
            <v>0</v>
          </cell>
          <cell r="E2784">
            <v>0</v>
          </cell>
          <cell r="F2784">
            <v>0</v>
          </cell>
          <cell r="G2784">
            <v>1.7</v>
          </cell>
          <cell r="H2784">
            <v>0</v>
          </cell>
          <cell r="I2784">
            <v>-1.2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 t="b">
            <v>1</v>
          </cell>
        </row>
        <row r="2785">
          <cell r="A2785" t="str">
            <v>Data split-2;Reg-113</v>
          </cell>
          <cell r="B2785">
            <v>-5</v>
          </cell>
          <cell r="C2785">
            <v>1.2</v>
          </cell>
          <cell r="D2785">
            <v>0</v>
          </cell>
          <cell r="E2785">
            <v>0</v>
          </cell>
          <cell r="F2785">
            <v>0</v>
          </cell>
          <cell r="G2785">
            <v>1.4</v>
          </cell>
          <cell r="H2785">
            <v>0</v>
          </cell>
          <cell r="I2785">
            <v>0</v>
          </cell>
          <cell r="J2785">
            <v>-4.5999999999999996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 t="b">
            <v>1</v>
          </cell>
        </row>
        <row r="2786">
          <cell r="A2786" t="str">
            <v>Data split-2;Reg-114</v>
          </cell>
          <cell r="B2786">
            <v>-3.9</v>
          </cell>
          <cell r="C2786">
            <v>0.55000000000000004</v>
          </cell>
          <cell r="D2786">
            <v>0</v>
          </cell>
          <cell r="E2786">
            <v>0</v>
          </cell>
          <cell r="F2786">
            <v>0</v>
          </cell>
          <cell r="G2786">
            <v>0</v>
          </cell>
          <cell r="H2786">
            <v>3.3</v>
          </cell>
          <cell r="I2786">
            <v>-1.2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 t="b">
            <v>1</v>
          </cell>
        </row>
        <row r="2787">
          <cell r="A2787" t="str">
            <v>Data split-2;Reg-115</v>
          </cell>
          <cell r="B2787">
            <v>-4.8</v>
          </cell>
          <cell r="C2787">
            <v>0.75</v>
          </cell>
          <cell r="D2787">
            <v>0</v>
          </cell>
          <cell r="E2787">
            <v>0</v>
          </cell>
          <cell r="F2787">
            <v>0</v>
          </cell>
          <cell r="G2787">
            <v>0</v>
          </cell>
          <cell r="H2787">
            <v>2.5</v>
          </cell>
          <cell r="I2787">
            <v>0</v>
          </cell>
          <cell r="J2787">
            <v>-1.7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 t="b">
            <v>1</v>
          </cell>
        </row>
        <row r="2788">
          <cell r="A2788" t="str">
            <v>Data split-2;Reg-116</v>
          </cell>
          <cell r="B2788">
            <v>-2.7</v>
          </cell>
          <cell r="C2788">
            <v>0</v>
          </cell>
          <cell r="D2788">
            <v>0.72</v>
          </cell>
          <cell r="E2788">
            <v>0</v>
          </cell>
          <cell r="F2788">
            <v>0</v>
          </cell>
          <cell r="G2788">
            <v>1.9</v>
          </cell>
          <cell r="H2788">
            <v>0</v>
          </cell>
          <cell r="I2788">
            <v>-0.96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 t="b">
            <v>1</v>
          </cell>
        </row>
        <row r="2789">
          <cell r="A2789" t="str">
            <v>Data split-2;Reg-117</v>
          </cell>
          <cell r="B2789">
            <v>-4</v>
          </cell>
          <cell r="C2789">
            <v>0</v>
          </cell>
          <cell r="D2789">
            <v>0.84</v>
          </cell>
          <cell r="E2789">
            <v>0</v>
          </cell>
          <cell r="F2789">
            <v>0</v>
          </cell>
          <cell r="G2789">
            <v>1.5</v>
          </cell>
          <cell r="H2789">
            <v>0</v>
          </cell>
          <cell r="I2789">
            <v>0</v>
          </cell>
          <cell r="J2789">
            <v>1.3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 t="b">
            <v>0</v>
          </cell>
        </row>
        <row r="2790">
          <cell r="A2790" t="str">
            <v>Data split-2;Reg-118</v>
          </cell>
          <cell r="B2790">
            <v>-1.6</v>
          </cell>
          <cell r="C2790">
            <v>0</v>
          </cell>
          <cell r="D2790">
            <v>-4.3999999999999997E-2</v>
          </cell>
          <cell r="E2790">
            <v>0</v>
          </cell>
          <cell r="F2790">
            <v>0</v>
          </cell>
          <cell r="G2790">
            <v>0</v>
          </cell>
          <cell r="H2790">
            <v>4.4000000000000004</v>
          </cell>
          <cell r="I2790">
            <v>-1.9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 t="b">
            <v>0</v>
          </cell>
        </row>
        <row r="2791">
          <cell r="A2791" t="str">
            <v>Data split-2;Reg-119</v>
          </cell>
          <cell r="B2791">
            <v>-3.1</v>
          </cell>
          <cell r="C2791">
            <v>0</v>
          </cell>
          <cell r="D2791">
            <v>0.31</v>
          </cell>
          <cell r="E2791">
            <v>0</v>
          </cell>
          <cell r="F2791">
            <v>0</v>
          </cell>
          <cell r="G2791">
            <v>0</v>
          </cell>
          <cell r="H2791">
            <v>3.1</v>
          </cell>
          <cell r="I2791">
            <v>0</v>
          </cell>
          <cell r="J2791">
            <v>-0.9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 t="b">
            <v>1</v>
          </cell>
        </row>
        <row r="2792">
          <cell r="A2792" t="str">
            <v>Data split-2;Reg-120</v>
          </cell>
          <cell r="B2792">
            <v>-4.4000000000000004</v>
          </cell>
          <cell r="C2792">
            <v>1.2</v>
          </cell>
          <cell r="D2792">
            <v>0</v>
          </cell>
          <cell r="E2792">
            <v>0</v>
          </cell>
          <cell r="F2792">
            <v>0</v>
          </cell>
          <cell r="G2792">
            <v>1.4</v>
          </cell>
          <cell r="H2792">
            <v>0</v>
          </cell>
          <cell r="I2792">
            <v>0</v>
          </cell>
          <cell r="J2792">
            <v>0</v>
          </cell>
          <cell r="K2792">
            <v>-0.55000000000000004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 t="b">
            <v>1</v>
          </cell>
        </row>
        <row r="2793">
          <cell r="A2793" t="str">
            <v>Data split-2;Reg-121</v>
          </cell>
          <cell r="B2793">
            <v>-5.6</v>
          </cell>
          <cell r="C2793">
            <v>1.2</v>
          </cell>
          <cell r="D2793">
            <v>0</v>
          </cell>
          <cell r="E2793">
            <v>0</v>
          </cell>
          <cell r="F2793">
            <v>0</v>
          </cell>
          <cell r="G2793">
            <v>1.3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-0.99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 t="b">
            <v>1</v>
          </cell>
        </row>
        <row r="2794">
          <cell r="A2794" t="str">
            <v>Data split-2;Reg-122</v>
          </cell>
          <cell r="B2794">
            <v>-3.7</v>
          </cell>
          <cell r="C2794">
            <v>0.74</v>
          </cell>
          <cell r="D2794">
            <v>0</v>
          </cell>
          <cell r="E2794">
            <v>0</v>
          </cell>
          <cell r="F2794">
            <v>0</v>
          </cell>
          <cell r="G2794">
            <v>0</v>
          </cell>
          <cell r="H2794">
            <v>2.6</v>
          </cell>
          <cell r="I2794">
            <v>0</v>
          </cell>
          <cell r="J2794">
            <v>0</v>
          </cell>
          <cell r="K2794">
            <v>-0.42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 t="b">
            <v>1</v>
          </cell>
        </row>
        <row r="2795">
          <cell r="A2795" t="str">
            <v>Data split-2;Reg-123</v>
          </cell>
          <cell r="B2795">
            <v>-5.5</v>
          </cell>
          <cell r="C2795">
            <v>0.77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2.4</v>
          </cell>
          <cell r="I2795">
            <v>0</v>
          </cell>
          <cell r="J2795">
            <v>0</v>
          </cell>
          <cell r="K2795">
            <v>0</v>
          </cell>
          <cell r="L2795">
            <v>0.19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 t="b">
            <v>0</v>
          </cell>
        </row>
        <row r="2796">
          <cell r="A2796" t="str">
            <v>Data split-2;Reg-124</v>
          </cell>
          <cell r="B2796">
            <v>-3</v>
          </cell>
          <cell r="C2796">
            <v>0</v>
          </cell>
          <cell r="D2796">
            <v>0.8</v>
          </cell>
          <cell r="E2796">
            <v>0</v>
          </cell>
          <cell r="F2796">
            <v>0</v>
          </cell>
          <cell r="G2796">
            <v>1.6</v>
          </cell>
          <cell r="H2796">
            <v>0</v>
          </cell>
          <cell r="I2796">
            <v>0</v>
          </cell>
          <cell r="J2796">
            <v>0</v>
          </cell>
          <cell r="K2796">
            <v>-0.14000000000000001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 t="b">
            <v>1</v>
          </cell>
        </row>
        <row r="2797">
          <cell r="A2797" t="str">
            <v>Data split-2;Reg-125</v>
          </cell>
          <cell r="B2797">
            <v>-4.7</v>
          </cell>
          <cell r="C2797">
            <v>0</v>
          </cell>
          <cell r="D2797">
            <v>0.85</v>
          </cell>
          <cell r="E2797">
            <v>0</v>
          </cell>
          <cell r="F2797">
            <v>0</v>
          </cell>
          <cell r="G2797">
            <v>1.5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1.3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 t="b">
            <v>0</v>
          </cell>
        </row>
        <row r="2798">
          <cell r="A2798" t="str">
            <v>Data split-2;Reg-126</v>
          </cell>
          <cell r="B2798">
            <v>-2</v>
          </cell>
          <cell r="C2798">
            <v>0</v>
          </cell>
          <cell r="D2798">
            <v>0.26</v>
          </cell>
          <cell r="E2798">
            <v>0</v>
          </cell>
          <cell r="F2798">
            <v>0</v>
          </cell>
          <cell r="G2798">
            <v>0</v>
          </cell>
          <cell r="H2798">
            <v>3.2</v>
          </cell>
          <cell r="I2798">
            <v>0</v>
          </cell>
          <cell r="J2798">
            <v>0</v>
          </cell>
          <cell r="K2798">
            <v>-0.35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 t="b">
            <v>1</v>
          </cell>
        </row>
        <row r="2799">
          <cell r="A2799" t="str">
            <v>Data split-2;Reg-127</v>
          </cell>
          <cell r="B2799">
            <v>-4.5999999999999996</v>
          </cell>
          <cell r="C2799">
            <v>0</v>
          </cell>
          <cell r="D2799">
            <v>0.37</v>
          </cell>
          <cell r="E2799">
            <v>0</v>
          </cell>
          <cell r="F2799">
            <v>0</v>
          </cell>
          <cell r="G2799">
            <v>0</v>
          </cell>
          <cell r="H2799">
            <v>2.9</v>
          </cell>
          <cell r="I2799">
            <v>0</v>
          </cell>
          <cell r="J2799">
            <v>0</v>
          </cell>
          <cell r="K2799">
            <v>0</v>
          </cell>
          <cell r="L2799">
            <v>1.3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 t="b">
            <v>0</v>
          </cell>
        </row>
        <row r="2800">
          <cell r="A2800" t="str">
            <v>Data split-3;Reg-1</v>
          </cell>
          <cell r="B2800">
            <v>-4.8</v>
          </cell>
          <cell r="C2800">
            <v>1.7</v>
          </cell>
          <cell r="D2800">
            <v>0</v>
          </cell>
          <cell r="E2800">
            <v>0</v>
          </cell>
          <cell r="F2800">
            <v>0.15</v>
          </cell>
          <cell r="G2800">
            <v>0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1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 t="b">
            <v>0</v>
          </cell>
        </row>
        <row r="2801">
          <cell r="A2801" t="str">
            <v>Data split-3;Reg-2</v>
          </cell>
          <cell r="B2801">
            <v>-4.5</v>
          </cell>
          <cell r="C2801">
            <v>1.3</v>
          </cell>
          <cell r="D2801">
            <v>0</v>
          </cell>
          <cell r="E2801">
            <v>0</v>
          </cell>
          <cell r="F2801">
            <v>0.1</v>
          </cell>
          <cell r="G2801">
            <v>1.5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0</v>
          </cell>
          <cell r="M2801">
            <v>-7.5999999999999998E-2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 t="b">
            <v>1</v>
          </cell>
        </row>
        <row r="2802">
          <cell r="A2802" t="str">
            <v>Data split-3;Reg-3</v>
          </cell>
          <cell r="B2802">
            <v>-4.4000000000000004</v>
          </cell>
          <cell r="C2802">
            <v>1.3</v>
          </cell>
          <cell r="D2802">
            <v>0</v>
          </cell>
          <cell r="E2802">
            <v>0</v>
          </cell>
          <cell r="F2802">
            <v>0.11</v>
          </cell>
          <cell r="G2802">
            <v>1.6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-1.6E-2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 t="b">
            <v>1</v>
          </cell>
        </row>
        <row r="2803">
          <cell r="A2803" t="str">
            <v>Data split-3;Reg-4</v>
          </cell>
          <cell r="B2803">
            <v>-3.4</v>
          </cell>
          <cell r="C2803">
            <v>0.93</v>
          </cell>
          <cell r="D2803">
            <v>0</v>
          </cell>
          <cell r="E2803">
            <v>0</v>
          </cell>
          <cell r="F2803">
            <v>8.1000000000000003E-2</v>
          </cell>
          <cell r="G2803">
            <v>0</v>
          </cell>
          <cell r="H2803">
            <v>2.7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-7.9000000000000001E-2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 t="b">
            <v>1</v>
          </cell>
        </row>
        <row r="2804">
          <cell r="A2804" t="str">
            <v>Data split-3;Reg-5</v>
          </cell>
          <cell r="B2804">
            <v>-1.3</v>
          </cell>
          <cell r="C2804">
            <v>0</v>
          </cell>
          <cell r="D2804">
            <v>0.77</v>
          </cell>
          <cell r="E2804">
            <v>0</v>
          </cell>
          <cell r="F2804">
            <v>8.4000000000000005E-2</v>
          </cell>
          <cell r="G2804">
            <v>0</v>
          </cell>
          <cell r="H2804">
            <v>2.9</v>
          </cell>
          <cell r="I2804">
            <v>0</v>
          </cell>
          <cell r="J2804">
            <v>0</v>
          </cell>
          <cell r="K2804">
            <v>0</v>
          </cell>
          <cell r="L2804">
            <v>0</v>
          </cell>
          <cell r="M2804">
            <v>-8.3000000000000004E-2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 t="b">
            <v>1</v>
          </cell>
        </row>
        <row r="2805">
          <cell r="A2805" t="str">
            <v>Data split-3;Reg-6</v>
          </cell>
          <cell r="B2805">
            <v>-3.8</v>
          </cell>
          <cell r="C2805">
            <v>1.4</v>
          </cell>
          <cell r="D2805">
            <v>0</v>
          </cell>
          <cell r="E2805">
            <v>0.92</v>
          </cell>
          <cell r="F2805">
            <v>0</v>
          </cell>
          <cell r="G2805">
            <v>0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-1.2999999999999999E-2</v>
          </cell>
          <cell r="M2805">
            <v>-8.3999999999999995E-3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 t="b">
            <v>1</v>
          </cell>
        </row>
        <row r="2806">
          <cell r="A2806" t="str">
            <v>Data split-3;Reg-7</v>
          </cell>
          <cell r="B2806">
            <v>-4.8</v>
          </cell>
          <cell r="C2806">
            <v>1.5</v>
          </cell>
          <cell r="D2806">
            <v>0</v>
          </cell>
          <cell r="E2806">
            <v>0</v>
          </cell>
          <cell r="F2806">
            <v>0.12</v>
          </cell>
          <cell r="G2806">
            <v>0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1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4.7E-2</v>
          </cell>
          <cell r="T2806">
            <v>0</v>
          </cell>
          <cell r="U2806" t="b">
            <v>0</v>
          </cell>
        </row>
        <row r="2807">
          <cell r="A2807" t="str">
            <v>Data split-3;Reg-8</v>
          </cell>
          <cell r="B2807">
            <v>-1.7</v>
          </cell>
          <cell r="C2807">
            <v>1.3</v>
          </cell>
          <cell r="D2807">
            <v>0</v>
          </cell>
          <cell r="E2807">
            <v>0</v>
          </cell>
          <cell r="F2807">
            <v>0</v>
          </cell>
          <cell r="G2807">
            <v>1.6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-3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-4.9000000000000002E-2</v>
          </cell>
          <cell r="T2807">
            <v>0</v>
          </cell>
          <cell r="U2807" t="b">
            <v>1</v>
          </cell>
        </row>
        <row r="2808">
          <cell r="A2808" t="str">
            <v>Data split-3;Reg-9</v>
          </cell>
          <cell r="B2808">
            <v>-1.6</v>
          </cell>
          <cell r="C2808">
            <v>0</v>
          </cell>
          <cell r="D2808">
            <v>0.66</v>
          </cell>
          <cell r="E2808">
            <v>0</v>
          </cell>
          <cell r="F2808">
            <v>0</v>
          </cell>
          <cell r="G2808">
            <v>0</v>
          </cell>
          <cell r="H2808">
            <v>3.8</v>
          </cell>
          <cell r="I2808">
            <v>0</v>
          </cell>
          <cell r="J2808">
            <v>0</v>
          </cell>
          <cell r="K2808">
            <v>0</v>
          </cell>
          <cell r="L2808">
            <v>-0.19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-0.12</v>
          </cell>
          <cell r="T2808">
            <v>0</v>
          </cell>
          <cell r="U2808" t="b">
            <v>1</v>
          </cell>
        </row>
        <row r="2809">
          <cell r="A2809" t="str">
            <v>Data split-3;Reg-10</v>
          </cell>
          <cell r="B2809">
            <v>-1.6</v>
          </cell>
          <cell r="C2809">
            <v>0</v>
          </cell>
          <cell r="D2809">
            <v>0.66</v>
          </cell>
          <cell r="E2809">
            <v>0</v>
          </cell>
          <cell r="F2809">
            <v>0</v>
          </cell>
          <cell r="G2809">
            <v>0</v>
          </cell>
          <cell r="H2809">
            <v>3.8</v>
          </cell>
          <cell r="I2809">
            <v>0</v>
          </cell>
          <cell r="J2809">
            <v>0</v>
          </cell>
          <cell r="K2809">
            <v>0</v>
          </cell>
          <cell r="L2809">
            <v>-0.19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-0.12</v>
          </cell>
          <cell r="T2809">
            <v>0</v>
          </cell>
          <cell r="U2809" t="b">
            <v>1</v>
          </cell>
        </row>
        <row r="2810">
          <cell r="A2810" t="str">
            <v>Data split-3;Reg-11</v>
          </cell>
          <cell r="B2810">
            <v>-5.7</v>
          </cell>
          <cell r="C2810">
            <v>1.5</v>
          </cell>
          <cell r="D2810">
            <v>0</v>
          </cell>
          <cell r="E2810">
            <v>-0.69</v>
          </cell>
          <cell r="F2810">
            <v>0</v>
          </cell>
          <cell r="G2810">
            <v>1.6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 t="b">
            <v>0</v>
          </cell>
        </row>
        <row r="2811">
          <cell r="A2811" t="str">
            <v>Data split-3;Reg-12</v>
          </cell>
          <cell r="B2811">
            <v>-5.0999999999999996</v>
          </cell>
          <cell r="C2811">
            <v>1.2</v>
          </cell>
          <cell r="D2811">
            <v>0</v>
          </cell>
          <cell r="E2811">
            <v>-1.9</v>
          </cell>
          <cell r="F2811">
            <v>0</v>
          </cell>
          <cell r="G2811">
            <v>0</v>
          </cell>
          <cell r="H2811">
            <v>4.2</v>
          </cell>
          <cell r="I2811">
            <v>0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 t="b">
            <v>0</v>
          </cell>
        </row>
        <row r="2812">
          <cell r="A2812" t="str">
            <v>Data split-3;Reg-13</v>
          </cell>
          <cell r="B2812">
            <v>-4.0999999999999996</v>
          </cell>
          <cell r="C2812">
            <v>1.2</v>
          </cell>
          <cell r="D2812">
            <v>0</v>
          </cell>
          <cell r="E2812">
            <v>0</v>
          </cell>
          <cell r="F2812">
            <v>8.5000000000000006E-2</v>
          </cell>
          <cell r="G2812">
            <v>1.1000000000000001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 t="b">
            <v>1</v>
          </cell>
        </row>
        <row r="2813">
          <cell r="A2813" t="str">
            <v>Data split-3;Reg-14</v>
          </cell>
          <cell r="B2813">
            <v>-3.3</v>
          </cell>
          <cell r="C2813">
            <v>0.95</v>
          </cell>
          <cell r="D2813">
            <v>0</v>
          </cell>
          <cell r="E2813">
            <v>0</v>
          </cell>
          <cell r="F2813">
            <v>7.0999999999999994E-2</v>
          </cell>
          <cell r="G2813">
            <v>0</v>
          </cell>
          <cell r="H2813">
            <v>1.9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 t="b">
            <v>1</v>
          </cell>
        </row>
        <row r="2814">
          <cell r="A2814" t="str">
            <v>Data split-3;Reg-15</v>
          </cell>
          <cell r="B2814">
            <v>-3.8</v>
          </cell>
          <cell r="C2814">
            <v>1.4</v>
          </cell>
          <cell r="D2814">
            <v>0</v>
          </cell>
          <cell r="E2814">
            <v>0.92</v>
          </cell>
          <cell r="F2814">
            <v>0</v>
          </cell>
          <cell r="G2814">
            <v>0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0</v>
          </cell>
          <cell r="M2814">
            <v>-8.3999999999999995E-3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 t="b">
            <v>1</v>
          </cell>
        </row>
        <row r="2815">
          <cell r="A2815" t="str">
            <v>Data split-3;Reg-16</v>
          </cell>
          <cell r="B2815">
            <v>-3.9</v>
          </cell>
          <cell r="C2815">
            <v>1.4</v>
          </cell>
          <cell r="D2815">
            <v>0</v>
          </cell>
          <cell r="E2815">
            <v>0.74</v>
          </cell>
          <cell r="F2815">
            <v>0</v>
          </cell>
          <cell r="G2815">
            <v>0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2.5999999999999999E-3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 t="b">
            <v>0</v>
          </cell>
        </row>
        <row r="2816">
          <cell r="A2816" t="str">
            <v>Data split-3;Reg-17</v>
          </cell>
          <cell r="B2816">
            <v>-3.7</v>
          </cell>
          <cell r="C2816">
            <v>1.7</v>
          </cell>
          <cell r="D2816">
            <v>0</v>
          </cell>
          <cell r="E2816">
            <v>0</v>
          </cell>
          <cell r="F2816">
            <v>0.14000000000000001</v>
          </cell>
          <cell r="G2816">
            <v>0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0</v>
          </cell>
          <cell r="M2816">
            <v>2.1999999999999999E-2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 t="b">
            <v>0</v>
          </cell>
        </row>
        <row r="2817">
          <cell r="A2817" t="str">
            <v>Data split-3;Reg-18</v>
          </cell>
          <cell r="B2817">
            <v>-3.7</v>
          </cell>
          <cell r="C2817">
            <v>1.6</v>
          </cell>
          <cell r="D2817">
            <v>0</v>
          </cell>
          <cell r="E2817">
            <v>0</v>
          </cell>
          <cell r="F2817">
            <v>0.13</v>
          </cell>
          <cell r="G2817">
            <v>0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0</v>
          </cell>
          <cell r="M2817">
            <v>0</v>
          </cell>
          <cell r="N2817">
            <v>7.4999999999999997E-3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 t="b">
            <v>0</v>
          </cell>
        </row>
        <row r="2818">
          <cell r="A2818" t="str">
            <v>Data split-3;Reg-19</v>
          </cell>
          <cell r="B2818">
            <v>-4.9000000000000004</v>
          </cell>
          <cell r="C2818">
            <v>1.1000000000000001</v>
          </cell>
          <cell r="D2818">
            <v>0</v>
          </cell>
          <cell r="E2818">
            <v>0</v>
          </cell>
          <cell r="F2818">
            <v>0</v>
          </cell>
          <cell r="G2818">
            <v>1.7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-5.7000000000000002E-2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 t="b">
            <v>1</v>
          </cell>
        </row>
        <row r="2819">
          <cell r="A2819" t="str">
            <v>Data split-3;Reg-20</v>
          </cell>
          <cell r="B2819">
            <v>-5</v>
          </cell>
          <cell r="C2819">
            <v>1.1000000000000001</v>
          </cell>
          <cell r="D2819">
            <v>0</v>
          </cell>
          <cell r="E2819">
            <v>0</v>
          </cell>
          <cell r="F2819">
            <v>0</v>
          </cell>
          <cell r="G2819">
            <v>1.7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-1.0999999999999999E-2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 t="b">
            <v>1</v>
          </cell>
        </row>
        <row r="2820">
          <cell r="A2820" t="str">
            <v>Data split-3;Reg-21</v>
          </cell>
          <cell r="B2820">
            <v>-3.7</v>
          </cell>
          <cell r="C2820">
            <v>0.83</v>
          </cell>
          <cell r="D2820">
            <v>0</v>
          </cell>
          <cell r="E2820">
            <v>0</v>
          </cell>
          <cell r="F2820">
            <v>0</v>
          </cell>
          <cell r="G2820">
            <v>0</v>
          </cell>
          <cell r="H2820">
            <v>2.6</v>
          </cell>
          <cell r="I2820">
            <v>0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-3.7999999999999999E-2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 t="b">
            <v>1</v>
          </cell>
        </row>
        <row r="2821">
          <cell r="A2821" t="str">
            <v>Data split-3;Reg-22</v>
          </cell>
          <cell r="B2821">
            <v>-3.8</v>
          </cell>
          <cell r="C2821">
            <v>0.89</v>
          </cell>
          <cell r="D2821">
            <v>0</v>
          </cell>
          <cell r="E2821">
            <v>0</v>
          </cell>
          <cell r="F2821">
            <v>0</v>
          </cell>
          <cell r="G2821">
            <v>0</v>
          </cell>
          <cell r="H2821">
            <v>2.4</v>
          </cell>
          <cell r="I2821">
            <v>0</v>
          </cell>
          <cell r="J2821">
            <v>0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-4.8999999999999998E-3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 t="b">
            <v>1</v>
          </cell>
        </row>
        <row r="2822">
          <cell r="A2822" t="str">
            <v>Data split-3;Reg-23</v>
          </cell>
          <cell r="B2822">
            <v>-2.6</v>
          </cell>
          <cell r="C2822">
            <v>0</v>
          </cell>
          <cell r="D2822">
            <v>1.4</v>
          </cell>
          <cell r="E2822">
            <v>-0.86</v>
          </cell>
          <cell r="F2822">
            <v>0</v>
          </cell>
          <cell r="G2822">
            <v>1.8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 t="b">
            <v>0</v>
          </cell>
        </row>
        <row r="2823">
          <cell r="A2823" t="str">
            <v>Data split-3;Reg-24</v>
          </cell>
          <cell r="B2823">
            <v>-2.5</v>
          </cell>
          <cell r="C2823">
            <v>0</v>
          </cell>
          <cell r="D2823">
            <v>1.1000000000000001</v>
          </cell>
          <cell r="E2823">
            <v>-2</v>
          </cell>
          <cell r="F2823">
            <v>0</v>
          </cell>
          <cell r="G2823">
            <v>0</v>
          </cell>
          <cell r="H2823">
            <v>4.5</v>
          </cell>
          <cell r="I2823">
            <v>0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 t="b">
            <v>0</v>
          </cell>
        </row>
        <row r="2824">
          <cell r="A2824" t="str">
            <v>Data split-3;Reg-25</v>
          </cell>
          <cell r="B2824">
            <v>-1.5</v>
          </cell>
          <cell r="C2824">
            <v>0</v>
          </cell>
          <cell r="D2824">
            <v>1</v>
          </cell>
          <cell r="E2824">
            <v>0</v>
          </cell>
          <cell r="F2824">
            <v>8.7999999999999995E-2</v>
          </cell>
          <cell r="G2824">
            <v>1.2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 t="b">
            <v>1</v>
          </cell>
        </row>
        <row r="2825">
          <cell r="A2825" t="str">
            <v>Data split-3;Reg-26</v>
          </cell>
          <cell r="B2825">
            <v>-1.2</v>
          </cell>
          <cell r="C2825">
            <v>0</v>
          </cell>
          <cell r="D2825">
            <v>0.78</v>
          </cell>
          <cell r="E2825">
            <v>0</v>
          </cell>
          <cell r="F2825">
            <v>7.3999999999999996E-2</v>
          </cell>
          <cell r="G2825">
            <v>0</v>
          </cell>
          <cell r="H2825">
            <v>2.1</v>
          </cell>
          <cell r="I2825">
            <v>0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 t="b">
            <v>1</v>
          </cell>
        </row>
        <row r="2826">
          <cell r="A2826" t="str">
            <v>Data split-3;Reg-27</v>
          </cell>
          <cell r="B2826">
            <v>-0.61</v>
          </cell>
          <cell r="C2826">
            <v>0</v>
          </cell>
          <cell r="D2826">
            <v>1.2</v>
          </cell>
          <cell r="E2826">
            <v>1.1000000000000001</v>
          </cell>
          <cell r="F2826">
            <v>0</v>
          </cell>
          <cell r="G2826">
            <v>0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0</v>
          </cell>
          <cell r="M2826">
            <v>-9.7999999999999997E-3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 t="b">
            <v>1</v>
          </cell>
        </row>
        <row r="2827">
          <cell r="A2827" t="str">
            <v>Data split-3;Reg-28</v>
          </cell>
          <cell r="B2827">
            <v>-0.65</v>
          </cell>
          <cell r="C2827">
            <v>0</v>
          </cell>
          <cell r="D2827">
            <v>1.2</v>
          </cell>
          <cell r="E2827">
            <v>0.96</v>
          </cell>
          <cell r="F2827">
            <v>0</v>
          </cell>
          <cell r="G2827">
            <v>0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1.4E-3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 t="b">
            <v>0</v>
          </cell>
        </row>
        <row r="2828">
          <cell r="A2828" t="str">
            <v>Data split-3;Reg-29</v>
          </cell>
          <cell r="B2828">
            <v>0.15</v>
          </cell>
          <cell r="C2828">
            <v>0</v>
          </cell>
          <cell r="D2828">
            <v>1.5</v>
          </cell>
          <cell r="E2828">
            <v>0</v>
          </cell>
          <cell r="F2828">
            <v>0.15</v>
          </cell>
          <cell r="G2828">
            <v>0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0</v>
          </cell>
          <cell r="M2828">
            <v>2.5999999999999999E-2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 t="b">
            <v>0</v>
          </cell>
        </row>
        <row r="2829">
          <cell r="A2829" t="str">
            <v>Data split-3;Reg-30</v>
          </cell>
          <cell r="B2829">
            <v>-8.5000000000000006E-3</v>
          </cell>
          <cell r="C2829">
            <v>0</v>
          </cell>
          <cell r="D2829">
            <v>1.4</v>
          </cell>
          <cell r="E2829">
            <v>0</v>
          </cell>
          <cell r="F2829">
            <v>0.14000000000000001</v>
          </cell>
          <cell r="G2829">
            <v>0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0</v>
          </cell>
          <cell r="M2829">
            <v>0</v>
          </cell>
          <cell r="N2829">
            <v>8.3000000000000001E-3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 t="b">
            <v>0</v>
          </cell>
        </row>
        <row r="2830">
          <cell r="A2830" t="str">
            <v>Data split-3;Reg-31</v>
          </cell>
          <cell r="B2830">
            <v>-2.5</v>
          </cell>
          <cell r="C2830">
            <v>0</v>
          </cell>
          <cell r="D2830">
            <v>0.99</v>
          </cell>
          <cell r="E2830">
            <v>0</v>
          </cell>
          <cell r="F2830">
            <v>0</v>
          </cell>
          <cell r="G2830">
            <v>1.8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-6.0999999999999999E-2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 t="b">
            <v>1</v>
          </cell>
        </row>
        <row r="2831">
          <cell r="A2831" t="str">
            <v>Data split-3;Reg-32</v>
          </cell>
          <cell r="B2831">
            <v>-2.6</v>
          </cell>
          <cell r="C2831">
            <v>0</v>
          </cell>
          <cell r="D2831">
            <v>1</v>
          </cell>
          <cell r="E2831">
            <v>0</v>
          </cell>
          <cell r="F2831">
            <v>0</v>
          </cell>
          <cell r="G2831">
            <v>1.9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-1.2E-2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 t="b">
            <v>1</v>
          </cell>
        </row>
        <row r="2832">
          <cell r="A2832" t="str">
            <v>Data split-3;Reg-33</v>
          </cell>
          <cell r="B2832">
            <v>-1.8</v>
          </cell>
          <cell r="C2832">
            <v>0</v>
          </cell>
          <cell r="D2832">
            <v>0.63</v>
          </cell>
          <cell r="E2832">
            <v>0</v>
          </cell>
          <cell r="F2832">
            <v>0</v>
          </cell>
          <cell r="G2832">
            <v>0</v>
          </cell>
          <cell r="H2832">
            <v>2.9</v>
          </cell>
          <cell r="I2832">
            <v>0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-4.3999999999999997E-2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 t="b">
            <v>1</v>
          </cell>
        </row>
        <row r="2833">
          <cell r="A2833" t="str">
            <v>Data split-3;Reg-34</v>
          </cell>
          <cell r="B2833">
            <v>-1.8</v>
          </cell>
          <cell r="C2833">
            <v>0</v>
          </cell>
          <cell r="D2833">
            <v>0.7</v>
          </cell>
          <cell r="E2833">
            <v>0</v>
          </cell>
          <cell r="F2833">
            <v>0</v>
          </cell>
          <cell r="G2833">
            <v>0</v>
          </cell>
          <cell r="H2833">
            <v>2.7</v>
          </cell>
          <cell r="I2833">
            <v>0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-5.5999999999999999E-3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 t="b">
            <v>1</v>
          </cell>
        </row>
        <row r="2834">
          <cell r="A2834" t="str">
            <v>Data split-3;Reg-35</v>
          </cell>
          <cell r="B2834">
            <v>-5.7</v>
          </cell>
          <cell r="C2834">
            <v>1.5</v>
          </cell>
          <cell r="D2834">
            <v>0</v>
          </cell>
          <cell r="E2834">
            <v>-0.42</v>
          </cell>
          <cell r="F2834">
            <v>0</v>
          </cell>
          <cell r="G2834">
            <v>1.8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0</v>
          </cell>
          <cell r="M2834">
            <v>-5.8000000000000003E-2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 t="b">
            <v>0</v>
          </cell>
        </row>
        <row r="2835">
          <cell r="A2835" t="str">
            <v>Data split-3;Reg-36</v>
          </cell>
          <cell r="B2835">
            <v>-5.6</v>
          </cell>
          <cell r="C2835">
            <v>1.5</v>
          </cell>
          <cell r="D2835">
            <v>0</v>
          </cell>
          <cell r="E2835">
            <v>-0.39</v>
          </cell>
          <cell r="F2835">
            <v>0</v>
          </cell>
          <cell r="G2835">
            <v>1.8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-0.01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 t="b">
            <v>0</v>
          </cell>
        </row>
        <row r="2836">
          <cell r="A2836" t="str">
            <v>Data split-3;Reg-37</v>
          </cell>
          <cell r="B2836">
            <v>-5.0999999999999996</v>
          </cell>
          <cell r="C2836">
            <v>1.2</v>
          </cell>
          <cell r="D2836">
            <v>0</v>
          </cell>
          <cell r="E2836">
            <v>-1.7</v>
          </cell>
          <cell r="F2836">
            <v>0</v>
          </cell>
          <cell r="G2836">
            <v>0</v>
          </cell>
          <cell r="H2836">
            <v>4.5999999999999996</v>
          </cell>
          <cell r="I2836">
            <v>0</v>
          </cell>
          <cell r="J2836">
            <v>0</v>
          </cell>
          <cell r="K2836">
            <v>0</v>
          </cell>
          <cell r="L2836">
            <v>0</v>
          </cell>
          <cell r="M2836">
            <v>-5.6000000000000001E-2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 t="b">
            <v>0</v>
          </cell>
        </row>
        <row r="2837">
          <cell r="A2837" t="str">
            <v>Data split-3;Reg-38</v>
          </cell>
          <cell r="B2837">
            <v>-5</v>
          </cell>
          <cell r="C2837">
            <v>1.2</v>
          </cell>
          <cell r="D2837">
            <v>0</v>
          </cell>
          <cell r="E2837">
            <v>-1.7</v>
          </cell>
          <cell r="F2837">
            <v>0</v>
          </cell>
          <cell r="G2837">
            <v>0</v>
          </cell>
          <cell r="H2837">
            <v>4.4000000000000004</v>
          </cell>
          <cell r="I2837">
            <v>0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-6.3E-3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 t="b">
            <v>0</v>
          </cell>
        </row>
        <row r="2838">
          <cell r="A2838" t="str">
            <v>Data split-3;Reg-39</v>
          </cell>
          <cell r="B2838">
            <v>-4.5</v>
          </cell>
          <cell r="C2838">
            <v>1.3</v>
          </cell>
          <cell r="D2838">
            <v>0</v>
          </cell>
          <cell r="E2838">
            <v>0</v>
          </cell>
          <cell r="F2838">
            <v>0.1</v>
          </cell>
          <cell r="G2838">
            <v>1.5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0</v>
          </cell>
          <cell r="M2838">
            <v>-7.5999999999999998E-2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 t="b">
            <v>1</v>
          </cell>
        </row>
        <row r="2839">
          <cell r="A2839" t="str">
            <v>Data split-3;Reg-40</v>
          </cell>
          <cell r="B2839">
            <v>-4.4000000000000004</v>
          </cell>
          <cell r="C2839">
            <v>1.3</v>
          </cell>
          <cell r="D2839">
            <v>0</v>
          </cell>
          <cell r="E2839">
            <v>0</v>
          </cell>
          <cell r="F2839">
            <v>0.11</v>
          </cell>
          <cell r="G2839">
            <v>1.6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0</v>
          </cell>
          <cell r="M2839">
            <v>0</v>
          </cell>
          <cell r="N2839">
            <v>-1.6E-2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 t="b">
            <v>1</v>
          </cell>
        </row>
        <row r="2840">
          <cell r="A2840" t="str">
            <v>Data split-3;Reg-41</v>
          </cell>
          <cell r="B2840">
            <v>-3.4</v>
          </cell>
          <cell r="C2840">
            <v>0.93</v>
          </cell>
          <cell r="D2840">
            <v>0</v>
          </cell>
          <cell r="E2840">
            <v>0</v>
          </cell>
          <cell r="F2840">
            <v>8.1000000000000003E-2</v>
          </cell>
          <cell r="G2840">
            <v>0</v>
          </cell>
          <cell r="H2840">
            <v>2.7</v>
          </cell>
          <cell r="I2840">
            <v>0</v>
          </cell>
          <cell r="J2840">
            <v>0</v>
          </cell>
          <cell r="K2840">
            <v>0</v>
          </cell>
          <cell r="L2840">
            <v>0</v>
          </cell>
          <cell r="M2840">
            <v>-7.9000000000000001E-2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 t="b">
            <v>1</v>
          </cell>
        </row>
        <row r="2841">
          <cell r="A2841" t="str">
            <v>Data split-3;Reg-42</v>
          </cell>
          <cell r="B2841">
            <v>-3.3</v>
          </cell>
          <cell r="C2841">
            <v>0.94</v>
          </cell>
          <cell r="D2841">
            <v>0</v>
          </cell>
          <cell r="E2841">
            <v>0</v>
          </cell>
          <cell r="F2841">
            <v>8.4000000000000005E-2</v>
          </cell>
          <cell r="G2841">
            <v>0</v>
          </cell>
          <cell r="H2841">
            <v>2.7</v>
          </cell>
          <cell r="I2841">
            <v>0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-1.4E-2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 t="b">
            <v>1</v>
          </cell>
        </row>
        <row r="2842">
          <cell r="A2842" t="str">
            <v>Data split-3;Reg-43</v>
          </cell>
          <cell r="B2842">
            <v>-5.6</v>
          </cell>
          <cell r="C2842">
            <v>1.3</v>
          </cell>
          <cell r="D2842">
            <v>0</v>
          </cell>
          <cell r="E2842">
            <v>-0.55000000000000004</v>
          </cell>
          <cell r="F2842">
            <v>0</v>
          </cell>
          <cell r="G2842">
            <v>1.9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-4.8000000000000001E-2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 t="b">
            <v>0</v>
          </cell>
        </row>
        <row r="2843">
          <cell r="A2843" t="str">
            <v>Data split-3;Reg-44</v>
          </cell>
          <cell r="B2843">
            <v>-5.7</v>
          </cell>
          <cell r="C2843">
            <v>1.4</v>
          </cell>
          <cell r="D2843">
            <v>0</v>
          </cell>
          <cell r="E2843">
            <v>-0.55000000000000004</v>
          </cell>
          <cell r="F2843">
            <v>0</v>
          </cell>
          <cell r="G2843">
            <v>1.9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-8.8999999999999999E-3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 t="b">
            <v>0</v>
          </cell>
        </row>
        <row r="2844">
          <cell r="A2844" t="str">
            <v>Data split-3;Reg-45</v>
          </cell>
          <cell r="B2844">
            <v>-5</v>
          </cell>
          <cell r="C2844">
            <v>1.1000000000000001</v>
          </cell>
          <cell r="D2844">
            <v>0</v>
          </cell>
          <cell r="E2844">
            <v>-1.8</v>
          </cell>
          <cell r="F2844">
            <v>0</v>
          </cell>
          <cell r="G2844">
            <v>0</v>
          </cell>
          <cell r="H2844">
            <v>4.5999999999999996</v>
          </cell>
          <cell r="I2844">
            <v>0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-2.8000000000000001E-2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 t="b">
            <v>0</v>
          </cell>
        </row>
        <row r="2845">
          <cell r="A2845" t="str">
            <v>Data split-3;Reg-46</v>
          </cell>
          <cell r="B2845">
            <v>-5.0999999999999996</v>
          </cell>
          <cell r="C2845">
            <v>1.2</v>
          </cell>
          <cell r="D2845">
            <v>0</v>
          </cell>
          <cell r="E2845">
            <v>-1.9</v>
          </cell>
          <cell r="F2845">
            <v>0</v>
          </cell>
          <cell r="G2845">
            <v>0</v>
          </cell>
          <cell r="H2845">
            <v>4.3</v>
          </cell>
          <cell r="I2845">
            <v>0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-1.6000000000000001E-3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 t="b">
            <v>0</v>
          </cell>
        </row>
        <row r="2846">
          <cell r="A2846" t="str">
            <v>Data split-3;Reg-47</v>
          </cell>
          <cell r="B2846">
            <v>-3.8</v>
          </cell>
          <cell r="C2846">
            <v>0.91</v>
          </cell>
          <cell r="D2846">
            <v>0</v>
          </cell>
          <cell r="E2846">
            <v>0</v>
          </cell>
          <cell r="F2846">
            <v>0.15</v>
          </cell>
          <cell r="G2846">
            <v>1.9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-9.6000000000000002E-2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 t="b">
            <v>1</v>
          </cell>
        </row>
        <row r="2847">
          <cell r="A2847" t="str">
            <v>Data split-3;Reg-48</v>
          </cell>
          <cell r="B2847">
            <v>-3.9</v>
          </cell>
          <cell r="C2847">
            <v>0.89</v>
          </cell>
          <cell r="D2847">
            <v>0</v>
          </cell>
          <cell r="E2847">
            <v>0</v>
          </cell>
          <cell r="F2847">
            <v>0.16</v>
          </cell>
          <cell r="G2847">
            <v>2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-2.1000000000000001E-2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 t="b">
            <v>1</v>
          </cell>
        </row>
        <row r="2848">
          <cell r="A2848" t="str">
            <v>Data split-3;Reg-49</v>
          </cell>
          <cell r="B2848">
            <v>-2.9</v>
          </cell>
          <cell r="C2848">
            <v>0.71</v>
          </cell>
          <cell r="D2848">
            <v>0</v>
          </cell>
          <cell r="E2848">
            <v>0</v>
          </cell>
          <cell r="F2848">
            <v>0.1</v>
          </cell>
          <cell r="G2848">
            <v>0</v>
          </cell>
          <cell r="H2848">
            <v>2.6</v>
          </cell>
          <cell r="I2848">
            <v>0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-5.8000000000000003E-2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 t="b">
            <v>1</v>
          </cell>
        </row>
        <row r="2849">
          <cell r="A2849" t="str">
            <v>Data split-3;Reg-50</v>
          </cell>
          <cell r="B2849">
            <v>-3</v>
          </cell>
          <cell r="C2849">
            <v>0.77</v>
          </cell>
          <cell r="D2849">
            <v>0</v>
          </cell>
          <cell r="E2849">
            <v>0</v>
          </cell>
          <cell r="F2849">
            <v>0.1</v>
          </cell>
          <cell r="G2849">
            <v>0</v>
          </cell>
          <cell r="H2849">
            <v>2.5</v>
          </cell>
          <cell r="I2849">
            <v>0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-9.1999999999999998E-3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 t="b">
            <v>1</v>
          </cell>
        </row>
        <row r="2850">
          <cell r="A2850" t="str">
            <v>Data split-3;Reg-51</v>
          </cell>
          <cell r="B2850">
            <v>-2.7</v>
          </cell>
          <cell r="C2850">
            <v>0</v>
          </cell>
          <cell r="D2850">
            <v>1.4</v>
          </cell>
          <cell r="E2850">
            <v>-0.57999999999999996</v>
          </cell>
          <cell r="F2850">
            <v>0</v>
          </cell>
          <cell r="G2850">
            <v>2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-6.4000000000000001E-2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 t="b">
            <v>0</v>
          </cell>
        </row>
        <row r="2851">
          <cell r="A2851" t="str">
            <v>Data split-3;Reg-52</v>
          </cell>
          <cell r="B2851">
            <v>-2.6</v>
          </cell>
          <cell r="C2851">
            <v>0</v>
          </cell>
          <cell r="D2851">
            <v>1.4</v>
          </cell>
          <cell r="E2851">
            <v>-0.51</v>
          </cell>
          <cell r="F2851">
            <v>0</v>
          </cell>
          <cell r="G2851">
            <v>2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-1.2999999999999999E-2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 t="b">
            <v>0</v>
          </cell>
        </row>
        <row r="2852">
          <cell r="A2852" t="str">
            <v>Data split-3;Reg-53</v>
          </cell>
          <cell r="B2852">
            <v>-2.6</v>
          </cell>
          <cell r="C2852">
            <v>0</v>
          </cell>
          <cell r="D2852">
            <v>1.1000000000000001</v>
          </cell>
          <cell r="E2852">
            <v>-1.8</v>
          </cell>
          <cell r="F2852">
            <v>0</v>
          </cell>
          <cell r="G2852">
            <v>0</v>
          </cell>
          <cell r="H2852">
            <v>4.9000000000000004</v>
          </cell>
          <cell r="I2852">
            <v>0</v>
          </cell>
          <cell r="J2852">
            <v>0</v>
          </cell>
          <cell r="K2852">
            <v>0</v>
          </cell>
          <cell r="L2852">
            <v>0</v>
          </cell>
          <cell r="M2852">
            <v>-0.06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 t="b">
            <v>0</v>
          </cell>
        </row>
        <row r="2853">
          <cell r="A2853" t="str">
            <v>Data split-3;Reg-54</v>
          </cell>
          <cell r="B2853">
            <v>-2.5</v>
          </cell>
          <cell r="C2853">
            <v>0</v>
          </cell>
          <cell r="D2853">
            <v>1.1000000000000001</v>
          </cell>
          <cell r="E2853">
            <v>-1.8</v>
          </cell>
          <cell r="F2853">
            <v>0</v>
          </cell>
          <cell r="G2853">
            <v>0</v>
          </cell>
          <cell r="H2853">
            <v>4.7</v>
          </cell>
          <cell r="I2853">
            <v>0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-7.7999999999999996E-3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 t="b">
            <v>0</v>
          </cell>
        </row>
        <row r="2854">
          <cell r="A2854" t="str">
            <v>Data split-3;Reg-55</v>
          </cell>
          <cell r="B2854">
            <v>-1.8</v>
          </cell>
          <cell r="C2854">
            <v>0</v>
          </cell>
          <cell r="D2854">
            <v>1.2</v>
          </cell>
          <cell r="E2854">
            <v>0</v>
          </cell>
          <cell r="F2854">
            <v>0.11</v>
          </cell>
          <cell r="G2854">
            <v>1.7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0</v>
          </cell>
          <cell r="M2854">
            <v>-8.4000000000000005E-2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 t="b">
            <v>1</v>
          </cell>
        </row>
        <row r="2855">
          <cell r="A2855" t="str">
            <v>Data split-3;Reg-56</v>
          </cell>
          <cell r="B2855">
            <v>-1.7</v>
          </cell>
          <cell r="C2855">
            <v>0</v>
          </cell>
          <cell r="D2855">
            <v>1.2</v>
          </cell>
          <cell r="E2855">
            <v>0</v>
          </cell>
          <cell r="F2855">
            <v>0.11</v>
          </cell>
          <cell r="G2855">
            <v>1.8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-1.9E-2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 t="b">
            <v>1</v>
          </cell>
        </row>
        <row r="2856">
          <cell r="A2856" t="str">
            <v>Data split-3;Reg-57</v>
          </cell>
          <cell r="B2856">
            <v>-1.3</v>
          </cell>
          <cell r="C2856">
            <v>0</v>
          </cell>
          <cell r="D2856">
            <v>0.77</v>
          </cell>
          <cell r="E2856">
            <v>0</v>
          </cell>
          <cell r="F2856">
            <v>8.4000000000000005E-2</v>
          </cell>
          <cell r="G2856">
            <v>0</v>
          </cell>
          <cell r="H2856">
            <v>2.9</v>
          </cell>
          <cell r="I2856">
            <v>0</v>
          </cell>
          <cell r="J2856">
            <v>0</v>
          </cell>
          <cell r="K2856">
            <v>0</v>
          </cell>
          <cell r="L2856">
            <v>0</v>
          </cell>
          <cell r="M2856">
            <v>-8.3000000000000004E-2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 t="b">
            <v>1</v>
          </cell>
        </row>
        <row r="2857">
          <cell r="A2857" t="str">
            <v>Data split-3;Reg-58</v>
          </cell>
          <cell r="B2857">
            <v>-1.2</v>
          </cell>
          <cell r="C2857">
            <v>0</v>
          </cell>
          <cell r="D2857">
            <v>0.79</v>
          </cell>
          <cell r="E2857">
            <v>0</v>
          </cell>
          <cell r="F2857">
            <v>8.7999999999999995E-2</v>
          </cell>
          <cell r="G2857">
            <v>0</v>
          </cell>
          <cell r="H2857">
            <v>2.9</v>
          </cell>
          <cell r="I2857">
            <v>0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-1.6E-2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 t="b">
            <v>1</v>
          </cell>
        </row>
        <row r="2858">
          <cell r="A2858" t="str">
            <v>Data split-3;Reg-59</v>
          </cell>
          <cell r="B2858">
            <v>-2.8</v>
          </cell>
          <cell r="C2858">
            <v>0</v>
          </cell>
          <cell r="D2858">
            <v>1.3</v>
          </cell>
          <cell r="E2858">
            <v>-0.69</v>
          </cell>
          <cell r="F2858">
            <v>0</v>
          </cell>
          <cell r="G2858">
            <v>2.1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-4.8000000000000001E-2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 t="b">
            <v>0</v>
          </cell>
        </row>
        <row r="2859">
          <cell r="A2859" t="str">
            <v>Data split-3;Reg-60</v>
          </cell>
          <cell r="B2859">
            <v>-2.8</v>
          </cell>
          <cell r="C2859">
            <v>0</v>
          </cell>
          <cell r="D2859">
            <v>1.3</v>
          </cell>
          <cell r="E2859">
            <v>-0.69</v>
          </cell>
          <cell r="F2859">
            <v>0</v>
          </cell>
          <cell r="G2859">
            <v>2.1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-8.3999999999999995E-3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 t="b">
            <v>0</v>
          </cell>
        </row>
        <row r="2860">
          <cell r="A2860" t="str">
            <v>Data split-3;Reg-61</v>
          </cell>
          <cell r="B2860">
            <v>-2.6</v>
          </cell>
          <cell r="C2860">
            <v>0</v>
          </cell>
          <cell r="D2860">
            <v>0.98</v>
          </cell>
          <cell r="E2860">
            <v>-2</v>
          </cell>
          <cell r="F2860">
            <v>0</v>
          </cell>
          <cell r="G2860">
            <v>0</v>
          </cell>
          <cell r="H2860">
            <v>4.8</v>
          </cell>
          <cell r="I2860">
            <v>0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-2.7E-2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 t="b">
            <v>0</v>
          </cell>
        </row>
        <row r="2861">
          <cell r="A2861" t="str">
            <v>Data split-3;Reg-62</v>
          </cell>
          <cell r="B2861">
            <v>-2.5</v>
          </cell>
          <cell r="C2861">
            <v>0</v>
          </cell>
          <cell r="D2861">
            <v>1.1000000000000001</v>
          </cell>
          <cell r="E2861">
            <v>-2</v>
          </cell>
          <cell r="F2861">
            <v>0</v>
          </cell>
          <cell r="G2861">
            <v>0</v>
          </cell>
          <cell r="H2861">
            <v>4.5999999999999996</v>
          </cell>
          <cell r="I2861">
            <v>0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-6.2E-4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 t="b">
            <v>0</v>
          </cell>
        </row>
        <row r="2862">
          <cell r="A2862" t="str">
            <v>Data split-3;Reg-63</v>
          </cell>
          <cell r="B2862">
            <v>-1.8</v>
          </cell>
          <cell r="C2862">
            <v>0</v>
          </cell>
          <cell r="D2862">
            <v>0.77</v>
          </cell>
          <cell r="E2862">
            <v>0</v>
          </cell>
          <cell r="F2862">
            <v>0.15</v>
          </cell>
          <cell r="G2862">
            <v>2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-0.1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 t="b">
            <v>1</v>
          </cell>
        </row>
        <row r="2863">
          <cell r="A2863" t="str">
            <v>Data split-3;Reg-64</v>
          </cell>
          <cell r="B2863">
            <v>-2</v>
          </cell>
          <cell r="C2863">
            <v>0</v>
          </cell>
          <cell r="D2863">
            <v>0.75</v>
          </cell>
          <cell r="E2863">
            <v>0</v>
          </cell>
          <cell r="F2863">
            <v>0.17</v>
          </cell>
          <cell r="G2863">
            <v>2.2000000000000002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-2.1999999999999999E-2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 t="b">
            <v>1</v>
          </cell>
        </row>
        <row r="2864">
          <cell r="A2864" t="str">
            <v>Data split-3;Reg-65</v>
          </cell>
          <cell r="B2864">
            <v>-1.2</v>
          </cell>
          <cell r="C2864">
            <v>0</v>
          </cell>
          <cell r="D2864">
            <v>0.5</v>
          </cell>
          <cell r="E2864">
            <v>0</v>
          </cell>
          <cell r="F2864">
            <v>0.11</v>
          </cell>
          <cell r="G2864">
            <v>0</v>
          </cell>
          <cell r="H2864">
            <v>2.9</v>
          </cell>
          <cell r="I2864">
            <v>0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-6.6000000000000003E-2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 t="b">
            <v>1</v>
          </cell>
        </row>
        <row r="2865">
          <cell r="A2865" t="str">
            <v>Data split-3;Reg-66</v>
          </cell>
          <cell r="B2865">
            <v>-1.2</v>
          </cell>
          <cell r="C2865">
            <v>0</v>
          </cell>
          <cell r="D2865">
            <v>0.56999999999999995</v>
          </cell>
          <cell r="E2865">
            <v>0</v>
          </cell>
          <cell r="F2865">
            <v>0.11</v>
          </cell>
          <cell r="G2865">
            <v>0</v>
          </cell>
          <cell r="H2865">
            <v>2.8</v>
          </cell>
          <cell r="I2865">
            <v>0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-0.01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 t="b">
            <v>1</v>
          </cell>
        </row>
        <row r="2866">
          <cell r="A2866" t="str">
            <v>Data split-3;Reg-67</v>
          </cell>
          <cell r="B2866">
            <v>-4.8</v>
          </cell>
          <cell r="C2866">
            <v>1.3</v>
          </cell>
          <cell r="D2866">
            <v>0</v>
          </cell>
          <cell r="E2866">
            <v>0</v>
          </cell>
          <cell r="F2866">
            <v>0</v>
          </cell>
          <cell r="G2866">
            <v>1.2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 t="b">
            <v>1</v>
          </cell>
        </row>
        <row r="2867">
          <cell r="A2867" t="str">
            <v>Data split-3;Reg-68</v>
          </cell>
          <cell r="B2867">
            <v>-4.0999999999999996</v>
          </cell>
          <cell r="C2867">
            <v>1.2</v>
          </cell>
          <cell r="D2867">
            <v>0</v>
          </cell>
          <cell r="E2867">
            <v>0</v>
          </cell>
          <cell r="F2867">
            <v>8.5000000000000006E-2</v>
          </cell>
          <cell r="G2867">
            <v>1.1000000000000001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 t="b">
            <v>1</v>
          </cell>
        </row>
        <row r="2868">
          <cell r="A2868" t="str">
            <v>Data split-3;Reg-69</v>
          </cell>
          <cell r="B2868">
            <v>-3.2</v>
          </cell>
          <cell r="C2868">
            <v>1.2</v>
          </cell>
          <cell r="D2868">
            <v>0</v>
          </cell>
          <cell r="E2868">
            <v>0</v>
          </cell>
          <cell r="F2868">
            <v>0</v>
          </cell>
          <cell r="G2868">
            <v>1.3</v>
          </cell>
          <cell r="H2868">
            <v>0</v>
          </cell>
          <cell r="I2868">
            <v>0</v>
          </cell>
          <cell r="J2868">
            <v>-4.2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 t="b">
            <v>1</v>
          </cell>
        </row>
        <row r="2869">
          <cell r="A2869" t="str">
            <v>Data split-3;Reg-70</v>
          </cell>
          <cell r="B2869">
            <v>-2.8</v>
          </cell>
          <cell r="C2869">
            <v>1.3</v>
          </cell>
          <cell r="D2869">
            <v>0</v>
          </cell>
          <cell r="E2869">
            <v>0</v>
          </cell>
          <cell r="F2869">
            <v>0</v>
          </cell>
          <cell r="G2869">
            <v>1.6</v>
          </cell>
          <cell r="H2869">
            <v>0</v>
          </cell>
          <cell r="I2869">
            <v>0</v>
          </cell>
          <cell r="J2869">
            <v>-5.6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-4.2999999999999997E-2</v>
          </cell>
          <cell r="T2869">
            <v>0</v>
          </cell>
          <cell r="U2869" t="b">
            <v>1</v>
          </cell>
        </row>
        <row r="2870">
          <cell r="A2870" t="str">
            <v>Data split-3;Reg-71</v>
          </cell>
          <cell r="B2870">
            <v>-1.4</v>
          </cell>
          <cell r="C2870">
            <v>0.64</v>
          </cell>
          <cell r="D2870">
            <v>0</v>
          </cell>
          <cell r="E2870">
            <v>0</v>
          </cell>
          <cell r="F2870">
            <v>7.9000000000000001E-2</v>
          </cell>
          <cell r="G2870">
            <v>0</v>
          </cell>
          <cell r="H2870">
            <v>3.6</v>
          </cell>
          <cell r="I2870">
            <v>0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-0.12</v>
          </cell>
          <cell r="T2870">
            <v>0</v>
          </cell>
          <cell r="U2870" t="b">
            <v>1</v>
          </cell>
        </row>
        <row r="2871">
          <cell r="A2871" t="str">
            <v>Data split-3;Reg-72</v>
          </cell>
          <cell r="B2871">
            <v>-3.9</v>
          </cell>
          <cell r="C2871">
            <v>1.4</v>
          </cell>
          <cell r="D2871">
            <v>0</v>
          </cell>
          <cell r="E2871">
            <v>0.86</v>
          </cell>
          <cell r="F2871">
            <v>0</v>
          </cell>
          <cell r="G2871">
            <v>0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 t="b">
            <v>1</v>
          </cell>
        </row>
        <row r="2872">
          <cell r="A2872" t="str">
            <v>Data split-3;Reg-73</v>
          </cell>
          <cell r="B2872">
            <v>-3.7</v>
          </cell>
          <cell r="C2872">
            <v>1.8</v>
          </cell>
          <cell r="D2872">
            <v>0</v>
          </cell>
          <cell r="E2872">
            <v>0</v>
          </cell>
          <cell r="F2872">
            <v>0.15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 t="b">
            <v>1</v>
          </cell>
        </row>
        <row r="2873">
          <cell r="A2873" t="str">
            <v>Data split-3;Reg-74</v>
          </cell>
          <cell r="B2873">
            <v>-0.63</v>
          </cell>
          <cell r="C2873">
            <v>0</v>
          </cell>
          <cell r="D2873">
            <v>1.2</v>
          </cell>
          <cell r="E2873">
            <v>1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 t="b">
            <v>1</v>
          </cell>
        </row>
        <row r="2874">
          <cell r="A2874" t="str">
            <v>Data split-3;Reg-75</v>
          </cell>
          <cell r="B2874">
            <v>0.31</v>
          </cell>
          <cell r="C2874">
            <v>0</v>
          </cell>
          <cell r="D2874">
            <v>1.6</v>
          </cell>
          <cell r="E2874">
            <v>0</v>
          </cell>
          <cell r="F2874">
            <v>0.17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 t="b">
            <v>0</v>
          </cell>
        </row>
        <row r="2875">
          <cell r="A2875" t="str">
            <v>Data split-3;Reg-76</v>
          </cell>
          <cell r="B2875">
            <v>-4.8</v>
          </cell>
          <cell r="C2875">
            <v>1.3</v>
          </cell>
          <cell r="D2875">
            <v>0</v>
          </cell>
          <cell r="E2875">
            <v>0</v>
          </cell>
          <cell r="F2875">
            <v>0</v>
          </cell>
          <cell r="G2875">
            <v>1.2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 t="b">
            <v>1</v>
          </cell>
        </row>
        <row r="2876">
          <cell r="A2876" t="str">
            <v>Data split-3;Reg-77</v>
          </cell>
          <cell r="B2876">
            <v>-3.8</v>
          </cell>
          <cell r="C2876">
            <v>0.98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2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 t="b">
            <v>1</v>
          </cell>
        </row>
        <row r="2877">
          <cell r="A2877" t="str">
            <v>Data split-3;Reg-78</v>
          </cell>
          <cell r="B2877">
            <v>-2.1</v>
          </cell>
          <cell r="C2877">
            <v>0</v>
          </cell>
          <cell r="D2877">
            <v>1.1000000000000001</v>
          </cell>
          <cell r="E2877">
            <v>0</v>
          </cell>
          <cell r="F2877">
            <v>0</v>
          </cell>
          <cell r="G2877">
            <v>1.3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 t="b">
            <v>1</v>
          </cell>
        </row>
        <row r="2878">
          <cell r="A2878" t="str">
            <v>Data split-3;Reg-79</v>
          </cell>
          <cell r="B2878">
            <v>-1.7</v>
          </cell>
          <cell r="C2878">
            <v>0</v>
          </cell>
          <cell r="D2878">
            <v>0.8</v>
          </cell>
          <cell r="E2878">
            <v>0</v>
          </cell>
          <cell r="F2878">
            <v>0</v>
          </cell>
          <cell r="G2878">
            <v>0</v>
          </cell>
          <cell r="H2878">
            <v>2.2999999999999998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 t="b">
            <v>1</v>
          </cell>
        </row>
        <row r="2879">
          <cell r="A2879" t="str">
            <v>Data split-3;Reg-80</v>
          </cell>
          <cell r="B2879">
            <v>-6.8</v>
          </cell>
          <cell r="C2879">
            <v>1.7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1.6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 t="b">
            <v>0</v>
          </cell>
        </row>
        <row r="2880">
          <cell r="A2880" t="str">
            <v>Data split-3;Reg-81</v>
          </cell>
          <cell r="B2880">
            <v>-8</v>
          </cell>
          <cell r="C2880">
            <v>1.9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7.7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 t="b">
            <v>0</v>
          </cell>
        </row>
        <row r="2881">
          <cell r="A2881" t="str">
            <v>Data split-3;Reg-82</v>
          </cell>
          <cell r="B2881">
            <v>-3.3</v>
          </cell>
          <cell r="C2881">
            <v>0</v>
          </cell>
          <cell r="D2881">
            <v>1.6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1.8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 t="b">
            <v>0</v>
          </cell>
        </row>
        <row r="2882">
          <cell r="A2882" t="str">
            <v>Data split-3;Reg-83</v>
          </cell>
          <cell r="B2882">
            <v>-6.2</v>
          </cell>
          <cell r="C2882">
            <v>0</v>
          </cell>
          <cell r="D2882">
            <v>1.8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0</v>
          </cell>
          <cell r="J2882">
            <v>13.5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 t="b">
            <v>0</v>
          </cell>
        </row>
        <row r="2883">
          <cell r="A2883" t="str">
            <v>Data split-3;Reg-84</v>
          </cell>
          <cell r="B2883">
            <v>-6.3</v>
          </cell>
          <cell r="C2883">
            <v>2</v>
          </cell>
          <cell r="D2883">
            <v>0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0</v>
          </cell>
          <cell r="J2883">
            <v>0</v>
          </cell>
          <cell r="K2883">
            <v>0.26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 t="b">
            <v>0</v>
          </cell>
        </row>
        <row r="2884">
          <cell r="A2884" t="str">
            <v>Data split-3;Reg-85</v>
          </cell>
          <cell r="B2884">
            <v>-5.5</v>
          </cell>
          <cell r="C2884">
            <v>2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0.44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 t="b">
            <v>0</v>
          </cell>
        </row>
        <row r="2885">
          <cell r="A2885" t="str">
            <v>Data split-3;Reg-86</v>
          </cell>
          <cell r="B2885">
            <v>-4.9000000000000004</v>
          </cell>
          <cell r="C2885">
            <v>0</v>
          </cell>
          <cell r="D2885">
            <v>1.8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0.83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 t="b">
            <v>0</v>
          </cell>
        </row>
        <row r="2886">
          <cell r="A2886" t="str">
            <v>Data split-3;Reg-87</v>
          </cell>
          <cell r="B2886">
            <v>-5.4</v>
          </cell>
          <cell r="C2886">
            <v>0</v>
          </cell>
          <cell r="D2886">
            <v>1.9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4.0999999999999996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 t="b">
            <v>0</v>
          </cell>
        </row>
        <row r="2887">
          <cell r="A2887" t="str">
            <v>Data split-3;Reg-88</v>
          </cell>
          <cell r="B2887">
            <v>-4.7</v>
          </cell>
          <cell r="C2887">
            <v>1.8</v>
          </cell>
          <cell r="D2887">
            <v>0</v>
          </cell>
          <cell r="E2887">
            <v>0</v>
          </cell>
          <cell r="F2887">
            <v>0</v>
          </cell>
          <cell r="G2887">
            <v>0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0</v>
          </cell>
          <cell r="M2887">
            <v>4.1000000000000002E-2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 t="b">
            <v>0</v>
          </cell>
        </row>
        <row r="2888">
          <cell r="A2888" t="str">
            <v>Data split-3;Reg-89</v>
          </cell>
          <cell r="B2888">
            <v>-4.5999999999999996</v>
          </cell>
          <cell r="C2888">
            <v>1.7</v>
          </cell>
          <cell r="D2888">
            <v>0</v>
          </cell>
          <cell r="E2888">
            <v>0</v>
          </cell>
          <cell r="F2888">
            <v>0</v>
          </cell>
          <cell r="G2888">
            <v>0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1.0999999999999999E-2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 t="b">
            <v>0</v>
          </cell>
        </row>
        <row r="2889">
          <cell r="A2889" t="str">
            <v>Data split-3;Reg-90</v>
          </cell>
          <cell r="B2889">
            <v>-0.61</v>
          </cell>
          <cell r="C2889">
            <v>0</v>
          </cell>
          <cell r="D2889">
            <v>1.6</v>
          </cell>
          <cell r="E2889">
            <v>0</v>
          </cell>
          <cell r="F2889">
            <v>0</v>
          </cell>
          <cell r="G2889">
            <v>0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0</v>
          </cell>
          <cell r="M2889">
            <v>4.7E-2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 t="b">
            <v>0</v>
          </cell>
        </row>
        <row r="2890">
          <cell r="A2890" t="str">
            <v>Data split-3;Reg-91</v>
          </cell>
          <cell r="B2890">
            <v>-0.75</v>
          </cell>
          <cell r="C2890">
            <v>0</v>
          </cell>
          <cell r="D2890">
            <v>1.5</v>
          </cell>
          <cell r="E2890">
            <v>0</v>
          </cell>
          <cell r="F2890">
            <v>0</v>
          </cell>
          <cell r="G2890">
            <v>0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0</v>
          </cell>
          <cell r="M2890">
            <v>0</v>
          </cell>
          <cell r="N2890">
            <v>1.2999999999999999E-2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 t="b">
            <v>0</v>
          </cell>
        </row>
        <row r="2891">
          <cell r="A2891" t="str">
            <v>Data split-3;Reg-92</v>
          </cell>
          <cell r="B2891">
            <v>-4.8</v>
          </cell>
          <cell r="C2891">
            <v>1.8</v>
          </cell>
          <cell r="D2891">
            <v>0</v>
          </cell>
          <cell r="E2891">
            <v>0</v>
          </cell>
          <cell r="F2891">
            <v>0</v>
          </cell>
          <cell r="G2891">
            <v>0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6.4000000000000001E-2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 t="b">
            <v>0</v>
          </cell>
        </row>
        <row r="2892">
          <cell r="A2892" t="str">
            <v>Data split-3;Reg-93</v>
          </cell>
          <cell r="B2892">
            <v>-4.5999999999999996</v>
          </cell>
          <cell r="C2892">
            <v>1.7</v>
          </cell>
          <cell r="D2892">
            <v>0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1.4E-2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 t="b">
            <v>0</v>
          </cell>
        </row>
        <row r="2893">
          <cell r="A2893" t="str">
            <v>Data split-3;Reg-94</v>
          </cell>
          <cell r="B2893">
            <v>-0.76</v>
          </cell>
          <cell r="C2893">
            <v>0</v>
          </cell>
          <cell r="D2893">
            <v>1.7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7.2999999999999995E-2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 t="b">
            <v>0</v>
          </cell>
        </row>
        <row r="2894">
          <cell r="A2894" t="str">
            <v>Data split-3;Reg-95</v>
          </cell>
          <cell r="B2894">
            <v>-0.74</v>
          </cell>
          <cell r="C2894">
            <v>0</v>
          </cell>
          <cell r="D2894">
            <v>1.6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1.6E-2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 t="b">
            <v>0</v>
          </cell>
        </row>
        <row r="2895">
          <cell r="A2895" t="str">
            <v>Data split-3;Reg-96</v>
          </cell>
          <cell r="B2895">
            <v>-5.8</v>
          </cell>
          <cell r="C2895">
            <v>1.6</v>
          </cell>
          <cell r="D2895">
            <v>0</v>
          </cell>
          <cell r="E2895">
            <v>0.38</v>
          </cell>
          <cell r="F2895">
            <v>0</v>
          </cell>
          <cell r="G2895">
            <v>0</v>
          </cell>
          <cell r="H2895">
            <v>0</v>
          </cell>
          <cell r="I2895">
            <v>1.1000000000000001</v>
          </cell>
          <cell r="J2895">
            <v>0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 t="b">
            <v>0</v>
          </cell>
        </row>
        <row r="2896">
          <cell r="A2896" t="str">
            <v>Data split-3;Reg-97</v>
          </cell>
          <cell r="B2896">
            <v>-5.3</v>
          </cell>
          <cell r="C2896">
            <v>1.4</v>
          </cell>
          <cell r="D2896">
            <v>0</v>
          </cell>
          <cell r="E2896">
            <v>0.75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3.3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 t="b">
            <v>0</v>
          </cell>
        </row>
        <row r="2897">
          <cell r="A2897" t="str">
            <v>Data split-3;Reg-98</v>
          </cell>
          <cell r="B2897">
            <v>-5.4</v>
          </cell>
          <cell r="C2897">
            <v>1.6</v>
          </cell>
          <cell r="D2897">
            <v>0</v>
          </cell>
          <cell r="E2897">
            <v>0</v>
          </cell>
          <cell r="F2897">
            <v>0.11</v>
          </cell>
          <cell r="G2897">
            <v>0</v>
          </cell>
          <cell r="H2897">
            <v>0</v>
          </cell>
          <cell r="I2897">
            <v>1.2</v>
          </cell>
          <cell r="J2897">
            <v>0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 t="b">
            <v>0</v>
          </cell>
        </row>
        <row r="2898">
          <cell r="A2898" t="str">
            <v>Data split-3;Reg-99</v>
          </cell>
          <cell r="B2898">
            <v>-6.5</v>
          </cell>
          <cell r="C2898">
            <v>1.7</v>
          </cell>
          <cell r="D2898">
            <v>0</v>
          </cell>
          <cell r="E2898">
            <v>0</v>
          </cell>
          <cell r="F2898">
            <v>0.15</v>
          </cell>
          <cell r="G2898">
            <v>0</v>
          </cell>
          <cell r="H2898">
            <v>0</v>
          </cell>
          <cell r="I2898">
            <v>0</v>
          </cell>
          <cell r="J2898">
            <v>7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 t="b">
            <v>0</v>
          </cell>
        </row>
        <row r="2899">
          <cell r="A2899" t="str">
            <v>Data split-3;Reg-100</v>
          </cell>
          <cell r="B2899">
            <v>-2.7</v>
          </cell>
          <cell r="C2899">
            <v>0</v>
          </cell>
          <cell r="D2899">
            <v>1.4</v>
          </cell>
          <cell r="E2899">
            <v>0.37</v>
          </cell>
          <cell r="F2899">
            <v>0</v>
          </cell>
          <cell r="G2899">
            <v>0</v>
          </cell>
          <cell r="H2899">
            <v>0</v>
          </cell>
          <cell r="I2899">
            <v>1.4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 t="b">
            <v>0</v>
          </cell>
        </row>
        <row r="2900">
          <cell r="A2900" t="str">
            <v>Data split-3;Reg-101</v>
          </cell>
          <cell r="B2900">
            <v>-4.3</v>
          </cell>
          <cell r="C2900">
            <v>0</v>
          </cell>
          <cell r="D2900">
            <v>1.4</v>
          </cell>
          <cell r="E2900">
            <v>0.63</v>
          </cell>
          <cell r="F2900">
            <v>0</v>
          </cell>
          <cell r="G2900">
            <v>0</v>
          </cell>
          <cell r="H2900">
            <v>0</v>
          </cell>
          <cell r="I2900">
            <v>0</v>
          </cell>
          <cell r="J2900">
            <v>8.6999999999999993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 t="b">
            <v>0</v>
          </cell>
        </row>
        <row r="2901">
          <cell r="A2901" t="str">
            <v>Data split-3;Reg-102</v>
          </cell>
          <cell r="B2901">
            <v>-2.2000000000000002</v>
          </cell>
          <cell r="C2901">
            <v>0</v>
          </cell>
          <cell r="D2901">
            <v>1.5</v>
          </cell>
          <cell r="E2901">
            <v>0</v>
          </cell>
          <cell r="F2901">
            <v>0.11</v>
          </cell>
          <cell r="G2901">
            <v>0</v>
          </cell>
          <cell r="H2901">
            <v>0</v>
          </cell>
          <cell r="I2901">
            <v>1.4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 t="b">
            <v>0</v>
          </cell>
        </row>
        <row r="2902">
          <cell r="A2902" t="str">
            <v>Data split-3;Reg-103</v>
          </cell>
          <cell r="B2902">
            <v>-4.9000000000000004</v>
          </cell>
          <cell r="C2902">
            <v>0</v>
          </cell>
          <cell r="D2902">
            <v>1.6</v>
          </cell>
          <cell r="E2902">
            <v>0</v>
          </cell>
          <cell r="F2902">
            <v>0.15</v>
          </cell>
          <cell r="G2902">
            <v>0</v>
          </cell>
          <cell r="H2902">
            <v>0</v>
          </cell>
          <cell r="I2902">
            <v>0</v>
          </cell>
          <cell r="J2902">
            <v>12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 t="b">
            <v>0</v>
          </cell>
        </row>
        <row r="2903">
          <cell r="A2903" t="str">
            <v>Data split-3;Reg-104</v>
          </cell>
          <cell r="B2903">
            <v>-3.5</v>
          </cell>
          <cell r="C2903">
            <v>1.4</v>
          </cell>
          <cell r="D2903">
            <v>0</v>
          </cell>
          <cell r="E2903">
            <v>0.87</v>
          </cell>
          <cell r="F2903">
            <v>0</v>
          </cell>
          <cell r="G2903">
            <v>0</v>
          </cell>
          <cell r="H2903">
            <v>0</v>
          </cell>
          <cell r="I2903">
            <v>0</v>
          </cell>
          <cell r="J2903">
            <v>0</v>
          </cell>
          <cell r="K2903">
            <v>-0.06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 t="b">
            <v>1</v>
          </cell>
        </row>
        <row r="2904">
          <cell r="A2904" t="str">
            <v>Data split-3;Reg-105</v>
          </cell>
          <cell r="B2904">
            <v>-3.9</v>
          </cell>
          <cell r="C2904">
            <v>1.4</v>
          </cell>
          <cell r="D2904">
            <v>0</v>
          </cell>
          <cell r="E2904">
            <v>0.86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1.0999999999999999E-2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 t="b">
            <v>0</v>
          </cell>
        </row>
        <row r="2905">
          <cell r="A2905" t="str">
            <v>Data split-3;Reg-106</v>
          </cell>
          <cell r="B2905">
            <v>-5.3</v>
          </cell>
          <cell r="C2905">
            <v>1.7</v>
          </cell>
          <cell r="D2905">
            <v>0</v>
          </cell>
          <cell r="E2905">
            <v>0</v>
          </cell>
          <cell r="F2905">
            <v>0.15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0.33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 t="b">
            <v>0</v>
          </cell>
        </row>
        <row r="2906">
          <cell r="A2906" t="str">
            <v>Data split-3;Reg-107</v>
          </cell>
          <cell r="B2906">
            <v>-4.8</v>
          </cell>
          <cell r="C2906">
            <v>1.7</v>
          </cell>
          <cell r="D2906">
            <v>0</v>
          </cell>
          <cell r="E2906">
            <v>0</v>
          </cell>
          <cell r="F2906">
            <v>0.15</v>
          </cell>
          <cell r="G2906">
            <v>0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1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 t="b">
            <v>0</v>
          </cell>
        </row>
        <row r="2907">
          <cell r="A2907" t="str">
            <v>Data split-3;Reg-108</v>
          </cell>
          <cell r="B2907">
            <v>-2.5</v>
          </cell>
          <cell r="C2907">
            <v>0</v>
          </cell>
          <cell r="D2907">
            <v>1.3</v>
          </cell>
          <cell r="E2907">
            <v>0.86</v>
          </cell>
          <cell r="F2907">
            <v>0</v>
          </cell>
          <cell r="G2907">
            <v>0</v>
          </cell>
          <cell r="H2907">
            <v>0</v>
          </cell>
          <cell r="I2907">
            <v>0</v>
          </cell>
          <cell r="J2907">
            <v>0</v>
          </cell>
          <cell r="K2907">
            <v>0.36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 t="b">
            <v>0</v>
          </cell>
        </row>
        <row r="2908">
          <cell r="A2908" t="str">
            <v>Data split-3;Reg-109</v>
          </cell>
          <cell r="B2908">
            <v>-3.6</v>
          </cell>
          <cell r="C2908">
            <v>0</v>
          </cell>
          <cell r="D2908">
            <v>1.3</v>
          </cell>
          <cell r="E2908">
            <v>0.89</v>
          </cell>
          <cell r="F2908">
            <v>0</v>
          </cell>
          <cell r="G2908">
            <v>0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2.5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 t="b">
            <v>0</v>
          </cell>
        </row>
        <row r="2909">
          <cell r="A2909" t="str">
            <v>Data split-3;Reg-110</v>
          </cell>
          <cell r="B2909">
            <v>-4</v>
          </cell>
          <cell r="C2909">
            <v>0</v>
          </cell>
          <cell r="D2909">
            <v>1.5</v>
          </cell>
          <cell r="E2909">
            <v>0</v>
          </cell>
          <cell r="F2909">
            <v>0.17</v>
          </cell>
          <cell r="G2909">
            <v>0</v>
          </cell>
          <cell r="H2909">
            <v>0</v>
          </cell>
          <cell r="I2909">
            <v>0</v>
          </cell>
          <cell r="J2909">
            <v>0</v>
          </cell>
          <cell r="K2909">
            <v>0.81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 t="b">
            <v>0</v>
          </cell>
        </row>
        <row r="2910">
          <cell r="A2910" t="str">
            <v>Data split-3;Reg-111</v>
          </cell>
          <cell r="B2910">
            <v>-4.7</v>
          </cell>
          <cell r="C2910">
            <v>0</v>
          </cell>
          <cell r="D2910">
            <v>1.6</v>
          </cell>
          <cell r="E2910">
            <v>0</v>
          </cell>
          <cell r="F2910">
            <v>0.17</v>
          </cell>
          <cell r="G2910">
            <v>0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4.2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 t="b">
            <v>0</v>
          </cell>
        </row>
        <row r="2911">
          <cell r="A2911" t="str">
            <v>Data split-3;Reg-112</v>
          </cell>
          <cell r="B2911">
            <v>-4.4000000000000004</v>
          </cell>
          <cell r="C2911">
            <v>1.3</v>
          </cell>
          <cell r="D2911">
            <v>0</v>
          </cell>
          <cell r="E2911">
            <v>0</v>
          </cell>
          <cell r="F2911">
            <v>0</v>
          </cell>
          <cell r="G2911">
            <v>1.3</v>
          </cell>
          <cell r="H2911">
            <v>0</v>
          </cell>
          <cell r="I2911">
            <v>-0.34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 t="b">
            <v>1</v>
          </cell>
        </row>
        <row r="2912">
          <cell r="A2912" t="str">
            <v>Data split-3;Reg-113</v>
          </cell>
          <cell r="B2912">
            <v>-3.2</v>
          </cell>
          <cell r="C2912">
            <v>1.2</v>
          </cell>
          <cell r="D2912">
            <v>0</v>
          </cell>
          <cell r="E2912">
            <v>0</v>
          </cell>
          <cell r="F2912">
            <v>0</v>
          </cell>
          <cell r="G2912">
            <v>1.3</v>
          </cell>
          <cell r="H2912">
            <v>0</v>
          </cell>
          <cell r="I2912">
            <v>0</v>
          </cell>
          <cell r="J2912">
            <v>-4.2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 t="b">
            <v>1</v>
          </cell>
        </row>
        <row r="2913">
          <cell r="A2913" t="str">
            <v>Data split-3;Reg-114</v>
          </cell>
          <cell r="B2913">
            <v>-2.5</v>
          </cell>
          <cell r="C2913">
            <v>0.87</v>
          </cell>
          <cell r="D2913">
            <v>0</v>
          </cell>
          <cell r="E2913">
            <v>0</v>
          </cell>
          <cell r="F2913">
            <v>0</v>
          </cell>
          <cell r="G2913">
            <v>0</v>
          </cell>
          <cell r="H2913">
            <v>2.6</v>
          </cell>
          <cell r="I2913">
            <v>-0.88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 t="b">
            <v>1</v>
          </cell>
        </row>
        <row r="2914">
          <cell r="A2914" t="str">
            <v>Data split-3;Reg-115</v>
          </cell>
          <cell r="B2914">
            <v>-3.1</v>
          </cell>
          <cell r="C2914">
            <v>0.96</v>
          </cell>
          <cell r="D2914">
            <v>0</v>
          </cell>
          <cell r="E2914">
            <v>0</v>
          </cell>
          <cell r="F2914">
            <v>0</v>
          </cell>
          <cell r="G2914">
            <v>0</v>
          </cell>
          <cell r="H2914">
            <v>2.1</v>
          </cell>
          <cell r="I2914">
            <v>0</v>
          </cell>
          <cell r="J2914">
            <v>-1.8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 t="b">
            <v>1</v>
          </cell>
        </row>
        <row r="2915">
          <cell r="A2915" t="str">
            <v>Data split-3;Reg-116</v>
          </cell>
          <cell r="B2915">
            <v>-1.8</v>
          </cell>
          <cell r="C2915">
            <v>0</v>
          </cell>
          <cell r="D2915">
            <v>1.1000000000000001</v>
          </cell>
          <cell r="E2915">
            <v>0</v>
          </cell>
          <cell r="F2915">
            <v>0</v>
          </cell>
          <cell r="G2915">
            <v>1.4</v>
          </cell>
          <cell r="H2915">
            <v>0</v>
          </cell>
          <cell r="I2915">
            <v>-0.27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 t="b">
            <v>1</v>
          </cell>
        </row>
        <row r="2916">
          <cell r="A2916" t="str">
            <v>Data split-3;Reg-117</v>
          </cell>
          <cell r="B2916">
            <v>-2</v>
          </cell>
          <cell r="C2916">
            <v>0</v>
          </cell>
          <cell r="D2916">
            <v>1.1000000000000001</v>
          </cell>
          <cell r="E2916">
            <v>0</v>
          </cell>
          <cell r="F2916">
            <v>0</v>
          </cell>
          <cell r="G2916">
            <v>1.3</v>
          </cell>
          <cell r="H2916">
            <v>0</v>
          </cell>
          <cell r="I2916">
            <v>0</v>
          </cell>
          <cell r="J2916">
            <v>-0.28000000000000003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 t="b">
            <v>1</v>
          </cell>
        </row>
        <row r="2917">
          <cell r="A2917" t="str">
            <v>Data split-3;Reg-118</v>
          </cell>
          <cell r="B2917">
            <v>-0.49</v>
          </cell>
          <cell r="C2917">
            <v>0</v>
          </cell>
          <cell r="D2917">
            <v>0.68</v>
          </cell>
          <cell r="E2917">
            <v>0</v>
          </cell>
          <cell r="F2917">
            <v>0</v>
          </cell>
          <cell r="G2917">
            <v>0</v>
          </cell>
          <cell r="H2917">
            <v>2.8</v>
          </cell>
          <cell r="I2917">
            <v>-0.93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 t="b">
            <v>1</v>
          </cell>
        </row>
        <row r="2918">
          <cell r="A2918" t="str">
            <v>Data split-3;Reg-119</v>
          </cell>
          <cell r="B2918">
            <v>-2</v>
          </cell>
          <cell r="C2918">
            <v>0</v>
          </cell>
          <cell r="D2918">
            <v>0.82</v>
          </cell>
          <cell r="E2918">
            <v>0</v>
          </cell>
          <cell r="F2918">
            <v>0</v>
          </cell>
          <cell r="G2918">
            <v>0</v>
          </cell>
          <cell r="H2918">
            <v>2.2000000000000002</v>
          </cell>
          <cell r="I2918">
            <v>0</v>
          </cell>
          <cell r="J2918">
            <v>0.78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 t="b">
            <v>0</v>
          </cell>
        </row>
        <row r="2919">
          <cell r="A2919" t="str">
            <v>Data split-3;Reg-120</v>
          </cell>
          <cell r="B2919">
            <v>-1.9</v>
          </cell>
          <cell r="C2919">
            <v>1.2</v>
          </cell>
          <cell r="D2919">
            <v>0</v>
          </cell>
          <cell r="E2919">
            <v>0</v>
          </cell>
          <cell r="F2919">
            <v>0</v>
          </cell>
          <cell r="G2919">
            <v>1.4</v>
          </cell>
          <cell r="H2919">
            <v>0</v>
          </cell>
          <cell r="I2919">
            <v>0</v>
          </cell>
          <cell r="J2919">
            <v>0</v>
          </cell>
          <cell r="K2919">
            <v>-0.59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 t="b">
            <v>1</v>
          </cell>
        </row>
        <row r="2920">
          <cell r="A2920" t="str">
            <v>Data split-3;Reg-121</v>
          </cell>
          <cell r="B2920">
            <v>-2.4</v>
          </cell>
          <cell r="C2920">
            <v>1.2</v>
          </cell>
          <cell r="D2920">
            <v>0</v>
          </cell>
          <cell r="E2920">
            <v>0</v>
          </cell>
          <cell r="F2920">
            <v>0</v>
          </cell>
          <cell r="G2920">
            <v>1.3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-2.1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 t="b">
            <v>1</v>
          </cell>
        </row>
        <row r="2921">
          <cell r="A2921" t="str">
            <v>Data split-3;Reg-122</v>
          </cell>
          <cell r="B2921">
            <v>-1.8</v>
          </cell>
          <cell r="C2921">
            <v>0.95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2.2000000000000002</v>
          </cell>
          <cell r="I2921">
            <v>0</v>
          </cell>
          <cell r="J2921">
            <v>0</v>
          </cell>
          <cell r="K2921">
            <v>-0.41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 t="b">
            <v>1</v>
          </cell>
        </row>
        <row r="2922">
          <cell r="A2922" t="str">
            <v>Data split-3;Reg-123</v>
          </cell>
          <cell r="B2922">
            <v>-3.3</v>
          </cell>
          <cell r="C2922">
            <v>0.97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2.1</v>
          </cell>
          <cell r="I2922">
            <v>0</v>
          </cell>
          <cell r="J2922">
            <v>0</v>
          </cell>
          <cell r="K2922">
            <v>0</v>
          </cell>
          <cell r="L2922">
            <v>-0.45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 t="b">
            <v>1</v>
          </cell>
        </row>
        <row r="2923">
          <cell r="A2923" t="str">
            <v>Data split-3;Reg-124</v>
          </cell>
          <cell r="B2923">
            <v>-0.89</v>
          </cell>
          <cell r="C2923">
            <v>0</v>
          </cell>
          <cell r="D2923">
            <v>1.1000000000000001</v>
          </cell>
          <cell r="E2923">
            <v>0</v>
          </cell>
          <cell r="F2923">
            <v>0</v>
          </cell>
          <cell r="G2923">
            <v>1.4</v>
          </cell>
          <cell r="H2923">
            <v>0</v>
          </cell>
          <cell r="I2923">
            <v>0</v>
          </cell>
          <cell r="J2923">
            <v>0</v>
          </cell>
          <cell r="K2923">
            <v>-0.25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 t="b">
            <v>1</v>
          </cell>
        </row>
        <row r="2924">
          <cell r="A2924" t="str">
            <v>Data split-3;Reg-125</v>
          </cell>
          <cell r="B2924">
            <v>-2.1</v>
          </cell>
          <cell r="C2924">
            <v>0</v>
          </cell>
          <cell r="D2924">
            <v>1.1000000000000001</v>
          </cell>
          <cell r="E2924">
            <v>0</v>
          </cell>
          <cell r="F2924">
            <v>0</v>
          </cell>
          <cell r="G2924">
            <v>1.3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-3.5000000000000003E-2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 t="b">
            <v>1</v>
          </cell>
        </row>
        <row r="2925">
          <cell r="A2925" t="str">
            <v>Data split-3;Reg-126</v>
          </cell>
          <cell r="B2925">
            <v>-0.76</v>
          </cell>
          <cell r="C2925">
            <v>0</v>
          </cell>
          <cell r="D2925">
            <v>0.77</v>
          </cell>
          <cell r="E2925">
            <v>0</v>
          </cell>
          <cell r="F2925">
            <v>0</v>
          </cell>
          <cell r="G2925">
            <v>0</v>
          </cell>
          <cell r="H2925">
            <v>2.4</v>
          </cell>
          <cell r="I2925">
            <v>0</v>
          </cell>
          <cell r="J2925">
            <v>0</v>
          </cell>
          <cell r="K2925">
            <v>-0.18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 t="b">
            <v>1</v>
          </cell>
        </row>
        <row r="2926">
          <cell r="A2926" t="str">
            <v>Data split-3;Reg-127</v>
          </cell>
          <cell r="B2926">
            <v>-3</v>
          </cell>
          <cell r="C2926">
            <v>0</v>
          </cell>
          <cell r="D2926">
            <v>0.84</v>
          </cell>
          <cell r="E2926">
            <v>0</v>
          </cell>
          <cell r="F2926">
            <v>0</v>
          </cell>
          <cell r="G2926">
            <v>0</v>
          </cell>
          <cell r="H2926">
            <v>2.2000000000000002</v>
          </cell>
          <cell r="I2926">
            <v>0</v>
          </cell>
          <cell r="J2926">
            <v>0</v>
          </cell>
          <cell r="K2926">
            <v>0</v>
          </cell>
          <cell r="L2926">
            <v>1.1000000000000001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 t="b">
            <v>0</v>
          </cell>
        </row>
        <row r="2927">
          <cell r="A2927" t="str">
            <v>Data split-4;Reg-1</v>
          </cell>
          <cell r="B2927">
            <v>-4.0999999999999996</v>
          </cell>
          <cell r="C2927">
            <v>1.7</v>
          </cell>
          <cell r="D2927">
            <v>0</v>
          </cell>
          <cell r="E2927">
            <v>0</v>
          </cell>
          <cell r="F2927">
            <v>0.16</v>
          </cell>
          <cell r="G2927">
            <v>0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0.53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 t="b">
            <v>0</v>
          </cell>
        </row>
        <row r="2928">
          <cell r="A2928" t="str">
            <v>Data split-4;Reg-2</v>
          </cell>
          <cell r="B2928">
            <v>-4.5</v>
          </cell>
          <cell r="C2928">
            <v>1.4</v>
          </cell>
          <cell r="D2928">
            <v>0</v>
          </cell>
          <cell r="E2928">
            <v>0</v>
          </cell>
          <cell r="F2928">
            <v>7.6999999999999999E-2</v>
          </cell>
          <cell r="G2928">
            <v>1.4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-8.5999999999999993E-2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 t="b">
            <v>1</v>
          </cell>
        </row>
        <row r="2929">
          <cell r="A2929" t="str">
            <v>Data split-4;Reg-3</v>
          </cell>
          <cell r="B2929">
            <v>-4.4000000000000004</v>
          </cell>
          <cell r="C2929">
            <v>1.4</v>
          </cell>
          <cell r="D2929">
            <v>0</v>
          </cell>
          <cell r="E2929">
            <v>0</v>
          </cell>
          <cell r="F2929">
            <v>8.5000000000000006E-2</v>
          </cell>
          <cell r="G2929">
            <v>1.4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-1.6E-2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 t="b">
            <v>1</v>
          </cell>
        </row>
        <row r="2930">
          <cell r="A2930" t="str">
            <v>Data split-4;Reg-4</v>
          </cell>
          <cell r="B2930">
            <v>-3.1</v>
          </cell>
          <cell r="C2930">
            <v>0.8</v>
          </cell>
          <cell r="D2930">
            <v>0</v>
          </cell>
          <cell r="E2930">
            <v>0</v>
          </cell>
          <cell r="F2930">
            <v>2.3E-2</v>
          </cell>
          <cell r="G2930">
            <v>0</v>
          </cell>
          <cell r="H2930">
            <v>3.1</v>
          </cell>
          <cell r="I2930">
            <v>0</v>
          </cell>
          <cell r="J2930">
            <v>0</v>
          </cell>
          <cell r="K2930">
            <v>0</v>
          </cell>
          <cell r="L2930">
            <v>0</v>
          </cell>
          <cell r="M2930">
            <v>-0.1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 t="b">
            <v>1</v>
          </cell>
        </row>
        <row r="2931">
          <cell r="A2931" t="str">
            <v>Data split-4;Reg-5</v>
          </cell>
          <cell r="B2931">
            <v>-1.5</v>
          </cell>
          <cell r="C2931">
            <v>0</v>
          </cell>
          <cell r="D2931">
            <v>0.51</v>
          </cell>
          <cell r="E2931">
            <v>0</v>
          </cell>
          <cell r="F2931">
            <v>3.5999999999999997E-2</v>
          </cell>
          <cell r="G2931">
            <v>0</v>
          </cell>
          <cell r="H2931">
            <v>3.4</v>
          </cell>
          <cell r="I2931">
            <v>0</v>
          </cell>
          <cell r="J2931">
            <v>0</v>
          </cell>
          <cell r="K2931">
            <v>0</v>
          </cell>
          <cell r="L2931">
            <v>0</v>
          </cell>
          <cell r="M2931">
            <v>-9.5000000000000001E-2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 t="b">
            <v>1</v>
          </cell>
        </row>
        <row r="2932">
          <cell r="A2932" t="str">
            <v>Data split-4;Reg-6</v>
          </cell>
          <cell r="B2932">
            <v>-2.7</v>
          </cell>
          <cell r="C2932">
            <v>0.63</v>
          </cell>
          <cell r="D2932">
            <v>0</v>
          </cell>
          <cell r="E2932">
            <v>2.2999999999999998</v>
          </cell>
          <cell r="F2932">
            <v>0</v>
          </cell>
          <cell r="G2932">
            <v>0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1.1000000000000001</v>
          </cell>
          <cell r="M2932">
            <v>-7.0999999999999994E-2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 t="b">
            <v>0</v>
          </cell>
        </row>
        <row r="2933">
          <cell r="A2933" t="str">
            <v>Data split-4;Reg-7</v>
          </cell>
          <cell r="B2933">
            <v>-4.2</v>
          </cell>
          <cell r="C2933">
            <v>1.5</v>
          </cell>
          <cell r="D2933">
            <v>0</v>
          </cell>
          <cell r="E2933">
            <v>0</v>
          </cell>
          <cell r="F2933">
            <v>0.13</v>
          </cell>
          <cell r="G2933">
            <v>0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0.54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4.2000000000000003E-2</v>
          </cell>
          <cell r="T2933">
            <v>0</v>
          </cell>
          <cell r="U2933" t="b">
            <v>0</v>
          </cell>
        </row>
        <row r="2934">
          <cell r="A2934" t="str">
            <v>Data split-4;Reg-8</v>
          </cell>
          <cell r="B2934">
            <v>-3.4</v>
          </cell>
          <cell r="C2934">
            <v>1.3</v>
          </cell>
          <cell r="D2934">
            <v>0</v>
          </cell>
          <cell r="E2934">
            <v>0</v>
          </cell>
          <cell r="F2934">
            <v>0</v>
          </cell>
          <cell r="G2934">
            <v>1.4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-2.2000000000000002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>
            <v>0</v>
          </cell>
          <cell r="R2934">
            <v>0</v>
          </cell>
          <cell r="S2934">
            <v>-4.8000000000000001E-2</v>
          </cell>
          <cell r="T2934">
            <v>0</v>
          </cell>
          <cell r="U2934" t="b">
            <v>1</v>
          </cell>
        </row>
        <row r="2935">
          <cell r="A2935" t="str">
            <v>Data split-4;Reg-9</v>
          </cell>
          <cell r="B2935">
            <v>-2.2000000000000002</v>
          </cell>
          <cell r="C2935">
            <v>0</v>
          </cell>
          <cell r="D2935">
            <v>0.33</v>
          </cell>
          <cell r="E2935">
            <v>0</v>
          </cell>
          <cell r="F2935">
            <v>0</v>
          </cell>
          <cell r="G2935">
            <v>0</v>
          </cell>
          <cell r="H2935">
            <v>4.2</v>
          </cell>
          <cell r="I2935">
            <v>0</v>
          </cell>
          <cell r="J2935">
            <v>0</v>
          </cell>
          <cell r="K2935">
            <v>0</v>
          </cell>
          <cell r="L2935">
            <v>0.68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-0.12</v>
          </cell>
          <cell r="T2935">
            <v>0</v>
          </cell>
          <cell r="U2935" t="b">
            <v>0</v>
          </cell>
        </row>
        <row r="2936">
          <cell r="A2936" t="str">
            <v>Data split-4;Reg-10</v>
          </cell>
          <cell r="B2936">
            <v>-2.2000000000000002</v>
          </cell>
          <cell r="C2936">
            <v>0</v>
          </cell>
          <cell r="D2936">
            <v>0.33</v>
          </cell>
          <cell r="E2936">
            <v>0</v>
          </cell>
          <cell r="F2936">
            <v>0</v>
          </cell>
          <cell r="G2936">
            <v>0</v>
          </cell>
          <cell r="H2936">
            <v>4.2</v>
          </cell>
          <cell r="I2936">
            <v>0</v>
          </cell>
          <cell r="J2936">
            <v>0</v>
          </cell>
          <cell r="K2936">
            <v>0</v>
          </cell>
          <cell r="L2936">
            <v>0.68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-0.12</v>
          </cell>
          <cell r="T2936">
            <v>0</v>
          </cell>
          <cell r="U2936" t="b">
            <v>0</v>
          </cell>
        </row>
        <row r="2937">
          <cell r="A2937" t="str">
            <v>Data split-4;Reg-11</v>
          </cell>
          <cell r="B2937">
            <v>-3.1</v>
          </cell>
          <cell r="C2937">
            <v>0.7</v>
          </cell>
          <cell r="D2937">
            <v>0</v>
          </cell>
          <cell r="E2937">
            <v>1.2</v>
          </cell>
          <cell r="F2937">
            <v>0</v>
          </cell>
          <cell r="G2937">
            <v>0.47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 t="b">
            <v>1</v>
          </cell>
        </row>
        <row r="2938">
          <cell r="A2938" t="str">
            <v>Data split-4;Reg-12</v>
          </cell>
          <cell r="B2938">
            <v>-3.1</v>
          </cell>
          <cell r="C2938">
            <v>0.62</v>
          </cell>
          <cell r="D2938">
            <v>0</v>
          </cell>
          <cell r="E2938">
            <v>0.52</v>
          </cell>
          <cell r="F2938">
            <v>0</v>
          </cell>
          <cell r="G2938">
            <v>0</v>
          </cell>
          <cell r="H2938">
            <v>1.7</v>
          </cell>
          <cell r="I2938">
            <v>0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 t="b">
            <v>1</v>
          </cell>
        </row>
        <row r="2939">
          <cell r="A2939" t="str">
            <v>Data split-4;Reg-13</v>
          </cell>
          <cell r="B2939">
            <v>-4.2</v>
          </cell>
          <cell r="C2939">
            <v>1.2</v>
          </cell>
          <cell r="D2939">
            <v>0</v>
          </cell>
          <cell r="E2939">
            <v>0</v>
          </cell>
          <cell r="F2939">
            <v>8.5000000000000006E-2</v>
          </cell>
          <cell r="G2939">
            <v>0.96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 t="b">
            <v>1</v>
          </cell>
        </row>
        <row r="2940">
          <cell r="A2940" t="str">
            <v>Data split-4;Reg-14</v>
          </cell>
          <cell r="B2940">
            <v>-3.2</v>
          </cell>
          <cell r="C2940">
            <v>0.7</v>
          </cell>
          <cell r="D2940">
            <v>0</v>
          </cell>
          <cell r="E2940">
            <v>0</v>
          </cell>
          <cell r="F2940">
            <v>4.5999999999999999E-2</v>
          </cell>
          <cell r="G2940">
            <v>0</v>
          </cell>
          <cell r="H2940">
            <v>2.2000000000000002</v>
          </cell>
          <cell r="I2940">
            <v>0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 t="b">
            <v>1</v>
          </cell>
        </row>
        <row r="2941">
          <cell r="A2941" t="str">
            <v>Data split-4;Reg-15</v>
          </cell>
          <cell r="B2941">
            <v>-1.9</v>
          </cell>
          <cell r="C2941">
            <v>0.64</v>
          </cell>
          <cell r="D2941">
            <v>0</v>
          </cell>
          <cell r="E2941">
            <v>2.2000000000000002</v>
          </cell>
          <cell r="F2941">
            <v>0</v>
          </cell>
          <cell r="G2941">
            <v>0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0</v>
          </cell>
          <cell r="M2941">
            <v>-7.0999999999999994E-2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 t="b">
            <v>1</v>
          </cell>
        </row>
        <row r="2942">
          <cell r="A2942" t="str">
            <v>Data split-4;Reg-16</v>
          </cell>
          <cell r="B2942">
            <v>-1.9</v>
          </cell>
          <cell r="C2942">
            <v>0.64</v>
          </cell>
          <cell r="D2942">
            <v>0</v>
          </cell>
          <cell r="E2942">
            <v>2.2999999999999998</v>
          </cell>
          <cell r="F2942">
            <v>0</v>
          </cell>
          <cell r="G2942">
            <v>0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-1.2999999999999999E-2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 t="b">
            <v>1</v>
          </cell>
        </row>
        <row r="2943">
          <cell r="A2943" t="str">
            <v>Data split-4;Reg-17</v>
          </cell>
          <cell r="B2943">
            <v>-3.7</v>
          </cell>
          <cell r="C2943">
            <v>1.6</v>
          </cell>
          <cell r="D2943">
            <v>0</v>
          </cell>
          <cell r="E2943">
            <v>0</v>
          </cell>
          <cell r="F2943">
            <v>0.15</v>
          </cell>
          <cell r="G2943">
            <v>0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0</v>
          </cell>
          <cell r="M2943">
            <v>1.0999999999999999E-2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 t="b">
            <v>0</v>
          </cell>
        </row>
        <row r="2944">
          <cell r="A2944" t="str">
            <v>Data split-4;Reg-18</v>
          </cell>
          <cell r="B2944">
            <v>-3.7</v>
          </cell>
          <cell r="C2944">
            <v>1.5</v>
          </cell>
          <cell r="D2944">
            <v>0</v>
          </cell>
          <cell r="E2944">
            <v>0</v>
          </cell>
          <cell r="F2944">
            <v>0.14000000000000001</v>
          </cell>
          <cell r="G2944">
            <v>0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7.3000000000000001E-3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 t="b">
            <v>0</v>
          </cell>
        </row>
        <row r="2945">
          <cell r="A2945" t="str">
            <v>Data split-4;Reg-19</v>
          </cell>
          <cell r="B2945">
            <v>-5.4</v>
          </cell>
          <cell r="C2945">
            <v>1.2</v>
          </cell>
          <cell r="D2945">
            <v>0</v>
          </cell>
          <cell r="E2945">
            <v>0</v>
          </cell>
          <cell r="F2945">
            <v>0</v>
          </cell>
          <cell r="G2945">
            <v>1.4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-4.2000000000000003E-2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 t="b">
            <v>1</v>
          </cell>
        </row>
        <row r="2946">
          <cell r="A2946" t="str">
            <v>Data split-4;Reg-20</v>
          </cell>
          <cell r="B2946">
            <v>-5.3</v>
          </cell>
          <cell r="C2946">
            <v>1.2</v>
          </cell>
          <cell r="D2946">
            <v>0</v>
          </cell>
          <cell r="E2946">
            <v>0</v>
          </cell>
          <cell r="F2946">
            <v>0</v>
          </cell>
          <cell r="G2946">
            <v>1.3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-5.0000000000000001E-3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 t="b">
            <v>1</v>
          </cell>
        </row>
        <row r="2947">
          <cell r="A2947" t="str">
            <v>Data split-4;Reg-21</v>
          </cell>
          <cell r="B2947">
            <v>-3.7</v>
          </cell>
          <cell r="C2947">
            <v>0.56000000000000005</v>
          </cell>
          <cell r="D2947">
            <v>0</v>
          </cell>
          <cell r="E2947">
            <v>0</v>
          </cell>
          <cell r="F2947">
            <v>0</v>
          </cell>
          <cell r="G2947">
            <v>0</v>
          </cell>
          <cell r="H2947">
            <v>3</v>
          </cell>
          <cell r="I2947">
            <v>0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-4.9000000000000002E-2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 t="b">
            <v>1</v>
          </cell>
        </row>
        <row r="2948">
          <cell r="A2948" t="str">
            <v>Data split-4;Reg-22</v>
          </cell>
          <cell r="B2948">
            <v>-3.7</v>
          </cell>
          <cell r="C2948">
            <v>0.64</v>
          </cell>
          <cell r="D2948">
            <v>0</v>
          </cell>
          <cell r="E2948">
            <v>0</v>
          </cell>
          <cell r="F2948">
            <v>0</v>
          </cell>
          <cell r="G2948">
            <v>0</v>
          </cell>
          <cell r="H2948">
            <v>2.7</v>
          </cell>
          <cell r="I2948">
            <v>0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-5.7000000000000002E-3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 t="b">
            <v>1</v>
          </cell>
        </row>
        <row r="2949">
          <cell r="A2949" t="str">
            <v>Data split-4;Reg-23</v>
          </cell>
          <cell r="B2949">
            <v>-1.6</v>
          </cell>
          <cell r="C2949">
            <v>0</v>
          </cell>
          <cell r="D2949">
            <v>0.42</v>
          </cell>
          <cell r="E2949">
            <v>1.6</v>
          </cell>
          <cell r="F2949">
            <v>0</v>
          </cell>
          <cell r="G2949">
            <v>0.41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 t="b">
            <v>1</v>
          </cell>
        </row>
        <row r="2950">
          <cell r="A2950" t="str">
            <v>Data split-4;Reg-24</v>
          </cell>
          <cell r="B2950">
            <v>-1.7</v>
          </cell>
          <cell r="C2950">
            <v>0</v>
          </cell>
          <cell r="D2950">
            <v>0.35</v>
          </cell>
          <cell r="E2950">
            <v>0.82</v>
          </cell>
          <cell r="F2950">
            <v>0</v>
          </cell>
          <cell r="G2950">
            <v>0</v>
          </cell>
          <cell r="H2950">
            <v>1.7</v>
          </cell>
          <cell r="I2950">
            <v>0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 t="b">
            <v>1</v>
          </cell>
        </row>
        <row r="2951">
          <cell r="A2951" t="str">
            <v>Data split-4;Reg-25</v>
          </cell>
          <cell r="B2951">
            <v>-2</v>
          </cell>
          <cell r="C2951">
            <v>0</v>
          </cell>
          <cell r="D2951">
            <v>0.94</v>
          </cell>
          <cell r="E2951">
            <v>0</v>
          </cell>
          <cell r="F2951">
            <v>0.11</v>
          </cell>
          <cell r="G2951">
            <v>1.1000000000000001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 t="b">
            <v>1</v>
          </cell>
        </row>
        <row r="2952">
          <cell r="A2952" t="str">
            <v>Data split-4;Reg-26</v>
          </cell>
          <cell r="B2952">
            <v>-1.8</v>
          </cell>
          <cell r="C2952">
            <v>0</v>
          </cell>
          <cell r="D2952">
            <v>0.47</v>
          </cell>
          <cell r="E2952">
            <v>0</v>
          </cell>
          <cell r="F2952">
            <v>5.5E-2</v>
          </cell>
          <cell r="G2952">
            <v>0</v>
          </cell>
          <cell r="H2952">
            <v>2.4</v>
          </cell>
          <cell r="I2952">
            <v>0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 t="b">
            <v>1</v>
          </cell>
        </row>
        <row r="2953">
          <cell r="A2953" t="str">
            <v>Data split-4;Reg-27</v>
          </cell>
          <cell r="B2953">
            <v>-0.56999999999999995</v>
          </cell>
          <cell r="C2953">
            <v>0</v>
          </cell>
          <cell r="D2953">
            <v>0.37</v>
          </cell>
          <cell r="E2953">
            <v>2.5</v>
          </cell>
          <cell r="F2953">
            <v>0</v>
          </cell>
          <cell r="G2953">
            <v>0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0</v>
          </cell>
          <cell r="M2953">
            <v>-6.7000000000000004E-2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 t="b">
            <v>1</v>
          </cell>
        </row>
        <row r="2954">
          <cell r="A2954" t="str">
            <v>Data split-4;Reg-28</v>
          </cell>
          <cell r="B2954">
            <v>-0.61</v>
          </cell>
          <cell r="C2954">
            <v>0</v>
          </cell>
          <cell r="D2954">
            <v>0.36</v>
          </cell>
          <cell r="E2954">
            <v>2.5</v>
          </cell>
          <cell r="F2954">
            <v>0</v>
          </cell>
          <cell r="G2954">
            <v>0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-1.2E-2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 t="b">
            <v>1</v>
          </cell>
        </row>
        <row r="2955">
          <cell r="A2955" t="str">
            <v>Data split-4;Reg-29</v>
          </cell>
          <cell r="B2955">
            <v>-0.9</v>
          </cell>
          <cell r="C2955">
            <v>0</v>
          </cell>
          <cell r="D2955">
            <v>1.3</v>
          </cell>
          <cell r="E2955">
            <v>0</v>
          </cell>
          <cell r="F2955">
            <v>0.18</v>
          </cell>
          <cell r="G2955">
            <v>0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0</v>
          </cell>
          <cell r="M2955">
            <v>3.1E-2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 t="b">
            <v>0</v>
          </cell>
        </row>
        <row r="2956">
          <cell r="A2956" t="str">
            <v>Data split-4;Reg-30</v>
          </cell>
          <cell r="B2956">
            <v>-1.2</v>
          </cell>
          <cell r="C2956">
            <v>0</v>
          </cell>
          <cell r="D2956">
            <v>1.2</v>
          </cell>
          <cell r="E2956">
            <v>0</v>
          </cell>
          <cell r="F2956">
            <v>0.16</v>
          </cell>
          <cell r="G2956">
            <v>0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1.2E-2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 t="b">
            <v>0</v>
          </cell>
        </row>
        <row r="2957">
          <cell r="A2957" t="str">
            <v>Data split-4;Reg-31</v>
          </cell>
          <cell r="B2957">
            <v>-3.4</v>
          </cell>
          <cell r="C2957">
            <v>0</v>
          </cell>
          <cell r="D2957">
            <v>1</v>
          </cell>
          <cell r="E2957">
            <v>0</v>
          </cell>
          <cell r="F2957">
            <v>0</v>
          </cell>
          <cell r="G2957">
            <v>1.6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-4.9000000000000002E-2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 t="b">
            <v>1</v>
          </cell>
        </row>
        <row r="2958">
          <cell r="A2958" t="str">
            <v>Data split-4;Reg-32</v>
          </cell>
          <cell r="B2958">
            <v>-3.3</v>
          </cell>
          <cell r="C2958">
            <v>0</v>
          </cell>
          <cell r="D2958">
            <v>1</v>
          </cell>
          <cell r="E2958">
            <v>0</v>
          </cell>
          <cell r="F2958">
            <v>0</v>
          </cell>
          <cell r="G2958">
            <v>1.5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-6.4999999999999997E-3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 t="b">
            <v>1</v>
          </cell>
        </row>
        <row r="2959">
          <cell r="A2959" t="str">
            <v>Data split-4;Reg-33</v>
          </cell>
          <cell r="B2959">
            <v>-2.6</v>
          </cell>
          <cell r="C2959">
            <v>0</v>
          </cell>
          <cell r="D2959">
            <v>0.33</v>
          </cell>
          <cell r="E2959">
            <v>0</v>
          </cell>
          <cell r="F2959">
            <v>0</v>
          </cell>
          <cell r="G2959">
            <v>0</v>
          </cell>
          <cell r="H2959">
            <v>3.4</v>
          </cell>
          <cell r="I2959">
            <v>0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-5.8000000000000003E-2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 t="b">
            <v>1</v>
          </cell>
        </row>
        <row r="2960">
          <cell r="A2960" t="str">
            <v>Data split-4;Reg-34</v>
          </cell>
          <cell r="B2960">
            <v>-2.6</v>
          </cell>
          <cell r="C2960">
            <v>0</v>
          </cell>
          <cell r="D2960">
            <v>0.4</v>
          </cell>
          <cell r="E2960">
            <v>0</v>
          </cell>
          <cell r="F2960">
            <v>0</v>
          </cell>
          <cell r="G2960">
            <v>0</v>
          </cell>
          <cell r="H2960">
            <v>3.1</v>
          </cell>
          <cell r="I2960">
            <v>0</v>
          </cell>
          <cell r="J2960">
            <v>0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-7.4999999999999997E-3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 t="b">
            <v>1</v>
          </cell>
        </row>
        <row r="2961">
          <cell r="A2961" t="str">
            <v>Data split-4;Reg-35</v>
          </cell>
          <cell r="B2961">
            <v>-3.1</v>
          </cell>
          <cell r="C2961">
            <v>0.86</v>
          </cell>
          <cell r="D2961">
            <v>0</v>
          </cell>
          <cell r="E2961">
            <v>1.4</v>
          </cell>
          <cell r="F2961">
            <v>0</v>
          </cell>
          <cell r="G2961">
            <v>0.85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0</v>
          </cell>
          <cell r="M2961">
            <v>-0.1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 t="b">
            <v>1</v>
          </cell>
        </row>
        <row r="2962">
          <cell r="A2962" t="str">
            <v>Data split-4;Reg-36</v>
          </cell>
          <cell r="B2962">
            <v>-3.1</v>
          </cell>
          <cell r="C2962">
            <v>0.87</v>
          </cell>
          <cell r="D2962">
            <v>0</v>
          </cell>
          <cell r="E2962">
            <v>1.5</v>
          </cell>
          <cell r="F2962">
            <v>0</v>
          </cell>
          <cell r="G2962">
            <v>0.89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0</v>
          </cell>
          <cell r="M2962">
            <v>0</v>
          </cell>
          <cell r="N2962">
            <v>-2.1000000000000001E-2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 t="b">
            <v>1</v>
          </cell>
        </row>
        <row r="2963">
          <cell r="A2963" t="str">
            <v>Data split-4;Reg-37</v>
          </cell>
          <cell r="B2963">
            <v>-2.8</v>
          </cell>
          <cell r="C2963">
            <v>0.7</v>
          </cell>
          <cell r="D2963">
            <v>0</v>
          </cell>
          <cell r="E2963">
            <v>0.52</v>
          </cell>
          <cell r="F2963">
            <v>0</v>
          </cell>
          <cell r="G2963">
            <v>0</v>
          </cell>
          <cell r="H2963">
            <v>2.7</v>
          </cell>
          <cell r="I2963">
            <v>0</v>
          </cell>
          <cell r="J2963">
            <v>0</v>
          </cell>
          <cell r="K2963">
            <v>0</v>
          </cell>
          <cell r="L2963">
            <v>0</v>
          </cell>
          <cell r="M2963">
            <v>-0.1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 t="b">
            <v>1</v>
          </cell>
        </row>
        <row r="2964">
          <cell r="A2964" t="str">
            <v>Data split-4;Reg-38</v>
          </cell>
          <cell r="B2964">
            <v>-2.7</v>
          </cell>
          <cell r="C2964">
            <v>0.69</v>
          </cell>
          <cell r="D2964">
            <v>0</v>
          </cell>
          <cell r="E2964">
            <v>0.72</v>
          </cell>
          <cell r="F2964">
            <v>0</v>
          </cell>
          <cell r="G2964">
            <v>0</v>
          </cell>
          <cell r="H2964">
            <v>2.5</v>
          </cell>
          <cell r="I2964">
            <v>0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-1.9E-2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 t="b">
            <v>1</v>
          </cell>
        </row>
        <row r="2965">
          <cell r="A2965" t="str">
            <v>Data split-4;Reg-39</v>
          </cell>
          <cell r="B2965">
            <v>-4.5</v>
          </cell>
          <cell r="C2965">
            <v>1.4</v>
          </cell>
          <cell r="D2965">
            <v>0</v>
          </cell>
          <cell r="E2965">
            <v>0</v>
          </cell>
          <cell r="F2965">
            <v>7.6999999999999999E-2</v>
          </cell>
          <cell r="G2965">
            <v>1.4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0</v>
          </cell>
          <cell r="M2965">
            <v>-8.5999999999999993E-2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 t="b">
            <v>1</v>
          </cell>
        </row>
        <row r="2966">
          <cell r="A2966" t="str">
            <v>Data split-4;Reg-40</v>
          </cell>
          <cell r="B2966">
            <v>-4.4000000000000004</v>
          </cell>
          <cell r="C2966">
            <v>1.4</v>
          </cell>
          <cell r="D2966">
            <v>0</v>
          </cell>
          <cell r="E2966">
            <v>0</v>
          </cell>
          <cell r="F2966">
            <v>8.5000000000000006E-2</v>
          </cell>
          <cell r="G2966">
            <v>1.4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-1.6E-2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 t="b">
            <v>1</v>
          </cell>
        </row>
        <row r="2967">
          <cell r="A2967" t="str">
            <v>Data split-4;Reg-41</v>
          </cell>
          <cell r="B2967">
            <v>-3.1</v>
          </cell>
          <cell r="C2967">
            <v>0.8</v>
          </cell>
          <cell r="D2967">
            <v>0</v>
          </cell>
          <cell r="E2967">
            <v>0</v>
          </cell>
          <cell r="F2967">
            <v>2.3E-2</v>
          </cell>
          <cell r="G2967">
            <v>0</v>
          </cell>
          <cell r="H2967">
            <v>3.1</v>
          </cell>
          <cell r="I2967">
            <v>0</v>
          </cell>
          <cell r="J2967">
            <v>0</v>
          </cell>
          <cell r="K2967">
            <v>0</v>
          </cell>
          <cell r="L2967">
            <v>0</v>
          </cell>
          <cell r="M2967">
            <v>-0.1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 t="b">
            <v>1</v>
          </cell>
        </row>
        <row r="2968">
          <cell r="A2968" t="str">
            <v>Data split-4;Reg-42</v>
          </cell>
          <cell r="B2968">
            <v>-3.1</v>
          </cell>
          <cell r="C2968">
            <v>0.81</v>
          </cell>
          <cell r="D2968">
            <v>0</v>
          </cell>
          <cell r="E2968">
            <v>0</v>
          </cell>
          <cell r="F2968">
            <v>3.5000000000000003E-2</v>
          </cell>
          <cell r="G2968">
            <v>0</v>
          </cell>
          <cell r="H2968">
            <v>3.1</v>
          </cell>
          <cell r="I2968">
            <v>0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-1.7999999999999999E-2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 t="b">
            <v>1</v>
          </cell>
        </row>
        <row r="2969">
          <cell r="A2969" t="str">
            <v>Data split-4;Reg-43</v>
          </cell>
          <cell r="B2969">
            <v>-3.6</v>
          </cell>
          <cell r="C2969">
            <v>0.65</v>
          </cell>
          <cell r="D2969">
            <v>0</v>
          </cell>
          <cell r="E2969">
            <v>1.3</v>
          </cell>
          <cell r="F2969">
            <v>0</v>
          </cell>
          <cell r="G2969">
            <v>0.83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-4.7E-2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 t="b">
            <v>1</v>
          </cell>
        </row>
        <row r="2970">
          <cell r="A2970" t="str">
            <v>Data split-4;Reg-44</v>
          </cell>
          <cell r="B2970">
            <v>-3.6</v>
          </cell>
          <cell r="C2970">
            <v>0.67</v>
          </cell>
          <cell r="D2970">
            <v>0</v>
          </cell>
          <cell r="E2970">
            <v>1.3</v>
          </cell>
          <cell r="F2970">
            <v>0</v>
          </cell>
          <cell r="G2970">
            <v>0.74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-6.3E-3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 t="b">
            <v>1</v>
          </cell>
        </row>
        <row r="2971">
          <cell r="A2971" t="str">
            <v>Data split-4;Reg-45</v>
          </cell>
          <cell r="B2971">
            <v>-3.4</v>
          </cell>
          <cell r="C2971">
            <v>0.49</v>
          </cell>
          <cell r="D2971">
            <v>0</v>
          </cell>
          <cell r="E2971">
            <v>0.4</v>
          </cell>
          <cell r="F2971">
            <v>0</v>
          </cell>
          <cell r="G2971">
            <v>0</v>
          </cell>
          <cell r="H2971">
            <v>2.6</v>
          </cell>
          <cell r="I2971">
            <v>0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-4.8000000000000001E-2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 t="b">
            <v>1</v>
          </cell>
        </row>
        <row r="2972">
          <cell r="A2972" t="str">
            <v>Data split-4;Reg-46</v>
          </cell>
          <cell r="B2972">
            <v>-3.3</v>
          </cell>
          <cell r="C2972">
            <v>0.54</v>
          </cell>
          <cell r="D2972">
            <v>0</v>
          </cell>
          <cell r="E2972">
            <v>0.49</v>
          </cell>
          <cell r="F2972">
            <v>0</v>
          </cell>
          <cell r="G2972">
            <v>0</v>
          </cell>
          <cell r="H2972">
            <v>2.2000000000000002</v>
          </cell>
          <cell r="I2972">
            <v>0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-5.4999999999999997E-3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 t="b">
            <v>1</v>
          </cell>
        </row>
        <row r="2973">
          <cell r="A2973" t="str">
            <v>Data split-4;Reg-47</v>
          </cell>
          <cell r="B2973">
            <v>-4.5999999999999996</v>
          </cell>
          <cell r="C2973">
            <v>1.1000000000000001</v>
          </cell>
          <cell r="D2973">
            <v>0</v>
          </cell>
          <cell r="E2973">
            <v>0</v>
          </cell>
          <cell r="F2973">
            <v>9.8000000000000004E-2</v>
          </cell>
          <cell r="G2973">
            <v>1.3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-0.05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 t="b">
            <v>1</v>
          </cell>
        </row>
        <row r="2974">
          <cell r="A2974" t="str">
            <v>Data split-4;Reg-48</v>
          </cell>
          <cell r="B2974">
            <v>-4.5999999999999996</v>
          </cell>
          <cell r="C2974">
            <v>1.1000000000000001</v>
          </cell>
          <cell r="D2974">
            <v>0</v>
          </cell>
          <cell r="E2974">
            <v>0</v>
          </cell>
          <cell r="F2974">
            <v>9.8000000000000004E-2</v>
          </cell>
          <cell r="G2974">
            <v>1.3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-7.3000000000000001E-3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 t="b">
            <v>1</v>
          </cell>
        </row>
        <row r="2975">
          <cell r="A2975" t="str">
            <v>Data split-4;Reg-49</v>
          </cell>
          <cell r="B2975">
            <v>-3.3</v>
          </cell>
          <cell r="C2975">
            <v>0.54</v>
          </cell>
          <cell r="D2975">
            <v>0</v>
          </cell>
          <cell r="E2975">
            <v>0</v>
          </cell>
          <cell r="F2975">
            <v>5.1999999999999998E-2</v>
          </cell>
          <cell r="G2975">
            <v>0</v>
          </cell>
          <cell r="H2975">
            <v>2.9</v>
          </cell>
          <cell r="I2975">
            <v>0</v>
          </cell>
          <cell r="J2975">
            <v>0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-5.0999999999999997E-2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 t="b">
            <v>1</v>
          </cell>
        </row>
        <row r="2976">
          <cell r="A2976" t="str">
            <v>Data split-4;Reg-50</v>
          </cell>
          <cell r="B2976">
            <v>-3.3</v>
          </cell>
          <cell r="C2976">
            <v>0.61</v>
          </cell>
          <cell r="D2976">
            <v>0</v>
          </cell>
          <cell r="E2976">
            <v>0</v>
          </cell>
          <cell r="F2976">
            <v>5.2999999999999999E-2</v>
          </cell>
          <cell r="G2976">
            <v>0</v>
          </cell>
          <cell r="H2976">
            <v>2.6</v>
          </cell>
          <cell r="I2976">
            <v>0</v>
          </cell>
          <cell r="J2976">
            <v>0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-6.3E-3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 t="b">
            <v>1</v>
          </cell>
        </row>
        <row r="2977">
          <cell r="A2977" t="str">
            <v>Data split-4;Reg-51</v>
          </cell>
          <cell r="B2977">
            <v>-1.3</v>
          </cell>
          <cell r="C2977">
            <v>0</v>
          </cell>
          <cell r="D2977">
            <v>0.51</v>
          </cell>
          <cell r="E2977">
            <v>1.8</v>
          </cell>
          <cell r="F2977">
            <v>0</v>
          </cell>
          <cell r="G2977">
            <v>0.74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-9.1999999999999998E-2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 t="b">
            <v>1</v>
          </cell>
        </row>
        <row r="2978">
          <cell r="A2978" t="str">
            <v>Data split-4;Reg-52</v>
          </cell>
          <cell r="B2978">
            <v>-1.2</v>
          </cell>
          <cell r="C2978">
            <v>0</v>
          </cell>
          <cell r="D2978">
            <v>0.51</v>
          </cell>
          <cell r="E2978">
            <v>1.9</v>
          </cell>
          <cell r="F2978">
            <v>0</v>
          </cell>
          <cell r="G2978">
            <v>0.76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0</v>
          </cell>
          <cell r="M2978">
            <v>0</v>
          </cell>
          <cell r="N2978">
            <v>-1.9E-2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 t="b">
            <v>1</v>
          </cell>
        </row>
        <row r="2979">
          <cell r="A2979" t="str">
            <v>Data split-4;Reg-53</v>
          </cell>
          <cell r="B2979">
            <v>-1.3</v>
          </cell>
          <cell r="C2979">
            <v>0</v>
          </cell>
          <cell r="D2979">
            <v>0.38</v>
          </cell>
          <cell r="E2979">
            <v>0.89</v>
          </cell>
          <cell r="F2979">
            <v>0</v>
          </cell>
          <cell r="G2979">
            <v>0</v>
          </cell>
          <cell r="H2979">
            <v>2.6</v>
          </cell>
          <cell r="I2979">
            <v>0</v>
          </cell>
          <cell r="J2979">
            <v>0</v>
          </cell>
          <cell r="K2979">
            <v>0</v>
          </cell>
          <cell r="L2979">
            <v>0</v>
          </cell>
          <cell r="M2979">
            <v>-9.9000000000000005E-2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 t="b">
            <v>1</v>
          </cell>
        </row>
        <row r="2980">
          <cell r="A2980" t="str">
            <v>Data split-4;Reg-54</v>
          </cell>
          <cell r="B2980">
            <v>-1.2</v>
          </cell>
          <cell r="C2980">
            <v>0</v>
          </cell>
          <cell r="D2980">
            <v>0.38</v>
          </cell>
          <cell r="E2980">
            <v>1.1000000000000001</v>
          </cell>
          <cell r="F2980">
            <v>0</v>
          </cell>
          <cell r="G2980">
            <v>0</v>
          </cell>
          <cell r="H2980">
            <v>2.2999999999999998</v>
          </cell>
          <cell r="I2980">
            <v>0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-1.7999999999999999E-2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 t="b">
            <v>1</v>
          </cell>
        </row>
        <row r="2981">
          <cell r="A2981" t="str">
            <v>Data split-4;Reg-55</v>
          </cell>
          <cell r="B2981">
            <v>-2</v>
          </cell>
          <cell r="C2981">
            <v>0</v>
          </cell>
          <cell r="D2981">
            <v>1.1000000000000001</v>
          </cell>
          <cell r="E2981">
            <v>0</v>
          </cell>
          <cell r="F2981">
            <v>0.1</v>
          </cell>
          <cell r="G2981">
            <v>1.4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0</v>
          </cell>
          <cell r="M2981">
            <v>-6.7000000000000004E-2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 t="b">
            <v>1</v>
          </cell>
        </row>
        <row r="2982">
          <cell r="A2982" t="str">
            <v>Data split-4;Reg-56</v>
          </cell>
          <cell r="B2982">
            <v>-2</v>
          </cell>
          <cell r="C2982">
            <v>0</v>
          </cell>
          <cell r="D2982">
            <v>1.1000000000000001</v>
          </cell>
          <cell r="E2982">
            <v>0</v>
          </cell>
          <cell r="F2982">
            <v>0.11</v>
          </cell>
          <cell r="G2982">
            <v>1.4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-1.0999999999999999E-2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 t="b">
            <v>1</v>
          </cell>
        </row>
        <row r="2983">
          <cell r="A2983" t="str">
            <v>Data split-4;Reg-57</v>
          </cell>
          <cell r="B2983">
            <v>-1.5</v>
          </cell>
          <cell r="C2983">
            <v>0</v>
          </cell>
          <cell r="D2983">
            <v>0.51</v>
          </cell>
          <cell r="E2983">
            <v>0</v>
          </cell>
          <cell r="F2983">
            <v>3.5999999999999997E-2</v>
          </cell>
          <cell r="G2983">
            <v>0</v>
          </cell>
          <cell r="H2983">
            <v>3.4</v>
          </cell>
          <cell r="I2983">
            <v>0</v>
          </cell>
          <cell r="J2983">
            <v>0</v>
          </cell>
          <cell r="K2983">
            <v>0</v>
          </cell>
          <cell r="L2983">
            <v>0</v>
          </cell>
          <cell r="M2983">
            <v>-9.5000000000000001E-2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 t="b">
            <v>1</v>
          </cell>
        </row>
        <row r="2984">
          <cell r="A2984" t="str">
            <v>Data split-4;Reg-58</v>
          </cell>
          <cell r="B2984">
            <v>-1.5</v>
          </cell>
          <cell r="C2984">
            <v>0</v>
          </cell>
          <cell r="D2984">
            <v>0.53</v>
          </cell>
          <cell r="E2984">
            <v>0</v>
          </cell>
          <cell r="F2984">
            <v>4.7E-2</v>
          </cell>
          <cell r="G2984">
            <v>0</v>
          </cell>
          <cell r="H2984">
            <v>3.3</v>
          </cell>
          <cell r="I2984">
            <v>0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-1.6E-2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 t="b">
            <v>1</v>
          </cell>
        </row>
        <row r="2985">
          <cell r="A2985" t="str">
            <v>Data split-4;Reg-59</v>
          </cell>
          <cell r="B2985">
            <v>-2.2999999999999998</v>
          </cell>
          <cell r="C2985">
            <v>0</v>
          </cell>
          <cell r="D2985">
            <v>0.39</v>
          </cell>
          <cell r="E2985">
            <v>1.6</v>
          </cell>
          <cell r="F2985">
            <v>0</v>
          </cell>
          <cell r="G2985">
            <v>0.81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-5.0999999999999997E-2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 t="b">
            <v>1</v>
          </cell>
        </row>
        <row r="2986">
          <cell r="A2986" t="str">
            <v>Data split-4;Reg-60</v>
          </cell>
          <cell r="B2986">
            <v>-2.2000000000000002</v>
          </cell>
          <cell r="C2986">
            <v>0</v>
          </cell>
          <cell r="D2986">
            <v>0.41</v>
          </cell>
          <cell r="E2986">
            <v>1.6</v>
          </cell>
          <cell r="F2986">
            <v>0</v>
          </cell>
          <cell r="G2986">
            <v>0.72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-7.3000000000000001E-3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 t="b">
            <v>1</v>
          </cell>
        </row>
        <row r="2987">
          <cell r="A2987" t="str">
            <v>Data split-4;Reg-61</v>
          </cell>
          <cell r="B2987">
            <v>-2.2999999999999998</v>
          </cell>
          <cell r="C2987">
            <v>0</v>
          </cell>
          <cell r="D2987">
            <v>0.24</v>
          </cell>
          <cell r="E2987">
            <v>0.65</v>
          </cell>
          <cell r="F2987">
            <v>0</v>
          </cell>
          <cell r="G2987">
            <v>0</v>
          </cell>
          <cell r="H2987">
            <v>2.6</v>
          </cell>
          <cell r="I2987">
            <v>0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-5.3999999999999999E-2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 t="b">
            <v>1</v>
          </cell>
        </row>
        <row r="2988">
          <cell r="A2988" t="str">
            <v>Data split-4;Reg-62</v>
          </cell>
          <cell r="B2988">
            <v>-2.2000000000000002</v>
          </cell>
          <cell r="C2988">
            <v>0</v>
          </cell>
          <cell r="D2988">
            <v>0.28000000000000003</v>
          </cell>
          <cell r="E2988">
            <v>0.76</v>
          </cell>
          <cell r="F2988">
            <v>0</v>
          </cell>
          <cell r="G2988">
            <v>0</v>
          </cell>
          <cell r="H2988">
            <v>2.2999999999999998</v>
          </cell>
          <cell r="I2988">
            <v>0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-6.8999999999999999E-3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 t="b">
            <v>1</v>
          </cell>
        </row>
        <row r="2989">
          <cell r="A2989" t="str">
            <v>Data split-4;Reg-63</v>
          </cell>
          <cell r="B2989">
            <v>-2.7</v>
          </cell>
          <cell r="C2989">
            <v>0</v>
          </cell>
          <cell r="D2989">
            <v>0.9</v>
          </cell>
          <cell r="E2989">
            <v>0</v>
          </cell>
          <cell r="F2989">
            <v>0.12</v>
          </cell>
          <cell r="G2989">
            <v>1.5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-5.7000000000000002E-2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 t="b">
            <v>1</v>
          </cell>
        </row>
        <row r="2990">
          <cell r="A2990" t="str">
            <v>Data split-4;Reg-64</v>
          </cell>
          <cell r="B2990">
            <v>-2.7</v>
          </cell>
          <cell r="C2990">
            <v>0</v>
          </cell>
          <cell r="D2990">
            <v>0.92</v>
          </cell>
          <cell r="E2990">
            <v>0</v>
          </cell>
          <cell r="F2990">
            <v>0.12</v>
          </cell>
          <cell r="G2990">
            <v>1.4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-9.1999999999999998E-3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 t="b">
            <v>1</v>
          </cell>
        </row>
        <row r="2991">
          <cell r="A2991" t="str">
            <v>Data split-4;Reg-65</v>
          </cell>
          <cell r="B2991">
            <v>-2.2999999999999998</v>
          </cell>
          <cell r="C2991">
            <v>0</v>
          </cell>
          <cell r="D2991">
            <v>0.32</v>
          </cell>
          <cell r="E2991">
            <v>0</v>
          </cell>
          <cell r="F2991">
            <v>0.06</v>
          </cell>
          <cell r="G2991">
            <v>0</v>
          </cell>
          <cell r="H2991">
            <v>3.2</v>
          </cell>
          <cell r="I2991">
            <v>0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-5.8999999999999997E-2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 t="b">
            <v>1</v>
          </cell>
        </row>
        <row r="2992">
          <cell r="A2992" t="str">
            <v>Data split-4;Reg-66</v>
          </cell>
          <cell r="B2992">
            <v>-2.2000000000000002</v>
          </cell>
          <cell r="C2992">
            <v>0</v>
          </cell>
          <cell r="D2992">
            <v>0.38</v>
          </cell>
          <cell r="E2992">
            <v>0</v>
          </cell>
          <cell r="F2992">
            <v>6.3E-2</v>
          </cell>
          <cell r="G2992">
            <v>0</v>
          </cell>
          <cell r="H2992">
            <v>3</v>
          </cell>
          <cell r="I2992">
            <v>0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-8.0000000000000002E-3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 t="b">
            <v>1</v>
          </cell>
        </row>
        <row r="2993">
          <cell r="A2993" t="str">
            <v>Data split-4;Reg-67</v>
          </cell>
          <cell r="B2993">
            <v>-4.9000000000000004</v>
          </cell>
          <cell r="C2993">
            <v>1.3</v>
          </cell>
          <cell r="D2993">
            <v>0</v>
          </cell>
          <cell r="E2993">
            <v>0</v>
          </cell>
          <cell r="F2993">
            <v>0</v>
          </cell>
          <cell r="G2993">
            <v>1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 t="b">
            <v>1</v>
          </cell>
        </row>
        <row r="2994">
          <cell r="A2994" t="str">
            <v>Data split-4;Reg-68</v>
          </cell>
          <cell r="B2994">
            <v>-4.2</v>
          </cell>
          <cell r="C2994">
            <v>1.2</v>
          </cell>
          <cell r="D2994">
            <v>0</v>
          </cell>
          <cell r="E2994">
            <v>0</v>
          </cell>
          <cell r="F2994">
            <v>8.5000000000000006E-2</v>
          </cell>
          <cell r="G2994">
            <v>0.96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 t="b">
            <v>1</v>
          </cell>
        </row>
        <row r="2995">
          <cell r="A2995" t="str">
            <v>Data split-4;Reg-69</v>
          </cell>
          <cell r="B2995">
            <v>-4.5</v>
          </cell>
          <cell r="C2995">
            <v>1.2</v>
          </cell>
          <cell r="D2995">
            <v>0</v>
          </cell>
          <cell r="E2995">
            <v>0</v>
          </cell>
          <cell r="F2995">
            <v>0</v>
          </cell>
          <cell r="G2995">
            <v>1.1000000000000001</v>
          </cell>
          <cell r="H2995">
            <v>0</v>
          </cell>
          <cell r="I2995">
            <v>0</v>
          </cell>
          <cell r="J2995">
            <v>-1.4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 t="b">
            <v>1</v>
          </cell>
        </row>
        <row r="2996">
          <cell r="A2996" t="str">
            <v>Data split-4;Reg-70</v>
          </cell>
          <cell r="B2996">
            <v>-4.4000000000000004</v>
          </cell>
          <cell r="C2996">
            <v>1.3</v>
          </cell>
          <cell r="D2996">
            <v>0</v>
          </cell>
          <cell r="E2996">
            <v>0</v>
          </cell>
          <cell r="F2996">
            <v>0</v>
          </cell>
          <cell r="G2996">
            <v>1.4</v>
          </cell>
          <cell r="H2996">
            <v>0</v>
          </cell>
          <cell r="I2996">
            <v>0</v>
          </cell>
          <cell r="J2996">
            <v>-2.2999999999999998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-4.3999999999999997E-2</v>
          </cell>
          <cell r="T2996">
            <v>0</v>
          </cell>
          <cell r="U2996" t="b">
            <v>1</v>
          </cell>
        </row>
        <row r="2997">
          <cell r="A2997" t="str">
            <v>Data split-4;Reg-71</v>
          </cell>
          <cell r="B2997">
            <v>-1.4</v>
          </cell>
          <cell r="C2997">
            <v>0.31</v>
          </cell>
          <cell r="D2997">
            <v>0</v>
          </cell>
          <cell r="E2997">
            <v>0</v>
          </cell>
          <cell r="F2997">
            <v>0.04</v>
          </cell>
          <cell r="G2997">
            <v>0</v>
          </cell>
          <cell r="H2997">
            <v>4.0999999999999996</v>
          </cell>
          <cell r="I2997">
            <v>0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-0.12</v>
          </cell>
          <cell r="T2997">
            <v>0</v>
          </cell>
          <cell r="U2997" t="b">
            <v>1</v>
          </cell>
        </row>
        <row r="2998">
          <cell r="A2998" t="str">
            <v>Data split-4;Reg-72</v>
          </cell>
          <cell r="B2998">
            <v>-2.4</v>
          </cell>
          <cell r="C2998">
            <v>0.59</v>
          </cell>
          <cell r="D2998">
            <v>0</v>
          </cell>
          <cell r="E2998">
            <v>1.8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 t="b">
            <v>1</v>
          </cell>
        </row>
        <row r="2999">
          <cell r="A2999" t="str">
            <v>Data split-4;Reg-73</v>
          </cell>
          <cell r="B2999">
            <v>-3.8</v>
          </cell>
          <cell r="C2999">
            <v>1.7</v>
          </cell>
          <cell r="D2999">
            <v>0</v>
          </cell>
          <cell r="E2999">
            <v>0</v>
          </cell>
          <cell r="F2999">
            <v>0.15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 t="b">
            <v>1</v>
          </cell>
        </row>
        <row r="3000">
          <cell r="A3000" t="str">
            <v>Data split-4;Reg-74</v>
          </cell>
          <cell r="B3000">
            <v>-1.1000000000000001</v>
          </cell>
          <cell r="C3000">
            <v>0</v>
          </cell>
          <cell r="D3000">
            <v>0.35</v>
          </cell>
          <cell r="E3000">
            <v>2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 t="b">
            <v>1</v>
          </cell>
        </row>
        <row r="3001">
          <cell r="A3001" t="str">
            <v>Data split-4;Reg-75</v>
          </cell>
          <cell r="B3001">
            <v>-0.64</v>
          </cell>
          <cell r="C3001">
            <v>0</v>
          </cell>
          <cell r="D3001">
            <v>1.5</v>
          </cell>
          <cell r="E3001">
            <v>0</v>
          </cell>
          <cell r="F3001">
            <v>0.19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 t="b">
            <v>1</v>
          </cell>
        </row>
        <row r="3002">
          <cell r="A3002" t="str">
            <v>Data split-4;Reg-76</v>
          </cell>
          <cell r="B3002">
            <v>-4.9000000000000004</v>
          </cell>
          <cell r="C3002">
            <v>1.3</v>
          </cell>
          <cell r="D3002">
            <v>0</v>
          </cell>
          <cell r="E3002">
            <v>0</v>
          </cell>
          <cell r="F3002">
            <v>0</v>
          </cell>
          <cell r="G3002">
            <v>1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 t="b">
            <v>1</v>
          </cell>
        </row>
        <row r="3003">
          <cell r="A3003" t="str">
            <v>Data split-4;Reg-77</v>
          </cell>
          <cell r="B3003">
            <v>-3.5</v>
          </cell>
          <cell r="C3003">
            <v>0.72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2.2999999999999998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 t="b">
            <v>1</v>
          </cell>
        </row>
        <row r="3004">
          <cell r="A3004" t="str">
            <v>Data split-4;Reg-78</v>
          </cell>
          <cell r="B3004">
            <v>-2.8</v>
          </cell>
          <cell r="C3004">
            <v>0</v>
          </cell>
          <cell r="D3004">
            <v>1</v>
          </cell>
          <cell r="E3004">
            <v>0</v>
          </cell>
          <cell r="F3004">
            <v>0</v>
          </cell>
          <cell r="G3004">
            <v>1.2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 t="b">
            <v>1</v>
          </cell>
        </row>
        <row r="3005">
          <cell r="A3005" t="str">
            <v>Data split-4;Reg-79</v>
          </cell>
          <cell r="B3005">
            <v>-2.1</v>
          </cell>
          <cell r="C3005">
            <v>0</v>
          </cell>
          <cell r="D3005">
            <v>0.48</v>
          </cell>
          <cell r="E3005">
            <v>0</v>
          </cell>
          <cell r="F3005">
            <v>0</v>
          </cell>
          <cell r="G3005">
            <v>0</v>
          </cell>
          <cell r="H3005">
            <v>2.6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 t="b">
            <v>1</v>
          </cell>
        </row>
        <row r="3006">
          <cell r="A3006" t="str">
            <v>Data split-4;Reg-80</v>
          </cell>
          <cell r="B3006">
            <v>-6</v>
          </cell>
          <cell r="C3006">
            <v>1.7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1.4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 t="b">
            <v>0</v>
          </cell>
        </row>
        <row r="3007">
          <cell r="A3007" t="str">
            <v>Data split-4;Reg-81</v>
          </cell>
          <cell r="B3007">
            <v>-8</v>
          </cell>
          <cell r="C3007">
            <v>1.8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10.8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 t="b">
            <v>0</v>
          </cell>
        </row>
        <row r="3008">
          <cell r="A3008" t="str">
            <v>Data split-4;Reg-82</v>
          </cell>
          <cell r="B3008">
            <v>-3.7</v>
          </cell>
          <cell r="C3008">
            <v>0</v>
          </cell>
          <cell r="D3008">
            <v>1.5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1.8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 t="b">
            <v>0</v>
          </cell>
        </row>
        <row r="3009">
          <cell r="A3009" t="str">
            <v>Data split-4;Reg-83</v>
          </cell>
          <cell r="B3009">
            <v>-7.6</v>
          </cell>
          <cell r="C3009">
            <v>0</v>
          </cell>
          <cell r="D3009">
            <v>1.6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0</v>
          </cell>
          <cell r="J3009">
            <v>18.899999999999999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 t="b">
            <v>0</v>
          </cell>
        </row>
        <row r="3010">
          <cell r="A3010" t="str">
            <v>Data split-4;Reg-84</v>
          </cell>
          <cell r="B3010">
            <v>-6</v>
          </cell>
          <cell r="C3010">
            <v>1.9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0.26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 t="b">
            <v>0</v>
          </cell>
        </row>
        <row r="3011">
          <cell r="A3011" t="str">
            <v>Data split-4;Reg-85</v>
          </cell>
          <cell r="B3011">
            <v>-5.0999999999999996</v>
          </cell>
          <cell r="C3011">
            <v>2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-5.5E-2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 t="b">
            <v>1</v>
          </cell>
        </row>
        <row r="3012">
          <cell r="A3012" t="str">
            <v>Data split-4;Reg-86</v>
          </cell>
          <cell r="B3012">
            <v>-3.5</v>
          </cell>
          <cell r="C3012">
            <v>0</v>
          </cell>
          <cell r="D3012">
            <v>1.7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0</v>
          </cell>
          <cell r="J3012">
            <v>0</v>
          </cell>
          <cell r="K3012">
            <v>0.5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 t="b">
            <v>0</v>
          </cell>
        </row>
        <row r="3013">
          <cell r="A3013" t="str">
            <v>Data split-4;Reg-87</v>
          </cell>
          <cell r="B3013">
            <v>-4.5</v>
          </cell>
          <cell r="C3013">
            <v>0</v>
          </cell>
          <cell r="D3013">
            <v>1.8</v>
          </cell>
          <cell r="E3013">
            <v>0</v>
          </cell>
          <cell r="F3013">
            <v>0</v>
          </cell>
          <cell r="G3013">
            <v>0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3.4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 t="b">
            <v>0</v>
          </cell>
        </row>
        <row r="3014">
          <cell r="A3014" t="str">
            <v>Data split-4;Reg-88</v>
          </cell>
          <cell r="B3014">
            <v>-5.0999999999999996</v>
          </cell>
          <cell r="C3014">
            <v>1.8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1.9E-2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 t="b">
            <v>0</v>
          </cell>
        </row>
        <row r="3015">
          <cell r="A3015" t="str">
            <v>Data split-4;Reg-89</v>
          </cell>
          <cell r="B3015">
            <v>-4.9000000000000004</v>
          </cell>
          <cell r="C3015">
            <v>1.6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9.7999999999999997E-3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 t="b">
            <v>0</v>
          </cell>
        </row>
        <row r="3016">
          <cell r="A3016" t="str">
            <v>Data split-4;Reg-90</v>
          </cell>
          <cell r="B3016">
            <v>-2</v>
          </cell>
          <cell r="C3016">
            <v>0</v>
          </cell>
          <cell r="D3016">
            <v>1.5</v>
          </cell>
          <cell r="E3016">
            <v>0</v>
          </cell>
          <cell r="F3016">
            <v>0</v>
          </cell>
          <cell r="G3016">
            <v>0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4.4999999999999998E-2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 t="b">
            <v>0</v>
          </cell>
        </row>
        <row r="3017">
          <cell r="A3017" t="str">
            <v>Data split-4;Reg-91</v>
          </cell>
          <cell r="B3017">
            <v>-2.2000000000000002</v>
          </cell>
          <cell r="C3017">
            <v>0</v>
          </cell>
          <cell r="D3017">
            <v>1.3</v>
          </cell>
          <cell r="E3017">
            <v>0</v>
          </cell>
          <cell r="F3017">
            <v>0</v>
          </cell>
          <cell r="G3017">
            <v>0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1.4999999999999999E-2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 t="b">
            <v>0</v>
          </cell>
        </row>
        <row r="3018">
          <cell r="A3018" t="str">
            <v>Data split-4;Reg-92</v>
          </cell>
          <cell r="B3018">
            <v>-4.3</v>
          </cell>
          <cell r="C3018">
            <v>1.7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5.8000000000000003E-2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 t="b">
            <v>0</v>
          </cell>
        </row>
        <row r="3019">
          <cell r="A3019" t="str">
            <v>Data split-4;Reg-93</v>
          </cell>
          <cell r="B3019">
            <v>-3.9</v>
          </cell>
          <cell r="C3019">
            <v>1.6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1.4E-2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 t="b">
            <v>0</v>
          </cell>
        </row>
        <row r="3020">
          <cell r="A3020" t="str">
            <v>Data split-4;Reg-94</v>
          </cell>
          <cell r="B3020">
            <v>-1.3</v>
          </cell>
          <cell r="C3020">
            <v>0</v>
          </cell>
          <cell r="D3020">
            <v>1.5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6.6000000000000003E-2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 t="b">
            <v>0</v>
          </cell>
        </row>
        <row r="3021">
          <cell r="A3021" t="str">
            <v>Data split-4;Reg-95</v>
          </cell>
          <cell r="B3021">
            <v>-1.1000000000000001</v>
          </cell>
          <cell r="C3021">
            <v>0</v>
          </cell>
          <cell r="D3021">
            <v>1.4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1.6E-2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 t="b">
            <v>0</v>
          </cell>
        </row>
        <row r="3022">
          <cell r="A3022" t="str">
            <v>Data split-4;Reg-96</v>
          </cell>
          <cell r="B3022">
            <v>-2.2999999999999998</v>
          </cell>
          <cell r="C3022">
            <v>0.59</v>
          </cell>
          <cell r="D3022">
            <v>0</v>
          </cell>
          <cell r="E3022">
            <v>1.8</v>
          </cell>
          <cell r="F3022">
            <v>0</v>
          </cell>
          <cell r="G3022">
            <v>0</v>
          </cell>
          <cell r="H3022">
            <v>0</v>
          </cell>
          <cell r="I3022">
            <v>-3.5999999999999997E-2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 t="b">
            <v>1</v>
          </cell>
        </row>
        <row r="3023">
          <cell r="A3023" t="str">
            <v>Data split-4;Reg-97</v>
          </cell>
          <cell r="B3023">
            <v>-3.3</v>
          </cell>
          <cell r="C3023">
            <v>0.62</v>
          </cell>
          <cell r="D3023">
            <v>0</v>
          </cell>
          <cell r="E3023">
            <v>1.7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2.9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 t="b">
            <v>0</v>
          </cell>
        </row>
        <row r="3024">
          <cell r="A3024" t="str">
            <v>Data split-4;Reg-98</v>
          </cell>
          <cell r="B3024">
            <v>-4.9000000000000004</v>
          </cell>
          <cell r="C3024">
            <v>1.5</v>
          </cell>
          <cell r="D3024">
            <v>0</v>
          </cell>
          <cell r="E3024">
            <v>0</v>
          </cell>
          <cell r="F3024">
            <v>0.11</v>
          </cell>
          <cell r="G3024">
            <v>0</v>
          </cell>
          <cell r="H3024">
            <v>0</v>
          </cell>
          <cell r="I3024">
            <v>1.2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 t="b">
            <v>0</v>
          </cell>
        </row>
        <row r="3025">
          <cell r="A3025" t="str">
            <v>Data split-4;Reg-99</v>
          </cell>
          <cell r="B3025">
            <v>-6.5</v>
          </cell>
          <cell r="C3025">
            <v>1.6</v>
          </cell>
          <cell r="D3025">
            <v>0</v>
          </cell>
          <cell r="E3025">
            <v>0</v>
          </cell>
          <cell r="F3025">
            <v>0.15</v>
          </cell>
          <cell r="G3025">
            <v>0</v>
          </cell>
          <cell r="H3025">
            <v>0</v>
          </cell>
          <cell r="I3025">
            <v>0</v>
          </cell>
          <cell r="J3025">
            <v>9.9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 t="b">
            <v>0</v>
          </cell>
        </row>
        <row r="3026">
          <cell r="A3026" t="str">
            <v>Data split-4;Reg-100</v>
          </cell>
          <cell r="B3026">
            <v>-1</v>
          </cell>
          <cell r="C3026">
            <v>0</v>
          </cell>
          <cell r="D3026">
            <v>0.33</v>
          </cell>
          <cell r="E3026">
            <v>2.1</v>
          </cell>
          <cell r="F3026">
            <v>0</v>
          </cell>
          <cell r="G3026">
            <v>0</v>
          </cell>
          <cell r="H3026">
            <v>0</v>
          </cell>
          <cell r="I3026">
            <v>-9.7000000000000003E-2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 t="b">
            <v>1</v>
          </cell>
        </row>
        <row r="3027">
          <cell r="A3027" t="str">
            <v>Data split-4;Reg-101</v>
          </cell>
          <cell r="B3027">
            <v>-2.7</v>
          </cell>
          <cell r="C3027">
            <v>0</v>
          </cell>
          <cell r="D3027">
            <v>0.45</v>
          </cell>
          <cell r="E3027">
            <v>1.8</v>
          </cell>
          <cell r="F3027">
            <v>0</v>
          </cell>
          <cell r="G3027">
            <v>0</v>
          </cell>
          <cell r="H3027">
            <v>0</v>
          </cell>
          <cell r="I3027">
            <v>0</v>
          </cell>
          <cell r="J3027">
            <v>4.9000000000000004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 t="b">
            <v>0</v>
          </cell>
        </row>
        <row r="3028">
          <cell r="A3028" t="str">
            <v>Data split-4;Reg-102</v>
          </cell>
          <cell r="B3028">
            <v>-2.6</v>
          </cell>
          <cell r="C3028">
            <v>0</v>
          </cell>
          <cell r="D3028">
            <v>1.3</v>
          </cell>
          <cell r="E3028">
            <v>0</v>
          </cell>
          <cell r="F3028">
            <v>0.12</v>
          </cell>
          <cell r="G3028">
            <v>0</v>
          </cell>
          <cell r="H3028">
            <v>0</v>
          </cell>
          <cell r="I3028">
            <v>1.5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 t="b">
            <v>0</v>
          </cell>
        </row>
        <row r="3029">
          <cell r="A3029" t="str">
            <v>Data split-4;Reg-103</v>
          </cell>
          <cell r="B3029">
            <v>-6</v>
          </cell>
          <cell r="C3029">
            <v>0</v>
          </cell>
          <cell r="D3029">
            <v>1.4</v>
          </cell>
          <cell r="E3029">
            <v>0</v>
          </cell>
          <cell r="F3029">
            <v>0.16</v>
          </cell>
          <cell r="G3029">
            <v>0</v>
          </cell>
          <cell r="H3029">
            <v>0</v>
          </cell>
          <cell r="I3029">
            <v>0</v>
          </cell>
          <cell r="J3029">
            <v>16.8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 t="b">
            <v>0</v>
          </cell>
        </row>
        <row r="3030">
          <cell r="A3030" t="str">
            <v>Data split-4;Reg-104</v>
          </cell>
          <cell r="B3030">
            <v>-1.9</v>
          </cell>
          <cell r="C3030">
            <v>0.59</v>
          </cell>
          <cell r="D3030">
            <v>0</v>
          </cell>
          <cell r="E3030">
            <v>1.8</v>
          </cell>
          <cell r="F3030">
            <v>0</v>
          </cell>
          <cell r="G3030">
            <v>0</v>
          </cell>
          <cell r="H3030">
            <v>0</v>
          </cell>
          <cell r="I3030">
            <v>0</v>
          </cell>
          <cell r="J3030">
            <v>0</v>
          </cell>
          <cell r="K3030">
            <v>-0.12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 t="b">
            <v>1</v>
          </cell>
        </row>
        <row r="3031">
          <cell r="A3031" t="str">
            <v>Data split-4;Reg-105</v>
          </cell>
          <cell r="B3031">
            <v>-3.1</v>
          </cell>
          <cell r="C3031">
            <v>0.57999999999999996</v>
          </cell>
          <cell r="D3031">
            <v>0</v>
          </cell>
          <cell r="E3031">
            <v>1.8</v>
          </cell>
          <cell r="F3031">
            <v>0</v>
          </cell>
          <cell r="G3031">
            <v>0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0.96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 t="b">
            <v>0</v>
          </cell>
        </row>
        <row r="3032">
          <cell r="A3032" t="str">
            <v>Data split-4;Reg-106</v>
          </cell>
          <cell r="B3032">
            <v>-4.8</v>
          </cell>
          <cell r="C3032">
            <v>1.6</v>
          </cell>
          <cell r="D3032">
            <v>0</v>
          </cell>
          <cell r="E3032">
            <v>0</v>
          </cell>
          <cell r="F3032">
            <v>0.16</v>
          </cell>
          <cell r="G3032">
            <v>0</v>
          </cell>
          <cell r="H3032">
            <v>0</v>
          </cell>
          <cell r="I3032">
            <v>0</v>
          </cell>
          <cell r="J3032">
            <v>0</v>
          </cell>
          <cell r="K3032">
            <v>0.32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 t="b">
            <v>0</v>
          </cell>
        </row>
        <row r="3033">
          <cell r="A3033" t="str">
            <v>Data split-4;Reg-107</v>
          </cell>
          <cell r="B3033">
            <v>-4.0999999999999996</v>
          </cell>
          <cell r="C3033">
            <v>1.7</v>
          </cell>
          <cell r="D3033">
            <v>0</v>
          </cell>
          <cell r="E3033">
            <v>0</v>
          </cell>
          <cell r="F3033">
            <v>0.16</v>
          </cell>
          <cell r="G3033">
            <v>0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0.53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 t="b">
            <v>0</v>
          </cell>
        </row>
        <row r="3034">
          <cell r="A3034" t="str">
            <v>Data split-4;Reg-108</v>
          </cell>
          <cell r="B3034">
            <v>-0.77</v>
          </cell>
          <cell r="C3034">
            <v>0</v>
          </cell>
          <cell r="D3034">
            <v>0.34</v>
          </cell>
          <cell r="E3034">
            <v>2</v>
          </cell>
          <cell r="F3034">
            <v>0</v>
          </cell>
          <cell r="G3034">
            <v>0</v>
          </cell>
          <cell r="H3034">
            <v>0</v>
          </cell>
          <cell r="I3034">
            <v>0</v>
          </cell>
          <cell r="J3034">
            <v>0</v>
          </cell>
          <cell r="K3034">
            <v>-9.7000000000000003E-2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 t="b">
            <v>1</v>
          </cell>
        </row>
        <row r="3035">
          <cell r="A3035" t="str">
            <v>Data split-4;Reg-109</v>
          </cell>
          <cell r="B3035">
            <v>-2.6</v>
          </cell>
          <cell r="C3035">
            <v>0</v>
          </cell>
          <cell r="D3035">
            <v>0.38</v>
          </cell>
          <cell r="E3035">
            <v>2</v>
          </cell>
          <cell r="F3035">
            <v>0</v>
          </cell>
          <cell r="G3035">
            <v>0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1.8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 t="b">
            <v>0</v>
          </cell>
        </row>
        <row r="3036">
          <cell r="A3036" t="str">
            <v>Data split-4;Reg-110</v>
          </cell>
          <cell r="B3036">
            <v>-2.5</v>
          </cell>
          <cell r="C3036">
            <v>0</v>
          </cell>
          <cell r="D3036">
            <v>1.4</v>
          </cell>
          <cell r="E3036">
            <v>0</v>
          </cell>
          <cell r="F3036">
            <v>0.19</v>
          </cell>
          <cell r="G3036">
            <v>0</v>
          </cell>
          <cell r="H3036">
            <v>0</v>
          </cell>
          <cell r="I3036">
            <v>0</v>
          </cell>
          <cell r="J3036">
            <v>0</v>
          </cell>
          <cell r="K3036">
            <v>0.52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 t="b">
            <v>0</v>
          </cell>
        </row>
        <row r="3037">
          <cell r="A3037" t="str">
            <v>Data split-4;Reg-111</v>
          </cell>
          <cell r="B3037">
            <v>-3.5</v>
          </cell>
          <cell r="C3037">
            <v>0</v>
          </cell>
          <cell r="D3037">
            <v>1.5</v>
          </cell>
          <cell r="E3037">
            <v>0</v>
          </cell>
          <cell r="F3037">
            <v>0.19</v>
          </cell>
          <cell r="G3037">
            <v>0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3.5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 t="b">
            <v>0</v>
          </cell>
        </row>
        <row r="3038">
          <cell r="A3038" t="str">
            <v>Data split-4;Reg-112</v>
          </cell>
          <cell r="B3038">
            <v>-4.7</v>
          </cell>
          <cell r="C3038">
            <v>1.2</v>
          </cell>
          <cell r="D3038">
            <v>0</v>
          </cell>
          <cell r="E3038">
            <v>0</v>
          </cell>
          <cell r="F3038">
            <v>0</v>
          </cell>
          <cell r="G3038">
            <v>1.2</v>
          </cell>
          <cell r="H3038">
            <v>0</v>
          </cell>
          <cell r="I3038">
            <v>-0.31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 t="b">
            <v>1</v>
          </cell>
        </row>
        <row r="3039">
          <cell r="A3039" t="str">
            <v>Data split-4;Reg-113</v>
          </cell>
          <cell r="B3039">
            <v>-4.5</v>
          </cell>
          <cell r="C3039">
            <v>1.2</v>
          </cell>
          <cell r="D3039">
            <v>0</v>
          </cell>
          <cell r="E3039">
            <v>0</v>
          </cell>
          <cell r="F3039">
            <v>0</v>
          </cell>
          <cell r="G3039">
            <v>1.1000000000000001</v>
          </cell>
          <cell r="H3039">
            <v>0</v>
          </cell>
          <cell r="I3039">
            <v>0</v>
          </cell>
          <cell r="J3039">
            <v>-1.4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 t="b">
            <v>1</v>
          </cell>
        </row>
        <row r="3040">
          <cell r="A3040" t="str">
            <v>Data split-4;Reg-114</v>
          </cell>
          <cell r="B3040">
            <v>-2.8</v>
          </cell>
          <cell r="C3040">
            <v>0.62</v>
          </cell>
          <cell r="D3040">
            <v>0</v>
          </cell>
          <cell r="E3040">
            <v>0</v>
          </cell>
          <cell r="F3040">
            <v>0</v>
          </cell>
          <cell r="G3040">
            <v>0</v>
          </cell>
          <cell r="H3040">
            <v>2.7</v>
          </cell>
          <cell r="I3040">
            <v>-0.64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 t="b">
            <v>1</v>
          </cell>
        </row>
        <row r="3041">
          <cell r="A3041" t="str">
            <v>Data split-4;Reg-115</v>
          </cell>
          <cell r="B3041">
            <v>-3.6</v>
          </cell>
          <cell r="C3041">
            <v>0.72</v>
          </cell>
          <cell r="D3041">
            <v>0</v>
          </cell>
          <cell r="E3041">
            <v>0</v>
          </cell>
          <cell r="F3041">
            <v>0</v>
          </cell>
          <cell r="G3041">
            <v>0</v>
          </cell>
          <cell r="H3041">
            <v>2.2999999999999998</v>
          </cell>
          <cell r="I3041">
            <v>0</v>
          </cell>
          <cell r="J3041">
            <v>0.3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 t="b">
            <v>0</v>
          </cell>
        </row>
        <row r="3042">
          <cell r="A3042" t="str">
            <v>Data split-4;Reg-116</v>
          </cell>
          <cell r="B3042">
            <v>-2.8</v>
          </cell>
          <cell r="C3042">
            <v>0</v>
          </cell>
          <cell r="D3042">
            <v>1</v>
          </cell>
          <cell r="E3042">
            <v>0</v>
          </cell>
          <cell r="F3042">
            <v>0</v>
          </cell>
          <cell r="G3042">
            <v>1.2</v>
          </cell>
          <cell r="H3042">
            <v>0</v>
          </cell>
          <cell r="I3042">
            <v>-3.5999999999999999E-3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 t="b">
            <v>1</v>
          </cell>
        </row>
        <row r="3043">
          <cell r="A3043" t="str">
            <v>Data split-4;Reg-117</v>
          </cell>
          <cell r="B3043">
            <v>-4.2</v>
          </cell>
          <cell r="C3043">
            <v>0</v>
          </cell>
          <cell r="D3043">
            <v>1.1000000000000001</v>
          </cell>
          <cell r="E3043">
            <v>0</v>
          </cell>
          <cell r="F3043">
            <v>0</v>
          </cell>
          <cell r="G3043">
            <v>1</v>
          </cell>
          <cell r="H3043">
            <v>0</v>
          </cell>
          <cell r="I3043">
            <v>0</v>
          </cell>
          <cell r="J3043">
            <v>5.2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 t="b">
            <v>0</v>
          </cell>
        </row>
        <row r="3044">
          <cell r="A3044" t="str">
            <v>Data split-4;Reg-118</v>
          </cell>
          <cell r="B3044">
            <v>-1.5</v>
          </cell>
          <cell r="C3044">
            <v>0</v>
          </cell>
          <cell r="D3044">
            <v>0.35</v>
          </cell>
          <cell r="E3044">
            <v>0</v>
          </cell>
          <cell r="F3044">
            <v>0</v>
          </cell>
          <cell r="G3044">
            <v>0</v>
          </cell>
          <cell r="H3044">
            <v>3.1</v>
          </cell>
          <cell r="I3044">
            <v>-0.73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 t="b">
            <v>1</v>
          </cell>
        </row>
        <row r="3045">
          <cell r="A3045" t="str">
            <v>Data split-4;Reg-119</v>
          </cell>
          <cell r="B3045">
            <v>-3</v>
          </cell>
          <cell r="C3045">
            <v>0</v>
          </cell>
          <cell r="D3045">
            <v>0.53</v>
          </cell>
          <cell r="E3045">
            <v>0</v>
          </cell>
          <cell r="F3045">
            <v>0</v>
          </cell>
          <cell r="G3045">
            <v>0</v>
          </cell>
          <cell r="H3045">
            <v>2.4</v>
          </cell>
          <cell r="I3045">
            <v>0</v>
          </cell>
          <cell r="J3045">
            <v>2.8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 t="b">
            <v>0</v>
          </cell>
        </row>
        <row r="3046">
          <cell r="A3046" t="str">
            <v>Data split-4;Reg-120</v>
          </cell>
          <cell r="B3046">
            <v>-2.9</v>
          </cell>
          <cell r="C3046">
            <v>1.2</v>
          </cell>
          <cell r="D3046">
            <v>0</v>
          </cell>
          <cell r="E3046">
            <v>0</v>
          </cell>
          <cell r="F3046">
            <v>0</v>
          </cell>
          <cell r="G3046">
            <v>1.2</v>
          </cell>
          <cell r="H3046">
            <v>0</v>
          </cell>
          <cell r="I3046">
            <v>0</v>
          </cell>
          <cell r="J3046">
            <v>0</v>
          </cell>
          <cell r="K3046">
            <v>-0.6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 t="b">
            <v>1</v>
          </cell>
        </row>
        <row r="3047">
          <cell r="A3047" t="str">
            <v>Data split-4;Reg-121</v>
          </cell>
          <cell r="B3047">
            <v>-3.7</v>
          </cell>
          <cell r="C3047">
            <v>1.2</v>
          </cell>
          <cell r="D3047">
            <v>0</v>
          </cell>
          <cell r="E3047">
            <v>0</v>
          </cell>
          <cell r="F3047">
            <v>0</v>
          </cell>
          <cell r="G3047">
            <v>1.1000000000000001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-1.6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 t="b">
            <v>1</v>
          </cell>
        </row>
        <row r="3048">
          <cell r="A3048" t="str">
            <v>Data split-4;Reg-122</v>
          </cell>
          <cell r="B3048">
            <v>-2.2999999999999998</v>
          </cell>
          <cell r="C3048">
            <v>0.71</v>
          </cell>
          <cell r="D3048">
            <v>0</v>
          </cell>
          <cell r="E3048">
            <v>0</v>
          </cell>
          <cell r="F3048">
            <v>0</v>
          </cell>
          <cell r="G3048">
            <v>0</v>
          </cell>
          <cell r="H3048">
            <v>2.4</v>
          </cell>
          <cell r="I3048">
            <v>0</v>
          </cell>
          <cell r="J3048">
            <v>0</v>
          </cell>
          <cell r="K3048">
            <v>-0.36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 t="b">
            <v>1</v>
          </cell>
        </row>
        <row r="3049">
          <cell r="A3049" t="str">
            <v>Data split-4;Reg-123</v>
          </cell>
          <cell r="B3049">
            <v>-3.6</v>
          </cell>
          <cell r="C3049">
            <v>0.72</v>
          </cell>
          <cell r="D3049">
            <v>0</v>
          </cell>
          <cell r="E3049">
            <v>0</v>
          </cell>
          <cell r="F3049">
            <v>0</v>
          </cell>
          <cell r="G3049">
            <v>0</v>
          </cell>
          <cell r="H3049">
            <v>2.2999999999999998</v>
          </cell>
          <cell r="I3049">
            <v>0</v>
          </cell>
          <cell r="J3049">
            <v>0</v>
          </cell>
          <cell r="K3049">
            <v>0</v>
          </cell>
          <cell r="L3049">
            <v>0.12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 t="b">
            <v>0</v>
          </cell>
        </row>
        <row r="3050">
          <cell r="A3050" t="str">
            <v>Data split-4;Reg-124</v>
          </cell>
          <cell r="B3050">
            <v>-1.1000000000000001</v>
          </cell>
          <cell r="C3050">
            <v>0</v>
          </cell>
          <cell r="D3050">
            <v>1</v>
          </cell>
          <cell r="E3050">
            <v>0</v>
          </cell>
          <cell r="F3050">
            <v>0</v>
          </cell>
          <cell r="G3050">
            <v>1.3</v>
          </cell>
          <cell r="H3050">
            <v>0</v>
          </cell>
          <cell r="I3050">
            <v>0</v>
          </cell>
          <cell r="J3050">
            <v>0</v>
          </cell>
          <cell r="K3050">
            <v>-0.52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 t="b">
            <v>1</v>
          </cell>
        </row>
        <row r="3051">
          <cell r="A3051" t="str">
            <v>Data split-4;Reg-125</v>
          </cell>
          <cell r="B3051">
            <v>-3</v>
          </cell>
          <cell r="C3051">
            <v>0</v>
          </cell>
          <cell r="D3051">
            <v>1</v>
          </cell>
          <cell r="E3051">
            <v>0</v>
          </cell>
          <cell r="F3051">
            <v>0</v>
          </cell>
          <cell r="G3051">
            <v>1.2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0.28999999999999998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 t="b">
            <v>0</v>
          </cell>
        </row>
        <row r="3052">
          <cell r="A3052" t="str">
            <v>Data split-4;Reg-126</v>
          </cell>
          <cell r="B3052">
            <v>-0.98</v>
          </cell>
          <cell r="C3052">
            <v>0</v>
          </cell>
          <cell r="D3052">
            <v>0.46</v>
          </cell>
          <cell r="E3052">
            <v>0</v>
          </cell>
          <cell r="F3052">
            <v>0</v>
          </cell>
          <cell r="G3052">
            <v>0</v>
          </cell>
          <cell r="H3052">
            <v>2.7</v>
          </cell>
          <cell r="I3052">
            <v>0</v>
          </cell>
          <cell r="J3052">
            <v>0</v>
          </cell>
          <cell r="K3052">
            <v>-0.34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 t="b">
            <v>1</v>
          </cell>
        </row>
        <row r="3053">
          <cell r="A3053" t="str">
            <v>Data split-4;Reg-127</v>
          </cell>
          <cell r="B3053">
            <v>-3.1</v>
          </cell>
          <cell r="C3053">
            <v>0</v>
          </cell>
          <cell r="D3053">
            <v>0.5</v>
          </cell>
          <cell r="E3053">
            <v>0</v>
          </cell>
          <cell r="F3053">
            <v>0</v>
          </cell>
          <cell r="G3053">
            <v>0</v>
          </cell>
          <cell r="H3053">
            <v>2.5</v>
          </cell>
          <cell r="I3053">
            <v>0</v>
          </cell>
          <cell r="J3053">
            <v>0</v>
          </cell>
          <cell r="K3053">
            <v>0</v>
          </cell>
          <cell r="L3053">
            <v>1.2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 t="b">
            <v>0</v>
          </cell>
        </row>
        <row r="3054">
          <cell r="A3054" t="str">
            <v>Data split-5;Reg-1</v>
          </cell>
          <cell r="B3054">
            <v>-8</v>
          </cell>
          <cell r="C3054">
            <v>2</v>
          </cell>
          <cell r="D3054">
            <v>0</v>
          </cell>
          <cell r="E3054">
            <v>0</v>
          </cell>
          <cell r="F3054">
            <v>0.22</v>
          </cell>
          <cell r="G3054">
            <v>0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2.4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 t="b">
            <v>0</v>
          </cell>
        </row>
        <row r="3055">
          <cell r="A3055" t="str">
            <v>Data split-5;Reg-2</v>
          </cell>
          <cell r="B3055">
            <v>-6.2</v>
          </cell>
          <cell r="C3055">
            <v>1.8</v>
          </cell>
          <cell r="D3055">
            <v>0</v>
          </cell>
          <cell r="E3055">
            <v>0</v>
          </cell>
          <cell r="F3055">
            <v>0.13</v>
          </cell>
          <cell r="G3055">
            <v>1.5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0</v>
          </cell>
          <cell r="M3055">
            <v>-0.16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 t="b">
            <v>1</v>
          </cell>
        </row>
        <row r="3056">
          <cell r="A3056" t="str">
            <v>Data split-5;Reg-3</v>
          </cell>
          <cell r="B3056">
            <v>-6.1</v>
          </cell>
          <cell r="C3056">
            <v>1.9</v>
          </cell>
          <cell r="D3056">
            <v>0</v>
          </cell>
          <cell r="E3056">
            <v>0</v>
          </cell>
          <cell r="F3056">
            <v>0.14000000000000001</v>
          </cell>
          <cell r="G3056">
            <v>1.6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-0.03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 t="b">
            <v>1</v>
          </cell>
        </row>
        <row r="3057">
          <cell r="A3057" t="str">
            <v>Data split-5;Reg-4</v>
          </cell>
          <cell r="B3057">
            <v>-5.2</v>
          </cell>
          <cell r="C3057">
            <v>1.3</v>
          </cell>
          <cell r="D3057">
            <v>0</v>
          </cell>
          <cell r="E3057">
            <v>0</v>
          </cell>
          <cell r="F3057">
            <v>8.6999999999999994E-2</v>
          </cell>
          <cell r="G3057">
            <v>0</v>
          </cell>
          <cell r="H3057">
            <v>3</v>
          </cell>
          <cell r="I3057">
            <v>0</v>
          </cell>
          <cell r="J3057">
            <v>0</v>
          </cell>
          <cell r="K3057">
            <v>0</v>
          </cell>
          <cell r="L3057">
            <v>0</v>
          </cell>
          <cell r="M3057">
            <v>-0.14000000000000001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 t="b">
            <v>1</v>
          </cell>
        </row>
        <row r="3058">
          <cell r="A3058" t="str">
            <v>Data split-5;Reg-5</v>
          </cell>
          <cell r="B3058">
            <v>-2</v>
          </cell>
          <cell r="C3058">
            <v>0</v>
          </cell>
          <cell r="D3058">
            <v>0.56000000000000005</v>
          </cell>
          <cell r="E3058">
            <v>0</v>
          </cell>
          <cell r="F3058">
            <v>0.11</v>
          </cell>
          <cell r="G3058">
            <v>0</v>
          </cell>
          <cell r="H3058">
            <v>3.8</v>
          </cell>
          <cell r="I3058">
            <v>0</v>
          </cell>
          <cell r="J3058">
            <v>0</v>
          </cell>
          <cell r="K3058">
            <v>0</v>
          </cell>
          <cell r="L3058">
            <v>0</v>
          </cell>
          <cell r="M3058">
            <v>-0.14000000000000001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 t="b">
            <v>1</v>
          </cell>
        </row>
        <row r="3059">
          <cell r="A3059" t="str">
            <v>Data split-5;Reg-6</v>
          </cell>
          <cell r="B3059">
            <v>-7.6</v>
          </cell>
          <cell r="C3059">
            <v>1.5</v>
          </cell>
          <cell r="D3059">
            <v>0</v>
          </cell>
          <cell r="E3059">
            <v>1.7</v>
          </cell>
          <cell r="F3059">
            <v>0</v>
          </cell>
          <cell r="G3059">
            <v>0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1.8</v>
          </cell>
          <cell r="M3059">
            <v>-7.5999999999999998E-2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 t="b">
            <v>0</v>
          </cell>
        </row>
        <row r="3060">
          <cell r="A3060" t="str">
            <v>Data split-5;Reg-7</v>
          </cell>
          <cell r="B3060">
            <v>-9.1999999999999993</v>
          </cell>
          <cell r="C3060">
            <v>1.9</v>
          </cell>
          <cell r="D3060">
            <v>0</v>
          </cell>
          <cell r="E3060">
            <v>0</v>
          </cell>
          <cell r="F3060">
            <v>0.2</v>
          </cell>
          <cell r="G3060">
            <v>0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3.1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0.03</v>
          </cell>
          <cell r="T3060">
            <v>0</v>
          </cell>
          <cell r="U3060" t="b">
            <v>0</v>
          </cell>
        </row>
        <row r="3061">
          <cell r="A3061" t="str">
            <v>Data split-5;Reg-8</v>
          </cell>
          <cell r="B3061">
            <v>-7.8</v>
          </cell>
          <cell r="C3061">
            <v>1.8</v>
          </cell>
          <cell r="D3061">
            <v>0</v>
          </cell>
          <cell r="E3061">
            <v>0</v>
          </cell>
          <cell r="F3061">
            <v>0</v>
          </cell>
          <cell r="G3061">
            <v>1.3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0.72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-7.3999999999999996E-2</v>
          </cell>
          <cell r="T3061">
            <v>0</v>
          </cell>
          <cell r="U3061" t="b">
            <v>0</v>
          </cell>
        </row>
        <row r="3062">
          <cell r="A3062" t="str">
            <v>Data split-5;Reg-9</v>
          </cell>
          <cell r="B3062">
            <v>-4.2</v>
          </cell>
          <cell r="C3062">
            <v>0</v>
          </cell>
          <cell r="D3062">
            <v>0.28000000000000003</v>
          </cell>
          <cell r="E3062">
            <v>0</v>
          </cell>
          <cell r="F3062">
            <v>0</v>
          </cell>
          <cell r="G3062">
            <v>0</v>
          </cell>
          <cell r="H3062">
            <v>5.5</v>
          </cell>
          <cell r="I3062">
            <v>0</v>
          </cell>
          <cell r="J3062">
            <v>0</v>
          </cell>
          <cell r="K3062">
            <v>0</v>
          </cell>
          <cell r="L3062">
            <v>1.1000000000000001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-0.2</v>
          </cell>
          <cell r="T3062">
            <v>0</v>
          </cell>
          <cell r="U3062" t="b">
            <v>0</v>
          </cell>
        </row>
        <row r="3063">
          <cell r="A3063" t="str">
            <v>Data split-5;Reg-10</v>
          </cell>
          <cell r="B3063">
            <v>-4.2</v>
          </cell>
          <cell r="C3063">
            <v>0</v>
          </cell>
          <cell r="D3063">
            <v>0.28000000000000003</v>
          </cell>
          <cell r="E3063">
            <v>0</v>
          </cell>
          <cell r="F3063">
            <v>0</v>
          </cell>
          <cell r="G3063">
            <v>0</v>
          </cell>
          <cell r="H3063">
            <v>5.5</v>
          </cell>
          <cell r="I3063">
            <v>0</v>
          </cell>
          <cell r="J3063">
            <v>0</v>
          </cell>
          <cell r="K3063">
            <v>0</v>
          </cell>
          <cell r="L3063">
            <v>1.1000000000000001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-0.2</v>
          </cell>
          <cell r="T3063">
            <v>0</v>
          </cell>
          <cell r="U3063" t="b">
            <v>0</v>
          </cell>
        </row>
        <row r="3064">
          <cell r="A3064" t="str">
            <v>Data split-5;Reg-11</v>
          </cell>
          <cell r="B3064">
            <v>-7</v>
          </cell>
          <cell r="C3064">
            <v>1.7</v>
          </cell>
          <cell r="D3064">
            <v>0</v>
          </cell>
          <cell r="E3064">
            <v>0.01</v>
          </cell>
          <cell r="F3064">
            <v>0</v>
          </cell>
          <cell r="G3064">
            <v>0.88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 t="b">
            <v>1</v>
          </cell>
        </row>
        <row r="3065">
          <cell r="A3065" t="str">
            <v>Data split-5;Reg-12</v>
          </cell>
          <cell r="B3065">
            <v>-7</v>
          </cell>
          <cell r="C3065">
            <v>1.5</v>
          </cell>
          <cell r="D3065">
            <v>0</v>
          </cell>
          <cell r="E3065">
            <v>-1.8</v>
          </cell>
          <cell r="F3065">
            <v>0</v>
          </cell>
          <cell r="G3065">
            <v>0</v>
          </cell>
          <cell r="H3065">
            <v>3.9</v>
          </cell>
          <cell r="I3065">
            <v>0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 t="b">
            <v>0</v>
          </cell>
        </row>
        <row r="3066">
          <cell r="A3066" t="str">
            <v>Data split-5;Reg-13</v>
          </cell>
          <cell r="B3066">
            <v>-6.2</v>
          </cell>
          <cell r="C3066">
            <v>1.6</v>
          </cell>
          <cell r="D3066">
            <v>0</v>
          </cell>
          <cell r="E3066">
            <v>0</v>
          </cell>
          <cell r="F3066">
            <v>0.14000000000000001</v>
          </cell>
          <cell r="G3066">
            <v>0.76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 t="b">
            <v>1</v>
          </cell>
        </row>
        <row r="3067">
          <cell r="A3067" t="str">
            <v>Data split-5;Reg-14</v>
          </cell>
          <cell r="B3067">
            <v>-5.8</v>
          </cell>
          <cell r="C3067">
            <v>1.2</v>
          </cell>
          <cell r="D3067">
            <v>0</v>
          </cell>
          <cell r="E3067">
            <v>0</v>
          </cell>
          <cell r="F3067">
            <v>0.11</v>
          </cell>
          <cell r="G3067">
            <v>0</v>
          </cell>
          <cell r="H3067">
            <v>1.7</v>
          </cell>
          <cell r="I3067">
            <v>0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 t="b">
            <v>1</v>
          </cell>
        </row>
        <row r="3068">
          <cell r="A3068" t="str">
            <v>Data split-5;Reg-15</v>
          </cell>
          <cell r="B3068">
            <v>-5.4</v>
          </cell>
          <cell r="C3068">
            <v>1.5</v>
          </cell>
          <cell r="D3068">
            <v>0</v>
          </cell>
          <cell r="E3068">
            <v>1.7</v>
          </cell>
          <cell r="F3068">
            <v>0</v>
          </cell>
          <cell r="G3068">
            <v>0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0</v>
          </cell>
          <cell r="M3068">
            <v>-8.2000000000000003E-2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 t="b">
            <v>1</v>
          </cell>
        </row>
        <row r="3069">
          <cell r="A3069" t="str">
            <v>Data split-5;Reg-16</v>
          </cell>
          <cell r="B3069">
            <v>-5.5</v>
          </cell>
          <cell r="C3069">
            <v>1.5</v>
          </cell>
          <cell r="D3069">
            <v>0</v>
          </cell>
          <cell r="E3069">
            <v>1.6</v>
          </cell>
          <cell r="F3069">
            <v>0</v>
          </cell>
          <cell r="G3069">
            <v>0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-0.01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 t="b">
            <v>1</v>
          </cell>
        </row>
        <row r="3070">
          <cell r="A3070" t="str">
            <v>Data split-5;Reg-17</v>
          </cell>
          <cell r="B3070">
            <v>-5</v>
          </cell>
          <cell r="C3070">
            <v>2.1</v>
          </cell>
          <cell r="D3070">
            <v>0</v>
          </cell>
          <cell r="E3070">
            <v>0</v>
          </cell>
          <cell r="F3070">
            <v>0.22</v>
          </cell>
          <cell r="G3070">
            <v>0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0</v>
          </cell>
          <cell r="M3070">
            <v>-1.7000000000000001E-2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 t="b">
            <v>1</v>
          </cell>
        </row>
        <row r="3071">
          <cell r="A3071" t="str">
            <v>Data split-5;Reg-18</v>
          </cell>
          <cell r="B3071">
            <v>-5.3</v>
          </cell>
          <cell r="C3071">
            <v>1.9</v>
          </cell>
          <cell r="D3071">
            <v>0</v>
          </cell>
          <cell r="E3071">
            <v>0</v>
          </cell>
          <cell r="F3071">
            <v>0.21</v>
          </cell>
          <cell r="G3071">
            <v>0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0</v>
          </cell>
          <cell r="M3071">
            <v>0</v>
          </cell>
          <cell r="N3071">
            <v>2.2000000000000001E-3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 t="b">
            <v>0</v>
          </cell>
        </row>
        <row r="3072">
          <cell r="A3072" t="str">
            <v>Data split-5;Reg-19</v>
          </cell>
          <cell r="B3072">
            <v>-7</v>
          </cell>
          <cell r="C3072">
            <v>1.6</v>
          </cell>
          <cell r="D3072">
            <v>0</v>
          </cell>
          <cell r="E3072">
            <v>0</v>
          </cell>
          <cell r="F3072">
            <v>0</v>
          </cell>
          <cell r="G3072">
            <v>1.5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-8.5000000000000006E-2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 t="b">
            <v>1</v>
          </cell>
        </row>
        <row r="3073">
          <cell r="A3073" t="str">
            <v>Data split-5;Reg-20</v>
          </cell>
          <cell r="B3073">
            <v>-7.1</v>
          </cell>
          <cell r="C3073">
            <v>1.7</v>
          </cell>
          <cell r="D3073">
            <v>0</v>
          </cell>
          <cell r="E3073">
            <v>0</v>
          </cell>
          <cell r="F3073">
            <v>0</v>
          </cell>
          <cell r="G3073">
            <v>1.4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-1.2999999999999999E-2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 t="b">
            <v>1</v>
          </cell>
        </row>
        <row r="3074">
          <cell r="A3074" t="str">
            <v>Data split-5;Reg-21</v>
          </cell>
          <cell r="B3074">
            <v>-5.9</v>
          </cell>
          <cell r="C3074">
            <v>1.1000000000000001</v>
          </cell>
          <cell r="D3074">
            <v>0</v>
          </cell>
          <cell r="E3074">
            <v>0</v>
          </cell>
          <cell r="F3074">
            <v>0</v>
          </cell>
          <cell r="G3074">
            <v>0</v>
          </cell>
          <cell r="H3074">
            <v>2.8</v>
          </cell>
          <cell r="I3074">
            <v>0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-6.6000000000000003E-2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 t="b">
            <v>1</v>
          </cell>
        </row>
        <row r="3075">
          <cell r="A3075" t="str">
            <v>Data split-5;Reg-22</v>
          </cell>
          <cell r="B3075">
            <v>-6.1</v>
          </cell>
          <cell r="C3075">
            <v>1.2</v>
          </cell>
          <cell r="D3075">
            <v>0</v>
          </cell>
          <cell r="E3075">
            <v>0</v>
          </cell>
          <cell r="F3075">
            <v>0</v>
          </cell>
          <cell r="G3075">
            <v>0</v>
          </cell>
          <cell r="H3075">
            <v>2.5</v>
          </cell>
          <cell r="I3075">
            <v>0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-8.2000000000000007E-3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 t="b">
            <v>1</v>
          </cell>
        </row>
        <row r="3076">
          <cell r="A3076" t="str">
            <v>Data split-5;Reg-23</v>
          </cell>
          <cell r="B3076">
            <v>-2.7</v>
          </cell>
          <cell r="C3076">
            <v>0</v>
          </cell>
          <cell r="D3076">
            <v>0.65</v>
          </cell>
          <cell r="E3076">
            <v>1.4</v>
          </cell>
          <cell r="F3076">
            <v>0</v>
          </cell>
          <cell r="G3076">
            <v>0.57999999999999996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 t="b">
            <v>1</v>
          </cell>
        </row>
        <row r="3077">
          <cell r="A3077" t="str">
            <v>Data split-5;Reg-24</v>
          </cell>
          <cell r="B3077">
            <v>-3.3</v>
          </cell>
          <cell r="C3077">
            <v>0</v>
          </cell>
          <cell r="D3077">
            <v>0.52</v>
          </cell>
          <cell r="E3077">
            <v>-0.81</v>
          </cell>
          <cell r="F3077">
            <v>0</v>
          </cell>
          <cell r="G3077">
            <v>0</v>
          </cell>
          <cell r="H3077">
            <v>3.9</v>
          </cell>
          <cell r="I3077">
            <v>0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 t="b">
            <v>0</v>
          </cell>
        </row>
        <row r="3078">
          <cell r="A3078" t="str">
            <v>Data split-5;Reg-25</v>
          </cell>
          <cell r="B3078">
            <v>-1.5</v>
          </cell>
          <cell r="C3078">
            <v>0</v>
          </cell>
          <cell r="D3078">
            <v>0.93</v>
          </cell>
          <cell r="E3078">
            <v>0</v>
          </cell>
          <cell r="F3078">
            <v>0.21</v>
          </cell>
          <cell r="G3078">
            <v>0.99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 t="b">
            <v>1</v>
          </cell>
        </row>
        <row r="3079">
          <cell r="A3079" t="str">
            <v>Data split-5;Reg-26</v>
          </cell>
          <cell r="B3079">
            <v>-2.6</v>
          </cell>
          <cell r="C3079">
            <v>0</v>
          </cell>
          <cell r="D3079">
            <v>0.48</v>
          </cell>
          <cell r="E3079">
            <v>0</v>
          </cell>
          <cell r="F3079">
            <v>0.13</v>
          </cell>
          <cell r="G3079">
            <v>0</v>
          </cell>
          <cell r="H3079">
            <v>2.6</v>
          </cell>
          <cell r="I3079">
            <v>0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 t="b">
            <v>1</v>
          </cell>
        </row>
        <row r="3080">
          <cell r="A3080" t="str">
            <v>Data split-5;Reg-27</v>
          </cell>
          <cell r="B3080">
            <v>-1.6</v>
          </cell>
          <cell r="C3080">
            <v>0</v>
          </cell>
          <cell r="D3080">
            <v>0.67</v>
          </cell>
          <cell r="E3080">
            <v>2.6</v>
          </cell>
          <cell r="F3080">
            <v>0</v>
          </cell>
          <cell r="G3080">
            <v>0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0</v>
          </cell>
          <cell r="M3080">
            <v>-8.5999999999999993E-2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 t="b">
            <v>1</v>
          </cell>
        </row>
        <row r="3081">
          <cell r="A3081" t="str">
            <v>Data split-5;Reg-28</v>
          </cell>
          <cell r="B3081">
            <v>-1.8</v>
          </cell>
          <cell r="C3081">
            <v>0</v>
          </cell>
          <cell r="D3081">
            <v>0.65</v>
          </cell>
          <cell r="E3081">
            <v>2.4</v>
          </cell>
          <cell r="F3081">
            <v>0</v>
          </cell>
          <cell r="G3081">
            <v>0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-1.0999999999999999E-2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 t="b">
            <v>1</v>
          </cell>
        </row>
        <row r="3082">
          <cell r="A3082" t="str">
            <v>Data split-5;Reg-29</v>
          </cell>
          <cell r="B3082">
            <v>0.85</v>
          </cell>
          <cell r="C3082">
            <v>0</v>
          </cell>
          <cell r="D3082">
            <v>1.3</v>
          </cell>
          <cell r="E3082">
            <v>0</v>
          </cell>
          <cell r="F3082">
            <v>0.31</v>
          </cell>
          <cell r="G3082">
            <v>0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0</v>
          </cell>
          <cell r="M3082">
            <v>1.4999999999999999E-2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 t="b">
            <v>0</v>
          </cell>
        </row>
        <row r="3083">
          <cell r="A3083" t="str">
            <v>Data split-5;Reg-30</v>
          </cell>
          <cell r="B3083">
            <v>0.11</v>
          </cell>
          <cell r="C3083">
            <v>0</v>
          </cell>
          <cell r="D3083">
            <v>1.2</v>
          </cell>
          <cell r="E3083">
            <v>0</v>
          </cell>
          <cell r="F3083">
            <v>0.28999999999999998</v>
          </cell>
          <cell r="G3083">
            <v>0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9.7999999999999997E-3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 t="b">
            <v>0</v>
          </cell>
        </row>
        <row r="3084">
          <cell r="A3084" t="str">
            <v>Data split-5;Reg-31</v>
          </cell>
          <cell r="B3084">
            <v>-2.6</v>
          </cell>
          <cell r="C3084">
            <v>0</v>
          </cell>
          <cell r="D3084">
            <v>1</v>
          </cell>
          <cell r="E3084">
            <v>0</v>
          </cell>
          <cell r="F3084">
            <v>0</v>
          </cell>
          <cell r="G3084">
            <v>2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-0.12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 t="b">
            <v>1</v>
          </cell>
        </row>
        <row r="3085">
          <cell r="A3085" t="str">
            <v>Data split-5;Reg-32</v>
          </cell>
          <cell r="B3085">
            <v>-2.6</v>
          </cell>
          <cell r="C3085">
            <v>0</v>
          </cell>
          <cell r="D3085">
            <v>1.1000000000000001</v>
          </cell>
          <cell r="E3085">
            <v>0</v>
          </cell>
          <cell r="F3085">
            <v>0</v>
          </cell>
          <cell r="G3085">
            <v>1.9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-1.9E-2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 t="b">
            <v>1</v>
          </cell>
        </row>
        <row r="3086">
          <cell r="A3086" t="str">
            <v>Data split-5;Reg-33</v>
          </cell>
          <cell r="B3086">
            <v>-3.3</v>
          </cell>
          <cell r="C3086">
            <v>0</v>
          </cell>
          <cell r="D3086">
            <v>0.37</v>
          </cell>
          <cell r="E3086">
            <v>0</v>
          </cell>
          <cell r="F3086">
            <v>0</v>
          </cell>
          <cell r="G3086">
            <v>0</v>
          </cell>
          <cell r="H3086">
            <v>4</v>
          </cell>
          <cell r="I3086">
            <v>0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-9.7000000000000003E-2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 t="b">
            <v>1</v>
          </cell>
        </row>
        <row r="3087">
          <cell r="A3087" t="str">
            <v>Data split-5;Reg-34</v>
          </cell>
          <cell r="B3087">
            <v>-3.3</v>
          </cell>
          <cell r="C3087">
            <v>0</v>
          </cell>
          <cell r="D3087">
            <v>0.42</v>
          </cell>
          <cell r="E3087">
            <v>0</v>
          </cell>
          <cell r="F3087">
            <v>0</v>
          </cell>
          <cell r="G3087">
            <v>0</v>
          </cell>
          <cell r="H3087">
            <v>3.7</v>
          </cell>
          <cell r="I3087">
            <v>0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-1.4E-2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 t="b">
            <v>1</v>
          </cell>
        </row>
        <row r="3088">
          <cell r="A3088" t="str">
            <v>Data split-5;Reg-35</v>
          </cell>
          <cell r="B3088">
            <v>-6.8</v>
          </cell>
          <cell r="C3088">
            <v>1.9</v>
          </cell>
          <cell r="D3088">
            <v>0</v>
          </cell>
          <cell r="E3088">
            <v>0.28000000000000003</v>
          </cell>
          <cell r="F3088">
            <v>0</v>
          </cell>
          <cell r="G3088">
            <v>1.5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0</v>
          </cell>
          <cell r="M3088">
            <v>-0.16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 t="b">
            <v>1</v>
          </cell>
        </row>
        <row r="3089">
          <cell r="A3089" t="str">
            <v>Data split-5;Reg-36</v>
          </cell>
          <cell r="B3089">
            <v>-6.8</v>
          </cell>
          <cell r="C3089">
            <v>1.9</v>
          </cell>
          <cell r="D3089">
            <v>0</v>
          </cell>
          <cell r="E3089">
            <v>0.33</v>
          </cell>
          <cell r="F3089">
            <v>0</v>
          </cell>
          <cell r="G3089">
            <v>1.6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-3.1E-2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 t="b">
            <v>1</v>
          </cell>
        </row>
        <row r="3090">
          <cell r="A3090" t="str">
            <v>Data split-5;Reg-37</v>
          </cell>
          <cell r="B3090">
            <v>-6.3</v>
          </cell>
          <cell r="C3090">
            <v>1.5</v>
          </cell>
          <cell r="D3090">
            <v>0</v>
          </cell>
          <cell r="E3090">
            <v>-1.8</v>
          </cell>
          <cell r="F3090">
            <v>0</v>
          </cell>
          <cell r="G3090">
            <v>0</v>
          </cell>
          <cell r="H3090">
            <v>5.3</v>
          </cell>
          <cell r="I3090">
            <v>0</v>
          </cell>
          <cell r="J3090">
            <v>0</v>
          </cell>
          <cell r="K3090">
            <v>0</v>
          </cell>
          <cell r="L3090">
            <v>0</v>
          </cell>
          <cell r="M3090">
            <v>-0.14000000000000001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 t="b">
            <v>0</v>
          </cell>
        </row>
        <row r="3091">
          <cell r="A3091" t="str">
            <v>Data split-5;Reg-38</v>
          </cell>
          <cell r="B3091">
            <v>-6.4</v>
          </cell>
          <cell r="C3091">
            <v>1.5</v>
          </cell>
          <cell r="D3091">
            <v>0</v>
          </cell>
          <cell r="E3091">
            <v>-1.7</v>
          </cell>
          <cell r="F3091">
            <v>0</v>
          </cell>
          <cell r="G3091">
            <v>0</v>
          </cell>
          <cell r="H3091">
            <v>5</v>
          </cell>
          <cell r="I3091">
            <v>0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-2.3E-2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 t="b">
            <v>0</v>
          </cell>
        </row>
        <row r="3092">
          <cell r="A3092" t="str">
            <v>Data split-5;Reg-39</v>
          </cell>
          <cell r="B3092">
            <v>-6.2</v>
          </cell>
          <cell r="C3092">
            <v>1.8</v>
          </cell>
          <cell r="D3092">
            <v>0</v>
          </cell>
          <cell r="E3092">
            <v>0</v>
          </cell>
          <cell r="F3092">
            <v>0.13</v>
          </cell>
          <cell r="G3092">
            <v>1.5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0</v>
          </cell>
          <cell r="M3092">
            <v>-0.16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 t="b">
            <v>1</v>
          </cell>
        </row>
        <row r="3093">
          <cell r="A3093" t="str">
            <v>Data split-5;Reg-40</v>
          </cell>
          <cell r="B3093">
            <v>-6.1</v>
          </cell>
          <cell r="C3093">
            <v>1.9</v>
          </cell>
          <cell r="D3093">
            <v>0</v>
          </cell>
          <cell r="E3093">
            <v>0</v>
          </cell>
          <cell r="F3093">
            <v>0.14000000000000001</v>
          </cell>
          <cell r="G3093">
            <v>1.6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-0.03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 t="b">
            <v>1</v>
          </cell>
        </row>
        <row r="3094">
          <cell r="A3094" t="str">
            <v>Data split-5;Reg-41</v>
          </cell>
          <cell r="B3094">
            <v>-5.2</v>
          </cell>
          <cell r="C3094">
            <v>1.3</v>
          </cell>
          <cell r="D3094">
            <v>0</v>
          </cell>
          <cell r="E3094">
            <v>0</v>
          </cell>
          <cell r="F3094">
            <v>8.6999999999999994E-2</v>
          </cell>
          <cell r="G3094">
            <v>0</v>
          </cell>
          <cell r="H3094">
            <v>3</v>
          </cell>
          <cell r="I3094">
            <v>0</v>
          </cell>
          <cell r="J3094">
            <v>0</v>
          </cell>
          <cell r="K3094">
            <v>0</v>
          </cell>
          <cell r="L3094">
            <v>0</v>
          </cell>
          <cell r="M3094">
            <v>-0.14000000000000001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 t="b">
            <v>1</v>
          </cell>
        </row>
        <row r="3095">
          <cell r="A3095" t="str">
            <v>Data split-5;Reg-42</v>
          </cell>
          <cell r="B3095">
            <v>-5.2</v>
          </cell>
          <cell r="C3095">
            <v>1.3</v>
          </cell>
          <cell r="D3095">
            <v>0</v>
          </cell>
          <cell r="E3095">
            <v>0</v>
          </cell>
          <cell r="F3095">
            <v>9.9000000000000005E-2</v>
          </cell>
          <cell r="G3095">
            <v>0</v>
          </cell>
          <cell r="H3095">
            <v>2.9</v>
          </cell>
          <cell r="I3095">
            <v>0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-2.4E-2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 t="b">
            <v>1</v>
          </cell>
        </row>
        <row r="3096">
          <cell r="A3096" t="str">
            <v>Data split-5;Reg-43</v>
          </cell>
          <cell r="B3096">
            <v>-7</v>
          </cell>
          <cell r="C3096">
            <v>1.6</v>
          </cell>
          <cell r="D3096">
            <v>0</v>
          </cell>
          <cell r="E3096">
            <v>4.5999999999999999E-2</v>
          </cell>
          <cell r="F3096">
            <v>0</v>
          </cell>
          <cell r="G3096">
            <v>1.5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-8.5000000000000006E-2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 t="b">
            <v>1</v>
          </cell>
        </row>
        <row r="3097">
          <cell r="A3097" t="str">
            <v>Data split-5;Reg-44</v>
          </cell>
          <cell r="B3097">
            <v>-7.1</v>
          </cell>
          <cell r="C3097">
            <v>1.6</v>
          </cell>
          <cell r="D3097">
            <v>0</v>
          </cell>
          <cell r="E3097">
            <v>2.9000000000000001E-2</v>
          </cell>
          <cell r="F3097">
            <v>0</v>
          </cell>
          <cell r="G3097">
            <v>1.4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-1.2999999999999999E-2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 t="b">
            <v>1</v>
          </cell>
        </row>
        <row r="3098">
          <cell r="A3098" t="str">
            <v>Data split-5;Reg-45</v>
          </cell>
          <cell r="B3098">
            <v>-6.6</v>
          </cell>
          <cell r="C3098">
            <v>1.3</v>
          </cell>
          <cell r="D3098">
            <v>0</v>
          </cell>
          <cell r="E3098">
            <v>-2.1</v>
          </cell>
          <cell r="F3098">
            <v>0</v>
          </cell>
          <cell r="G3098">
            <v>0</v>
          </cell>
          <cell r="H3098">
            <v>5.0999999999999996</v>
          </cell>
          <cell r="I3098">
            <v>0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-7.3999999999999996E-2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 t="b">
            <v>0</v>
          </cell>
        </row>
        <row r="3099">
          <cell r="A3099" t="str">
            <v>Data split-5;Reg-46</v>
          </cell>
          <cell r="B3099">
            <v>-6.8</v>
          </cell>
          <cell r="C3099">
            <v>1.4</v>
          </cell>
          <cell r="D3099">
            <v>0</v>
          </cell>
          <cell r="E3099">
            <v>-1.9</v>
          </cell>
          <cell r="F3099">
            <v>0</v>
          </cell>
          <cell r="G3099">
            <v>0</v>
          </cell>
          <cell r="H3099">
            <v>4.7</v>
          </cell>
          <cell r="I3099">
            <v>0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-9.2999999999999992E-3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 t="b">
            <v>0</v>
          </cell>
        </row>
        <row r="3100">
          <cell r="A3100" t="str">
            <v>Data split-5;Reg-47</v>
          </cell>
          <cell r="B3100">
            <v>-6</v>
          </cell>
          <cell r="C3100">
            <v>1.5</v>
          </cell>
          <cell r="D3100">
            <v>0</v>
          </cell>
          <cell r="E3100">
            <v>0</v>
          </cell>
          <cell r="F3100">
            <v>0.17</v>
          </cell>
          <cell r="G3100">
            <v>1.4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-9.8000000000000004E-2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 t="b">
            <v>1</v>
          </cell>
        </row>
        <row r="3101">
          <cell r="A3101" t="str">
            <v>Data split-5;Reg-48</v>
          </cell>
          <cell r="B3101">
            <v>-6.1</v>
          </cell>
          <cell r="C3101">
            <v>1.5</v>
          </cell>
          <cell r="D3101">
            <v>0</v>
          </cell>
          <cell r="E3101">
            <v>0</v>
          </cell>
          <cell r="F3101">
            <v>0.17</v>
          </cell>
          <cell r="G3101">
            <v>1.4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-1.7000000000000001E-2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 t="b">
            <v>1</v>
          </cell>
        </row>
        <row r="3102">
          <cell r="A3102" t="str">
            <v>Data split-5;Reg-49</v>
          </cell>
          <cell r="B3102">
            <v>-5.2</v>
          </cell>
          <cell r="C3102">
            <v>1</v>
          </cell>
          <cell r="D3102">
            <v>0</v>
          </cell>
          <cell r="E3102">
            <v>0</v>
          </cell>
          <cell r="F3102">
            <v>0.12</v>
          </cell>
          <cell r="G3102">
            <v>0</v>
          </cell>
          <cell r="H3102">
            <v>2.6</v>
          </cell>
          <cell r="I3102">
            <v>0</v>
          </cell>
          <cell r="J3102">
            <v>0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-7.0999999999999994E-2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 t="b">
            <v>1</v>
          </cell>
        </row>
        <row r="3103">
          <cell r="A3103" t="str">
            <v>Data split-5;Reg-50</v>
          </cell>
          <cell r="B3103">
            <v>-5.5</v>
          </cell>
          <cell r="C3103">
            <v>1.1000000000000001</v>
          </cell>
          <cell r="D3103">
            <v>0</v>
          </cell>
          <cell r="E3103">
            <v>0</v>
          </cell>
          <cell r="F3103">
            <v>0.12</v>
          </cell>
          <cell r="G3103">
            <v>0</v>
          </cell>
          <cell r="H3103">
            <v>2.2999999999999998</v>
          </cell>
          <cell r="I3103">
            <v>0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-9.5999999999999992E-3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 t="b">
            <v>1</v>
          </cell>
        </row>
        <row r="3104">
          <cell r="A3104" t="str">
            <v>Data split-5;Reg-51</v>
          </cell>
          <cell r="B3104">
            <v>-2.1</v>
          </cell>
          <cell r="C3104">
            <v>0</v>
          </cell>
          <cell r="D3104">
            <v>0.81</v>
          </cell>
          <cell r="E3104">
            <v>1.6</v>
          </cell>
          <cell r="F3104">
            <v>0</v>
          </cell>
          <cell r="G3104">
            <v>1.2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-0.15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 t="b">
            <v>1</v>
          </cell>
        </row>
        <row r="3105">
          <cell r="A3105" t="str">
            <v>Data split-5;Reg-52</v>
          </cell>
          <cell r="B3105">
            <v>-2</v>
          </cell>
          <cell r="C3105">
            <v>0</v>
          </cell>
          <cell r="D3105">
            <v>0.81</v>
          </cell>
          <cell r="E3105">
            <v>1.6</v>
          </cell>
          <cell r="F3105">
            <v>0</v>
          </cell>
          <cell r="G3105">
            <v>1.2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-2.7E-2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 t="b">
            <v>1</v>
          </cell>
        </row>
        <row r="3106">
          <cell r="A3106" t="str">
            <v>Data split-5;Reg-53</v>
          </cell>
          <cell r="B3106">
            <v>-2.6</v>
          </cell>
          <cell r="C3106">
            <v>0</v>
          </cell>
          <cell r="D3106">
            <v>0.61</v>
          </cell>
          <cell r="E3106">
            <v>-0.84</v>
          </cell>
          <cell r="F3106">
            <v>0</v>
          </cell>
          <cell r="G3106">
            <v>0</v>
          </cell>
          <cell r="H3106">
            <v>5.2</v>
          </cell>
          <cell r="I3106">
            <v>0</v>
          </cell>
          <cell r="J3106">
            <v>0</v>
          </cell>
          <cell r="K3106">
            <v>0</v>
          </cell>
          <cell r="L3106">
            <v>0</v>
          </cell>
          <cell r="M3106">
            <v>-0.15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 t="b">
            <v>0</v>
          </cell>
        </row>
        <row r="3107">
          <cell r="A3107" t="str">
            <v>Data split-5;Reg-54</v>
          </cell>
          <cell r="B3107">
            <v>-2.6</v>
          </cell>
          <cell r="C3107">
            <v>0</v>
          </cell>
          <cell r="D3107">
            <v>0.6</v>
          </cell>
          <cell r="E3107">
            <v>-0.7</v>
          </cell>
          <cell r="F3107">
            <v>0</v>
          </cell>
          <cell r="G3107">
            <v>0</v>
          </cell>
          <cell r="H3107">
            <v>4.9000000000000004</v>
          </cell>
          <cell r="I3107">
            <v>0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-2.3E-2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 t="b">
            <v>0</v>
          </cell>
        </row>
        <row r="3108">
          <cell r="A3108" t="str">
            <v>Data split-5;Reg-55</v>
          </cell>
          <cell r="B3108">
            <v>-0.89</v>
          </cell>
          <cell r="C3108">
            <v>0</v>
          </cell>
          <cell r="D3108">
            <v>1.1000000000000001</v>
          </cell>
          <cell r="E3108">
            <v>0</v>
          </cell>
          <cell r="F3108">
            <v>0.22</v>
          </cell>
          <cell r="G3108">
            <v>1.6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0</v>
          </cell>
          <cell r="M3108">
            <v>-0.13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 t="b">
            <v>1</v>
          </cell>
        </row>
        <row r="3109">
          <cell r="A3109" t="str">
            <v>Data split-5;Reg-56</v>
          </cell>
          <cell r="B3109">
            <v>-0.87</v>
          </cell>
          <cell r="C3109">
            <v>0</v>
          </cell>
          <cell r="D3109">
            <v>1.1000000000000001</v>
          </cell>
          <cell r="E3109">
            <v>0</v>
          </cell>
          <cell r="F3109">
            <v>0.23</v>
          </cell>
          <cell r="G3109">
            <v>1.6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-2.3E-2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 t="b">
            <v>1</v>
          </cell>
        </row>
        <row r="3110">
          <cell r="A3110" t="str">
            <v>Data split-5;Reg-57</v>
          </cell>
          <cell r="B3110">
            <v>-2</v>
          </cell>
          <cell r="C3110">
            <v>0</v>
          </cell>
          <cell r="D3110">
            <v>0.56000000000000005</v>
          </cell>
          <cell r="E3110">
            <v>0</v>
          </cell>
          <cell r="F3110">
            <v>0.11</v>
          </cell>
          <cell r="G3110">
            <v>0</v>
          </cell>
          <cell r="H3110">
            <v>3.8</v>
          </cell>
          <cell r="I3110">
            <v>0</v>
          </cell>
          <cell r="J3110">
            <v>0</v>
          </cell>
          <cell r="K3110">
            <v>0</v>
          </cell>
          <cell r="L3110">
            <v>0</v>
          </cell>
          <cell r="M3110">
            <v>-0.14000000000000001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 t="b">
            <v>1</v>
          </cell>
        </row>
        <row r="3111">
          <cell r="A3111" t="str">
            <v>Data split-5;Reg-58</v>
          </cell>
          <cell r="B3111">
            <v>-1.9</v>
          </cell>
          <cell r="C3111">
            <v>0</v>
          </cell>
          <cell r="D3111">
            <v>0.56999999999999995</v>
          </cell>
          <cell r="E3111">
            <v>0</v>
          </cell>
          <cell r="F3111">
            <v>0.13</v>
          </cell>
          <cell r="G3111">
            <v>0</v>
          </cell>
          <cell r="H3111">
            <v>3.7</v>
          </cell>
          <cell r="I3111">
            <v>0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-2.3E-2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 t="b">
            <v>1</v>
          </cell>
        </row>
        <row r="3112">
          <cell r="A3112" t="str">
            <v>Data split-5;Reg-59</v>
          </cell>
          <cell r="B3112">
            <v>-2.9</v>
          </cell>
          <cell r="C3112">
            <v>0</v>
          </cell>
          <cell r="D3112">
            <v>0.68</v>
          </cell>
          <cell r="E3112">
            <v>1.2</v>
          </cell>
          <cell r="F3112">
            <v>0</v>
          </cell>
          <cell r="G3112">
            <v>1.4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-0.11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 t="b">
            <v>1</v>
          </cell>
        </row>
        <row r="3113">
          <cell r="A3113" t="str">
            <v>Data split-5;Reg-60</v>
          </cell>
          <cell r="B3113">
            <v>-2.9</v>
          </cell>
          <cell r="C3113">
            <v>0</v>
          </cell>
          <cell r="D3113">
            <v>0.7</v>
          </cell>
          <cell r="E3113">
            <v>1.3</v>
          </cell>
          <cell r="F3113">
            <v>0</v>
          </cell>
          <cell r="G3113">
            <v>1.2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-1.7000000000000001E-2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 t="b">
            <v>1</v>
          </cell>
        </row>
        <row r="3114">
          <cell r="A3114" t="str">
            <v>Data split-5;Reg-61</v>
          </cell>
          <cell r="B3114">
            <v>-3.4</v>
          </cell>
          <cell r="C3114">
            <v>0</v>
          </cell>
          <cell r="D3114">
            <v>0.46</v>
          </cell>
          <cell r="E3114">
            <v>-1.3</v>
          </cell>
          <cell r="F3114">
            <v>0</v>
          </cell>
          <cell r="G3114">
            <v>0</v>
          </cell>
          <cell r="H3114">
            <v>5.5</v>
          </cell>
          <cell r="I3114">
            <v>0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-0.11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 t="b">
            <v>0</v>
          </cell>
        </row>
        <row r="3115">
          <cell r="A3115" t="str">
            <v>Data split-5;Reg-62</v>
          </cell>
          <cell r="B3115">
            <v>-3.4</v>
          </cell>
          <cell r="C3115">
            <v>0</v>
          </cell>
          <cell r="D3115">
            <v>0.5</v>
          </cell>
          <cell r="E3115">
            <v>-1.1000000000000001</v>
          </cell>
          <cell r="F3115">
            <v>0</v>
          </cell>
          <cell r="G3115">
            <v>0</v>
          </cell>
          <cell r="H3115">
            <v>5</v>
          </cell>
          <cell r="I3115">
            <v>0</v>
          </cell>
          <cell r="J3115">
            <v>0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-1.4999999999999999E-2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 t="b">
            <v>0</v>
          </cell>
        </row>
        <row r="3116">
          <cell r="A3116" t="str">
            <v>Data split-5;Reg-63</v>
          </cell>
          <cell r="B3116">
            <v>-1.7</v>
          </cell>
          <cell r="C3116">
            <v>0</v>
          </cell>
          <cell r="D3116">
            <v>0.9</v>
          </cell>
          <cell r="E3116">
            <v>0</v>
          </cell>
          <cell r="F3116">
            <v>0.25</v>
          </cell>
          <cell r="G3116">
            <v>1.8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-0.13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 t="b">
            <v>1</v>
          </cell>
        </row>
        <row r="3117">
          <cell r="A3117" t="str">
            <v>Data split-5;Reg-64</v>
          </cell>
          <cell r="B3117">
            <v>-1.8</v>
          </cell>
          <cell r="C3117">
            <v>0</v>
          </cell>
          <cell r="D3117">
            <v>0.94</v>
          </cell>
          <cell r="E3117">
            <v>0</v>
          </cell>
          <cell r="F3117">
            <v>0.25</v>
          </cell>
          <cell r="G3117">
            <v>1.8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-2.4E-2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 t="b">
            <v>1</v>
          </cell>
        </row>
        <row r="3118">
          <cell r="A3118" t="str">
            <v>Data split-5;Reg-65</v>
          </cell>
          <cell r="B3118">
            <v>-2.6</v>
          </cell>
          <cell r="C3118">
            <v>0</v>
          </cell>
          <cell r="D3118">
            <v>0.39</v>
          </cell>
          <cell r="E3118">
            <v>0</v>
          </cell>
          <cell r="F3118">
            <v>0.15</v>
          </cell>
          <cell r="G3118">
            <v>0</v>
          </cell>
          <cell r="H3118">
            <v>3.6</v>
          </cell>
          <cell r="I3118">
            <v>0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-0.1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 t="b">
            <v>1</v>
          </cell>
        </row>
        <row r="3119">
          <cell r="A3119" t="str">
            <v>Data split-5;Reg-66</v>
          </cell>
          <cell r="B3119">
            <v>-2.6</v>
          </cell>
          <cell r="C3119">
            <v>0</v>
          </cell>
          <cell r="D3119">
            <v>0.44</v>
          </cell>
          <cell r="E3119">
            <v>0</v>
          </cell>
          <cell r="F3119">
            <v>0.15</v>
          </cell>
          <cell r="G3119">
            <v>0</v>
          </cell>
          <cell r="H3119">
            <v>3.4</v>
          </cell>
          <cell r="I3119">
            <v>0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-1.4999999999999999E-2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 t="b">
            <v>1</v>
          </cell>
        </row>
        <row r="3120">
          <cell r="A3120" t="str">
            <v>Data split-5;Reg-67</v>
          </cell>
          <cell r="B3120">
            <v>-7</v>
          </cell>
          <cell r="C3120">
            <v>1.7</v>
          </cell>
          <cell r="D3120">
            <v>0</v>
          </cell>
          <cell r="E3120">
            <v>0</v>
          </cell>
          <cell r="F3120">
            <v>0</v>
          </cell>
          <cell r="G3120">
            <v>0.89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 t="b">
            <v>1</v>
          </cell>
        </row>
        <row r="3121">
          <cell r="A3121" t="str">
            <v>Data split-5;Reg-68</v>
          </cell>
          <cell r="B3121">
            <v>-6.2</v>
          </cell>
          <cell r="C3121">
            <v>1.6</v>
          </cell>
          <cell r="D3121">
            <v>0</v>
          </cell>
          <cell r="E3121">
            <v>0</v>
          </cell>
          <cell r="F3121">
            <v>0.14000000000000001</v>
          </cell>
          <cell r="G3121">
            <v>0.76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 t="b">
            <v>1</v>
          </cell>
        </row>
        <row r="3122">
          <cell r="A3122" t="str">
            <v>Data split-5;Reg-69</v>
          </cell>
          <cell r="B3122">
            <v>-8</v>
          </cell>
          <cell r="C3122">
            <v>1.7</v>
          </cell>
          <cell r="D3122">
            <v>0</v>
          </cell>
          <cell r="E3122">
            <v>0</v>
          </cell>
          <cell r="F3122">
            <v>0</v>
          </cell>
          <cell r="G3122">
            <v>0.86</v>
          </cell>
          <cell r="H3122">
            <v>0</v>
          </cell>
          <cell r="I3122">
            <v>0</v>
          </cell>
          <cell r="J3122">
            <v>2.2000000000000002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 t="b">
            <v>0</v>
          </cell>
        </row>
        <row r="3123">
          <cell r="A3123" t="str">
            <v>Data split-5;Reg-70</v>
          </cell>
          <cell r="B3123">
            <v>-7</v>
          </cell>
          <cell r="C3123">
            <v>1.8</v>
          </cell>
          <cell r="D3123">
            <v>0</v>
          </cell>
          <cell r="E3123">
            <v>0</v>
          </cell>
          <cell r="F3123">
            <v>0</v>
          </cell>
          <cell r="G3123">
            <v>1.3</v>
          </cell>
          <cell r="H3123">
            <v>0</v>
          </cell>
          <cell r="I3123">
            <v>0</v>
          </cell>
          <cell r="J3123">
            <v>0.37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-7.6999999999999999E-2</v>
          </cell>
          <cell r="T3123">
            <v>0</v>
          </cell>
          <cell r="U3123" t="b">
            <v>0</v>
          </cell>
        </row>
        <row r="3124">
          <cell r="A3124" t="str">
            <v>Data split-5;Reg-71</v>
          </cell>
          <cell r="B3124">
            <v>-2.2000000000000002</v>
          </cell>
          <cell r="C3124">
            <v>0.26</v>
          </cell>
          <cell r="D3124">
            <v>0</v>
          </cell>
          <cell r="E3124">
            <v>0</v>
          </cell>
          <cell r="F3124">
            <v>0.12</v>
          </cell>
          <cell r="G3124">
            <v>0</v>
          </cell>
          <cell r="H3124">
            <v>5.2</v>
          </cell>
          <cell r="I3124">
            <v>0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-0.21</v>
          </cell>
          <cell r="T3124">
            <v>0</v>
          </cell>
          <cell r="U3124" t="b">
            <v>1</v>
          </cell>
        </row>
        <row r="3125">
          <cell r="A3125" t="str">
            <v>Data split-5;Reg-72</v>
          </cell>
          <cell r="B3125">
            <v>-5.9</v>
          </cell>
          <cell r="C3125">
            <v>1.5</v>
          </cell>
          <cell r="D3125">
            <v>0</v>
          </cell>
          <cell r="E3125">
            <v>1.1000000000000001</v>
          </cell>
          <cell r="F3125">
            <v>0</v>
          </cell>
          <cell r="G3125">
            <v>0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 t="b">
            <v>1</v>
          </cell>
        </row>
        <row r="3126">
          <cell r="A3126" t="str">
            <v>Data split-5;Reg-73</v>
          </cell>
          <cell r="B3126">
            <v>-5.2</v>
          </cell>
          <cell r="C3126">
            <v>2</v>
          </cell>
          <cell r="D3126">
            <v>0</v>
          </cell>
          <cell r="E3126">
            <v>0</v>
          </cell>
          <cell r="F3126">
            <v>0.21</v>
          </cell>
          <cell r="G3126">
            <v>0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 t="b">
            <v>1</v>
          </cell>
        </row>
        <row r="3127">
          <cell r="A3127" t="str">
            <v>Data split-5;Reg-74</v>
          </cell>
          <cell r="B3127">
            <v>-2.2000000000000002</v>
          </cell>
          <cell r="C3127">
            <v>0</v>
          </cell>
          <cell r="D3127">
            <v>0.6</v>
          </cell>
          <cell r="E3127">
            <v>2</v>
          </cell>
          <cell r="F3127">
            <v>0</v>
          </cell>
          <cell r="G3127">
            <v>0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 t="b">
            <v>1</v>
          </cell>
        </row>
        <row r="3128">
          <cell r="A3128" t="str">
            <v>Data split-5;Reg-75</v>
          </cell>
          <cell r="B3128">
            <v>1.1000000000000001</v>
          </cell>
          <cell r="C3128">
            <v>0</v>
          </cell>
          <cell r="D3128">
            <v>1.4</v>
          </cell>
          <cell r="E3128">
            <v>0</v>
          </cell>
          <cell r="F3128">
            <v>0.32</v>
          </cell>
          <cell r="G3128">
            <v>0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 t="b">
            <v>0</v>
          </cell>
        </row>
        <row r="3129">
          <cell r="A3129" t="str">
            <v>Data split-5;Reg-76</v>
          </cell>
          <cell r="B3129">
            <v>-7</v>
          </cell>
          <cell r="C3129">
            <v>1.7</v>
          </cell>
          <cell r="D3129">
            <v>0</v>
          </cell>
          <cell r="E3129">
            <v>0</v>
          </cell>
          <cell r="F3129">
            <v>0</v>
          </cell>
          <cell r="G3129">
            <v>0.89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 t="b">
            <v>1</v>
          </cell>
        </row>
        <row r="3130">
          <cell r="A3130" t="str">
            <v>Data split-5;Reg-77</v>
          </cell>
          <cell r="B3130">
            <v>-6.3</v>
          </cell>
          <cell r="C3130">
            <v>1.3</v>
          </cell>
          <cell r="D3130">
            <v>0</v>
          </cell>
          <cell r="E3130">
            <v>0</v>
          </cell>
          <cell r="F3130">
            <v>0</v>
          </cell>
          <cell r="G3130">
            <v>0</v>
          </cell>
          <cell r="H3130">
            <v>1.9</v>
          </cell>
          <cell r="I3130">
            <v>0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 t="b">
            <v>1</v>
          </cell>
        </row>
        <row r="3131">
          <cell r="A3131" t="str">
            <v>Data split-5;Reg-78</v>
          </cell>
          <cell r="B3131">
            <v>-2.2999999999999998</v>
          </cell>
          <cell r="C3131">
            <v>0</v>
          </cell>
          <cell r="D3131">
            <v>1</v>
          </cell>
          <cell r="E3131">
            <v>0</v>
          </cell>
          <cell r="F3131">
            <v>0</v>
          </cell>
          <cell r="G3131">
            <v>1.2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 t="b">
            <v>1</v>
          </cell>
        </row>
        <row r="3132">
          <cell r="A3132" t="str">
            <v>Data split-5;Reg-79</v>
          </cell>
          <cell r="B3132">
            <v>-3.3</v>
          </cell>
          <cell r="C3132">
            <v>0</v>
          </cell>
          <cell r="D3132">
            <v>0.47</v>
          </cell>
          <cell r="E3132">
            <v>0</v>
          </cell>
          <cell r="F3132">
            <v>0</v>
          </cell>
          <cell r="G3132">
            <v>0</v>
          </cell>
          <cell r="H3132">
            <v>2.9</v>
          </cell>
          <cell r="I3132">
            <v>0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 t="b">
            <v>1</v>
          </cell>
        </row>
        <row r="3133">
          <cell r="A3133" t="str">
            <v>Data split-5;Reg-80</v>
          </cell>
          <cell r="B3133">
            <v>-8.1999999999999993</v>
          </cell>
          <cell r="C3133">
            <v>2.1</v>
          </cell>
          <cell r="D3133">
            <v>0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1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 t="b">
            <v>0</v>
          </cell>
        </row>
        <row r="3134">
          <cell r="A3134" t="str">
            <v>Data split-5;Reg-81</v>
          </cell>
          <cell r="B3134">
            <v>-11</v>
          </cell>
          <cell r="C3134">
            <v>2.2000000000000002</v>
          </cell>
          <cell r="D3134">
            <v>0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0</v>
          </cell>
          <cell r="J3134">
            <v>9.9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 t="b">
            <v>0</v>
          </cell>
        </row>
        <row r="3135">
          <cell r="A3135" t="str">
            <v>Data split-5;Reg-82</v>
          </cell>
          <cell r="B3135">
            <v>-3.4</v>
          </cell>
          <cell r="C3135">
            <v>0</v>
          </cell>
          <cell r="D3135">
            <v>1.6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1.7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 t="b">
            <v>0</v>
          </cell>
        </row>
        <row r="3136">
          <cell r="A3136" t="str">
            <v>Data split-5;Reg-83</v>
          </cell>
          <cell r="B3136">
            <v>-12.1</v>
          </cell>
          <cell r="C3136">
            <v>0</v>
          </cell>
          <cell r="D3136">
            <v>1.7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0</v>
          </cell>
          <cell r="J3136">
            <v>24.9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 t="b">
            <v>0</v>
          </cell>
        </row>
        <row r="3137">
          <cell r="A3137" t="str">
            <v>Data split-5;Reg-84</v>
          </cell>
          <cell r="B3137">
            <v>-9.1999999999999993</v>
          </cell>
          <cell r="C3137">
            <v>2.2999999999999998</v>
          </cell>
          <cell r="D3137">
            <v>0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0</v>
          </cell>
          <cell r="J3137">
            <v>0</v>
          </cell>
          <cell r="K3137">
            <v>0.51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 t="b">
            <v>0</v>
          </cell>
        </row>
        <row r="3138">
          <cell r="A3138" t="str">
            <v>Data split-5;Reg-85</v>
          </cell>
          <cell r="B3138">
            <v>-7.8</v>
          </cell>
          <cell r="C3138">
            <v>2.2999999999999998</v>
          </cell>
          <cell r="D3138">
            <v>0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1.2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 t="b">
            <v>0</v>
          </cell>
        </row>
        <row r="3139">
          <cell r="A3139" t="str">
            <v>Data split-5;Reg-86</v>
          </cell>
          <cell r="B3139">
            <v>-4.9000000000000004</v>
          </cell>
          <cell r="C3139">
            <v>0</v>
          </cell>
          <cell r="D3139">
            <v>1.7</v>
          </cell>
          <cell r="E3139">
            <v>0</v>
          </cell>
          <cell r="F3139">
            <v>0</v>
          </cell>
          <cell r="G3139">
            <v>0</v>
          </cell>
          <cell r="H3139">
            <v>0</v>
          </cell>
          <cell r="I3139">
            <v>0</v>
          </cell>
          <cell r="J3139">
            <v>0</v>
          </cell>
          <cell r="K3139">
            <v>0.96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 t="b">
            <v>0</v>
          </cell>
        </row>
        <row r="3140">
          <cell r="A3140" t="str">
            <v>Data split-5;Reg-87</v>
          </cell>
          <cell r="B3140">
            <v>-7.3</v>
          </cell>
          <cell r="C3140">
            <v>0</v>
          </cell>
          <cell r="D3140">
            <v>1.9</v>
          </cell>
          <cell r="E3140">
            <v>0</v>
          </cell>
          <cell r="F3140">
            <v>0</v>
          </cell>
          <cell r="G3140">
            <v>0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6.5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 t="b">
            <v>0</v>
          </cell>
        </row>
        <row r="3141">
          <cell r="A3141" t="str">
            <v>Data split-5;Reg-88</v>
          </cell>
          <cell r="B3141">
            <v>-6.3</v>
          </cell>
          <cell r="C3141">
            <v>2.2999999999999998</v>
          </cell>
          <cell r="D3141">
            <v>0</v>
          </cell>
          <cell r="E3141">
            <v>0</v>
          </cell>
          <cell r="F3141">
            <v>0</v>
          </cell>
          <cell r="G3141">
            <v>0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0</v>
          </cell>
          <cell r="M3141">
            <v>1.5E-3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 t="b">
            <v>0</v>
          </cell>
        </row>
        <row r="3142">
          <cell r="A3142" t="str">
            <v>Data split-5;Reg-89</v>
          </cell>
          <cell r="B3142">
            <v>-6.4</v>
          </cell>
          <cell r="C3142">
            <v>2.1</v>
          </cell>
          <cell r="D3142">
            <v>0</v>
          </cell>
          <cell r="E3142">
            <v>0</v>
          </cell>
          <cell r="F3142">
            <v>0</v>
          </cell>
          <cell r="G3142">
            <v>0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6.6E-3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 t="b">
            <v>0</v>
          </cell>
        </row>
        <row r="3143">
          <cell r="A3143" t="str">
            <v>Data split-5;Reg-90</v>
          </cell>
          <cell r="B3143">
            <v>-2.7E-2</v>
          </cell>
          <cell r="C3143">
            <v>0</v>
          </cell>
          <cell r="D3143">
            <v>1.5</v>
          </cell>
          <cell r="E3143">
            <v>0</v>
          </cell>
          <cell r="F3143">
            <v>0</v>
          </cell>
          <cell r="G3143">
            <v>0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0</v>
          </cell>
          <cell r="M3143">
            <v>0.05</v>
          </cell>
          <cell r="N3143">
            <v>0</v>
          </cell>
          <cell r="O3143">
            <v>0</v>
          </cell>
          <cell r="P3143">
            <v>0</v>
          </cell>
          <cell r="Q3143">
            <v>0</v>
          </cell>
          <cell r="R3143">
            <v>0</v>
          </cell>
          <cell r="S3143">
            <v>0</v>
          </cell>
          <cell r="T3143">
            <v>0</v>
          </cell>
          <cell r="U3143" t="b">
            <v>0</v>
          </cell>
        </row>
        <row r="3144">
          <cell r="A3144" t="str">
            <v>Data split-5;Reg-91</v>
          </cell>
          <cell r="B3144">
            <v>-0.92</v>
          </cell>
          <cell r="C3144">
            <v>0</v>
          </cell>
          <cell r="D3144">
            <v>1.3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1.7999999999999999E-2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 t="b">
            <v>0</v>
          </cell>
        </row>
        <row r="3145">
          <cell r="A3145" t="str">
            <v>Data split-5;Reg-92</v>
          </cell>
          <cell r="B3145">
            <v>-6.5</v>
          </cell>
          <cell r="C3145">
            <v>2.1</v>
          </cell>
          <cell r="D3145">
            <v>0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3.7999999999999999E-2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 t="b">
            <v>0</v>
          </cell>
        </row>
        <row r="3146">
          <cell r="A3146" t="str">
            <v>Data split-5;Reg-93</v>
          </cell>
          <cell r="B3146">
            <v>-6.5</v>
          </cell>
          <cell r="C3146">
            <v>2</v>
          </cell>
          <cell r="D3146">
            <v>0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0.01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 t="b">
            <v>0</v>
          </cell>
        </row>
        <row r="3147">
          <cell r="A3147" t="str">
            <v>Data split-5;Reg-94</v>
          </cell>
          <cell r="B3147">
            <v>0.16</v>
          </cell>
          <cell r="C3147">
            <v>0</v>
          </cell>
          <cell r="D3147">
            <v>1.6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4.8000000000000001E-2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 t="b">
            <v>0</v>
          </cell>
        </row>
        <row r="3148">
          <cell r="A3148" t="str">
            <v>Data split-5;Reg-95</v>
          </cell>
          <cell r="B3148">
            <v>-0.18</v>
          </cell>
          <cell r="C3148">
            <v>0</v>
          </cell>
          <cell r="D3148">
            <v>1.5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1.2999999999999999E-2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 t="b">
            <v>0</v>
          </cell>
        </row>
        <row r="3149">
          <cell r="A3149" t="str">
            <v>Data split-5;Reg-96</v>
          </cell>
          <cell r="B3149">
            <v>-6</v>
          </cell>
          <cell r="C3149">
            <v>1.5</v>
          </cell>
          <cell r="D3149">
            <v>0</v>
          </cell>
          <cell r="E3149">
            <v>1.1000000000000001</v>
          </cell>
          <cell r="F3149">
            <v>0</v>
          </cell>
          <cell r="G3149">
            <v>0</v>
          </cell>
          <cell r="H3149">
            <v>0</v>
          </cell>
          <cell r="I3149">
            <v>6.2E-2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 t="b">
            <v>0</v>
          </cell>
        </row>
        <row r="3150">
          <cell r="A3150" t="str">
            <v>Data split-5;Reg-97</v>
          </cell>
          <cell r="B3150">
            <v>-8.6</v>
          </cell>
          <cell r="C3150">
            <v>1.5</v>
          </cell>
          <cell r="D3150">
            <v>0</v>
          </cell>
          <cell r="E3150">
            <v>1.1000000000000001</v>
          </cell>
          <cell r="F3150">
            <v>0</v>
          </cell>
          <cell r="G3150">
            <v>0</v>
          </cell>
          <cell r="H3150">
            <v>0</v>
          </cell>
          <cell r="I3150">
            <v>0</v>
          </cell>
          <cell r="J3150">
            <v>5.6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 t="b">
            <v>0</v>
          </cell>
        </row>
        <row r="3151">
          <cell r="A3151" t="str">
            <v>Data split-5;Reg-98</v>
          </cell>
          <cell r="B3151">
            <v>-6.7</v>
          </cell>
          <cell r="C3151">
            <v>1.9</v>
          </cell>
          <cell r="D3151">
            <v>0</v>
          </cell>
          <cell r="E3151">
            <v>0</v>
          </cell>
          <cell r="F3151">
            <v>0.19</v>
          </cell>
          <cell r="G3151">
            <v>0</v>
          </cell>
          <cell r="H3151">
            <v>0</v>
          </cell>
          <cell r="I3151">
            <v>0.7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 t="b">
            <v>0</v>
          </cell>
        </row>
        <row r="3152">
          <cell r="A3152" t="str">
            <v>Data split-5;Reg-99</v>
          </cell>
          <cell r="B3152">
            <v>-10</v>
          </cell>
          <cell r="C3152">
            <v>1.9</v>
          </cell>
          <cell r="D3152">
            <v>0</v>
          </cell>
          <cell r="E3152">
            <v>0</v>
          </cell>
          <cell r="F3152">
            <v>0.21</v>
          </cell>
          <cell r="G3152">
            <v>0</v>
          </cell>
          <cell r="H3152">
            <v>0</v>
          </cell>
          <cell r="I3152">
            <v>0</v>
          </cell>
          <cell r="J3152">
            <v>10.199999999999999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 t="b">
            <v>0</v>
          </cell>
        </row>
        <row r="3153">
          <cell r="A3153" t="str">
            <v>Data split-5;Reg-100</v>
          </cell>
          <cell r="B3153">
            <v>-1.5</v>
          </cell>
          <cell r="C3153">
            <v>0</v>
          </cell>
          <cell r="D3153">
            <v>0.52</v>
          </cell>
          <cell r="E3153">
            <v>2.2999999999999998</v>
          </cell>
          <cell r="F3153">
            <v>0</v>
          </cell>
          <cell r="G3153">
            <v>0</v>
          </cell>
          <cell r="H3153">
            <v>0</v>
          </cell>
          <cell r="I3153">
            <v>-0.46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 t="b">
            <v>1</v>
          </cell>
        </row>
        <row r="3154">
          <cell r="A3154" t="str">
            <v>Data split-5;Reg-101</v>
          </cell>
          <cell r="B3154">
            <v>-7.2</v>
          </cell>
          <cell r="C3154">
            <v>0</v>
          </cell>
          <cell r="D3154">
            <v>0.78</v>
          </cell>
          <cell r="E3154">
            <v>1.7</v>
          </cell>
          <cell r="F3154">
            <v>0</v>
          </cell>
          <cell r="G3154">
            <v>0</v>
          </cell>
          <cell r="H3154">
            <v>0</v>
          </cell>
          <cell r="I3154">
            <v>0</v>
          </cell>
          <cell r="J3154">
            <v>10.6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 t="b">
            <v>0</v>
          </cell>
        </row>
        <row r="3155">
          <cell r="A3155" t="str">
            <v>Data split-5;Reg-102</v>
          </cell>
          <cell r="B3155">
            <v>-1.9</v>
          </cell>
          <cell r="C3155">
            <v>0</v>
          </cell>
          <cell r="D3155">
            <v>1.3</v>
          </cell>
          <cell r="E3155">
            <v>0</v>
          </cell>
          <cell r="F3155">
            <v>0.27</v>
          </cell>
          <cell r="G3155">
            <v>0</v>
          </cell>
          <cell r="H3155">
            <v>0</v>
          </cell>
          <cell r="I3155">
            <v>1.2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 t="b">
            <v>0</v>
          </cell>
        </row>
        <row r="3156">
          <cell r="A3156" t="str">
            <v>Data split-5;Reg-103</v>
          </cell>
          <cell r="B3156">
            <v>-10.6</v>
          </cell>
          <cell r="C3156">
            <v>0</v>
          </cell>
          <cell r="D3156">
            <v>1.4</v>
          </cell>
          <cell r="E3156">
            <v>0</v>
          </cell>
          <cell r="F3156">
            <v>0.28999999999999998</v>
          </cell>
          <cell r="G3156">
            <v>0</v>
          </cell>
          <cell r="H3156">
            <v>0</v>
          </cell>
          <cell r="I3156">
            <v>0</v>
          </cell>
          <cell r="J3156">
            <v>22.4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 t="b">
            <v>0</v>
          </cell>
        </row>
        <row r="3157">
          <cell r="A3157" t="str">
            <v>Data split-5;Reg-104</v>
          </cell>
          <cell r="B3157">
            <v>-6.9</v>
          </cell>
          <cell r="C3157">
            <v>1.5</v>
          </cell>
          <cell r="D3157">
            <v>0</v>
          </cell>
          <cell r="E3157">
            <v>1.1000000000000001</v>
          </cell>
          <cell r="F3157">
            <v>0</v>
          </cell>
          <cell r="G3157">
            <v>0</v>
          </cell>
          <cell r="H3157">
            <v>0</v>
          </cell>
          <cell r="I3157">
            <v>0</v>
          </cell>
          <cell r="J3157">
            <v>0</v>
          </cell>
          <cell r="K3157">
            <v>0.17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 t="b">
            <v>0</v>
          </cell>
        </row>
        <row r="3158">
          <cell r="A3158" t="str">
            <v>Data split-5;Reg-105</v>
          </cell>
          <cell r="B3158">
            <v>-9.5</v>
          </cell>
          <cell r="C3158">
            <v>1.5</v>
          </cell>
          <cell r="D3158">
            <v>0</v>
          </cell>
          <cell r="E3158">
            <v>1.2</v>
          </cell>
          <cell r="F3158">
            <v>0</v>
          </cell>
          <cell r="G3158">
            <v>0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2.9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 t="b">
            <v>0</v>
          </cell>
        </row>
        <row r="3159">
          <cell r="A3159" t="str">
            <v>Data split-5;Reg-106</v>
          </cell>
          <cell r="B3159">
            <v>-8.4</v>
          </cell>
          <cell r="C3159">
            <v>1.9</v>
          </cell>
          <cell r="D3159">
            <v>0</v>
          </cell>
          <cell r="E3159">
            <v>0</v>
          </cell>
          <cell r="F3159">
            <v>0.21</v>
          </cell>
          <cell r="G3159">
            <v>0</v>
          </cell>
          <cell r="H3159">
            <v>0</v>
          </cell>
          <cell r="I3159">
            <v>0</v>
          </cell>
          <cell r="J3159">
            <v>0</v>
          </cell>
          <cell r="K3159">
            <v>0.56000000000000005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 t="b">
            <v>0</v>
          </cell>
        </row>
        <row r="3160">
          <cell r="A3160" t="str">
            <v>Data split-5;Reg-107</v>
          </cell>
          <cell r="B3160">
            <v>-8</v>
          </cell>
          <cell r="C3160">
            <v>2</v>
          </cell>
          <cell r="D3160">
            <v>0</v>
          </cell>
          <cell r="E3160">
            <v>0</v>
          </cell>
          <cell r="F3160">
            <v>0.22</v>
          </cell>
          <cell r="G3160">
            <v>0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2.4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 t="b">
            <v>0</v>
          </cell>
        </row>
        <row r="3161">
          <cell r="A3161" t="str">
            <v>Data split-5;Reg-108</v>
          </cell>
          <cell r="B3161">
            <v>-2.9</v>
          </cell>
          <cell r="C3161">
            <v>0</v>
          </cell>
          <cell r="D3161">
            <v>0.61</v>
          </cell>
          <cell r="E3161">
            <v>2</v>
          </cell>
          <cell r="F3161">
            <v>0</v>
          </cell>
          <cell r="G3161">
            <v>0</v>
          </cell>
          <cell r="H3161">
            <v>0</v>
          </cell>
          <cell r="I3161">
            <v>0</v>
          </cell>
          <cell r="J3161">
            <v>0</v>
          </cell>
          <cell r="K3161">
            <v>0.12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 t="b">
            <v>0</v>
          </cell>
        </row>
        <row r="3162">
          <cell r="A3162" t="str">
            <v>Data split-5;Reg-109</v>
          </cell>
          <cell r="B3162">
            <v>-9.4</v>
          </cell>
          <cell r="C3162">
            <v>0</v>
          </cell>
          <cell r="D3162">
            <v>0.72</v>
          </cell>
          <cell r="E3162">
            <v>2</v>
          </cell>
          <cell r="F3162">
            <v>0</v>
          </cell>
          <cell r="G3162">
            <v>0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5.7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 t="b">
            <v>0</v>
          </cell>
        </row>
        <row r="3163">
          <cell r="A3163" t="str">
            <v>Data split-5;Reg-110</v>
          </cell>
          <cell r="B3163">
            <v>-4.5999999999999996</v>
          </cell>
          <cell r="C3163">
            <v>0</v>
          </cell>
          <cell r="D3163">
            <v>1.4</v>
          </cell>
          <cell r="E3163">
            <v>0</v>
          </cell>
          <cell r="F3163">
            <v>0.32</v>
          </cell>
          <cell r="G3163">
            <v>0</v>
          </cell>
          <cell r="H3163">
            <v>0</v>
          </cell>
          <cell r="I3163">
            <v>0</v>
          </cell>
          <cell r="J3163">
            <v>0</v>
          </cell>
          <cell r="K3163">
            <v>0.95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 t="b">
            <v>0</v>
          </cell>
        </row>
        <row r="3164">
          <cell r="A3164" t="str">
            <v>Data split-5;Reg-111</v>
          </cell>
          <cell r="B3164">
            <v>-7.9</v>
          </cell>
          <cell r="C3164">
            <v>0</v>
          </cell>
          <cell r="D3164">
            <v>1.5</v>
          </cell>
          <cell r="E3164">
            <v>0</v>
          </cell>
          <cell r="F3164">
            <v>0.33</v>
          </cell>
          <cell r="G3164">
            <v>0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7.2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 t="b">
            <v>0</v>
          </cell>
        </row>
        <row r="3165">
          <cell r="A3165" t="str">
            <v>Data split-5;Reg-112</v>
          </cell>
          <cell r="B3165">
            <v>-5.7</v>
          </cell>
          <cell r="C3165">
            <v>1.6</v>
          </cell>
          <cell r="D3165">
            <v>0</v>
          </cell>
          <cell r="E3165">
            <v>0</v>
          </cell>
          <cell r="F3165">
            <v>0</v>
          </cell>
          <cell r="G3165">
            <v>1.1000000000000001</v>
          </cell>
          <cell r="H3165">
            <v>0</v>
          </cell>
          <cell r="I3165">
            <v>-0.8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 t="b">
            <v>1</v>
          </cell>
        </row>
        <row r="3166">
          <cell r="A3166" t="str">
            <v>Data split-5;Reg-113</v>
          </cell>
          <cell r="B3166">
            <v>-8</v>
          </cell>
          <cell r="C3166">
            <v>1.7</v>
          </cell>
          <cell r="D3166">
            <v>0</v>
          </cell>
          <cell r="E3166">
            <v>0</v>
          </cell>
          <cell r="F3166">
            <v>0</v>
          </cell>
          <cell r="G3166">
            <v>0.86</v>
          </cell>
          <cell r="H3166">
            <v>0</v>
          </cell>
          <cell r="I3166">
            <v>0</v>
          </cell>
          <cell r="J3166">
            <v>2.2000000000000002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 t="b">
            <v>0</v>
          </cell>
        </row>
        <row r="3167">
          <cell r="A3167" t="str">
            <v>Data split-5;Reg-114</v>
          </cell>
          <cell r="B3167">
            <v>-4.2</v>
          </cell>
          <cell r="C3167">
            <v>1</v>
          </cell>
          <cell r="D3167">
            <v>0</v>
          </cell>
          <cell r="E3167">
            <v>0</v>
          </cell>
          <cell r="F3167">
            <v>0</v>
          </cell>
          <cell r="G3167">
            <v>0</v>
          </cell>
          <cell r="H3167">
            <v>2.7</v>
          </cell>
          <cell r="I3167">
            <v>-1.1000000000000001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 t="b">
            <v>1</v>
          </cell>
        </row>
        <row r="3168">
          <cell r="A3168" t="str">
            <v>Data split-5;Reg-115</v>
          </cell>
          <cell r="B3168">
            <v>-7.5</v>
          </cell>
          <cell r="C3168">
            <v>1.3</v>
          </cell>
          <cell r="D3168">
            <v>0</v>
          </cell>
          <cell r="E3168">
            <v>0</v>
          </cell>
          <cell r="F3168">
            <v>0</v>
          </cell>
          <cell r="G3168">
            <v>0</v>
          </cell>
          <cell r="H3168">
            <v>1.9</v>
          </cell>
          <cell r="I3168">
            <v>0</v>
          </cell>
          <cell r="J3168">
            <v>2.5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 t="b">
            <v>0</v>
          </cell>
        </row>
        <row r="3169">
          <cell r="A3169" t="str">
            <v>Data split-5;Reg-116</v>
          </cell>
          <cell r="B3169">
            <v>-1.3</v>
          </cell>
          <cell r="C3169">
            <v>0</v>
          </cell>
          <cell r="D3169">
            <v>0.97</v>
          </cell>
          <cell r="E3169">
            <v>0</v>
          </cell>
          <cell r="F3169">
            <v>0</v>
          </cell>
          <cell r="G3169">
            <v>1.5</v>
          </cell>
          <cell r="H3169">
            <v>0</v>
          </cell>
          <cell r="I3169">
            <v>-0.64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 t="b">
            <v>1</v>
          </cell>
        </row>
        <row r="3170">
          <cell r="A3170" t="str">
            <v>Data split-5;Reg-117</v>
          </cell>
          <cell r="B3170">
            <v>-7.9</v>
          </cell>
          <cell r="C3170">
            <v>0</v>
          </cell>
          <cell r="D3170">
            <v>1.2</v>
          </cell>
          <cell r="E3170">
            <v>0</v>
          </cell>
          <cell r="F3170">
            <v>0</v>
          </cell>
          <cell r="G3170">
            <v>0.99</v>
          </cell>
          <cell r="H3170">
            <v>0</v>
          </cell>
          <cell r="I3170">
            <v>0</v>
          </cell>
          <cell r="J3170">
            <v>11.9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 t="b">
            <v>0</v>
          </cell>
        </row>
        <row r="3171">
          <cell r="A3171" t="str">
            <v>Data split-5;Reg-118</v>
          </cell>
          <cell r="B3171">
            <v>-0.15</v>
          </cell>
          <cell r="C3171">
            <v>0</v>
          </cell>
          <cell r="D3171">
            <v>3.7999999999999999E-2</v>
          </cell>
          <cell r="E3171">
            <v>0</v>
          </cell>
          <cell r="F3171">
            <v>0</v>
          </cell>
          <cell r="G3171">
            <v>0</v>
          </cell>
          <cell r="H3171">
            <v>4.5</v>
          </cell>
          <cell r="I3171">
            <v>-2.1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 t="b">
            <v>1</v>
          </cell>
        </row>
        <row r="3172">
          <cell r="A3172" t="str">
            <v>Data split-5;Reg-119</v>
          </cell>
          <cell r="B3172">
            <v>-5.7</v>
          </cell>
          <cell r="C3172">
            <v>0</v>
          </cell>
          <cell r="D3172">
            <v>0.56000000000000005</v>
          </cell>
          <cell r="E3172">
            <v>0</v>
          </cell>
          <cell r="F3172">
            <v>0</v>
          </cell>
          <cell r="G3172">
            <v>0</v>
          </cell>
          <cell r="H3172">
            <v>2.7</v>
          </cell>
          <cell r="I3172">
            <v>0</v>
          </cell>
          <cell r="J3172">
            <v>5.2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 t="b">
            <v>0</v>
          </cell>
        </row>
        <row r="3173">
          <cell r="A3173" t="str">
            <v>Data split-5;Reg-120</v>
          </cell>
          <cell r="B3173">
            <v>-5.6</v>
          </cell>
          <cell r="C3173">
            <v>1.7</v>
          </cell>
          <cell r="D3173">
            <v>0</v>
          </cell>
          <cell r="E3173">
            <v>0</v>
          </cell>
          <cell r="F3173">
            <v>0</v>
          </cell>
          <cell r="G3173">
            <v>0.93</v>
          </cell>
          <cell r="H3173">
            <v>0</v>
          </cell>
          <cell r="I3173">
            <v>0</v>
          </cell>
          <cell r="J3173">
            <v>0</v>
          </cell>
          <cell r="K3173">
            <v>-0.26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 t="b">
            <v>1</v>
          </cell>
        </row>
        <row r="3174">
          <cell r="A3174" t="str">
            <v>Data split-5;Reg-121</v>
          </cell>
          <cell r="B3174">
            <v>-9.9</v>
          </cell>
          <cell r="C3174">
            <v>1.7</v>
          </cell>
          <cell r="D3174">
            <v>0</v>
          </cell>
          <cell r="E3174">
            <v>0</v>
          </cell>
          <cell r="F3174">
            <v>0</v>
          </cell>
          <cell r="G3174">
            <v>0.91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2.2999999999999998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 t="b">
            <v>0</v>
          </cell>
        </row>
        <row r="3175">
          <cell r="A3175" t="str">
            <v>Data split-5;Reg-122</v>
          </cell>
          <cell r="B3175">
            <v>-5.0999999999999996</v>
          </cell>
          <cell r="C3175">
            <v>1.2</v>
          </cell>
          <cell r="D3175">
            <v>0</v>
          </cell>
          <cell r="E3175">
            <v>0</v>
          </cell>
          <cell r="F3175">
            <v>0</v>
          </cell>
          <cell r="G3175">
            <v>0</v>
          </cell>
          <cell r="H3175">
            <v>2</v>
          </cell>
          <cell r="I3175">
            <v>0</v>
          </cell>
          <cell r="J3175">
            <v>0</v>
          </cell>
          <cell r="K3175">
            <v>-0.21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 t="b">
            <v>1</v>
          </cell>
        </row>
        <row r="3176">
          <cell r="A3176" t="str">
            <v>Data split-5;Reg-123</v>
          </cell>
          <cell r="B3176">
            <v>-10.199999999999999</v>
          </cell>
          <cell r="C3176">
            <v>1.3</v>
          </cell>
          <cell r="D3176">
            <v>0</v>
          </cell>
          <cell r="E3176">
            <v>0</v>
          </cell>
          <cell r="F3176">
            <v>0</v>
          </cell>
          <cell r="G3176">
            <v>0</v>
          </cell>
          <cell r="H3176">
            <v>2</v>
          </cell>
          <cell r="I3176">
            <v>0</v>
          </cell>
          <cell r="J3176">
            <v>0</v>
          </cell>
          <cell r="K3176">
            <v>0</v>
          </cell>
          <cell r="L3176">
            <v>3.2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 t="b">
            <v>0</v>
          </cell>
        </row>
        <row r="3177">
          <cell r="A3177" t="str">
            <v>Data split-5;Reg-124</v>
          </cell>
          <cell r="B3177">
            <v>-1.1000000000000001</v>
          </cell>
          <cell r="C3177">
            <v>0</v>
          </cell>
          <cell r="D3177">
            <v>1</v>
          </cell>
          <cell r="E3177">
            <v>0</v>
          </cell>
          <cell r="F3177">
            <v>0</v>
          </cell>
          <cell r="G3177">
            <v>1.3</v>
          </cell>
          <cell r="H3177">
            <v>0</v>
          </cell>
          <cell r="I3177">
            <v>0</v>
          </cell>
          <cell r="J3177">
            <v>0</v>
          </cell>
          <cell r="K3177">
            <v>-0.23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 t="b">
            <v>1</v>
          </cell>
        </row>
        <row r="3178">
          <cell r="A3178" t="str">
            <v>Data split-5;Reg-125</v>
          </cell>
          <cell r="B3178">
            <v>-9.1999999999999993</v>
          </cell>
          <cell r="C3178">
            <v>0</v>
          </cell>
          <cell r="D3178">
            <v>1.1000000000000001</v>
          </cell>
          <cell r="E3178">
            <v>0</v>
          </cell>
          <cell r="F3178">
            <v>0</v>
          </cell>
          <cell r="G3178">
            <v>1.2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5.5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 t="b">
            <v>0</v>
          </cell>
        </row>
        <row r="3179">
          <cell r="A3179" t="str">
            <v>Data split-5;Reg-126</v>
          </cell>
          <cell r="B3179">
            <v>-1</v>
          </cell>
          <cell r="C3179">
            <v>0</v>
          </cell>
          <cell r="D3179">
            <v>0.42</v>
          </cell>
          <cell r="E3179">
            <v>0</v>
          </cell>
          <cell r="F3179">
            <v>0</v>
          </cell>
          <cell r="G3179">
            <v>0</v>
          </cell>
          <cell r="H3179">
            <v>3.1</v>
          </cell>
          <cell r="I3179">
            <v>0</v>
          </cell>
          <cell r="J3179">
            <v>0</v>
          </cell>
          <cell r="K3179">
            <v>-0.4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 t="b">
            <v>1</v>
          </cell>
        </row>
        <row r="3180">
          <cell r="A3180" t="str">
            <v>Data split-5;Reg-127</v>
          </cell>
          <cell r="B3180">
            <v>-9.8000000000000007</v>
          </cell>
          <cell r="C3180">
            <v>0</v>
          </cell>
          <cell r="D3180">
            <v>0.57999999999999996</v>
          </cell>
          <cell r="E3180">
            <v>0</v>
          </cell>
          <cell r="F3180">
            <v>0</v>
          </cell>
          <cell r="G3180">
            <v>0</v>
          </cell>
          <cell r="H3180">
            <v>2.9</v>
          </cell>
          <cell r="I3180">
            <v>0</v>
          </cell>
          <cell r="J3180">
            <v>0</v>
          </cell>
          <cell r="K3180">
            <v>0</v>
          </cell>
          <cell r="L3180">
            <v>5.2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 t="b">
            <v>0</v>
          </cell>
        </row>
        <row r="3181">
          <cell r="A3181" t="str">
            <v>Data split-6;Reg-1</v>
          </cell>
          <cell r="B3181">
            <v>-7.4</v>
          </cell>
          <cell r="C3181">
            <v>1.9</v>
          </cell>
          <cell r="D3181">
            <v>0</v>
          </cell>
          <cell r="E3181">
            <v>0</v>
          </cell>
          <cell r="F3181">
            <v>0.12</v>
          </cell>
          <cell r="G3181">
            <v>0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1.9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 t="b">
            <v>0</v>
          </cell>
        </row>
        <row r="3182">
          <cell r="A3182" t="str">
            <v>Data split-6;Reg-2</v>
          </cell>
          <cell r="B3182">
            <v>-6.1</v>
          </cell>
          <cell r="C3182">
            <v>1.6</v>
          </cell>
          <cell r="D3182">
            <v>0</v>
          </cell>
          <cell r="E3182">
            <v>0</v>
          </cell>
          <cell r="F3182">
            <v>5.2999999999999999E-2</v>
          </cell>
          <cell r="G3182">
            <v>1.3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0</v>
          </cell>
          <cell r="M3182">
            <v>-8.5000000000000006E-2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 t="b">
            <v>1</v>
          </cell>
        </row>
        <row r="3183">
          <cell r="A3183" t="str">
            <v>Data split-6;Reg-3</v>
          </cell>
          <cell r="B3183">
            <v>-6.2</v>
          </cell>
          <cell r="C3183">
            <v>1.7</v>
          </cell>
          <cell r="D3183">
            <v>0</v>
          </cell>
          <cell r="E3183">
            <v>0</v>
          </cell>
          <cell r="F3183">
            <v>5.7000000000000002E-2</v>
          </cell>
          <cell r="G3183">
            <v>1.3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-1.4999999999999999E-2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 t="b">
            <v>1</v>
          </cell>
        </row>
        <row r="3184">
          <cell r="A3184" t="str">
            <v>Data split-6;Reg-4</v>
          </cell>
          <cell r="B3184">
            <v>-4.5999999999999996</v>
          </cell>
          <cell r="C3184">
            <v>1.2</v>
          </cell>
          <cell r="D3184">
            <v>0</v>
          </cell>
          <cell r="E3184">
            <v>0</v>
          </cell>
          <cell r="F3184">
            <v>0.02</v>
          </cell>
          <cell r="G3184">
            <v>0</v>
          </cell>
          <cell r="H3184">
            <v>2.7</v>
          </cell>
          <cell r="I3184">
            <v>0</v>
          </cell>
          <cell r="J3184">
            <v>0</v>
          </cell>
          <cell r="K3184">
            <v>0</v>
          </cell>
          <cell r="L3184">
            <v>0</v>
          </cell>
          <cell r="M3184">
            <v>-9.8000000000000004E-2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 t="b">
            <v>1</v>
          </cell>
        </row>
        <row r="3185">
          <cell r="A3185" t="str">
            <v>Data split-6;Reg-5</v>
          </cell>
          <cell r="B3185">
            <v>-1.3</v>
          </cell>
          <cell r="C3185">
            <v>0</v>
          </cell>
          <cell r="D3185">
            <v>0.67</v>
          </cell>
          <cell r="E3185">
            <v>0</v>
          </cell>
          <cell r="F3185">
            <v>3.3000000000000002E-2</v>
          </cell>
          <cell r="G3185">
            <v>0</v>
          </cell>
          <cell r="H3185">
            <v>3.3</v>
          </cell>
          <cell r="I3185">
            <v>0</v>
          </cell>
          <cell r="J3185">
            <v>0</v>
          </cell>
          <cell r="K3185">
            <v>0</v>
          </cell>
          <cell r="L3185">
            <v>0</v>
          </cell>
          <cell r="M3185">
            <v>-0.1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 t="b">
            <v>1</v>
          </cell>
        </row>
        <row r="3186">
          <cell r="A3186" t="str">
            <v>Data split-6;Reg-6</v>
          </cell>
          <cell r="B3186">
            <v>-6</v>
          </cell>
          <cell r="C3186">
            <v>1.4</v>
          </cell>
          <cell r="D3186">
            <v>0</v>
          </cell>
          <cell r="E3186">
            <v>1.4</v>
          </cell>
          <cell r="F3186">
            <v>0</v>
          </cell>
          <cell r="G3186">
            <v>0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1.2</v>
          </cell>
          <cell r="M3186">
            <v>-5.5E-2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 t="b">
            <v>0</v>
          </cell>
        </row>
        <row r="3187">
          <cell r="A3187" t="str">
            <v>Data split-6;Reg-7</v>
          </cell>
          <cell r="B3187">
            <v>-7.6</v>
          </cell>
          <cell r="C3187">
            <v>1.9</v>
          </cell>
          <cell r="D3187">
            <v>0</v>
          </cell>
          <cell r="E3187">
            <v>0</v>
          </cell>
          <cell r="F3187">
            <v>0.11</v>
          </cell>
          <cell r="G3187">
            <v>0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2.1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1.4E-2</v>
          </cell>
          <cell r="T3187">
            <v>0</v>
          </cell>
          <cell r="U3187" t="b">
            <v>0</v>
          </cell>
        </row>
        <row r="3188">
          <cell r="A3188" t="str">
            <v>Data split-6;Reg-8</v>
          </cell>
          <cell r="B3188">
            <v>-5.9</v>
          </cell>
          <cell r="C3188">
            <v>1.7</v>
          </cell>
          <cell r="D3188">
            <v>0</v>
          </cell>
          <cell r="E3188">
            <v>0</v>
          </cell>
          <cell r="F3188">
            <v>0</v>
          </cell>
          <cell r="G3188">
            <v>1.3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-0.54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-6.9000000000000006E-2</v>
          </cell>
          <cell r="T3188">
            <v>0</v>
          </cell>
          <cell r="U3188" t="b">
            <v>1</v>
          </cell>
        </row>
        <row r="3189">
          <cell r="A3189" t="str">
            <v>Data split-6;Reg-9</v>
          </cell>
          <cell r="B3189">
            <v>-3.9</v>
          </cell>
          <cell r="C3189">
            <v>0</v>
          </cell>
          <cell r="D3189">
            <v>0.62</v>
          </cell>
          <cell r="E3189">
            <v>0</v>
          </cell>
          <cell r="F3189">
            <v>0</v>
          </cell>
          <cell r="G3189">
            <v>0</v>
          </cell>
          <cell r="H3189">
            <v>4.0999999999999996</v>
          </cell>
          <cell r="I3189">
            <v>0</v>
          </cell>
          <cell r="J3189">
            <v>0</v>
          </cell>
          <cell r="K3189">
            <v>0</v>
          </cell>
          <cell r="L3189">
            <v>1.7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-0.14000000000000001</v>
          </cell>
          <cell r="T3189">
            <v>0</v>
          </cell>
          <cell r="U3189" t="b">
            <v>0</v>
          </cell>
        </row>
        <row r="3190">
          <cell r="A3190" t="str">
            <v>Data split-6;Reg-10</v>
          </cell>
          <cell r="B3190">
            <v>-3.9</v>
          </cell>
          <cell r="C3190">
            <v>0</v>
          </cell>
          <cell r="D3190">
            <v>0.62</v>
          </cell>
          <cell r="E3190">
            <v>0</v>
          </cell>
          <cell r="F3190">
            <v>0</v>
          </cell>
          <cell r="G3190">
            <v>0</v>
          </cell>
          <cell r="H3190">
            <v>4.0999999999999996</v>
          </cell>
          <cell r="I3190">
            <v>0</v>
          </cell>
          <cell r="J3190">
            <v>0</v>
          </cell>
          <cell r="K3190">
            <v>0</v>
          </cell>
          <cell r="L3190">
            <v>1.7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-0.14000000000000001</v>
          </cell>
          <cell r="T3190">
            <v>0</v>
          </cell>
          <cell r="U3190" t="b">
            <v>0</v>
          </cell>
        </row>
        <row r="3191">
          <cell r="A3191" t="str">
            <v>Data split-6;Reg-11</v>
          </cell>
          <cell r="B3191">
            <v>-6.3</v>
          </cell>
          <cell r="C3191">
            <v>1.5</v>
          </cell>
          <cell r="D3191">
            <v>0</v>
          </cell>
          <cell r="E3191">
            <v>-8.7999999999999995E-2</v>
          </cell>
          <cell r="F3191">
            <v>0</v>
          </cell>
          <cell r="G3191">
            <v>0.92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 t="b">
            <v>0</v>
          </cell>
        </row>
        <row r="3192">
          <cell r="A3192" t="str">
            <v>Data split-6;Reg-12</v>
          </cell>
          <cell r="B3192">
            <v>-5.4</v>
          </cell>
          <cell r="C3192">
            <v>1.3</v>
          </cell>
          <cell r="D3192">
            <v>0</v>
          </cell>
          <cell r="E3192">
            <v>-0.74</v>
          </cell>
          <cell r="F3192">
            <v>0</v>
          </cell>
          <cell r="G3192">
            <v>0</v>
          </cell>
          <cell r="H3192">
            <v>2.5</v>
          </cell>
          <cell r="I3192">
            <v>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 t="b">
            <v>0</v>
          </cell>
        </row>
        <row r="3193">
          <cell r="A3193" t="str">
            <v>Data split-6;Reg-13</v>
          </cell>
          <cell r="B3193">
            <v>-5.7</v>
          </cell>
          <cell r="C3193">
            <v>1.5</v>
          </cell>
          <cell r="D3193">
            <v>0</v>
          </cell>
          <cell r="E3193">
            <v>0</v>
          </cell>
          <cell r="F3193">
            <v>4.3999999999999997E-2</v>
          </cell>
          <cell r="G3193">
            <v>0.82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 t="b">
            <v>1</v>
          </cell>
        </row>
        <row r="3194">
          <cell r="A3194" t="str">
            <v>Data split-6;Reg-14</v>
          </cell>
          <cell r="B3194">
            <v>-4.8</v>
          </cell>
          <cell r="C3194">
            <v>1.2</v>
          </cell>
          <cell r="D3194">
            <v>0</v>
          </cell>
          <cell r="E3194">
            <v>0</v>
          </cell>
          <cell r="F3194">
            <v>2.8000000000000001E-2</v>
          </cell>
          <cell r="G3194">
            <v>0</v>
          </cell>
          <cell r="H3194">
            <v>1.6</v>
          </cell>
          <cell r="I3194">
            <v>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 t="b">
            <v>1</v>
          </cell>
        </row>
        <row r="3195">
          <cell r="A3195" t="str">
            <v>Data split-6;Reg-15</v>
          </cell>
          <cell r="B3195">
            <v>-4.5</v>
          </cell>
          <cell r="C3195">
            <v>1.4</v>
          </cell>
          <cell r="D3195">
            <v>0</v>
          </cell>
          <cell r="E3195">
            <v>1.4</v>
          </cell>
          <cell r="F3195">
            <v>0</v>
          </cell>
          <cell r="G3195">
            <v>0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0</v>
          </cell>
          <cell r="M3195">
            <v>-5.8000000000000003E-2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 t="b">
            <v>1</v>
          </cell>
        </row>
        <row r="3196">
          <cell r="A3196" t="str">
            <v>Data split-6;Reg-16</v>
          </cell>
          <cell r="B3196">
            <v>-4.5999999999999996</v>
          </cell>
          <cell r="C3196">
            <v>1.4</v>
          </cell>
          <cell r="D3196">
            <v>0</v>
          </cell>
          <cell r="E3196">
            <v>1.3</v>
          </cell>
          <cell r="F3196">
            <v>0</v>
          </cell>
          <cell r="G3196">
            <v>0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0</v>
          </cell>
          <cell r="M3196">
            <v>0</v>
          </cell>
          <cell r="N3196">
            <v>-7.9000000000000008E-3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 t="b">
            <v>1</v>
          </cell>
        </row>
        <row r="3197">
          <cell r="A3197" t="str">
            <v>Data split-6;Reg-17</v>
          </cell>
          <cell r="B3197">
            <v>-5</v>
          </cell>
          <cell r="C3197">
            <v>2</v>
          </cell>
          <cell r="D3197">
            <v>0</v>
          </cell>
          <cell r="E3197">
            <v>0</v>
          </cell>
          <cell r="F3197">
            <v>0.12</v>
          </cell>
          <cell r="G3197">
            <v>0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0</v>
          </cell>
          <cell r="M3197">
            <v>-5.5999999999999999E-3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 t="b">
            <v>1</v>
          </cell>
        </row>
        <row r="3198">
          <cell r="A3198" t="str">
            <v>Data split-6;Reg-18</v>
          </cell>
          <cell r="B3198">
            <v>-5</v>
          </cell>
          <cell r="C3198">
            <v>1.8</v>
          </cell>
          <cell r="D3198">
            <v>0</v>
          </cell>
          <cell r="E3198">
            <v>0</v>
          </cell>
          <cell r="F3198">
            <v>0.11</v>
          </cell>
          <cell r="G3198">
            <v>0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2.8E-3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 t="b">
            <v>0</v>
          </cell>
        </row>
        <row r="3199">
          <cell r="A3199" t="str">
            <v>Data split-6;Reg-19</v>
          </cell>
          <cell r="B3199">
            <v>-7.1</v>
          </cell>
          <cell r="C3199">
            <v>1.4</v>
          </cell>
          <cell r="D3199">
            <v>0</v>
          </cell>
          <cell r="E3199">
            <v>0</v>
          </cell>
          <cell r="F3199">
            <v>0</v>
          </cell>
          <cell r="G3199">
            <v>1.6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-8.2000000000000003E-2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 t="b">
            <v>1</v>
          </cell>
        </row>
        <row r="3200">
          <cell r="A3200" t="str">
            <v>Data split-6;Reg-20</v>
          </cell>
          <cell r="B3200">
            <v>-7.2</v>
          </cell>
          <cell r="C3200">
            <v>1.4</v>
          </cell>
          <cell r="D3200">
            <v>0</v>
          </cell>
          <cell r="E3200">
            <v>0</v>
          </cell>
          <cell r="F3200">
            <v>0</v>
          </cell>
          <cell r="G3200">
            <v>1.5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-1.2999999999999999E-2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 t="b">
            <v>1</v>
          </cell>
        </row>
        <row r="3201">
          <cell r="A3201" t="str">
            <v>Data split-6;Reg-21</v>
          </cell>
          <cell r="B3201">
            <v>-5.0999999999999996</v>
          </cell>
          <cell r="C3201">
            <v>1</v>
          </cell>
          <cell r="D3201">
            <v>0</v>
          </cell>
          <cell r="E3201">
            <v>0</v>
          </cell>
          <cell r="F3201">
            <v>0</v>
          </cell>
          <cell r="G3201">
            <v>0</v>
          </cell>
          <cell r="H3201">
            <v>2.4</v>
          </cell>
          <cell r="I3201">
            <v>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-4.5999999999999999E-2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 t="b">
            <v>1</v>
          </cell>
        </row>
        <row r="3202">
          <cell r="A3202" t="str">
            <v>Data split-6;Reg-22</v>
          </cell>
          <cell r="B3202">
            <v>-5.0999999999999996</v>
          </cell>
          <cell r="C3202">
            <v>1.1000000000000001</v>
          </cell>
          <cell r="D3202">
            <v>0</v>
          </cell>
          <cell r="E3202">
            <v>0</v>
          </cell>
          <cell r="F3202">
            <v>0</v>
          </cell>
          <cell r="G3202">
            <v>0</v>
          </cell>
          <cell r="H3202">
            <v>2</v>
          </cell>
          <cell r="I3202">
            <v>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-4.5999999999999999E-3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 t="b">
            <v>1</v>
          </cell>
        </row>
        <row r="3203">
          <cell r="A3203" t="str">
            <v>Data split-6;Reg-23</v>
          </cell>
          <cell r="B3203">
            <v>-1.8</v>
          </cell>
          <cell r="C3203">
            <v>0</v>
          </cell>
          <cell r="D3203">
            <v>0.89</v>
          </cell>
          <cell r="E3203">
            <v>0.63</v>
          </cell>
          <cell r="F3203">
            <v>0</v>
          </cell>
          <cell r="G3203">
            <v>0.78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 t="b">
            <v>1</v>
          </cell>
        </row>
        <row r="3204">
          <cell r="A3204" t="str">
            <v>Data split-6;Reg-24</v>
          </cell>
          <cell r="B3204">
            <v>-1.8</v>
          </cell>
          <cell r="C3204">
            <v>0</v>
          </cell>
          <cell r="D3204">
            <v>0.69</v>
          </cell>
          <cell r="E3204">
            <v>-0.25</v>
          </cell>
          <cell r="F3204">
            <v>0</v>
          </cell>
          <cell r="G3204">
            <v>0</v>
          </cell>
          <cell r="H3204">
            <v>2.6</v>
          </cell>
          <cell r="I3204">
            <v>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 t="b">
            <v>0</v>
          </cell>
        </row>
        <row r="3205">
          <cell r="A3205" t="str">
            <v>Data split-6;Reg-25</v>
          </cell>
          <cell r="B3205">
            <v>-1.4</v>
          </cell>
          <cell r="C3205">
            <v>0</v>
          </cell>
          <cell r="D3205">
            <v>1</v>
          </cell>
          <cell r="E3205">
            <v>0</v>
          </cell>
          <cell r="F3205">
            <v>8.5000000000000006E-2</v>
          </cell>
          <cell r="G3205">
            <v>0.98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 t="b">
            <v>1</v>
          </cell>
        </row>
        <row r="3206">
          <cell r="A3206" t="str">
            <v>Data split-6;Reg-26</v>
          </cell>
          <cell r="B3206">
            <v>-1.4</v>
          </cell>
          <cell r="C3206">
            <v>0</v>
          </cell>
          <cell r="D3206">
            <v>0.68</v>
          </cell>
          <cell r="E3206">
            <v>0</v>
          </cell>
          <cell r="F3206">
            <v>4.2000000000000003E-2</v>
          </cell>
          <cell r="G3206">
            <v>0</v>
          </cell>
          <cell r="H3206">
            <v>2.1</v>
          </cell>
          <cell r="I3206">
            <v>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 t="b">
            <v>1</v>
          </cell>
        </row>
        <row r="3207">
          <cell r="A3207" t="str">
            <v>Data split-6;Reg-27</v>
          </cell>
          <cell r="B3207">
            <v>-0.57999999999999996</v>
          </cell>
          <cell r="C3207">
            <v>0</v>
          </cell>
          <cell r="D3207">
            <v>0.85</v>
          </cell>
          <cell r="E3207">
            <v>2</v>
          </cell>
          <cell r="F3207">
            <v>0</v>
          </cell>
          <cell r="G3207">
            <v>0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0</v>
          </cell>
          <cell r="M3207">
            <v>-6.4000000000000001E-2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 t="b">
            <v>1</v>
          </cell>
        </row>
        <row r="3208">
          <cell r="A3208" t="str">
            <v>Data split-6;Reg-28</v>
          </cell>
          <cell r="B3208">
            <v>-0.69</v>
          </cell>
          <cell r="C3208">
            <v>0</v>
          </cell>
          <cell r="D3208">
            <v>0.85</v>
          </cell>
          <cell r="E3208">
            <v>1.9</v>
          </cell>
          <cell r="F3208">
            <v>0</v>
          </cell>
          <cell r="G3208">
            <v>0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-8.8000000000000005E-3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 t="b">
            <v>1</v>
          </cell>
        </row>
        <row r="3209">
          <cell r="A3209" t="str">
            <v>Data split-6;Reg-29</v>
          </cell>
          <cell r="B3209">
            <v>0.76</v>
          </cell>
          <cell r="C3209">
            <v>0</v>
          </cell>
          <cell r="D3209">
            <v>1.5</v>
          </cell>
          <cell r="E3209">
            <v>0</v>
          </cell>
          <cell r="F3209">
            <v>0.18</v>
          </cell>
          <cell r="G3209">
            <v>0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0</v>
          </cell>
          <cell r="M3209">
            <v>1.0999999999999999E-2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 t="b">
            <v>0</v>
          </cell>
        </row>
        <row r="3210">
          <cell r="A3210" t="str">
            <v>Data split-6;Reg-30</v>
          </cell>
          <cell r="B3210">
            <v>0.39</v>
          </cell>
          <cell r="C3210">
            <v>0</v>
          </cell>
          <cell r="D3210">
            <v>1.4</v>
          </cell>
          <cell r="E3210">
            <v>0</v>
          </cell>
          <cell r="F3210">
            <v>0.16</v>
          </cell>
          <cell r="G3210">
            <v>0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7.0000000000000001E-3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 t="b">
            <v>0</v>
          </cell>
        </row>
        <row r="3211">
          <cell r="A3211" t="str">
            <v>Data split-6;Reg-31</v>
          </cell>
          <cell r="B3211">
            <v>-3.8</v>
          </cell>
          <cell r="C3211">
            <v>0</v>
          </cell>
          <cell r="D3211">
            <v>0.96</v>
          </cell>
          <cell r="E3211">
            <v>0</v>
          </cell>
          <cell r="F3211">
            <v>0</v>
          </cell>
          <cell r="G3211">
            <v>2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-0.11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 t="b">
            <v>1</v>
          </cell>
        </row>
        <row r="3212">
          <cell r="A3212" t="str">
            <v>Data split-6;Reg-32</v>
          </cell>
          <cell r="B3212">
            <v>-3.8</v>
          </cell>
          <cell r="C3212">
            <v>0</v>
          </cell>
          <cell r="D3212">
            <v>1</v>
          </cell>
          <cell r="E3212">
            <v>0</v>
          </cell>
          <cell r="F3212">
            <v>0</v>
          </cell>
          <cell r="G3212">
            <v>1.9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-1.7999999999999999E-2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 t="b">
            <v>1</v>
          </cell>
        </row>
        <row r="3213">
          <cell r="A3213" t="str">
            <v>Data split-6;Reg-33</v>
          </cell>
          <cell r="B3213">
            <v>-2.6</v>
          </cell>
          <cell r="C3213">
            <v>0</v>
          </cell>
          <cell r="D3213">
            <v>0.46</v>
          </cell>
          <cell r="E3213">
            <v>0</v>
          </cell>
          <cell r="F3213">
            <v>0</v>
          </cell>
          <cell r="G3213">
            <v>0</v>
          </cell>
          <cell r="H3213">
            <v>3.3</v>
          </cell>
          <cell r="I3213">
            <v>0</v>
          </cell>
          <cell r="J3213">
            <v>0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-7.2999999999999995E-2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 t="b">
            <v>1</v>
          </cell>
        </row>
        <row r="3214">
          <cell r="A3214" t="str">
            <v>Data split-6;Reg-34</v>
          </cell>
          <cell r="B3214">
            <v>-2.4</v>
          </cell>
          <cell r="C3214">
            <v>0</v>
          </cell>
          <cell r="D3214">
            <v>0.55000000000000004</v>
          </cell>
          <cell r="E3214">
            <v>0</v>
          </cell>
          <cell r="F3214">
            <v>0</v>
          </cell>
          <cell r="G3214">
            <v>0</v>
          </cell>
          <cell r="H3214">
            <v>3</v>
          </cell>
          <cell r="I3214">
            <v>0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-9.7000000000000003E-3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 t="b">
            <v>1</v>
          </cell>
        </row>
        <row r="3215">
          <cell r="A3215" t="str">
            <v>Data split-6;Reg-35</v>
          </cell>
          <cell r="B3215">
            <v>-6.1</v>
          </cell>
          <cell r="C3215">
            <v>1.6</v>
          </cell>
          <cell r="D3215">
            <v>0</v>
          </cell>
          <cell r="E3215">
            <v>0.36</v>
          </cell>
          <cell r="F3215">
            <v>0</v>
          </cell>
          <cell r="G3215">
            <v>1.2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0</v>
          </cell>
          <cell r="M3215">
            <v>-0.09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 t="b">
            <v>1</v>
          </cell>
        </row>
        <row r="3216">
          <cell r="A3216" t="str">
            <v>Data split-6;Reg-36</v>
          </cell>
          <cell r="B3216">
            <v>-6.3</v>
          </cell>
          <cell r="C3216">
            <v>1.6</v>
          </cell>
          <cell r="D3216">
            <v>0</v>
          </cell>
          <cell r="E3216">
            <v>0.35</v>
          </cell>
          <cell r="F3216">
            <v>0</v>
          </cell>
          <cell r="G3216">
            <v>1.2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0</v>
          </cell>
          <cell r="M3216">
            <v>0</v>
          </cell>
          <cell r="N3216">
            <v>-1.7000000000000001E-2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 t="b">
            <v>1</v>
          </cell>
        </row>
        <row r="3217">
          <cell r="A3217" t="str">
            <v>Data split-6;Reg-37</v>
          </cell>
          <cell r="B3217">
            <v>-5</v>
          </cell>
          <cell r="C3217">
            <v>1.2</v>
          </cell>
          <cell r="D3217">
            <v>0</v>
          </cell>
          <cell r="E3217">
            <v>-0.52</v>
          </cell>
          <cell r="F3217">
            <v>0</v>
          </cell>
          <cell r="G3217">
            <v>0</v>
          </cell>
          <cell r="H3217">
            <v>3.3</v>
          </cell>
          <cell r="I3217">
            <v>0</v>
          </cell>
          <cell r="J3217">
            <v>0</v>
          </cell>
          <cell r="K3217">
            <v>0</v>
          </cell>
          <cell r="L3217">
            <v>0</v>
          </cell>
          <cell r="M3217">
            <v>-9.6000000000000002E-2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 t="b">
            <v>0</v>
          </cell>
        </row>
        <row r="3218">
          <cell r="A3218" t="str">
            <v>Data split-6;Reg-38</v>
          </cell>
          <cell r="B3218">
            <v>-5.2</v>
          </cell>
          <cell r="C3218">
            <v>1.3</v>
          </cell>
          <cell r="D3218">
            <v>0</v>
          </cell>
          <cell r="E3218">
            <v>-0.46</v>
          </cell>
          <cell r="F3218">
            <v>0</v>
          </cell>
          <cell r="G3218">
            <v>0</v>
          </cell>
          <cell r="H3218">
            <v>3.1</v>
          </cell>
          <cell r="I3218">
            <v>0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-1.6E-2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 t="b">
            <v>0</v>
          </cell>
        </row>
        <row r="3219">
          <cell r="A3219" t="str">
            <v>Data split-6;Reg-39</v>
          </cell>
          <cell r="B3219">
            <v>-6.1</v>
          </cell>
          <cell r="C3219">
            <v>1.6</v>
          </cell>
          <cell r="D3219">
            <v>0</v>
          </cell>
          <cell r="E3219">
            <v>0</v>
          </cell>
          <cell r="F3219">
            <v>5.2999999999999999E-2</v>
          </cell>
          <cell r="G3219">
            <v>1.3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0</v>
          </cell>
          <cell r="M3219">
            <v>-8.5000000000000006E-2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 t="b">
            <v>1</v>
          </cell>
        </row>
        <row r="3220">
          <cell r="A3220" t="str">
            <v>Data split-6;Reg-40</v>
          </cell>
          <cell r="B3220">
            <v>-6.2</v>
          </cell>
          <cell r="C3220">
            <v>1.7</v>
          </cell>
          <cell r="D3220">
            <v>0</v>
          </cell>
          <cell r="E3220">
            <v>0</v>
          </cell>
          <cell r="F3220">
            <v>5.7000000000000002E-2</v>
          </cell>
          <cell r="G3220">
            <v>1.3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-1.4999999999999999E-2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 t="b">
            <v>1</v>
          </cell>
        </row>
        <row r="3221">
          <cell r="A3221" t="str">
            <v>Data split-6;Reg-41</v>
          </cell>
          <cell r="B3221">
            <v>-4.5999999999999996</v>
          </cell>
          <cell r="C3221">
            <v>1.2</v>
          </cell>
          <cell r="D3221">
            <v>0</v>
          </cell>
          <cell r="E3221">
            <v>0</v>
          </cell>
          <cell r="F3221">
            <v>0.02</v>
          </cell>
          <cell r="G3221">
            <v>0</v>
          </cell>
          <cell r="H3221">
            <v>2.7</v>
          </cell>
          <cell r="I3221">
            <v>0</v>
          </cell>
          <cell r="J3221">
            <v>0</v>
          </cell>
          <cell r="K3221">
            <v>0</v>
          </cell>
          <cell r="L3221">
            <v>0</v>
          </cell>
          <cell r="M3221">
            <v>-9.8000000000000004E-2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 t="b">
            <v>1</v>
          </cell>
        </row>
        <row r="3222">
          <cell r="A3222" t="str">
            <v>Data split-6;Reg-42</v>
          </cell>
          <cell r="B3222">
            <v>-4.7</v>
          </cell>
          <cell r="C3222">
            <v>1.2</v>
          </cell>
          <cell r="D3222">
            <v>0</v>
          </cell>
          <cell r="E3222">
            <v>0</v>
          </cell>
          <cell r="F3222">
            <v>2.7E-2</v>
          </cell>
          <cell r="G3222">
            <v>0</v>
          </cell>
          <cell r="H3222">
            <v>2.6</v>
          </cell>
          <cell r="I3222">
            <v>0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-1.7000000000000001E-2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 t="b">
            <v>1</v>
          </cell>
        </row>
        <row r="3223">
          <cell r="A3223" t="str">
            <v>Data split-6;Reg-43</v>
          </cell>
          <cell r="B3223">
            <v>-7.2</v>
          </cell>
          <cell r="C3223">
            <v>1.4</v>
          </cell>
          <cell r="D3223">
            <v>0</v>
          </cell>
          <cell r="E3223">
            <v>-2.1000000000000001E-2</v>
          </cell>
          <cell r="F3223">
            <v>0</v>
          </cell>
          <cell r="G3223">
            <v>1.6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-8.2000000000000003E-2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 t="b">
            <v>0</v>
          </cell>
        </row>
        <row r="3224">
          <cell r="A3224" t="str">
            <v>Data split-6;Reg-44</v>
          </cell>
          <cell r="B3224">
            <v>-7.2</v>
          </cell>
          <cell r="C3224">
            <v>1.4</v>
          </cell>
          <cell r="D3224">
            <v>0</v>
          </cell>
          <cell r="E3224">
            <v>-3.9E-2</v>
          </cell>
          <cell r="F3224">
            <v>0</v>
          </cell>
          <cell r="G3224">
            <v>1.5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-1.2999999999999999E-2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 t="b">
            <v>0</v>
          </cell>
        </row>
        <row r="3225">
          <cell r="A3225" t="str">
            <v>Data split-6;Reg-45</v>
          </cell>
          <cell r="B3225">
            <v>-5.5</v>
          </cell>
          <cell r="C3225">
            <v>1.1000000000000001</v>
          </cell>
          <cell r="D3225">
            <v>0</v>
          </cell>
          <cell r="E3225">
            <v>-0.84</v>
          </cell>
          <cell r="F3225">
            <v>0</v>
          </cell>
          <cell r="G3225">
            <v>0</v>
          </cell>
          <cell r="H3225">
            <v>3.4</v>
          </cell>
          <cell r="I3225">
            <v>0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-0.05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 t="b">
            <v>0</v>
          </cell>
        </row>
        <row r="3226">
          <cell r="A3226" t="str">
            <v>Data split-6;Reg-46</v>
          </cell>
          <cell r="B3226">
            <v>-5.5</v>
          </cell>
          <cell r="C3226">
            <v>1.2</v>
          </cell>
          <cell r="D3226">
            <v>0</v>
          </cell>
          <cell r="E3226">
            <v>-0.77</v>
          </cell>
          <cell r="F3226">
            <v>0</v>
          </cell>
          <cell r="G3226">
            <v>0</v>
          </cell>
          <cell r="H3226">
            <v>2.9</v>
          </cell>
          <cell r="I3226">
            <v>0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-5.0000000000000001E-3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 t="b">
            <v>0</v>
          </cell>
        </row>
        <row r="3227">
          <cell r="A3227" t="str">
            <v>Data split-6;Reg-47</v>
          </cell>
          <cell r="B3227">
            <v>-6.6</v>
          </cell>
          <cell r="C3227">
            <v>1.3</v>
          </cell>
          <cell r="D3227">
            <v>0</v>
          </cell>
          <cell r="E3227">
            <v>0</v>
          </cell>
          <cell r="F3227">
            <v>6.7000000000000004E-2</v>
          </cell>
          <cell r="G3227">
            <v>1.6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-8.7999999999999995E-2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 t="b">
            <v>1</v>
          </cell>
        </row>
        <row r="3228">
          <cell r="A3228" t="str">
            <v>Data split-6;Reg-48</v>
          </cell>
          <cell r="B3228">
            <v>-6.7</v>
          </cell>
          <cell r="C3228">
            <v>1.4</v>
          </cell>
          <cell r="D3228">
            <v>0</v>
          </cell>
          <cell r="E3228">
            <v>0</v>
          </cell>
          <cell r="F3228">
            <v>7.0000000000000007E-2</v>
          </cell>
          <cell r="G3228">
            <v>1.5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-1.4999999999999999E-2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 t="b">
            <v>1</v>
          </cell>
        </row>
        <row r="3229">
          <cell r="A3229" t="str">
            <v>Data split-6;Reg-49</v>
          </cell>
          <cell r="B3229">
            <v>-4.8</v>
          </cell>
          <cell r="C3229">
            <v>1</v>
          </cell>
          <cell r="D3229">
            <v>0</v>
          </cell>
          <cell r="E3229">
            <v>0</v>
          </cell>
          <cell r="F3229">
            <v>3.5000000000000003E-2</v>
          </cell>
          <cell r="G3229">
            <v>0</v>
          </cell>
          <cell r="H3229">
            <v>2.2999999999999998</v>
          </cell>
          <cell r="I3229">
            <v>0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-4.8000000000000001E-2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 t="b">
            <v>1</v>
          </cell>
        </row>
        <row r="3230">
          <cell r="A3230" t="str">
            <v>Data split-6;Reg-50</v>
          </cell>
          <cell r="B3230">
            <v>-4.9000000000000004</v>
          </cell>
          <cell r="C3230">
            <v>1.1000000000000001</v>
          </cell>
          <cell r="D3230">
            <v>0</v>
          </cell>
          <cell r="E3230">
            <v>0</v>
          </cell>
          <cell r="F3230">
            <v>3.5000000000000003E-2</v>
          </cell>
          <cell r="G3230">
            <v>0</v>
          </cell>
          <cell r="H3230">
            <v>2</v>
          </cell>
          <cell r="I3230">
            <v>0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-5.0000000000000001E-3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 t="b">
            <v>1</v>
          </cell>
        </row>
        <row r="3231">
          <cell r="A3231" t="str">
            <v>Data split-6;Reg-51</v>
          </cell>
          <cell r="B3231">
            <v>-1.7</v>
          </cell>
          <cell r="C3231">
            <v>0</v>
          </cell>
          <cell r="D3231">
            <v>0.92</v>
          </cell>
          <cell r="E3231">
            <v>1.1000000000000001</v>
          </cell>
          <cell r="F3231">
            <v>0</v>
          </cell>
          <cell r="G3231">
            <v>1.1000000000000001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-9.2999999999999999E-2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 t="b">
            <v>1</v>
          </cell>
        </row>
        <row r="3232">
          <cell r="A3232" t="str">
            <v>Data split-6;Reg-52</v>
          </cell>
          <cell r="B3232">
            <v>-1.7</v>
          </cell>
          <cell r="C3232">
            <v>0</v>
          </cell>
          <cell r="D3232">
            <v>0.93</v>
          </cell>
          <cell r="E3232">
            <v>1.1000000000000001</v>
          </cell>
          <cell r="F3232">
            <v>0</v>
          </cell>
          <cell r="G3232">
            <v>1.1000000000000001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-1.7000000000000001E-2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 t="b">
            <v>1</v>
          </cell>
        </row>
        <row r="3233">
          <cell r="A3233" t="str">
            <v>Data split-6;Reg-53</v>
          </cell>
          <cell r="B3233">
            <v>-1.6</v>
          </cell>
          <cell r="C3233">
            <v>0</v>
          </cell>
          <cell r="D3233">
            <v>0.66</v>
          </cell>
          <cell r="E3233">
            <v>-4.2999999999999997E-2</v>
          </cell>
          <cell r="F3233">
            <v>0</v>
          </cell>
          <cell r="G3233">
            <v>0</v>
          </cell>
          <cell r="H3233">
            <v>3.5</v>
          </cell>
          <cell r="I3233">
            <v>0</v>
          </cell>
          <cell r="J3233">
            <v>0</v>
          </cell>
          <cell r="K3233">
            <v>0</v>
          </cell>
          <cell r="L3233">
            <v>0</v>
          </cell>
          <cell r="M3233">
            <v>-0.1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 t="b">
            <v>0</v>
          </cell>
        </row>
        <row r="3234">
          <cell r="A3234" t="str">
            <v>Data split-6;Reg-54</v>
          </cell>
          <cell r="B3234">
            <v>-1.6</v>
          </cell>
          <cell r="C3234">
            <v>0</v>
          </cell>
          <cell r="D3234">
            <v>0.68</v>
          </cell>
          <cell r="E3234">
            <v>3.4000000000000002E-2</v>
          </cell>
          <cell r="F3234">
            <v>0</v>
          </cell>
          <cell r="G3234">
            <v>0</v>
          </cell>
          <cell r="H3234">
            <v>3.2</v>
          </cell>
          <cell r="I3234">
            <v>0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-1.7000000000000001E-2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 t="b">
            <v>1</v>
          </cell>
        </row>
        <row r="3235">
          <cell r="A3235" t="str">
            <v>Data split-6;Reg-55</v>
          </cell>
          <cell r="B3235">
            <v>-1.3</v>
          </cell>
          <cell r="C3235">
            <v>0</v>
          </cell>
          <cell r="D3235">
            <v>1.2</v>
          </cell>
          <cell r="E3235">
            <v>0</v>
          </cell>
          <cell r="F3235">
            <v>9.6000000000000002E-2</v>
          </cell>
          <cell r="G3235">
            <v>1.4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0</v>
          </cell>
          <cell r="M3235">
            <v>-7.4999999999999997E-2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 t="b">
            <v>1</v>
          </cell>
        </row>
        <row r="3236">
          <cell r="A3236" t="str">
            <v>Data split-6;Reg-56</v>
          </cell>
          <cell r="B3236">
            <v>-1.4</v>
          </cell>
          <cell r="C3236">
            <v>0</v>
          </cell>
          <cell r="D3236">
            <v>1.2</v>
          </cell>
          <cell r="E3236">
            <v>0</v>
          </cell>
          <cell r="F3236">
            <v>9.8000000000000004E-2</v>
          </cell>
          <cell r="G3236">
            <v>1.3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-1.2E-2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 t="b">
            <v>1</v>
          </cell>
        </row>
        <row r="3237">
          <cell r="A3237" t="str">
            <v>Data split-6;Reg-57</v>
          </cell>
          <cell r="B3237">
            <v>-1.3</v>
          </cell>
          <cell r="C3237">
            <v>0</v>
          </cell>
          <cell r="D3237">
            <v>0.67</v>
          </cell>
          <cell r="E3237">
            <v>0</v>
          </cell>
          <cell r="F3237">
            <v>3.3000000000000002E-2</v>
          </cell>
          <cell r="G3237">
            <v>0</v>
          </cell>
          <cell r="H3237">
            <v>3.3</v>
          </cell>
          <cell r="I3237">
            <v>0</v>
          </cell>
          <cell r="J3237">
            <v>0</v>
          </cell>
          <cell r="K3237">
            <v>0</v>
          </cell>
          <cell r="L3237">
            <v>0</v>
          </cell>
          <cell r="M3237">
            <v>-0.1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 t="b">
            <v>1</v>
          </cell>
        </row>
        <row r="3238">
          <cell r="A3238" t="str">
            <v>Data split-6;Reg-58</v>
          </cell>
          <cell r="B3238">
            <v>-1.3</v>
          </cell>
          <cell r="C3238">
            <v>0</v>
          </cell>
          <cell r="D3238">
            <v>0.7</v>
          </cell>
          <cell r="E3238">
            <v>0</v>
          </cell>
          <cell r="F3238">
            <v>4.1000000000000002E-2</v>
          </cell>
          <cell r="G3238">
            <v>0</v>
          </cell>
          <cell r="H3238">
            <v>3.1</v>
          </cell>
          <cell r="I3238">
            <v>0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-1.7000000000000001E-2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 t="b">
            <v>1</v>
          </cell>
        </row>
        <row r="3239">
          <cell r="A3239" t="str">
            <v>Data split-6;Reg-59</v>
          </cell>
          <cell r="B3239">
            <v>-3.6</v>
          </cell>
          <cell r="C3239">
            <v>0</v>
          </cell>
          <cell r="D3239">
            <v>0.77</v>
          </cell>
          <cell r="E3239">
            <v>0.61</v>
          </cell>
          <cell r="F3239">
            <v>0</v>
          </cell>
          <cell r="G3239">
            <v>1.7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-0.11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 t="b">
            <v>1</v>
          </cell>
        </row>
        <row r="3240">
          <cell r="A3240" t="str">
            <v>Data split-6;Reg-60</v>
          </cell>
          <cell r="B3240">
            <v>-3.6</v>
          </cell>
          <cell r="C3240">
            <v>0</v>
          </cell>
          <cell r="D3240">
            <v>0.81</v>
          </cell>
          <cell r="E3240">
            <v>0.61</v>
          </cell>
          <cell r="F3240">
            <v>0</v>
          </cell>
          <cell r="G3240">
            <v>1.6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-1.7999999999999999E-2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 t="b">
            <v>1</v>
          </cell>
        </row>
        <row r="3241">
          <cell r="A3241" t="str">
            <v>Data split-6;Reg-61</v>
          </cell>
          <cell r="B3241">
            <v>-2.8</v>
          </cell>
          <cell r="C3241">
            <v>0</v>
          </cell>
          <cell r="D3241">
            <v>0.49</v>
          </cell>
          <cell r="E3241">
            <v>-0.5</v>
          </cell>
          <cell r="F3241">
            <v>0</v>
          </cell>
          <cell r="G3241">
            <v>0</v>
          </cell>
          <cell r="H3241">
            <v>4</v>
          </cell>
          <cell r="I3241">
            <v>0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-7.6999999999999999E-2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 t="b">
            <v>0</v>
          </cell>
        </row>
        <row r="3242">
          <cell r="A3242" t="str">
            <v>Data split-6;Reg-62</v>
          </cell>
          <cell r="B3242">
            <v>-2.5</v>
          </cell>
          <cell r="C3242">
            <v>0</v>
          </cell>
          <cell r="D3242">
            <v>0.56999999999999995</v>
          </cell>
          <cell r="E3242">
            <v>-0.36</v>
          </cell>
          <cell r="F3242">
            <v>0</v>
          </cell>
          <cell r="G3242">
            <v>0</v>
          </cell>
          <cell r="H3242">
            <v>3.5</v>
          </cell>
          <cell r="I3242">
            <v>0</v>
          </cell>
          <cell r="J3242">
            <v>0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-0.01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 t="b">
            <v>0</v>
          </cell>
        </row>
        <row r="3243">
          <cell r="A3243" t="str">
            <v>Data split-6;Reg-63</v>
          </cell>
          <cell r="B3243">
            <v>-3.2</v>
          </cell>
          <cell r="C3243">
            <v>0</v>
          </cell>
          <cell r="D3243">
            <v>0.91</v>
          </cell>
          <cell r="E3243">
            <v>0</v>
          </cell>
          <cell r="F3243">
            <v>0.11</v>
          </cell>
          <cell r="G3243">
            <v>1.9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-0.11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 t="b">
            <v>1</v>
          </cell>
        </row>
        <row r="3244">
          <cell r="A3244" t="str">
            <v>Data split-6;Reg-64</v>
          </cell>
          <cell r="B3244">
            <v>-3.2</v>
          </cell>
          <cell r="C3244">
            <v>0</v>
          </cell>
          <cell r="D3244">
            <v>0.95</v>
          </cell>
          <cell r="E3244">
            <v>0</v>
          </cell>
          <cell r="F3244">
            <v>0.12</v>
          </cell>
          <cell r="G3244">
            <v>1.9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-2.1000000000000001E-2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 t="b">
            <v>1</v>
          </cell>
        </row>
        <row r="3245">
          <cell r="A3245" t="str">
            <v>Data split-6;Reg-65</v>
          </cell>
          <cell r="B3245">
            <v>-2.2999999999999998</v>
          </cell>
          <cell r="C3245">
            <v>0</v>
          </cell>
          <cell r="D3245">
            <v>0.47</v>
          </cell>
          <cell r="E3245">
            <v>0</v>
          </cell>
          <cell r="F3245">
            <v>4.8000000000000001E-2</v>
          </cell>
          <cell r="G3245">
            <v>0</v>
          </cell>
          <cell r="H3245">
            <v>3.2</v>
          </cell>
          <cell r="I3245">
            <v>0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-7.3999999999999996E-2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 t="b">
            <v>1</v>
          </cell>
        </row>
        <row r="3246">
          <cell r="A3246" t="str">
            <v>Data split-6;Reg-66</v>
          </cell>
          <cell r="B3246">
            <v>-2.1</v>
          </cell>
          <cell r="C3246">
            <v>0</v>
          </cell>
          <cell r="D3246">
            <v>0.56000000000000005</v>
          </cell>
          <cell r="E3246">
            <v>0</v>
          </cell>
          <cell r="F3246">
            <v>5.1999999999999998E-2</v>
          </cell>
          <cell r="G3246">
            <v>0</v>
          </cell>
          <cell r="H3246">
            <v>2.9</v>
          </cell>
          <cell r="I3246">
            <v>0</v>
          </cell>
          <cell r="J3246">
            <v>0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-0.01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 t="b">
            <v>1</v>
          </cell>
        </row>
        <row r="3247">
          <cell r="A3247" t="str">
            <v>Data split-6;Reg-67</v>
          </cell>
          <cell r="B3247">
            <v>-6.1</v>
          </cell>
          <cell r="C3247">
            <v>1.5</v>
          </cell>
          <cell r="D3247">
            <v>0</v>
          </cell>
          <cell r="E3247">
            <v>0</v>
          </cell>
          <cell r="F3247">
            <v>0</v>
          </cell>
          <cell r="G3247">
            <v>0.88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 t="b">
            <v>1</v>
          </cell>
        </row>
        <row r="3248">
          <cell r="A3248" t="str">
            <v>Data split-6;Reg-68</v>
          </cell>
          <cell r="B3248">
            <v>-5.7</v>
          </cell>
          <cell r="C3248">
            <v>1.5</v>
          </cell>
          <cell r="D3248">
            <v>0</v>
          </cell>
          <cell r="E3248">
            <v>0</v>
          </cell>
          <cell r="F3248">
            <v>4.3999999999999997E-2</v>
          </cell>
          <cell r="G3248">
            <v>0.82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 t="b">
            <v>1</v>
          </cell>
        </row>
        <row r="3249">
          <cell r="A3249" t="str">
            <v>Data split-6;Reg-69</v>
          </cell>
          <cell r="B3249">
            <v>-7.3</v>
          </cell>
          <cell r="C3249">
            <v>1.5</v>
          </cell>
          <cell r="D3249">
            <v>0</v>
          </cell>
          <cell r="E3249">
            <v>0</v>
          </cell>
          <cell r="F3249">
            <v>0</v>
          </cell>
          <cell r="G3249">
            <v>0.83</v>
          </cell>
          <cell r="H3249">
            <v>0</v>
          </cell>
          <cell r="I3249">
            <v>0</v>
          </cell>
          <cell r="J3249">
            <v>2.5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 t="b">
            <v>0</v>
          </cell>
        </row>
        <row r="3250">
          <cell r="A3250" t="str">
            <v>Data split-6;Reg-70</v>
          </cell>
          <cell r="B3250">
            <v>-6.7</v>
          </cell>
          <cell r="C3250">
            <v>1.7</v>
          </cell>
          <cell r="D3250">
            <v>0</v>
          </cell>
          <cell r="E3250">
            <v>0</v>
          </cell>
          <cell r="F3250">
            <v>0</v>
          </cell>
          <cell r="G3250">
            <v>1.3</v>
          </cell>
          <cell r="H3250">
            <v>0</v>
          </cell>
          <cell r="I3250">
            <v>0</v>
          </cell>
          <cell r="J3250">
            <v>0.25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-6.7000000000000004E-2</v>
          </cell>
          <cell r="T3250">
            <v>0</v>
          </cell>
          <cell r="U3250" t="b">
            <v>0</v>
          </cell>
        </row>
        <row r="3251">
          <cell r="A3251" t="str">
            <v>Data split-6;Reg-71</v>
          </cell>
          <cell r="B3251">
            <v>-1.6</v>
          </cell>
          <cell r="C3251">
            <v>0.56999999999999995</v>
          </cell>
          <cell r="D3251">
            <v>0</v>
          </cell>
          <cell r="E3251">
            <v>0</v>
          </cell>
          <cell r="F3251">
            <v>2.3E-2</v>
          </cell>
          <cell r="G3251">
            <v>0</v>
          </cell>
          <cell r="H3251">
            <v>4.0999999999999996</v>
          </cell>
          <cell r="I3251">
            <v>0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-0.14000000000000001</v>
          </cell>
          <cell r="T3251">
            <v>0</v>
          </cell>
          <cell r="U3251" t="b">
            <v>1</v>
          </cell>
        </row>
        <row r="3252">
          <cell r="A3252" t="str">
            <v>Data split-6;Reg-72</v>
          </cell>
          <cell r="B3252">
            <v>-4.8</v>
          </cell>
          <cell r="C3252">
            <v>1.4</v>
          </cell>
          <cell r="D3252">
            <v>0</v>
          </cell>
          <cell r="E3252">
            <v>0.95</v>
          </cell>
          <cell r="F3252">
            <v>0</v>
          </cell>
          <cell r="G3252">
            <v>0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 t="b">
            <v>1</v>
          </cell>
        </row>
        <row r="3253">
          <cell r="A3253" t="str">
            <v>Data split-6;Reg-73</v>
          </cell>
          <cell r="B3253">
            <v>-5</v>
          </cell>
          <cell r="C3253">
            <v>1.9</v>
          </cell>
          <cell r="D3253">
            <v>0</v>
          </cell>
          <cell r="E3253">
            <v>0</v>
          </cell>
          <cell r="F3253">
            <v>0.12</v>
          </cell>
          <cell r="G3253">
            <v>0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 t="b">
            <v>1</v>
          </cell>
        </row>
        <row r="3254">
          <cell r="A3254" t="str">
            <v>Data split-6;Reg-74</v>
          </cell>
          <cell r="B3254">
            <v>-0.91</v>
          </cell>
          <cell r="C3254">
            <v>0</v>
          </cell>
          <cell r="D3254">
            <v>0.83</v>
          </cell>
          <cell r="E3254">
            <v>1.5</v>
          </cell>
          <cell r="F3254">
            <v>0</v>
          </cell>
          <cell r="G3254">
            <v>0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 t="b">
            <v>1</v>
          </cell>
        </row>
        <row r="3255">
          <cell r="A3255" t="str">
            <v>Data split-6;Reg-75</v>
          </cell>
          <cell r="B3255">
            <v>0.91</v>
          </cell>
          <cell r="C3255">
            <v>0</v>
          </cell>
          <cell r="D3255">
            <v>1.5</v>
          </cell>
          <cell r="E3255">
            <v>0</v>
          </cell>
          <cell r="F3255">
            <v>0.19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 t="b">
            <v>0</v>
          </cell>
        </row>
        <row r="3256">
          <cell r="A3256" t="str">
            <v>Data split-6;Reg-76</v>
          </cell>
          <cell r="B3256">
            <v>-6.1</v>
          </cell>
          <cell r="C3256">
            <v>1.5</v>
          </cell>
          <cell r="D3256">
            <v>0</v>
          </cell>
          <cell r="E3256">
            <v>0</v>
          </cell>
          <cell r="F3256">
            <v>0</v>
          </cell>
          <cell r="G3256">
            <v>0.88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 t="b">
            <v>1</v>
          </cell>
        </row>
        <row r="3257">
          <cell r="A3257" t="str">
            <v>Data split-6;Reg-77</v>
          </cell>
          <cell r="B3257">
            <v>-5</v>
          </cell>
          <cell r="C3257">
            <v>1.2</v>
          </cell>
          <cell r="D3257">
            <v>0</v>
          </cell>
          <cell r="E3257">
            <v>0</v>
          </cell>
          <cell r="F3257">
            <v>0</v>
          </cell>
          <cell r="G3257">
            <v>0</v>
          </cell>
          <cell r="H3257">
            <v>1.7</v>
          </cell>
          <cell r="I3257">
            <v>0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 t="b">
            <v>1</v>
          </cell>
        </row>
        <row r="3258">
          <cell r="A3258" t="str">
            <v>Data split-6;Reg-78</v>
          </cell>
          <cell r="B3258">
            <v>-2</v>
          </cell>
          <cell r="C3258">
            <v>0</v>
          </cell>
          <cell r="D3258">
            <v>1.1000000000000001</v>
          </cell>
          <cell r="E3258">
            <v>0</v>
          </cell>
          <cell r="F3258">
            <v>0</v>
          </cell>
          <cell r="G3258">
            <v>1.1000000000000001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 t="b">
            <v>1</v>
          </cell>
        </row>
        <row r="3259">
          <cell r="A3259" t="str">
            <v>Data split-6;Reg-79</v>
          </cell>
          <cell r="B3259">
            <v>-1.7</v>
          </cell>
          <cell r="C3259">
            <v>0</v>
          </cell>
          <cell r="D3259">
            <v>0.67</v>
          </cell>
          <cell r="E3259">
            <v>0</v>
          </cell>
          <cell r="F3259">
            <v>0</v>
          </cell>
          <cell r="G3259">
            <v>0</v>
          </cell>
          <cell r="H3259">
            <v>2.2999999999999998</v>
          </cell>
          <cell r="I3259">
            <v>0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 t="b">
            <v>1</v>
          </cell>
        </row>
        <row r="3260">
          <cell r="A3260" t="str">
            <v>Data split-6;Reg-80</v>
          </cell>
          <cell r="B3260">
            <v>-7.8</v>
          </cell>
          <cell r="C3260">
            <v>1.9</v>
          </cell>
          <cell r="D3260">
            <v>0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1.1000000000000001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 t="b">
            <v>0</v>
          </cell>
        </row>
        <row r="3261">
          <cell r="A3261" t="str">
            <v>Data split-6;Reg-81</v>
          </cell>
          <cell r="B3261">
            <v>-11.7</v>
          </cell>
          <cell r="C3261">
            <v>2</v>
          </cell>
          <cell r="D3261">
            <v>0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0</v>
          </cell>
          <cell r="J3261">
            <v>12.4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 t="b">
            <v>0</v>
          </cell>
        </row>
        <row r="3262">
          <cell r="A3262" t="str">
            <v>Data split-6;Reg-82</v>
          </cell>
          <cell r="B3262">
            <v>-3.4</v>
          </cell>
          <cell r="C3262">
            <v>0</v>
          </cell>
          <cell r="D3262">
            <v>1.5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1.7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 t="b">
            <v>0</v>
          </cell>
        </row>
        <row r="3263">
          <cell r="A3263" t="str">
            <v>Data split-6;Reg-83</v>
          </cell>
          <cell r="B3263">
            <v>-11.9</v>
          </cell>
          <cell r="C3263">
            <v>0</v>
          </cell>
          <cell r="D3263">
            <v>1.7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0</v>
          </cell>
          <cell r="J3263">
            <v>24.1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 t="b">
            <v>0</v>
          </cell>
        </row>
        <row r="3264">
          <cell r="A3264" t="str">
            <v>Data split-6;Reg-84</v>
          </cell>
          <cell r="B3264">
            <v>-8.6999999999999993</v>
          </cell>
          <cell r="C3264">
            <v>2.1</v>
          </cell>
          <cell r="D3264">
            <v>0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0</v>
          </cell>
          <cell r="J3264">
            <v>0</v>
          </cell>
          <cell r="K3264">
            <v>0.49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 t="b">
            <v>0</v>
          </cell>
        </row>
        <row r="3265">
          <cell r="A3265" t="str">
            <v>Data split-6;Reg-85</v>
          </cell>
          <cell r="B3265">
            <v>-8.6999999999999993</v>
          </cell>
          <cell r="C3265">
            <v>2.1</v>
          </cell>
          <cell r="D3265">
            <v>0</v>
          </cell>
          <cell r="E3265">
            <v>0</v>
          </cell>
          <cell r="F3265">
            <v>0</v>
          </cell>
          <cell r="G3265">
            <v>0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2.2000000000000002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 t="b">
            <v>0</v>
          </cell>
        </row>
        <row r="3266">
          <cell r="A3266" t="str">
            <v>Data split-6;Reg-86</v>
          </cell>
          <cell r="B3266">
            <v>-5</v>
          </cell>
          <cell r="C3266">
            <v>0</v>
          </cell>
          <cell r="D3266">
            <v>1.7</v>
          </cell>
          <cell r="E3266">
            <v>0</v>
          </cell>
          <cell r="F3266">
            <v>0</v>
          </cell>
          <cell r="G3266">
            <v>0</v>
          </cell>
          <cell r="H3266">
            <v>0</v>
          </cell>
          <cell r="I3266">
            <v>0</v>
          </cell>
          <cell r="J3266">
            <v>0</v>
          </cell>
          <cell r="K3266">
            <v>0.9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 t="b">
            <v>0</v>
          </cell>
        </row>
        <row r="3267">
          <cell r="A3267" t="str">
            <v>Data split-6;Reg-87</v>
          </cell>
          <cell r="B3267">
            <v>-8.4</v>
          </cell>
          <cell r="C3267">
            <v>0</v>
          </cell>
          <cell r="D3267">
            <v>1.9</v>
          </cell>
          <cell r="E3267">
            <v>0</v>
          </cell>
          <cell r="F3267">
            <v>0</v>
          </cell>
          <cell r="G3267">
            <v>0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6.7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 t="b">
            <v>0</v>
          </cell>
        </row>
        <row r="3268">
          <cell r="A3268" t="str">
            <v>Data split-6;Reg-88</v>
          </cell>
          <cell r="B3268">
            <v>-6</v>
          </cell>
          <cell r="C3268">
            <v>2.1</v>
          </cell>
          <cell r="D3268">
            <v>0</v>
          </cell>
          <cell r="E3268">
            <v>0</v>
          </cell>
          <cell r="F3268">
            <v>0</v>
          </cell>
          <cell r="G3268">
            <v>0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0</v>
          </cell>
          <cell r="M3268">
            <v>6.7999999999999996E-3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 t="b">
            <v>0</v>
          </cell>
        </row>
        <row r="3269">
          <cell r="A3269" t="str">
            <v>Data split-6;Reg-89</v>
          </cell>
          <cell r="B3269">
            <v>-5.9</v>
          </cell>
          <cell r="C3269">
            <v>1.9</v>
          </cell>
          <cell r="D3269">
            <v>0</v>
          </cell>
          <cell r="E3269">
            <v>0</v>
          </cell>
          <cell r="F3269">
            <v>0</v>
          </cell>
          <cell r="G3269">
            <v>0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5.4999999999999997E-3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 t="b">
            <v>0</v>
          </cell>
        </row>
        <row r="3270">
          <cell r="A3270" t="str">
            <v>Data split-6;Reg-90</v>
          </cell>
          <cell r="B3270">
            <v>-0.17</v>
          </cell>
          <cell r="C3270">
            <v>0</v>
          </cell>
          <cell r="D3270">
            <v>1.6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0</v>
          </cell>
          <cell r="M3270">
            <v>3.2000000000000001E-2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 t="b">
            <v>0</v>
          </cell>
        </row>
        <row r="3271">
          <cell r="A3271" t="str">
            <v>Data split-6;Reg-91</v>
          </cell>
          <cell r="B3271">
            <v>-0.48</v>
          </cell>
          <cell r="C3271">
            <v>0</v>
          </cell>
          <cell r="D3271">
            <v>1.4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1.2E-2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 t="b">
            <v>0</v>
          </cell>
        </row>
        <row r="3272">
          <cell r="A3272" t="str">
            <v>Data split-6;Reg-92</v>
          </cell>
          <cell r="B3272">
            <v>-5.6</v>
          </cell>
          <cell r="C3272">
            <v>1.9</v>
          </cell>
          <cell r="D3272">
            <v>0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4.2000000000000003E-2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 t="b">
            <v>0</v>
          </cell>
        </row>
        <row r="3273">
          <cell r="A3273" t="str">
            <v>Data split-6;Reg-93</v>
          </cell>
          <cell r="B3273">
            <v>-5.3</v>
          </cell>
          <cell r="C3273">
            <v>1.9</v>
          </cell>
          <cell r="D3273">
            <v>0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0.01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 t="b">
            <v>0</v>
          </cell>
        </row>
        <row r="3274">
          <cell r="A3274" t="str">
            <v>Data split-6;Reg-94</v>
          </cell>
          <cell r="B3274">
            <v>0.21</v>
          </cell>
          <cell r="C3274">
            <v>0</v>
          </cell>
          <cell r="D3274">
            <v>1.6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0.05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 t="b">
            <v>0</v>
          </cell>
        </row>
        <row r="3275">
          <cell r="A3275" t="str">
            <v>Data split-6;Reg-95</v>
          </cell>
          <cell r="B3275">
            <v>0.26</v>
          </cell>
          <cell r="C3275">
            <v>0</v>
          </cell>
          <cell r="D3275">
            <v>1.5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1.2E-2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 t="b">
            <v>0</v>
          </cell>
        </row>
        <row r="3276">
          <cell r="A3276" t="str">
            <v>Data split-6;Reg-96</v>
          </cell>
          <cell r="B3276">
            <v>-5.6</v>
          </cell>
          <cell r="C3276">
            <v>1.5</v>
          </cell>
          <cell r="D3276">
            <v>0</v>
          </cell>
          <cell r="E3276">
            <v>0.8</v>
          </cell>
          <cell r="F3276">
            <v>0</v>
          </cell>
          <cell r="G3276">
            <v>0</v>
          </cell>
          <cell r="H3276">
            <v>0</v>
          </cell>
          <cell r="I3276">
            <v>0.34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 t="b">
            <v>0</v>
          </cell>
        </row>
        <row r="3277">
          <cell r="A3277" t="str">
            <v>Data split-6;Reg-97</v>
          </cell>
          <cell r="B3277">
            <v>-8.4</v>
          </cell>
          <cell r="C3277">
            <v>1.5</v>
          </cell>
          <cell r="D3277">
            <v>0</v>
          </cell>
          <cell r="E3277">
            <v>0.78</v>
          </cell>
          <cell r="F3277">
            <v>0</v>
          </cell>
          <cell r="G3277">
            <v>0</v>
          </cell>
          <cell r="H3277">
            <v>0</v>
          </cell>
          <cell r="I3277">
            <v>0</v>
          </cell>
          <cell r="J3277">
            <v>7.4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 t="b">
            <v>0</v>
          </cell>
        </row>
        <row r="3278">
          <cell r="A3278" t="str">
            <v>Data split-6;Reg-98</v>
          </cell>
          <cell r="B3278">
            <v>-6.7</v>
          </cell>
          <cell r="C3278">
            <v>1.8</v>
          </cell>
          <cell r="D3278">
            <v>0</v>
          </cell>
          <cell r="E3278">
            <v>0</v>
          </cell>
          <cell r="F3278">
            <v>8.4000000000000005E-2</v>
          </cell>
          <cell r="G3278">
            <v>0</v>
          </cell>
          <cell r="H3278">
            <v>0</v>
          </cell>
          <cell r="I3278">
            <v>0.9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 t="b">
            <v>0</v>
          </cell>
        </row>
        <row r="3279">
          <cell r="A3279" t="str">
            <v>Data split-6;Reg-99</v>
          </cell>
          <cell r="B3279">
            <v>-10.1</v>
          </cell>
          <cell r="C3279">
            <v>1.9</v>
          </cell>
          <cell r="D3279">
            <v>0</v>
          </cell>
          <cell r="E3279">
            <v>0</v>
          </cell>
          <cell r="F3279">
            <v>0.1</v>
          </cell>
          <cell r="G3279">
            <v>0</v>
          </cell>
          <cell r="H3279">
            <v>0</v>
          </cell>
          <cell r="I3279">
            <v>0</v>
          </cell>
          <cell r="J3279">
            <v>10.7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 t="b">
            <v>0</v>
          </cell>
        </row>
        <row r="3280">
          <cell r="A3280" t="str">
            <v>Data split-6;Reg-100</v>
          </cell>
          <cell r="B3280">
            <v>-1.1000000000000001</v>
          </cell>
          <cell r="C3280">
            <v>0</v>
          </cell>
          <cell r="D3280">
            <v>0.85</v>
          </cell>
          <cell r="E3280">
            <v>1.4</v>
          </cell>
          <cell r="F3280">
            <v>0</v>
          </cell>
          <cell r="G3280">
            <v>0</v>
          </cell>
          <cell r="H3280">
            <v>0</v>
          </cell>
          <cell r="I3280">
            <v>0.12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 t="b">
            <v>0</v>
          </cell>
        </row>
        <row r="3281">
          <cell r="A3281" t="str">
            <v>Data split-6;Reg-101</v>
          </cell>
          <cell r="B3281">
            <v>-7.5</v>
          </cell>
          <cell r="C3281">
            <v>0</v>
          </cell>
          <cell r="D3281">
            <v>1.1000000000000001</v>
          </cell>
          <cell r="E3281">
            <v>1</v>
          </cell>
          <cell r="F3281">
            <v>0</v>
          </cell>
          <cell r="G3281">
            <v>0</v>
          </cell>
          <cell r="H3281">
            <v>0</v>
          </cell>
          <cell r="I3281">
            <v>0</v>
          </cell>
          <cell r="J3281">
            <v>13.8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 t="b">
            <v>0</v>
          </cell>
        </row>
        <row r="3282">
          <cell r="A3282" t="str">
            <v>Data split-6;Reg-102</v>
          </cell>
          <cell r="B3282">
            <v>-2</v>
          </cell>
          <cell r="C3282">
            <v>0</v>
          </cell>
          <cell r="D3282">
            <v>1.4</v>
          </cell>
          <cell r="E3282">
            <v>0</v>
          </cell>
          <cell r="F3282">
            <v>0.13</v>
          </cell>
          <cell r="G3282">
            <v>0</v>
          </cell>
          <cell r="H3282">
            <v>0</v>
          </cell>
          <cell r="I3282">
            <v>1.3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 t="b">
            <v>0</v>
          </cell>
        </row>
        <row r="3283">
          <cell r="A3283" t="str">
            <v>Data split-6;Reg-103</v>
          </cell>
          <cell r="B3283">
            <v>-9.9</v>
          </cell>
          <cell r="C3283">
            <v>0</v>
          </cell>
          <cell r="D3283">
            <v>1.5</v>
          </cell>
          <cell r="E3283">
            <v>0</v>
          </cell>
          <cell r="F3283">
            <v>0.13</v>
          </cell>
          <cell r="G3283">
            <v>0</v>
          </cell>
          <cell r="H3283">
            <v>0</v>
          </cell>
          <cell r="I3283">
            <v>0</v>
          </cell>
          <cell r="J3283">
            <v>21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 t="b">
            <v>0</v>
          </cell>
        </row>
        <row r="3284">
          <cell r="A3284" t="str">
            <v>Data split-6;Reg-104</v>
          </cell>
          <cell r="B3284">
            <v>-5.2</v>
          </cell>
          <cell r="C3284">
            <v>1.4</v>
          </cell>
          <cell r="D3284">
            <v>0</v>
          </cell>
          <cell r="E3284">
            <v>0.93</v>
          </cell>
          <cell r="F3284">
            <v>0</v>
          </cell>
          <cell r="G3284">
            <v>0</v>
          </cell>
          <cell r="H3284">
            <v>0</v>
          </cell>
          <cell r="I3284">
            <v>0</v>
          </cell>
          <cell r="J3284">
            <v>0</v>
          </cell>
          <cell r="K3284">
            <v>5.7000000000000002E-2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 t="b">
            <v>0</v>
          </cell>
        </row>
        <row r="3285">
          <cell r="A3285" t="str">
            <v>Data split-6;Reg-105</v>
          </cell>
          <cell r="B3285">
            <v>-7.3</v>
          </cell>
          <cell r="C3285">
            <v>1.4</v>
          </cell>
          <cell r="D3285">
            <v>0</v>
          </cell>
          <cell r="E3285">
            <v>0.94</v>
          </cell>
          <cell r="F3285">
            <v>0</v>
          </cell>
          <cell r="G3285">
            <v>0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2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 t="b">
            <v>0</v>
          </cell>
        </row>
        <row r="3286">
          <cell r="A3286" t="str">
            <v>Data split-6;Reg-106</v>
          </cell>
          <cell r="B3286">
            <v>-7.1</v>
          </cell>
          <cell r="C3286">
            <v>1.9</v>
          </cell>
          <cell r="D3286">
            <v>0</v>
          </cell>
          <cell r="E3286">
            <v>0</v>
          </cell>
          <cell r="F3286">
            <v>0.11</v>
          </cell>
          <cell r="G3286">
            <v>0</v>
          </cell>
          <cell r="H3286">
            <v>0</v>
          </cell>
          <cell r="I3286">
            <v>0</v>
          </cell>
          <cell r="J3286">
            <v>0</v>
          </cell>
          <cell r="K3286">
            <v>0.38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 t="b">
            <v>0</v>
          </cell>
        </row>
        <row r="3287">
          <cell r="A3287" t="str">
            <v>Data split-6;Reg-107</v>
          </cell>
          <cell r="B3287">
            <v>-7.4</v>
          </cell>
          <cell r="C3287">
            <v>1.9</v>
          </cell>
          <cell r="D3287">
            <v>0</v>
          </cell>
          <cell r="E3287">
            <v>0</v>
          </cell>
          <cell r="F3287">
            <v>0.12</v>
          </cell>
          <cell r="G3287">
            <v>0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1.9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 t="b">
            <v>0</v>
          </cell>
        </row>
        <row r="3288">
          <cell r="A3288" t="str">
            <v>Data split-6;Reg-108</v>
          </cell>
          <cell r="B3288">
            <v>-1.2</v>
          </cell>
          <cell r="C3288">
            <v>0</v>
          </cell>
          <cell r="D3288">
            <v>0.84</v>
          </cell>
          <cell r="E3288">
            <v>1.5</v>
          </cell>
          <cell r="F3288">
            <v>0</v>
          </cell>
          <cell r="G3288">
            <v>0</v>
          </cell>
          <cell r="H3288">
            <v>0</v>
          </cell>
          <cell r="I3288">
            <v>0</v>
          </cell>
          <cell r="J3288">
            <v>0</v>
          </cell>
          <cell r="K3288">
            <v>5.2999999999999999E-2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 t="b">
            <v>0</v>
          </cell>
        </row>
        <row r="3289">
          <cell r="A3289" t="str">
            <v>Data split-6;Reg-109</v>
          </cell>
          <cell r="B3289">
            <v>-6.3</v>
          </cell>
          <cell r="C3289">
            <v>0</v>
          </cell>
          <cell r="D3289">
            <v>0.97</v>
          </cell>
          <cell r="E3289">
            <v>1.3</v>
          </cell>
          <cell r="F3289">
            <v>0</v>
          </cell>
          <cell r="G3289">
            <v>0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4.3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 t="b">
            <v>0</v>
          </cell>
        </row>
        <row r="3290">
          <cell r="A3290" t="str">
            <v>Data split-6;Reg-110</v>
          </cell>
          <cell r="B3290">
            <v>-3.1</v>
          </cell>
          <cell r="C3290">
            <v>0</v>
          </cell>
          <cell r="D3290">
            <v>1.5</v>
          </cell>
          <cell r="E3290">
            <v>0</v>
          </cell>
          <cell r="F3290">
            <v>0.17</v>
          </cell>
          <cell r="G3290">
            <v>0</v>
          </cell>
          <cell r="H3290">
            <v>0</v>
          </cell>
          <cell r="I3290">
            <v>0</v>
          </cell>
          <cell r="J3290">
            <v>0</v>
          </cell>
          <cell r="K3290">
            <v>0.68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 t="b">
            <v>0</v>
          </cell>
        </row>
        <row r="3291">
          <cell r="A3291" t="str">
            <v>Data split-6;Reg-111</v>
          </cell>
          <cell r="B3291">
            <v>-6.5</v>
          </cell>
          <cell r="C3291">
            <v>0</v>
          </cell>
          <cell r="D3291">
            <v>1.6</v>
          </cell>
          <cell r="E3291">
            <v>0</v>
          </cell>
          <cell r="F3291">
            <v>0.17</v>
          </cell>
          <cell r="G3291">
            <v>0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5.8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 t="b">
            <v>0</v>
          </cell>
        </row>
        <row r="3292">
          <cell r="A3292" t="str">
            <v>Data split-6;Reg-112</v>
          </cell>
          <cell r="B3292">
            <v>-5.0999999999999996</v>
          </cell>
          <cell r="C3292">
            <v>1.5</v>
          </cell>
          <cell r="D3292">
            <v>0</v>
          </cell>
          <cell r="E3292">
            <v>0</v>
          </cell>
          <cell r="F3292">
            <v>0</v>
          </cell>
          <cell r="G3292">
            <v>1.1000000000000001</v>
          </cell>
          <cell r="H3292">
            <v>0</v>
          </cell>
          <cell r="I3292">
            <v>-0.64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 t="b">
            <v>1</v>
          </cell>
        </row>
        <row r="3293">
          <cell r="A3293" t="str">
            <v>Data split-6;Reg-113</v>
          </cell>
          <cell r="B3293">
            <v>-7.3</v>
          </cell>
          <cell r="C3293">
            <v>1.5</v>
          </cell>
          <cell r="D3293">
            <v>0</v>
          </cell>
          <cell r="E3293">
            <v>0</v>
          </cell>
          <cell r="F3293">
            <v>0</v>
          </cell>
          <cell r="G3293">
            <v>0.83</v>
          </cell>
          <cell r="H3293">
            <v>0</v>
          </cell>
          <cell r="I3293">
            <v>0</v>
          </cell>
          <cell r="J3293">
            <v>2.5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 t="b">
            <v>0</v>
          </cell>
        </row>
        <row r="3294">
          <cell r="A3294" t="str">
            <v>Data split-6;Reg-114</v>
          </cell>
          <cell r="B3294">
            <v>-3.8</v>
          </cell>
          <cell r="C3294">
            <v>1.1000000000000001</v>
          </cell>
          <cell r="D3294">
            <v>0</v>
          </cell>
          <cell r="E3294">
            <v>0</v>
          </cell>
          <cell r="F3294">
            <v>0</v>
          </cell>
          <cell r="G3294">
            <v>0</v>
          </cell>
          <cell r="H3294">
            <v>2</v>
          </cell>
          <cell r="I3294">
            <v>-0.61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 t="b">
            <v>1</v>
          </cell>
        </row>
        <row r="3295">
          <cell r="A3295" t="str">
            <v>Data split-6;Reg-115</v>
          </cell>
          <cell r="B3295">
            <v>-7.2</v>
          </cell>
          <cell r="C3295">
            <v>1.2</v>
          </cell>
          <cell r="D3295">
            <v>0</v>
          </cell>
          <cell r="E3295">
            <v>0</v>
          </cell>
          <cell r="F3295">
            <v>0</v>
          </cell>
          <cell r="G3295">
            <v>0</v>
          </cell>
          <cell r="H3295">
            <v>1.5</v>
          </cell>
          <cell r="I3295">
            <v>0</v>
          </cell>
          <cell r="J3295">
            <v>4.5999999999999996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 t="b">
            <v>0</v>
          </cell>
        </row>
        <row r="3296">
          <cell r="A3296" t="str">
            <v>Data split-6;Reg-116</v>
          </cell>
          <cell r="B3296">
            <v>-1.4</v>
          </cell>
          <cell r="C3296">
            <v>0</v>
          </cell>
          <cell r="D3296">
            <v>1.1000000000000001</v>
          </cell>
          <cell r="E3296">
            <v>0</v>
          </cell>
          <cell r="F3296">
            <v>0</v>
          </cell>
          <cell r="G3296">
            <v>1.3</v>
          </cell>
          <cell r="H3296">
            <v>0</v>
          </cell>
          <cell r="I3296">
            <v>-0.44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 t="b">
            <v>1</v>
          </cell>
        </row>
        <row r="3297">
          <cell r="A3297" t="str">
            <v>Data split-6;Reg-117</v>
          </cell>
          <cell r="B3297">
            <v>-7.3</v>
          </cell>
          <cell r="C3297">
            <v>0</v>
          </cell>
          <cell r="D3297">
            <v>1.2</v>
          </cell>
          <cell r="E3297">
            <v>0</v>
          </cell>
          <cell r="F3297">
            <v>0</v>
          </cell>
          <cell r="G3297">
            <v>0.83</v>
          </cell>
          <cell r="H3297">
            <v>0</v>
          </cell>
          <cell r="I3297">
            <v>0</v>
          </cell>
          <cell r="J3297">
            <v>11.6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 t="b">
            <v>0</v>
          </cell>
        </row>
        <row r="3298">
          <cell r="A3298" t="str">
            <v>Data split-6;Reg-118</v>
          </cell>
          <cell r="B3298">
            <v>-6.5000000000000002E-2</v>
          </cell>
          <cell r="C3298">
            <v>0</v>
          </cell>
          <cell r="D3298">
            <v>0.46</v>
          </cell>
          <cell r="E3298">
            <v>0</v>
          </cell>
          <cell r="F3298">
            <v>0</v>
          </cell>
          <cell r="G3298">
            <v>0</v>
          </cell>
          <cell r="H3298">
            <v>3</v>
          </cell>
          <cell r="I3298">
            <v>-1.1000000000000001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 t="b">
            <v>1</v>
          </cell>
        </row>
        <row r="3299">
          <cell r="A3299" t="str">
            <v>Data split-6;Reg-119</v>
          </cell>
          <cell r="B3299">
            <v>-6.2</v>
          </cell>
          <cell r="C3299">
            <v>0</v>
          </cell>
          <cell r="D3299">
            <v>0.85</v>
          </cell>
          <cell r="E3299">
            <v>0</v>
          </cell>
          <cell r="F3299">
            <v>0</v>
          </cell>
          <cell r="G3299">
            <v>0</v>
          </cell>
          <cell r="H3299">
            <v>1.8</v>
          </cell>
          <cell r="I3299">
            <v>0</v>
          </cell>
          <cell r="J3299">
            <v>9.5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 t="b">
            <v>0</v>
          </cell>
        </row>
        <row r="3300">
          <cell r="A3300" t="str">
            <v>Data split-6;Reg-120</v>
          </cell>
          <cell r="B3300">
            <v>-4.2</v>
          </cell>
          <cell r="C3300">
            <v>1.5</v>
          </cell>
          <cell r="D3300">
            <v>0</v>
          </cell>
          <cell r="E3300">
            <v>0</v>
          </cell>
          <cell r="F3300">
            <v>0</v>
          </cell>
          <cell r="G3300">
            <v>0.96</v>
          </cell>
          <cell r="H3300">
            <v>0</v>
          </cell>
          <cell r="I3300">
            <v>0</v>
          </cell>
          <cell r="J3300">
            <v>0</v>
          </cell>
          <cell r="K3300">
            <v>-0.35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 t="b">
            <v>1</v>
          </cell>
        </row>
        <row r="3301">
          <cell r="A3301" t="str">
            <v>Data split-6;Reg-121</v>
          </cell>
          <cell r="B3301">
            <v>-7.3</v>
          </cell>
          <cell r="C3301">
            <v>1.5</v>
          </cell>
          <cell r="D3301">
            <v>0</v>
          </cell>
          <cell r="E3301">
            <v>0</v>
          </cell>
          <cell r="F3301">
            <v>0</v>
          </cell>
          <cell r="G3301">
            <v>0.86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0.94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 t="b">
            <v>0</v>
          </cell>
        </row>
        <row r="3302">
          <cell r="A3302" t="str">
            <v>Data split-6;Reg-122</v>
          </cell>
          <cell r="B3302">
            <v>-4</v>
          </cell>
          <cell r="C3302">
            <v>1.2</v>
          </cell>
          <cell r="D3302">
            <v>0</v>
          </cell>
          <cell r="E3302">
            <v>0</v>
          </cell>
          <cell r="F3302">
            <v>0</v>
          </cell>
          <cell r="G3302">
            <v>0</v>
          </cell>
          <cell r="H3302">
            <v>1.7</v>
          </cell>
          <cell r="I3302">
            <v>0</v>
          </cell>
          <cell r="J3302">
            <v>0</v>
          </cell>
          <cell r="K3302">
            <v>-0.17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 t="b">
            <v>1</v>
          </cell>
        </row>
        <row r="3303">
          <cell r="A3303" t="str">
            <v>Data split-6;Reg-123</v>
          </cell>
          <cell r="B3303">
            <v>-7.6</v>
          </cell>
          <cell r="C3303">
            <v>1.2</v>
          </cell>
          <cell r="D3303">
            <v>0</v>
          </cell>
          <cell r="E3303">
            <v>0</v>
          </cell>
          <cell r="F3303">
            <v>0</v>
          </cell>
          <cell r="G3303">
            <v>0</v>
          </cell>
          <cell r="H3303">
            <v>1.6</v>
          </cell>
          <cell r="I3303">
            <v>0</v>
          </cell>
          <cell r="J3303">
            <v>0</v>
          </cell>
          <cell r="K3303">
            <v>0</v>
          </cell>
          <cell r="L3303">
            <v>2.1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 t="b">
            <v>0</v>
          </cell>
        </row>
        <row r="3304">
          <cell r="A3304" t="str">
            <v>Data split-6;Reg-124</v>
          </cell>
          <cell r="B3304">
            <v>-0.76</v>
          </cell>
          <cell r="C3304">
            <v>0</v>
          </cell>
          <cell r="D3304">
            <v>1.1000000000000001</v>
          </cell>
          <cell r="E3304">
            <v>0</v>
          </cell>
          <cell r="F3304">
            <v>0</v>
          </cell>
          <cell r="G3304">
            <v>1.2</v>
          </cell>
          <cell r="H3304">
            <v>0</v>
          </cell>
          <cell r="I3304">
            <v>0</v>
          </cell>
          <cell r="J3304">
            <v>0</v>
          </cell>
          <cell r="K3304">
            <v>-0.23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 t="b">
            <v>1</v>
          </cell>
        </row>
        <row r="3305">
          <cell r="A3305" t="str">
            <v>Data split-6;Reg-125</v>
          </cell>
          <cell r="B3305">
            <v>-6.4</v>
          </cell>
          <cell r="C3305">
            <v>0</v>
          </cell>
          <cell r="D3305">
            <v>1.2</v>
          </cell>
          <cell r="E3305">
            <v>0</v>
          </cell>
          <cell r="F3305">
            <v>0</v>
          </cell>
          <cell r="G3305">
            <v>1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3.6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 t="b">
            <v>0</v>
          </cell>
        </row>
        <row r="3306">
          <cell r="A3306" t="str">
            <v>Data split-6;Reg-126</v>
          </cell>
          <cell r="B3306">
            <v>-0.59</v>
          </cell>
          <cell r="C3306">
            <v>0</v>
          </cell>
          <cell r="D3306">
            <v>0.64</v>
          </cell>
          <cell r="E3306">
            <v>0</v>
          </cell>
          <cell r="F3306">
            <v>0</v>
          </cell>
          <cell r="G3306">
            <v>0</v>
          </cell>
          <cell r="H3306">
            <v>2.4</v>
          </cell>
          <cell r="I3306">
            <v>0</v>
          </cell>
          <cell r="J3306">
            <v>0</v>
          </cell>
          <cell r="K3306">
            <v>-0.21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 t="b">
            <v>1</v>
          </cell>
        </row>
        <row r="3307">
          <cell r="A3307" t="str">
            <v>Data split-6;Reg-127</v>
          </cell>
          <cell r="B3307">
            <v>-6.6</v>
          </cell>
          <cell r="C3307">
            <v>0</v>
          </cell>
          <cell r="D3307">
            <v>0.8</v>
          </cell>
          <cell r="E3307">
            <v>0</v>
          </cell>
          <cell r="F3307">
            <v>0</v>
          </cell>
          <cell r="G3307">
            <v>0</v>
          </cell>
          <cell r="H3307">
            <v>2.1</v>
          </cell>
          <cell r="I3307">
            <v>0</v>
          </cell>
          <cell r="J3307">
            <v>0</v>
          </cell>
          <cell r="K3307">
            <v>0</v>
          </cell>
          <cell r="L3307">
            <v>3.9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 t="b">
            <v>0</v>
          </cell>
        </row>
        <row r="3308">
          <cell r="A3308" t="str">
            <v>Data split-7;Reg-1</v>
          </cell>
          <cell r="B3308">
            <v>-4.7</v>
          </cell>
          <cell r="C3308">
            <v>1.7</v>
          </cell>
          <cell r="D3308">
            <v>0</v>
          </cell>
          <cell r="E3308">
            <v>0</v>
          </cell>
          <cell r="F3308">
            <v>0.15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0.52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 t="b">
            <v>0</v>
          </cell>
        </row>
        <row r="3309">
          <cell r="A3309" t="str">
            <v>Data split-7;Reg-2</v>
          </cell>
          <cell r="B3309">
            <v>-4.5</v>
          </cell>
          <cell r="C3309">
            <v>1.4</v>
          </cell>
          <cell r="D3309">
            <v>0</v>
          </cell>
          <cell r="E3309">
            <v>0</v>
          </cell>
          <cell r="F3309">
            <v>0.11</v>
          </cell>
          <cell r="G3309">
            <v>1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0</v>
          </cell>
          <cell r="M3309">
            <v>-5.8000000000000003E-2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 t="b">
            <v>1</v>
          </cell>
        </row>
        <row r="3310">
          <cell r="A3310" t="str">
            <v>Data split-7;Reg-3</v>
          </cell>
          <cell r="B3310">
            <v>-4.5</v>
          </cell>
          <cell r="C3310">
            <v>1.4</v>
          </cell>
          <cell r="D3310">
            <v>0</v>
          </cell>
          <cell r="E3310">
            <v>0</v>
          </cell>
          <cell r="F3310">
            <v>0.11</v>
          </cell>
          <cell r="G3310">
            <v>0.93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-8.3000000000000001E-3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 t="b">
            <v>1</v>
          </cell>
        </row>
        <row r="3311">
          <cell r="A3311" t="str">
            <v>Data split-7;Reg-4</v>
          </cell>
          <cell r="B3311">
            <v>-3.1</v>
          </cell>
          <cell r="C3311">
            <v>0.88</v>
          </cell>
          <cell r="D3311">
            <v>0</v>
          </cell>
          <cell r="E3311">
            <v>0</v>
          </cell>
          <cell r="F3311">
            <v>6.9000000000000006E-2</v>
          </cell>
          <cell r="G3311">
            <v>0</v>
          </cell>
          <cell r="H3311">
            <v>2.7</v>
          </cell>
          <cell r="I3311">
            <v>0</v>
          </cell>
          <cell r="J3311">
            <v>0</v>
          </cell>
          <cell r="K3311">
            <v>0</v>
          </cell>
          <cell r="L3311">
            <v>0</v>
          </cell>
          <cell r="M3311">
            <v>-8.5000000000000006E-2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 t="b">
            <v>1</v>
          </cell>
        </row>
        <row r="3312">
          <cell r="A3312" t="str">
            <v>Data split-7;Reg-5</v>
          </cell>
          <cell r="B3312">
            <v>-0.86</v>
          </cell>
          <cell r="C3312">
            <v>0</v>
          </cell>
          <cell r="D3312">
            <v>0.53</v>
          </cell>
          <cell r="E3312">
            <v>0</v>
          </cell>
          <cell r="F3312">
            <v>9.0999999999999998E-2</v>
          </cell>
          <cell r="G3312">
            <v>0</v>
          </cell>
          <cell r="H3312">
            <v>3</v>
          </cell>
          <cell r="I3312">
            <v>0</v>
          </cell>
          <cell r="J3312">
            <v>0</v>
          </cell>
          <cell r="K3312">
            <v>0</v>
          </cell>
          <cell r="L3312">
            <v>0</v>
          </cell>
          <cell r="M3312">
            <v>-9.0999999999999998E-2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 t="b">
            <v>1</v>
          </cell>
        </row>
        <row r="3313">
          <cell r="A3313" t="str">
            <v>Data split-7;Reg-6</v>
          </cell>
          <cell r="B3313">
            <v>-2.2999999999999998</v>
          </cell>
          <cell r="C3313">
            <v>0.81</v>
          </cell>
          <cell r="D3313">
            <v>0</v>
          </cell>
          <cell r="E3313">
            <v>1.9</v>
          </cell>
          <cell r="F3313">
            <v>0</v>
          </cell>
          <cell r="G3313">
            <v>0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4.8000000000000001E-2</v>
          </cell>
          <cell r="M3313">
            <v>-5.1999999999999998E-2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 t="b">
            <v>0</v>
          </cell>
        </row>
        <row r="3314">
          <cell r="A3314" t="str">
            <v>Data split-7;Reg-7</v>
          </cell>
          <cell r="B3314">
            <v>-4.5999999999999996</v>
          </cell>
          <cell r="C3314">
            <v>1.4</v>
          </cell>
          <cell r="D3314">
            <v>0</v>
          </cell>
          <cell r="E3314">
            <v>0</v>
          </cell>
          <cell r="F3314">
            <v>0.12</v>
          </cell>
          <cell r="G3314">
            <v>0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0.4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6.7000000000000004E-2</v>
          </cell>
          <cell r="T3314">
            <v>0</v>
          </cell>
          <cell r="U3314" t="b">
            <v>0</v>
          </cell>
        </row>
        <row r="3315">
          <cell r="A3315" t="str">
            <v>Data split-7;Reg-8</v>
          </cell>
          <cell r="B3315">
            <v>-4.9000000000000004</v>
          </cell>
          <cell r="C3315">
            <v>1.5</v>
          </cell>
          <cell r="D3315">
            <v>0</v>
          </cell>
          <cell r="E3315">
            <v>0</v>
          </cell>
          <cell r="F3315">
            <v>0</v>
          </cell>
          <cell r="G3315">
            <v>0.84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-0.79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-7.4999999999999997E-3</v>
          </cell>
          <cell r="T3315">
            <v>0</v>
          </cell>
          <cell r="U3315" t="b">
            <v>1</v>
          </cell>
        </row>
        <row r="3316">
          <cell r="A3316" t="str">
            <v>Data split-7;Reg-9</v>
          </cell>
          <cell r="B3316">
            <v>-2.1</v>
          </cell>
          <cell r="C3316">
            <v>0</v>
          </cell>
          <cell r="D3316">
            <v>0.54</v>
          </cell>
          <cell r="E3316">
            <v>0</v>
          </cell>
          <cell r="F3316">
            <v>0</v>
          </cell>
          <cell r="G3316">
            <v>0</v>
          </cell>
          <cell r="H3316">
            <v>3.5</v>
          </cell>
          <cell r="I3316">
            <v>0</v>
          </cell>
          <cell r="J3316">
            <v>0</v>
          </cell>
          <cell r="K3316">
            <v>0</v>
          </cell>
          <cell r="L3316">
            <v>0.49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-0.1</v>
          </cell>
          <cell r="T3316">
            <v>0</v>
          </cell>
          <cell r="U3316" t="b">
            <v>0</v>
          </cell>
        </row>
        <row r="3317">
          <cell r="A3317" t="str">
            <v>Data split-7;Reg-10</v>
          </cell>
          <cell r="B3317">
            <v>-2.1</v>
          </cell>
          <cell r="C3317">
            <v>0</v>
          </cell>
          <cell r="D3317">
            <v>0.54</v>
          </cell>
          <cell r="E3317">
            <v>0</v>
          </cell>
          <cell r="F3317">
            <v>0</v>
          </cell>
          <cell r="G3317">
            <v>0</v>
          </cell>
          <cell r="H3317">
            <v>3.5</v>
          </cell>
          <cell r="I3317">
            <v>0</v>
          </cell>
          <cell r="J3317">
            <v>0</v>
          </cell>
          <cell r="K3317">
            <v>0</v>
          </cell>
          <cell r="L3317">
            <v>0.49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-0.1</v>
          </cell>
          <cell r="T3317">
            <v>0</v>
          </cell>
          <cell r="U3317" t="b">
            <v>0</v>
          </cell>
        </row>
        <row r="3318">
          <cell r="A3318" t="str">
            <v>Data split-7;Reg-11</v>
          </cell>
          <cell r="B3318">
            <v>-3.6</v>
          </cell>
          <cell r="C3318">
            <v>0.98</v>
          </cell>
          <cell r="D3318">
            <v>0</v>
          </cell>
          <cell r="E3318">
            <v>1.1000000000000001</v>
          </cell>
          <cell r="F3318">
            <v>0</v>
          </cell>
          <cell r="G3318">
            <v>0.27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 t="b">
            <v>1</v>
          </cell>
        </row>
        <row r="3319">
          <cell r="A3319" t="str">
            <v>Data split-7;Reg-12</v>
          </cell>
          <cell r="B3319">
            <v>-4.2</v>
          </cell>
          <cell r="C3319">
            <v>0.97</v>
          </cell>
          <cell r="D3319">
            <v>0</v>
          </cell>
          <cell r="E3319">
            <v>2.8000000000000001E-2</v>
          </cell>
          <cell r="F3319">
            <v>0</v>
          </cell>
          <cell r="G3319">
            <v>0</v>
          </cell>
          <cell r="H3319">
            <v>1.9</v>
          </cell>
          <cell r="I3319">
            <v>0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 t="b">
            <v>1</v>
          </cell>
        </row>
        <row r="3320">
          <cell r="A3320" t="str">
            <v>Data split-7;Reg-13</v>
          </cell>
          <cell r="B3320">
            <v>-4.5</v>
          </cell>
          <cell r="C3320">
            <v>1.4</v>
          </cell>
          <cell r="D3320">
            <v>0</v>
          </cell>
          <cell r="E3320">
            <v>0</v>
          </cell>
          <cell r="F3320">
            <v>0.1</v>
          </cell>
          <cell r="G3320">
            <v>0.69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 t="b">
            <v>1</v>
          </cell>
        </row>
        <row r="3321">
          <cell r="A3321" t="str">
            <v>Data split-7;Reg-14</v>
          </cell>
          <cell r="B3321">
            <v>-3.6</v>
          </cell>
          <cell r="C3321">
            <v>0.92</v>
          </cell>
          <cell r="D3321">
            <v>0</v>
          </cell>
          <cell r="E3321">
            <v>0</v>
          </cell>
          <cell r="F3321">
            <v>6.9000000000000006E-2</v>
          </cell>
          <cell r="G3321">
            <v>0</v>
          </cell>
          <cell r="H3321">
            <v>1.8</v>
          </cell>
          <cell r="I3321">
            <v>0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 t="b">
            <v>1</v>
          </cell>
        </row>
        <row r="3322">
          <cell r="A3322" t="str">
            <v>Data split-7;Reg-15</v>
          </cell>
          <cell r="B3322">
            <v>-2.2999999999999998</v>
          </cell>
          <cell r="C3322">
            <v>0.81</v>
          </cell>
          <cell r="D3322">
            <v>0</v>
          </cell>
          <cell r="E3322">
            <v>1.9</v>
          </cell>
          <cell r="F3322">
            <v>0</v>
          </cell>
          <cell r="G3322">
            <v>0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0</v>
          </cell>
          <cell r="M3322">
            <v>-5.1999999999999998E-2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 t="b">
            <v>1</v>
          </cell>
        </row>
        <row r="3323">
          <cell r="A3323" t="str">
            <v>Data split-7;Reg-16</v>
          </cell>
          <cell r="B3323">
            <v>-2.2999999999999998</v>
          </cell>
          <cell r="C3323">
            <v>0.81</v>
          </cell>
          <cell r="D3323">
            <v>0</v>
          </cell>
          <cell r="E3323">
            <v>1.9</v>
          </cell>
          <cell r="F3323">
            <v>0</v>
          </cell>
          <cell r="G3323">
            <v>0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-9.7000000000000003E-3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 t="b">
            <v>1</v>
          </cell>
        </row>
        <row r="3324">
          <cell r="A3324" t="str">
            <v>Data split-7;Reg-17</v>
          </cell>
          <cell r="B3324">
            <v>-4.3</v>
          </cell>
          <cell r="C3324">
            <v>1.5</v>
          </cell>
          <cell r="D3324">
            <v>0</v>
          </cell>
          <cell r="E3324">
            <v>0</v>
          </cell>
          <cell r="F3324">
            <v>0.13</v>
          </cell>
          <cell r="G3324">
            <v>0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0</v>
          </cell>
          <cell r="M3324">
            <v>0.04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 t="b">
            <v>0</v>
          </cell>
        </row>
        <row r="3325">
          <cell r="A3325" t="str">
            <v>Data split-7;Reg-18</v>
          </cell>
          <cell r="B3325">
            <v>-4.3</v>
          </cell>
          <cell r="C3325">
            <v>1.5</v>
          </cell>
          <cell r="D3325">
            <v>0</v>
          </cell>
          <cell r="E3325">
            <v>0</v>
          </cell>
          <cell r="F3325">
            <v>0.12</v>
          </cell>
          <cell r="G3325">
            <v>0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0.01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 t="b">
            <v>0</v>
          </cell>
        </row>
        <row r="3326">
          <cell r="A3326" t="str">
            <v>Data split-7;Reg-19</v>
          </cell>
          <cell r="B3326">
            <v>-5.9</v>
          </cell>
          <cell r="C3326">
            <v>1.4</v>
          </cell>
          <cell r="D3326">
            <v>0</v>
          </cell>
          <cell r="E3326">
            <v>0</v>
          </cell>
          <cell r="F3326">
            <v>0</v>
          </cell>
          <cell r="G3326">
            <v>1.2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-5.2999999999999999E-2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 t="b">
            <v>1</v>
          </cell>
        </row>
        <row r="3327">
          <cell r="A3327" t="str">
            <v>Data split-7;Reg-20</v>
          </cell>
          <cell r="B3327">
            <v>-5.9</v>
          </cell>
          <cell r="C3327">
            <v>1.5</v>
          </cell>
          <cell r="D3327">
            <v>0</v>
          </cell>
          <cell r="E3327">
            <v>0</v>
          </cell>
          <cell r="F3327">
            <v>0</v>
          </cell>
          <cell r="G3327">
            <v>1.1000000000000001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-6.4999999999999997E-3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 t="b">
            <v>1</v>
          </cell>
        </row>
        <row r="3328">
          <cell r="A3328" t="str">
            <v>Data split-7;Reg-21</v>
          </cell>
          <cell r="B3328">
            <v>-3.9</v>
          </cell>
          <cell r="C3328">
            <v>0.72</v>
          </cell>
          <cell r="D3328">
            <v>0</v>
          </cell>
          <cell r="E3328">
            <v>0</v>
          </cell>
          <cell r="F3328">
            <v>0</v>
          </cell>
          <cell r="G3328">
            <v>0</v>
          </cell>
          <cell r="H3328">
            <v>2.9</v>
          </cell>
          <cell r="I3328">
            <v>0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-7.1999999999999995E-2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 t="b">
            <v>1</v>
          </cell>
        </row>
        <row r="3329">
          <cell r="A3329" t="str">
            <v>Data split-7;Reg-22</v>
          </cell>
          <cell r="B3329">
            <v>-4.2</v>
          </cell>
          <cell r="C3329">
            <v>0.79</v>
          </cell>
          <cell r="D3329">
            <v>0</v>
          </cell>
          <cell r="E3329">
            <v>0</v>
          </cell>
          <cell r="F3329">
            <v>0</v>
          </cell>
          <cell r="G3329">
            <v>0</v>
          </cell>
          <cell r="H3329">
            <v>2.8</v>
          </cell>
          <cell r="I3329">
            <v>0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-1.0999999999999999E-2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 t="b">
            <v>1</v>
          </cell>
        </row>
        <row r="3330">
          <cell r="A3330" t="str">
            <v>Data split-7;Reg-23</v>
          </cell>
          <cell r="B3330">
            <v>-0.74</v>
          </cell>
          <cell r="C3330">
            <v>0</v>
          </cell>
          <cell r="D3330">
            <v>0.48</v>
          </cell>
          <cell r="E3330">
            <v>1.7</v>
          </cell>
          <cell r="F3330">
            <v>0</v>
          </cell>
          <cell r="G3330">
            <v>0.09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 t="b">
            <v>1</v>
          </cell>
        </row>
        <row r="3331">
          <cell r="A3331" t="str">
            <v>Data split-7;Reg-24</v>
          </cell>
          <cell r="B3331">
            <v>-1.5</v>
          </cell>
          <cell r="C3331">
            <v>0</v>
          </cell>
          <cell r="D3331">
            <v>0.49</v>
          </cell>
          <cell r="E3331">
            <v>0.6</v>
          </cell>
          <cell r="F3331">
            <v>0</v>
          </cell>
          <cell r="G3331">
            <v>0</v>
          </cell>
          <cell r="H3331">
            <v>1.7</v>
          </cell>
          <cell r="I3331">
            <v>0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 t="b">
            <v>1</v>
          </cell>
        </row>
        <row r="3332">
          <cell r="A3332" t="str">
            <v>Data split-7;Reg-25</v>
          </cell>
          <cell r="B3332">
            <v>-1</v>
          </cell>
          <cell r="C3332">
            <v>0</v>
          </cell>
          <cell r="D3332">
            <v>0.97</v>
          </cell>
          <cell r="E3332">
            <v>0</v>
          </cell>
          <cell r="F3332">
            <v>0.15</v>
          </cell>
          <cell r="G3332">
            <v>0.81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 t="b">
            <v>1</v>
          </cell>
        </row>
        <row r="3333">
          <cell r="A3333" t="str">
            <v>Data split-7;Reg-26</v>
          </cell>
          <cell r="B3333">
            <v>-1.2</v>
          </cell>
          <cell r="C3333">
            <v>0</v>
          </cell>
          <cell r="D3333">
            <v>0.55000000000000004</v>
          </cell>
          <cell r="E3333">
            <v>0</v>
          </cell>
          <cell r="F3333">
            <v>9.2999999999999999E-2</v>
          </cell>
          <cell r="G3333">
            <v>0</v>
          </cell>
          <cell r="H3333">
            <v>2.1</v>
          </cell>
          <cell r="I3333">
            <v>0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 t="b">
            <v>1</v>
          </cell>
        </row>
        <row r="3334">
          <cell r="A3334" t="str">
            <v>Data split-7;Reg-27</v>
          </cell>
          <cell r="B3334">
            <v>-4.1000000000000002E-2</v>
          </cell>
          <cell r="C3334">
            <v>0</v>
          </cell>
          <cell r="D3334">
            <v>0.41</v>
          </cell>
          <cell r="E3334">
            <v>2.2999999999999998</v>
          </cell>
          <cell r="F3334">
            <v>0</v>
          </cell>
          <cell r="G3334">
            <v>0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0</v>
          </cell>
          <cell r="M3334">
            <v>-6.4000000000000001E-2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 t="b">
            <v>1</v>
          </cell>
        </row>
        <row r="3335">
          <cell r="A3335" t="str">
            <v>Data split-7;Reg-28</v>
          </cell>
          <cell r="B3335">
            <v>-8.2000000000000007E-3</v>
          </cell>
          <cell r="C3335">
            <v>0</v>
          </cell>
          <cell r="D3335">
            <v>0.41</v>
          </cell>
          <cell r="E3335">
            <v>2.4</v>
          </cell>
          <cell r="F3335">
            <v>0</v>
          </cell>
          <cell r="G3335">
            <v>0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-1.2999999999999999E-2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 t="b">
            <v>1</v>
          </cell>
        </row>
        <row r="3336">
          <cell r="A3336" t="str">
            <v>Data split-7;Reg-29</v>
          </cell>
          <cell r="B3336">
            <v>-0.36</v>
          </cell>
          <cell r="C3336">
            <v>0</v>
          </cell>
          <cell r="D3336">
            <v>1.1000000000000001</v>
          </cell>
          <cell r="E3336">
            <v>0</v>
          </cell>
          <cell r="F3336">
            <v>0.19</v>
          </cell>
          <cell r="G3336">
            <v>0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0</v>
          </cell>
          <cell r="M3336">
            <v>5.7000000000000002E-2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 t="b">
            <v>0</v>
          </cell>
        </row>
        <row r="3337">
          <cell r="A3337" t="str">
            <v>Data split-7;Reg-30</v>
          </cell>
          <cell r="B3337">
            <v>-0.56000000000000005</v>
          </cell>
          <cell r="C3337">
            <v>0</v>
          </cell>
          <cell r="D3337">
            <v>1</v>
          </cell>
          <cell r="E3337">
            <v>0</v>
          </cell>
          <cell r="F3337">
            <v>0.17</v>
          </cell>
          <cell r="G3337">
            <v>0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1.4E-2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 t="b">
            <v>0</v>
          </cell>
        </row>
        <row r="3338">
          <cell r="A3338" t="str">
            <v>Data split-7;Reg-31</v>
          </cell>
          <cell r="B3338">
            <v>-2.8</v>
          </cell>
          <cell r="C3338">
            <v>0</v>
          </cell>
          <cell r="D3338">
            <v>1.1000000000000001</v>
          </cell>
          <cell r="E3338">
            <v>0</v>
          </cell>
          <cell r="F3338">
            <v>0</v>
          </cell>
          <cell r="G3338">
            <v>1.6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-0.08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 t="b">
            <v>1</v>
          </cell>
        </row>
        <row r="3339">
          <cell r="A3339" t="str">
            <v>Data split-7;Reg-32</v>
          </cell>
          <cell r="B3339">
            <v>-2.7</v>
          </cell>
          <cell r="C3339">
            <v>0</v>
          </cell>
          <cell r="D3339">
            <v>1.1000000000000001</v>
          </cell>
          <cell r="E3339">
            <v>0</v>
          </cell>
          <cell r="F3339">
            <v>0</v>
          </cell>
          <cell r="G3339">
            <v>1.4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-0.01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 t="b">
            <v>1</v>
          </cell>
        </row>
        <row r="3340">
          <cell r="A3340" t="str">
            <v>Data split-7;Reg-33</v>
          </cell>
          <cell r="B3340">
            <v>-2.2000000000000002</v>
          </cell>
          <cell r="C3340">
            <v>0</v>
          </cell>
          <cell r="D3340">
            <v>0.35</v>
          </cell>
          <cell r="E3340">
            <v>0</v>
          </cell>
          <cell r="F3340">
            <v>0</v>
          </cell>
          <cell r="G3340">
            <v>0</v>
          </cell>
          <cell r="H3340">
            <v>3.6</v>
          </cell>
          <cell r="I3340">
            <v>0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-9.5000000000000001E-2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 t="b">
            <v>1</v>
          </cell>
        </row>
        <row r="3341">
          <cell r="A3341" t="str">
            <v>Data split-7;Reg-34</v>
          </cell>
          <cell r="B3341">
            <v>-2.4</v>
          </cell>
          <cell r="C3341">
            <v>0</v>
          </cell>
          <cell r="D3341">
            <v>0.41</v>
          </cell>
          <cell r="E3341">
            <v>0</v>
          </cell>
          <cell r="F3341">
            <v>0</v>
          </cell>
          <cell r="G3341">
            <v>0</v>
          </cell>
          <cell r="H3341">
            <v>3.4</v>
          </cell>
          <cell r="I3341">
            <v>0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-1.4999999999999999E-2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 t="b">
            <v>1</v>
          </cell>
        </row>
        <row r="3342">
          <cell r="A3342" t="str">
            <v>Data split-7;Reg-35</v>
          </cell>
          <cell r="B3342">
            <v>-3.2</v>
          </cell>
          <cell r="C3342">
            <v>0.97</v>
          </cell>
          <cell r="D3342">
            <v>0</v>
          </cell>
          <cell r="E3342">
            <v>1.4</v>
          </cell>
          <cell r="F3342">
            <v>0</v>
          </cell>
          <cell r="G3342">
            <v>0.57999999999999996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0</v>
          </cell>
          <cell r="M3342">
            <v>-8.3000000000000004E-2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 t="b">
            <v>1</v>
          </cell>
        </row>
        <row r="3343">
          <cell r="A3343" t="str">
            <v>Data split-7;Reg-36</v>
          </cell>
          <cell r="B3343">
            <v>-3.1</v>
          </cell>
          <cell r="C3343">
            <v>0.95</v>
          </cell>
          <cell r="D3343">
            <v>0</v>
          </cell>
          <cell r="E3343">
            <v>1.5</v>
          </cell>
          <cell r="F3343">
            <v>0</v>
          </cell>
          <cell r="G3343">
            <v>0.55000000000000004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-1.6E-2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 t="b">
            <v>1</v>
          </cell>
        </row>
        <row r="3344">
          <cell r="A3344" t="str">
            <v>Data split-7;Reg-37</v>
          </cell>
          <cell r="B3344">
            <v>-3.4</v>
          </cell>
          <cell r="C3344">
            <v>0.87</v>
          </cell>
          <cell r="D3344">
            <v>0</v>
          </cell>
          <cell r="E3344">
            <v>0.3</v>
          </cell>
          <cell r="F3344">
            <v>0</v>
          </cell>
          <cell r="G3344">
            <v>0</v>
          </cell>
          <cell r="H3344">
            <v>2.5</v>
          </cell>
          <cell r="I3344">
            <v>0</v>
          </cell>
          <cell r="J3344">
            <v>0</v>
          </cell>
          <cell r="K3344">
            <v>0</v>
          </cell>
          <cell r="L3344">
            <v>0</v>
          </cell>
          <cell r="M3344">
            <v>-8.7999999999999995E-2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 t="b">
            <v>1</v>
          </cell>
        </row>
        <row r="3345">
          <cell r="A3345" t="str">
            <v>Data split-7;Reg-38</v>
          </cell>
          <cell r="B3345">
            <v>-3.4</v>
          </cell>
          <cell r="C3345">
            <v>0.86</v>
          </cell>
          <cell r="D3345">
            <v>0</v>
          </cell>
          <cell r="E3345">
            <v>0.47</v>
          </cell>
          <cell r="F3345">
            <v>0</v>
          </cell>
          <cell r="G3345">
            <v>0</v>
          </cell>
          <cell r="H3345">
            <v>2.4</v>
          </cell>
          <cell r="I3345">
            <v>0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-1.6E-2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 t="b">
            <v>1</v>
          </cell>
        </row>
        <row r="3346">
          <cell r="A3346" t="str">
            <v>Data split-7;Reg-39</v>
          </cell>
          <cell r="B3346">
            <v>-4.5</v>
          </cell>
          <cell r="C3346">
            <v>1.4</v>
          </cell>
          <cell r="D3346">
            <v>0</v>
          </cell>
          <cell r="E3346">
            <v>0</v>
          </cell>
          <cell r="F3346">
            <v>0.11</v>
          </cell>
          <cell r="G3346">
            <v>1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0</v>
          </cell>
          <cell r="M3346">
            <v>-5.8000000000000003E-2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 t="b">
            <v>1</v>
          </cell>
        </row>
        <row r="3347">
          <cell r="A3347" t="str">
            <v>Data split-7;Reg-40</v>
          </cell>
          <cell r="B3347">
            <v>-4.5</v>
          </cell>
          <cell r="C3347">
            <v>1.4</v>
          </cell>
          <cell r="D3347">
            <v>0</v>
          </cell>
          <cell r="E3347">
            <v>0</v>
          </cell>
          <cell r="F3347">
            <v>0.11</v>
          </cell>
          <cell r="G3347">
            <v>0.93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-8.3000000000000001E-3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 t="b">
            <v>1</v>
          </cell>
        </row>
        <row r="3348">
          <cell r="A3348" t="str">
            <v>Data split-7;Reg-41</v>
          </cell>
          <cell r="B3348">
            <v>-3.1</v>
          </cell>
          <cell r="C3348">
            <v>0.88</v>
          </cell>
          <cell r="D3348">
            <v>0</v>
          </cell>
          <cell r="E3348">
            <v>0</v>
          </cell>
          <cell r="F3348">
            <v>6.9000000000000006E-2</v>
          </cell>
          <cell r="G3348">
            <v>0</v>
          </cell>
          <cell r="H3348">
            <v>2.7</v>
          </cell>
          <cell r="I3348">
            <v>0</v>
          </cell>
          <cell r="J3348">
            <v>0</v>
          </cell>
          <cell r="K3348">
            <v>0</v>
          </cell>
          <cell r="L3348">
            <v>0</v>
          </cell>
          <cell r="M3348">
            <v>-8.5000000000000006E-2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 t="b">
            <v>1</v>
          </cell>
        </row>
        <row r="3349">
          <cell r="A3349" t="str">
            <v>Data split-7;Reg-42</v>
          </cell>
          <cell r="B3349">
            <v>-3.2</v>
          </cell>
          <cell r="C3349">
            <v>0.9</v>
          </cell>
          <cell r="D3349">
            <v>0</v>
          </cell>
          <cell r="E3349">
            <v>0</v>
          </cell>
          <cell r="F3349">
            <v>7.4999999999999997E-2</v>
          </cell>
          <cell r="G3349">
            <v>0</v>
          </cell>
          <cell r="H3349">
            <v>2.6</v>
          </cell>
          <cell r="I3349">
            <v>0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-1.4999999999999999E-2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 t="b">
            <v>1</v>
          </cell>
        </row>
        <row r="3350">
          <cell r="A3350" t="str">
            <v>Data split-7;Reg-43</v>
          </cell>
          <cell r="B3350">
            <v>-3.6</v>
          </cell>
          <cell r="C3350">
            <v>0.83</v>
          </cell>
          <cell r="D3350">
            <v>0</v>
          </cell>
          <cell r="E3350">
            <v>1.2</v>
          </cell>
          <cell r="F3350">
            <v>0</v>
          </cell>
          <cell r="G3350">
            <v>0.73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-7.0999999999999994E-2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 t="b">
            <v>1</v>
          </cell>
        </row>
        <row r="3351">
          <cell r="A3351" t="str">
            <v>Data split-7;Reg-44</v>
          </cell>
          <cell r="B3351">
            <v>-3.8</v>
          </cell>
          <cell r="C3351">
            <v>0.86</v>
          </cell>
          <cell r="D3351">
            <v>0</v>
          </cell>
          <cell r="E3351">
            <v>1.3</v>
          </cell>
          <cell r="F3351">
            <v>0</v>
          </cell>
          <cell r="G3351">
            <v>0.65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-1.0999999999999999E-2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 t="b">
            <v>1</v>
          </cell>
        </row>
        <row r="3352">
          <cell r="A3352" t="str">
            <v>Data split-7;Reg-45</v>
          </cell>
          <cell r="B3352">
            <v>-3.8</v>
          </cell>
          <cell r="C3352">
            <v>0.69</v>
          </cell>
          <cell r="D3352">
            <v>0</v>
          </cell>
          <cell r="E3352">
            <v>0.11</v>
          </cell>
          <cell r="F3352">
            <v>0</v>
          </cell>
          <cell r="G3352">
            <v>0</v>
          </cell>
          <cell r="H3352">
            <v>2.8</v>
          </cell>
          <cell r="I3352">
            <v>0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-7.2999999999999995E-2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 t="b">
            <v>1</v>
          </cell>
        </row>
        <row r="3353">
          <cell r="A3353" t="str">
            <v>Data split-7;Reg-46</v>
          </cell>
          <cell r="B3353">
            <v>-4</v>
          </cell>
          <cell r="C3353">
            <v>0.75</v>
          </cell>
          <cell r="D3353">
            <v>0</v>
          </cell>
          <cell r="E3353">
            <v>0.18</v>
          </cell>
          <cell r="F3353">
            <v>0</v>
          </cell>
          <cell r="G3353">
            <v>0</v>
          </cell>
          <cell r="H3353">
            <v>2.6</v>
          </cell>
          <cell r="I3353">
            <v>0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-1.0999999999999999E-2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 t="b">
            <v>1</v>
          </cell>
        </row>
        <row r="3354">
          <cell r="A3354" t="str">
            <v>Data split-7;Reg-47</v>
          </cell>
          <cell r="B3354">
            <v>-4.5</v>
          </cell>
          <cell r="C3354">
            <v>1.2</v>
          </cell>
          <cell r="D3354">
            <v>0</v>
          </cell>
          <cell r="E3354">
            <v>0</v>
          </cell>
          <cell r="F3354">
            <v>0.14000000000000001</v>
          </cell>
          <cell r="G3354">
            <v>1.3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-8.7999999999999995E-2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 t="b">
            <v>1</v>
          </cell>
        </row>
        <row r="3355">
          <cell r="A3355" t="str">
            <v>Data split-7;Reg-48</v>
          </cell>
          <cell r="B3355">
            <v>-4.7</v>
          </cell>
          <cell r="C3355">
            <v>1.3</v>
          </cell>
          <cell r="D3355">
            <v>0</v>
          </cell>
          <cell r="E3355">
            <v>0</v>
          </cell>
          <cell r="F3355">
            <v>0.14000000000000001</v>
          </cell>
          <cell r="G3355">
            <v>1.2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0</v>
          </cell>
          <cell r="M3355">
            <v>0</v>
          </cell>
          <cell r="N3355">
            <v>0</v>
          </cell>
          <cell r="O3355">
            <v>0</v>
          </cell>
          <cell r="P3355">
            <v>-1.4E-2</v>
          </cell>
          <cell r="Q3355">
            <v>0</v>
          </cell>
          <cell r="R3355">
            <v>0</v>
          </cell>
          <cell r="S3355">
            <v>0</v>
          </cell>
          <cell r="T3355">
            <v>0</v>
          </cell>
          <cell r="U3355" t="b">
            <v>1</v>
          </cell>
        </row>
        <row r="3356">
          <cell r="A3356" t="str">
            <v>Data split-7;Reg-49</v>
          </cell>
          <cell r="B3356">
            <v>-2.9</v>
          </cell>
          <cell r="C3356">
            <v>0.57999999999999996</v>
          </cell>
          <cell r="D3356">
            <v>0</v>
          </cell>
          <cell r="E3356">
            <v>0</v>
          </cell>
          <cell r="F3356">
            <v>9.9000000000000005E-2</v>
          </cell>
          <cell r="G3356">
            <v>0</v>
          </cell>
          <cell r="H3356">
            <v>2.9</v>
          </cell>
          <cell r="I3356">
            <v>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-8.6999999999999994E-2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 t="b">
            <v>1</v>
          </cell>
        </row>
        <row r="3357">
          <cell r="A3357" t="str">
            <v>Data split-7;Reg-50</v>
          </cell>
          <cell r="B3357">
            <v>-3.2</v>
          </cell>
          <cell r="C3357">
            <v>0.65</v>
          </cell>
          <cell r="D3357">
            <v>0</v>
          </cell>
          <cell r="E3357">
            <v>0</v>
          </cell>
          <cell r="F3357">
            <v>0.1</v>
          </cell>
          <cell r="G3357">
            <v>0</v>
          </cell>
          <cell r="H3357">
            <v>2.8</v>
          </cell>
          <cell r="I3357">
            <v>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-1.4E-2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 t="b">
            <v>1</v>
          </cell>
        </row>
        <row r="3358">
          <cell r="A3358" t="str">
            <v>Data split-7;Reg-51</v>
          </cell>
          <cell r="B3358">
            <v>-0.41</v>
          </cell>
          <cell r="C3358">
            <v>0</v>
          </cell>
          <cell r="D3358">
            <v>0.49</v>
          </cell>
          <cell r="E3358">
            <v>2</v>
          </cell>
          <cell r="F3358">
            <v>0</v>
          </cell>
          <cell r="G3358">
            <v>0.42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-8.7999999999999995E-2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 t="b">
            <v>1</v>
          </cell>
        </row>
        <row r="3359">
          <cell r="A3359" t="str">
            <v>Data split-7;Reg-52</v>
          </cell>
          <cell r="B3359">
            <v>-0.33</v>
          </cell>
          <cell r="C3359">
            <v>0</v>
          </cell>
          <cell r="D3359">
            <v>0.49</v>
          </cell>
          <cell r="E3359">
            <v>2.1</v>
          </cell>
          <cell r="F3359">
            <v>0</v>
          </cell>
          <cell r="G3359">
            <v>0.42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-1.7999999999999999E-2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 t="b">
            <v>1</v>
          </cell>
        </row>
        <row r="3360">
          <cell r="A3360" t="str">
            <v>Data split-7;Reg-53</v>
          </cell>
          <cell r="B3360">
            <v>-0.97</v>
          </cell>
          <cell r="C3360">
            <v>0</v>
          </cell>
          <cell r="D3360">
            <v>0.44</v>
          </cell>
          <cell r="E3360">
            <v>0.83</v>
          </cell>
          <cell r="F3360">
            <v>0</v>
          </cell>
          <cell r="G3360">
            <v>0</v>
          </cell>
          <cell r="H3360">
            <v>2.4</v>
          </cell>
          <cell r="I3360">
            <v>0</v>
          </cell>
          <cell r="J3360">
            <v>0</v>
          </cell>
          <cell r="K3360">
            <v>0</v>
          </cell>
          <cell r="L3360">
            <v>0</v>
          </cell>
          <cell r="M3360">
            <v>-9.9000000000000005E-2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 t="b">
            <v>1</v>
          </cell>
        </row>
        <row r="3361">
          <cell r="A3361" t="str">
            <v>Data split-7;Reg-54</v>
          </cell>
          <cell r="B3361">
            <v>-0.88</v>
          </cell>
          <cell r="C3361">
            <v>0</v>
          </cell>
          <cell r="D3361">
            <v>0.44</v>
          </cell>
          <cell r="E3361">
            <v>1</v>
          </cell>
          <cell r="F3361">
            <v>0</v>
          </cell>
          <cell r="G3361">
            <v>0</v>
          </cell>
          <cell r="H3361">
            <v>2.2999999999999998</v>
          </cell>
          <cell r="I3361">
            <v>0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-1.9E-2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 t="b">
            <v>1</v>
          </cell>
        </row>
        <row r="3362">
          <cell r="A3362" t="str">
            <v>Data split-7;Reg-55</v>
          </cell>
          <cell r="B3362">
            <v>-0.93</v>
          </cell>
          <cell r="C3362">
            <v>0</v>
          </cell>
          <cell r="D3362">
            <v>1</v>
          </cell>
          <cell r="E3362">
            <v>0</v>
          </cell>
          <cell r="F3362">
            <v>0.15</v>
          </cell>
          <cell r="G3362">
            <v>1.1000000000000001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0</v>
          </cell>
          <cell r="M3362">
            <v>-4.9000000000000002E-2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 t="b">
            <v>1</v>
          </cell>
        </row>
        <row r="3363">
          <cell r="A3363" t="str">
            <v>Data split-7;Reg-56</v>
          </cell>
          <cell r="B3363">
            <v>-0.96</v>
          </cell>
          <cell r="C3363">
            <v>0</v>
          </cell>
          <cell r="D3363">
            <v>1</v>
          </cell>
          <cell r="E3363">
            <v>0</v>
          </cell>
          <cell r="F3363">
            <v>0.16</v>
          </cell>
          <cell r="G3363">
            <v>0.98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-6.1000000000000004E-3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 t="b">
            <v>1</v>
          </cell>
        </row>
        <row r="3364">
          <cell r="A3364" t="str">
            <v>Data split-7;Reg-57</v>
          </cell>
          <cell r="B3364">
            <v>-0.86</v>
          </cell>
          <cell r="C3364">
            <v>0</v>
          </cell>
          <cell r="D3364">
            <v>0.53</v>
          </cell>
          <cell r="E3364">
            <v>0</v>
          </cell>
          <cell r="F3364">
            <v>9.0999999999999998E-2</v>
          </cell>
          <cell r="G3364">
            <v>0</v>
          </cell>
          <cell r="H3364">
            <v>3</v>
          </cell>
          <cell r="I3364">
            <v>0</v>
          </cell>
          <cell r="J3364">
            <v>0</v>
          </cell>
          <cell r="K3364">
            <v>0</v>
          </cell>
          <cell r="L3364">
            <v>0</v>
          </cell>
          <cell r="M3364">
            <v>-9.0999999999999998E-2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 t="b">
            <v>1</v>
          </cell>
        </row>
        <row r="3365">
          <cell r="A3365" t="str">
            <v>Data split-7;Reg-58</v>
          </cell>
          <cell r="B3365">
            <v>-0.87</v>
          </cell>
          <cell r="C3365">
            <v>0</v>
          </cell>
          <cell r="D3365">
            <v>0.55000000000000004</v>
          </cell>
          <cell r="E3365">
            <v>0</v>
          </cell>
          <cell r="F3365">
            <v>9.8000000000000004E-2</v>
          </cell>
          <cell r="G3365">
            <v>0</v>
          </cell>
          <cell r="H3365">
            <v>3</v>
          </cell>
          <cell r="I3365">
            <v>0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-1.6E-2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 t="b">
            <v>1</v>
          </cell>
        </row>
        <row r="3366">
          <cell r="A3366" t="str">
            <v>Data split-7;Reg-59</v>
          </cell>
          <cell r="B3366">
            <v>-1.4</v>
          </cell>
          <cell r="C3366">
            <v>0</v>
          </cell>
          <cell r="D3366">
            <v>0.38</v>
          </cell>
          <cell r="E3366">
            <v>1.8</v>
          </cell>
          <cell r="F3366">
            <v>0</v>
          </cell>
          <cell r="G3366">
            <v>0.72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-9.0999999999999998E-2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 t="b">
            <v>1</v>
          </cell>
        </row>
        <row r="3367">
          <cell r="A3367" t="str">
            <v>Data split-7;Reg-60</v>
          </cell>
          <cell r="B3367">
            <v>-1.4</v>
          </cell>
          <cell r="C3367">
            <v>0</v>
          </cell>
          <cell r="D3367">
            <v>0.4</v>
          </cell>
          <cell r="E3367">
            <v>1.8</v>
          </cell>
          <cell r="F3367">
            <v>0</v>
          </cell>
          <cell r="G3367">
            <v>0.63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-1.4999999999999999E-2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 t="b">
            <v>1</v>
          </cell>
        </row>
        <row r="3368">
          <cell r="A3368" t="str">
            <v>Data split-7;Reg-61</v>
          </cell>
          <cell r="B3368">
            <v>-1.9</v>
          </cell>
          <cell r="C3368">
            <v>0</v>
          </cell>
          <cell r="D3368">
            <v>0.28000000000000003</v>
          </cell>
          <cell r="E3368">
            <v>0.54</v>
          </cell>
          <cell r="F3368">
            <v>0</v>
          </cell>
          <cell r="G3368">
            <v>0</v>
          </cell>
          <cell r="H3368">
            <v>2.9</v>
          </cell>
          <cell r="I3368">
            <v>0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-9.4E-2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 t="b">
            <v>1</v>
          </cell>
        </row>
        <row r="3369">
          <cell r="A3369" t="str">
            <v>Data split-7;Reg-62</v>
          </cell>
          <cell r="B3369">
            <v>-1.9</v>
          </cell>
          <cell r="C3369">
            <v>0</v>
          </cell>
          <cell r="D3369">
            <v>0.31</v>
          </cell>
          <cell r="E3369">
            <v>0.66</v>
          </cell>
          <cell r="F3369">
            <v>0</v>
          </cell>
          <cell r="G3369">
            <v>0</v>
          </cell>
          <cell r="H3369">
            <v>2.7</v>
          </cell>
          <cell r="I3369">
            <v>0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-1.4999999999999999E-2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 t="b">
            <v>1</v>
          </cell>
        </row>
        <row r="3370">
          <cell r="A3370" t="str">
            <v>Data split-7;Reg-63</v>
          </cell>
          <cell r="B3370">
            <v>-1.6</v>
          </cell>
          <cell r="C3370">
            <v>0</v>
          </cell>
          <cell r="D3370">
            <v>0.83</v>
          </cell>
          <cell r="E3370">
            <v>0</v>
          </cell>
          <cell r="F3370">
            <v>0.19</v>
          </cell>
          <cell r="G3370">
            <v>1.6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-0.12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 t="b">
            <v>1</v>
          </cell>
        </row>
        <row r="3371">
          <cell r="A3371" t="str">
            <v>Data split-7;Reg-64</v>
          </cell>
          <cell r="B3371">
            <v>-1.7</v>
          </cell>
          <cell r="C3371">
            <v>0</v>
          </cell>
          <cell r="D3371">
            <v>0.88</v>
          </cell>
          <cell r="E3371">
            <v>0</v>
          </cell>
          <cell r="F3371">
            <v>0.2</v>
          </cell>
          <cell r="G3371">
            <v>1.6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-0.02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 t="b">
            <v>1</v>
          </cell>
        </row>
        <row r="3372">
          <cell r="A3372" t="str">
            <v>Data split-7;Reg-65</v>
          </cell>
          <cell r="B3372">
            <v>-1.4</v>
          </cell>
          <cell r="C3372">
            <v>0</v>
          </cell>
          <cell r="D3372">
            <v>0.28000000000000003</v>
          </cell>
          <cell r="E3372">
            <v>0</v>
          </cell>
          <cell r="F3372">
            <v>0.12</v>
          </cell>
          <cell r="G3372">
            <v>0</v>
          </cell>
          <cell r="H3372">
            <v>3.4</v>
          </cell>
          <cell r="I3372">
            <v>0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-0.11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 t="b">
            <v>1</v>
          </cell>
        </row>
        <row r="3373">
          <cell r="A3373" t="str">
            <v>Data split-7;Reg-66</v>
          </cell>
          <cell r="B3373">
            <v>-1.5</v>
          </cell>
          <cell r="C3373">
            <v>0</v>
          </cell>
          <cell r="D3373">
            <v>0.33</v>
          </cell>
          <cell r="E3373">
            <v>0</v>
          </cell>
          <cell r="F3373">
            <v>0.13</v>
          </cell>
          <cell r="G3373">
            <v>0</v>
          </cell>
          <cell r="H3373">
            <v>3.3</v>
          </cell>
          <cell r="I3373">
            <v>0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-1.7999999999999999E-2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 t="b">
            <v>1</v>
          </cell>
        </row>
        <row r="3374">
          <cell r="A3374" t="str">
            <v>Data split-7;Reg-67</v>
          </cell>
          <cell r="B3374">
            <v>-5.6</v>
          </cell>
          <cell r="C3374">
            <v>1.5</v>
          </cell>
          <cell r="D3374">
            <v>0</v>
          </cell>
          <cell r="E3374">
            <v>0</v>
          </cell>
          <cell r="F3374">
            <v>0</v>
          </cell>
          <cell r="G3374">
            <v>0.79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 t="b">
            <v>1</v>
          </cell>
        </row>
        <row r="3375">
          <cell r="A3375" t="str">
            <v>Data split-7;Reg-68</v>
          </cell>
          <cell r="B3375">
            <v>-4.5</v>
          </cell>
          <cell r="C3375">
            <v>1.4</v>
          </cell>
          <cell r="D3375">
            <v>0</v>
          </cell>
          <cell r="E3375">
            <v>0</v>
          </cell>
          <cell r="F3375">
            <v>0.1</v>
          </cell>
          <cell r="G3375">
            <v>0.69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 t="b">
            <v>1</v>
          </cell>
        </row>
        <row r="3376">
          <cell r="A3376" t="str">
            <v>Data split-7;Reg-69</v>
          </cell>
          <cell r="B3376">
            <v>-6.2</v>
          </cell>
          <cell r="C3376">
            <v>1.5</v>
          </cell>
          <cell r="D3376">
            <v>0</v>
          </cell>
          <cell r="E3376">
            <v>0</v>
          </cell>
          <cell r="F3376">
            <v>0</v>
          </cell>
          <cell r="G3376">
            <v>0.74</v>
          </cell>
          <cell r="H3376">
            <v>0</v>
          </cell>
          <cell r="I3376">
            <v>0</v>
          </cell>
          <cell r="J3376">
            <v>1.7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 t="b">
            <v>0</v>
          </cell>
        </row>
        <row r="3377">
          <cell r="A3377" t="str">
            <v>Data split-7;Reg-70</v>
          </cell>
          <cell r="B3377">
            <v>-6.2</v>
          </cell>
          <cell r="C3377">
            <v>1.5</v>
          </cell>
          <cell r="D3377">
            <v>0</v>
          </cell>
          <cell r="E3377">
            <v>0</v>
          </cell>
          <cell r="F3377">
            <v>0</v>
          </cell>
          <cell r="G3377">
            <v>0.76</v>
          </cell>
          <cell r="H3377">
            <v>0</v>
          </cell>
          <cell r="I3377">
            <v>0</v>
          </cell>
          <cell r="J3377">
            <v>1.7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-2.3999999999999998E-3</v>
          </cell>
          <cell r="T3377">
            <v>0</v>
          </cell>
          <cell r="U3377" t="b">
            <v>0</v>
          </cell>
        </row>
        <row r="3378">
          <cell r="A3378" t="str">
            <v>Data split-7;Reg-71</v>
          </cell>
          <cell r="B3378">
            <v>-0.95</v>
          </cell>
          <cell r="C3378">
            <v>0.49</v>
          </cell>
          <cell r="D3378">
            <v>0</v>
          </cell>
          <cell r="E3378">
            <v>0</v>
          </cell>
          <cell r="F3378">
            <v>8.7999999999999995E-2</v>
          </cell>
          <cell r="G3378">
            <v>0</v>
          </cell>
          <cell r="H3378">
            <v>3.3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-0.1</v>
          </cell>
          <cell r="T3378">
            <v>0</v>
          </cell>
          <cell r="U3378" t="b">
            <v>1</v>
          </cell>
        </row>
        <row r="3379">
          <cell r="A3379" t="str">
            <v>Data split-7;Reg-72</v>
          </cell>
          <cell r="B3379">
            <v>-3</v>
          </cell>
          <cell r="C3379">
            <v>0.89</v>
          </cell>
          <cell r="D3379">
            <v>0</v>
          </cell>
          <cell r="E3379">
            <v>1.4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 t="b">
            <v>1</v>
          </cell>
        </row>
        <row r="3380">
          <cell r="A3380" t="str">
            <v>Data split-7;Reg-73</v>
          </cell>
          <cell r="B3380">
            <v>-4.2</v>
          </cell>
          <cell r="C3380">
            <v>1.7</v>
          </cell>
          <cell r="D3380">
            <v>0</v>
          </cell>
          <cell r="E3380">
            <v>0</v>
          </cell>
          <cell r="F3380">
            <v>0.15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 t="b">
            <v>1</v>
          </cell>
        </row>
        <row r="3381">
          <cell r="A3381" t="str">
            <v>Data split-7;Reg-74</v>
          </cell>
          <cell r="B3381">
            <v>-0.62</v>
          </cell>
          <cell r="C3381">
            <v>0</v>
          </cell>
          <cell r="D3381">
            <v>0.46</v>
          </cell>
          <cell r="E3381">
            <v>1.8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 t="b">
            <v>1</v>
          </cell>
        </row>
        <row r="3382">
          <cell r="A3382" t="str">
            <v>Data split-7;Reg-75</v>
          </cell>
          <cell r="B3382">
            <v>0.22</v>
          </cell>
          <cell r="C3382">
            <v>0</v>
          </cell>
          <cell r="D3382">
            <v>1.3</v>
          </cell>
          <cell r="E3382">
            <v>0</v>
          </cell>
          <cell r="F3382">
            <v>0.22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 t="b">
            <v>0</v>
          </cell>
        </row>
        <row r="3383">
          <cell r="A3383" t="str">
            <v>Data split-7;Reg-76</v>
          </cell>
          <cell r="B3383">
            <v>-5.6</v>
          </cell>
          <cell r="C3383">
            <v>1.5</v>
          </cell>
          <cell r="D3383">
            <v>0</v>
          </cell>
          <cell r="E3383">
            <v>0</v>
          </cell>
          <cell r="F3383">
            <v>0</v>
          </cell>
          <cell r="G3383">
            <v>0.79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 t="b">
            <v>1</v>
          </cell>
        </row>
        <row r="3384">
          <cell r="A3384" t="str">
            <v>Data split-7;Reg-77</v>
          </cell>
          <cell r="B3384">
            <v>-4.2</v>
          </cell>
          <cell r="C3384">
            <v>0.98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1.9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 t="b">
            <v>1</v>
          </cell>
        </row>
        <row r="3385">
          <cell r="A3385" t="str">
            <v>Data split-7;Reg-78</v>
          </cell>
          <cell r="B3385">
            <v>-2.2000000000000002</v>
          </cell>
          <cell r="C3385">
            <v>0</v>
          </cell>
          <cell r="D3385">
            <v>1.1000000000000001</v>
          </cell>
          <cell r="E3385">
            <v>0</v>
          </cell>
          <cell r="F3385">
            <v>0</v>
          </cell>
          <cell r="G3385">
            <v>0.98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 t="b">
            <v>1</v>
          </cell>
        </row>
        <row r="3386">
          <cell r="A3386" t="str">
            <v>Data split-7;Reg-79</v>
          </cell>
          <cell r="B3386">
            <v>-1.9</v>
          </cell>
          <cell r="C3386">
            <v>0</v>
          </cell>
          <cell r="D3386">
            <v>0.57999999999999996</v>
          </cell>
          <cell r="E3386">
            <v>0</v>
          </cell>
          <cell r="F3386">
            <v>0</v>
          </cell>
          <cell r="G3386">
            <v>0</v>
          </cell>
          <cell r="H3386">
            <v>2.4</v>
          </cell>
          <cell r="I3386">
            <v>0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 t="b">
            <v>1</v>
          </cell>
        </row>
        <row r="3387">
          <cell r="A3387" t="str">
            <v>Data split-7;Reg-80</v>
          </cell>
          <cell r="B3387">
            <v>-7</v>
          </cell>
          <cell r="C3387">
            <v>1.8</v>
          </cell>
          <cell r="D3387">
            <v>0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1.4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 t="b">
            <v>0</v>
          </cell>
        </row>
        <row r="3388">
          <cell r="A3388" t="str">
            <v>Data split-7;Reg-81</v>
          </cell>
          <cell r="B3388">
            <v>-8.8000000000000007</v>
          </cell>
          <cell r="C3388">
            <v>1.9</v>
          </cell>
          <cell r="D3388">
            <v>0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0</v>
          </cell>
          <cell r="J3388">
            <v>9.1999999999999993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 t="b">
            <v>0</v>
          </cell>
        </row>
        <row r="3389">
          <cell r="A3389" t="str">
            <v>Data split-7;Reg-82</v>
          </cell>
          <cell r="B3389">
            <v>-3.7</v>
          </cell>
          <cell r="C3389">
            <v>0</v>
          </cell>
          <cell r="D3389">
            <v>1.4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2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 t="b">
            <v>0</v>
          </cell>
        </row>
        <row r="3390">
          <cell r="A3390" t="str">
            <v>Data split-7;Reg-83</v>
          </cell>
          <cell r="B3390">
            <v>-8</v>
          </cell>
          <cell r="C3390">
            <v>0</v>
          </cell>
          <cell r="D3390">
            <v>1.6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0</v>
          </cell>
          <cell r="J3390">
            <v>18.399999999999999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 t="b">
            <v>0</v>
          </cell>
        </row>
        <row r="3391">
          <cell r="A3391" t="str">
            <v>Data split-7;Reg-84</v>
          </cell>
          <cell r="B3391">
            <v>-7.1</v>
          </cell>
          <cell r="C3391">
            <v>2</v>
          </cell>
          <cell r="D3391">
            <v>0</v>
          </cell>
          <cell r="E3391">
            <v>0</v>
          </cell>
          <cell r="F3391">
            <v>0</v>
          </cell>
          <cell r="G3391">
            <v>0</v>
          </cell>
          <cell r="H3391">
            <v>0</v>
          </cell>
          <cell r="I3391">
            <v>0</v>
          </cell>
          <cell r="J3391">
            <v>0</v>
          </cell>
          <cell r="K3391">
            <v>0.28999999999999998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 t="b">
            <v>0</v>
          </cell>
        </row>
        <row r="3392">
          <cell r="A3392" t="str">
            <v>Data split-7;Reg-85</v>
          </cell>
          <cell r="B3392">
            <v>-6.3</v>
          </cell>
          <cell r="C3392">
            <v>2</v>
          </cell>
          <cell r="D3392">
            <v>0</v>
          </cell>
          <cell r="E3392">
            <v>0</v>
          </cell>
          <cell r="F3392">
            <v>0</v>
          </cell>
          <cell r="G3392">
            <v>0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0.28000000000000003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 t="b">
            <v>0</v>
          </cell>
        </row>
        <row r="3393">
          <cell r="A3393" t="str">
            <v>Data split-7;Reg-86</v>
          </cell>
          <cell r="B3393">
            <v>-4.5</v>
          </cell>
          <cell r="C3393">
            <v>0</v>
          </cell>
          <cell r="D3393">
            <v>1.6</v>
          </cell>
          <cell r="E3393">
            <v>0</v>
          </cell>
          <cell r="F3393">
            <v>0</v>
          </cell>
          <cell r="G3393">
            <v>0</v>
          </cell>
          <cell r="H3393">
            <v>0</v>
          </cell>
          <cell r="I3393">
            <v>0</v>
          </cell>
          <cell r="J3393">
            <v>0</v>
          </cell>
          <cell r="K3393">
            <v>0.78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 t="b">
            <v>0</v>
          </cell>
        </row>
        <row r="3394">
          <cell r="A3394" t="str">
            <v>Data split-7;Reg-87</v>
          </cell>
          <cell r="B3394">
            <v>-5.5</v>
          </cell>
          <cell r="C3394">
            <v>0</v>
          </cell>
          <cell r="D3394">
            <v>1.7</v>
          </cell>
          <cell r="E3394">
            <v>0</v>
          </cell>
          <cell r="F3394">
            <v>0</v>
          </cell>
          <cell r="G3394">
            <v>0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4.3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 t="b">
            <v>0</v>
          </cell>
        </row>
        <row r="3395">
          <cell r="A3395" t="str">
            <v>Data split-7;Reg-88</v>
          </cell>
          <cell r="B3395">
            <v>-5.8</v>
          </cell>
          <cell r="C3395">
            <v>1.7</v>
          </cell>
          <cell r="D3395">
            <v>0</v>
          </cell>
          <cell r="E3395">
            <v>0</v>
          </cell>
          <cell r="F3395">
            <v>0</v>
          </cell>
          <cell r="G3395">
            <v>0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0</v>
          </cell>
          <cell r="M3395">
            <v>5.5E-2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 t="b">
            <v>0</v>
          </cell>
        </row>
        <row r="3396">
          <cell r="A3396" t="str">
            <v>Data split-7;Reg-89</v>
          </cell>
          <cell r="B3396">
            <v>-5.6</v>
          </cell>
          <cell r="C3396">
            <v>1.6</v>
          </cell>
          <cell r="D3396">
            <v>0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1.2999999999999999E-2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 t="b">
            <v>0</v>
          </cell>
        </row>
        <row r="3397">
          <cell r="A3397" t="str">
            <v>Data split-7;Reg-90</v>
          </cell>
          <cell r="B3397">
            <v>-1.8</v>
          </cell>
          <cell r="C3397">
            <v>0</v>
          </cell>
          <cell r="D3397">
            <v>1.3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0</v>
          </cell>
          <cell r="M3397">
            <v>8.4000000000000005E-2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 t="b">
            <v>0</v>
          </cell>
        </row>
        <row r="3398">
          <cell r="A3398" t="str">
            <v>Data split-7;Reg-91</v>
          </cell>
          <cell r="B3398">
            <v>-1.9</v>
          </cell>
          <cell r="C3398">
            <v>0</v>
          </cell>
          <cell r="D3398">
            <v>1.2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1.9E-2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 t="b">
            <v>0</v>
          </cell>
        </row>
        <row r="3399">
          <cell r="A3399" t="str">
            <v>Data split-7;Reg-92</v>
          </cell>
          <cell r="B3399">
            <v>-5.5</v>
          </cell>
          <cell r="C3399">
            <v>1.8</v>
          </cell>
          <cell r="D3399">
            <v>0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6.4000000000000001E-2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 t="b">
            <v>0</v>
          </cell>
        </row>
        <row r="3400">
          <cell r="A3400" t="str">
            <v>Data split-7;Reg-93</v>
          </cell>
          <cell r="B3400">
            <v>-5.2</v>
          </cell>
          <cell r="C3400">
            <v>1.7</v>
          </cell>
          <cell r="D3400">
            <v>0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1.2999999999999999E-2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 t="b">
            <v>0</v>
          </cell>
        </row>
        <row r="3401">
          <cell r="A3401" t="str">
            <v>Data split-7;Reg-94</v>
          </cell>
          <cell r="B3401">
            <v>-1.2</v>
          </cell>
          <cell r="C3401">
            <v>0</v>
          </cell>
          <cell r="D3401">
            <v>1.4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7.8E-2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 t="b">
            <v>0</v>
          </cell>
        </row>
        <row r="3402">
          <cell r="A3402" t="str">
            <v>Data split-7;Reg-95</v>
          </cell>
          <cell r="B3402">
            <v>-1</v>
          </cell>
          <cell r="C3402">
            <v>0</v>
          </cell>
          <cell r="D3402">
            <v>1.3</v>
          </cell>
          <cell r="E3402">
            <v>0</v>
          </cell>
          <cell r="F3402">
            <v>0</v>
          </cell>
          <cell r="G3402">
            <v>0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1.6E-2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 t="b">
            <v>0</v>
          </cell>
        </row>
        <row r="3403">
          <cell r="A3403" t="str">
            <v>Data split-7;Reg-96</v>
          </cell>
          <cell r="B3403">
            <v>-3.3</v>
          </cell>
          <cell r="C3403">
            <v>0.93</v>
          </cell>
          <cell r="D3403">
            <v>0</v>
          </cell>
          <cell r="E3403">
            <v>1.3</v>
          </cell>
          <cell r="F3403">
            <v>0</v>
          </cell>
          <cell r="G3403">
            <v>0</v>
          </cell>
          <cell r="H3403">
            <v>0</v>
          </cell>
          <cell r="I3403">
            <v>0.19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 t="b">
            <v>0</v>
          </cell>
        </row>
        <row r="3404">
          <cell r="A3404" t="str">
            <v>Data split-7;Reg-97</v>
          </cell>
          <cell r="B3404">
            <v>-4.2</v>
          </cell>
          <cell r="C3404">
            <v>0.94</v>
          </cell>
          <cell r="D3404">
            <v>0</v>
          </cell>
          <cell r="E3404">
            <v>1.3</v>
          </cell>
          <cell r="F3404">
            <v>0</v>
          </cell>
          <cell r="G3404">
            <v>0</v>
          </cell>
          <cell r="H3404">
            <v>0</v>
          </cell>
          <cell r="I3404">
            <v>0</v>
          </cell>
          <cell r="J3404">
            <v>3.3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 t="b">
            <v>0</v>
          </cell>
        </row>
        <row r="3405">
          <cell r="A3405" t="str">
            <v>Data split-7;Reg-98</v>
          </cell>
          <cell r="B3405">
            <v>-5.5</v>
          </cell>
          <cell r="C3405">
            <v>1.6</v>
          </cell>
          <cell r="D3405">
            <v>0</v>
          </cell>
          <cell r="E3405">
            <v>0</v>
          </cell>
          <cell r="F3405">
            <v>0.11</v>
          </cell>
          <cell r="G3405">
            <v>0</v>
          </cell>
          <cell r="H3405">
            <v>0</v>
          </cell>
          <cell r="I3405">
            <v>1.1000000000000001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 t="b">
            <v>0</v>
          </cell>
        </row>
        <row r="3406">
          <cell r="A3406" t="str">
            <v>Data split-7;Reg-99</v>
          </cell>
          <cell r="B3406">
            <v>-6.9</v>
          </cell>
          <cell r="C3406">
            <v>1.7</v>
          </cell>
          <cell r="D3406">
            <v>0</v>
          </cell>
          <cell r="E3406">
            <v>0</v>
          </cell>
          <cell r="F3406">
            <v>0.14000000000000001</v>
          </cell>
          <cell r="G3406">
            <v>0</v>
          </cell>
          <cell r="H3406">
            <v>0</v>
          </cell>
          <cell r="I3406">
            <v>0</v>
          </cell>
          <cell r="J3406">
            <v>8.3000000000000007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 t="b">
            <v>0</v>
          </cell>
        </row>
        <row r="3407">
          <cell r="A3407" t="str">
            <v>Data split-7;Reg-100</v>
          </cell>
          <cell r="B3407">
            <v>-0.76</v>
          </cell>
          <cell r="C3407">
            <v>0</v>
          </cell>
          <cell r="D3407">
            <v>0.48</v>
          </cell>
          <cell r="E3407">
            <v>1.8</v>
          </cell>
          <cell r="F3407">
            <v>0</v>
          </cell>
          <cell r="G3407">
            <v>0</v>
          </cell>
          <cell r="H3407">
            <v>0</v>
          </cell>
          <cell r="I3407">
            <v>0.1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 t="b">
            <v>0</v>
          </cell>
        </row>
        <row r="3408">
          <cell r="A3408" t="str">
            <v>Data split-7;Reg-101</v>
          </cell>
          <cell r="B3408">
            <v>-3</v>
          </cell>
          <cell r="C3408">
            <v>0</v>
          </cell>
          <cell r="D3408">
            <v>0.63</v>
          </cell>
          <cell r="E3408">
            <v>1.5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6.3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 t="b">
            <v>0</v>
          </cell>
        </row>
        <row r="3409">
          <cell r="A3409" t="str">
            <v>Data split-7;Reg-102</v>
          </cell>
          <cell r="B3409">
            <v>-2.2000000000000002</v>
          </cell>
          <cell r="C3409">
            <v>0</v>
          </cell>
          <cell r="D3409">
            <v>1.2</v>
          </cell>
          <cell r="E3409">
            <v>0</v>
          </cell>
          <cell r="F3409">
            <v>0.15</v>
          </cell>
          <cell r="G3409">
            <v>0</v>
          </cell>
          <cell r="H3409">
            <v>0</v>
          </cell>
          <cell r="I3409">
            <v>1.6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 t="b">
            <v>0</v>
          </cell>
        </row>
        <row r="3410">
          <cell r="A3410" t="str">
            <v>Data split-7;Reg-103</v>
          </cell>
          <cell r="B3410">
            <v>-5.8</v>
          </cell>
          <cell r="C3410">
            <v>0</v>
          </cell>
          <cell r="D3410">
            <v>1.3</v>
          </cell>
          <cell r="E3410">
            <v>0</v>
          </cell>
          <cell r="F3410">
            <v>0.17</v>
          </cell>
          <cell r="G3410">
            <v>0</v>
          </cell>
          <cell r="H3410">
            <v>0</v>
          </cell>
          <cell r="I3410">
            <v>0</v>
          </cell>
          <cell r="J3410">
            <v>15.7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 t="b">
            <v>0</v>
          </cell>
        </row>
        <row r="3411">
          <cell r="A3411" t="str">
            <v>Data split-7;Reg-104</v>
          </cell>
          <cell r="B3411">
            <v>-2.2999999999999998</v>
          </cell>
          <cell r="C3411">
            <v>0.87</v>
          </cell>
          <cell r="D3411">
            <v>0</v>
          </cell>
          <cell r="E3411">
            <v>1.5</v>
          </cell>
          <cell r="F3411">
            <v>0</v>
          </cell>
          <cell r="G3411">
            <v>0</v>
          </cell>
          <cell r="H3411">
            <v>0</v>
          </cell>
          <cell r="I3411">
            <v>0</v>
          </cell>
          <cell r="J3411">
            <v>0</v>
          </cell>
          <cell r="K3411">
            <v>-0.17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 t="b">
            <v>1</v>
          </cell>
        </row>
        <row r="3412">
          <cell r="A3412" t="str">
            <v>Data split-7;Reg-105</v>
          </cell>
          <cell r="B3412">
            <v>-3.1</v>
          </cell>
          <cell r="C3412">
            <v>0.89</v>
          </cell>
          <cell r="D3412">
            <v>0</v>
          </cell>
          <cell r="E3412">
            <v>1.4</v>
          </cell>
          <cell r="F3412">
            <v>0</v>
          </cell>
          <cell r="G3412">
            <v>0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0.15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 t="b">
            <v>0</v>
          </cell>
        </row>
        <row r="3413">
          <cell r="A3413" t="str">
            <v>Data split-7;Reg-106</v>
          </cell>
          <cell r="B3413">
            <v>-5.3</v>
          </cell>
          <cell r="C3413">
            <v>1.7</v>
          </cell>
          <cell r="D3413">
            <v>0</v>
          </cell>
          <cell r="E3413">
            <v>0</v>
          </cell>
          <cell r="F3413">
            <v>0.15</v>
          </cell>
          <cell r="G3413">
            <v>0</v>
          </cell>
          <cell r="H3413">
            <v>0</v>
          </cell>
          <cell r="I3413">
            <v>0</v>
          </cell>
          <cell r="J3413">
            <v>0</v>
          </cell>
          <cell r="K3413">
            <v>0.31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 t="b">
            <v>0</v>
          </cell>
        </row>
        <row r="3414">
          <cell r="A3414" t="str">
            <v>Data split-7;Reg-107</v>
          </cell>
          <cell r="B3414">
            <v>-4.7</v>
          </cell>
          <cell r="C3414">
            <v>1.7</v>
          </cell>
          <cell r="D3414">
            <v>0</v>
          </cell>
          <cell r="E3414">
            <v>0</v>
          </cell>
          <cell r="F3414">
            <v>0.15</v>
          </cell>
          <cell r="G3414">
            <v>0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0.52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 t="b">
            <v>0</v>
          </cell>
        </row>
        <row r="3415">
          <cell r="A3415" t="str">
            <v>Data split-7;Reg-108</v>
          </cell>
          <cell r="B3415">
            <v>-0.16</v>
          </cell>
          <cell r="C3415">
            <v>0</v>
          </cell>
          <cell r="D3415">
            <v>0.44</v>
          </cell>
          <cell r="E3415">
            <v>1.9</v>
          </cell>
          <cell r="F3415">
            <v>0</v>
          </cell>
          <cell r="G3415">
            <v>0</v>
          </cell>
          <cell r="H3415">
            <v>0</v>
          </cell>
          <cell r="I3415">
            <v>0</v>
          </cell>
          <cell r="J3415">
            <v>0</v>
          </cell>
          <cell r="K3415">
            <v>-0.11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 t="b">
            <v>1</v>
          </cell>
        </row>
        <row r="3416">
          <cell r="A3416" t="str">
            <v>Data split-7;Reg-109</v>
          </cell>
          <cell r="B3416">
            <v>-2</v>
          </cell>
          <cell r="C3416">
            <v>0</v>
          </cell>
          <cell r="D3416">
            <v>0.51</v>
          </cell>
          <cell r="E3416">
            <v>1.8</v>
          </cell>
          <cell r="F3416">
            <v>0</v>
          </cell>
          <cell r="G3416">
            <v>0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1.3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 t="b">
            <v>0</v>
          </cell>
        </row>
        <row r="3417">
          <cell r="A3417" t="str">
            <v>Data split-7;Reg-110</v>
          </cell>
          <cell r="B3417">
            <v>-2.7</v>
          </cell>
          <cell r="C3417">
            <v>0</v>
          </cell>
          <cell r="D3417">
            <v>1.2</v>
          </cell>
          <cell r="E3417">
            <v>0</v>
          </cell>
          <cell r="F3417">
            <v>0.21</v>
          </cell>
          <cell r="G3417">
            <v>0</v>
          </cell>
          <cell r="H3417">
            <v>0</v>
          </cell>
          <cell r="I3417">
            <v>0</v>
          </cell>
          <cell r="J3417">
            <v>0</v>
          </cell>
          <cell r="K3417">
            <v>0.69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 t="b">
            <v>0</v>
          </cell>
        </row>
        <row r="3418">
          <cell r="A3418" t="str">
            <v>Data split-7;Reg-111</v>
          </cell>
          <cell r="B3418">
            <v>-3.6</v>
          </cell>
          <cell r="C3418">
            <v>0</v>
          </cell>
          <cell r="D3418">
            <v>1.4</v>
          </cell>
          <cell r="E3418">
            <v>0</v>
          </cell>
          <cell r="F3418">
            <v>0.21</v>
          </cell>
          <cell r="G3418">
            <v>0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3.8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 t="b">
            <v>0</v>
          </cell>
        </row>
        <row r="3419">
          <cell r="A3419" t="str">
            <v>Data split-7;Reg-112</v>
          </cell>
          <cell r="B3419">
            <v>-5.6</v>
          </cell>
          <cell r="C3419">
            <v>1.5</v>
          </cell>
          <cell r="D3419">
            <v>0</v>
          </cell>
          <cell r="E3419">
            <v>0</v>
          </cell>
          <cell r="F3419">
            <v>0</v>
          </cell>
          <cell r="G3419">
            <v>0.78</v>
          </cell>
          <cell r="H3419">
            <v>0</v>
          </cell>
          <cell r="I3419">
            <v>1.2E-2</v>
          </cell>
          <cell r="J3419">
            <v>0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 t="b">
            <v>0</v>
          </cell>
        </row>
        <row r="3420">
          <cell r="A3420" t="str">
            <v>Data split-7;Reg-113</v>
          </cell>
          <cell r="B3420">
            <v>-6.2</v>
          </cell>
          <cell r="C3420">
            <v>1.5</v>
          </cell>
          <cell r="D3420">
            <v>0</v>
          </cell>
          <cell r="E3420">
            <v>0</v>
          </cell>
          <cell r="F3420">
            <v>0</v>
          </cell>
          <cell r="G3420">
            <v>0.74</v>
          </cell>
          <cell r="H3420">
            <v>0</v>
          </cell>
          <cell r="I3420">
            <v>0</v>
          </cell>
          <cell r="J3420">
            <v>1.7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 t="b">
            <v>0</v>
          </cell>
        </row>
        <row r="3421">
          <cell r="A3421" t="str">
            <v>Data split-7;Reg-114</v>
          </cell>
          <cell r="B3421">
            <v>-3.3</v>
          </cell>
          <cell r="C3421">
            <v>0.84</v>
          </cell>
          <cell r="D3421">
            <v>0</v>
          </cell>
          <cell r="E3421">
            <v>0</v>
          </cell>
          <cell r="F3421">
            <v>0</v>
          </cell>
          <cell r="G3421">
            <v>0</v>
          </cell>
          <cell r="H3421">
            <v>2.5</v>
          </cell>
          <cell r="I3421">
            <v>-0.74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 t="b">
            <v>1</v>
          </cell>
        </row>
        <row r="3422">
          <cell r="A3422" t="str">
            <v>Data split-7;Reg-115</v>
          </cell>
          <cell r="B3422">
            <v>-4.5</v>
          </cell>
          <cell r="C3422">
            <v>0.99</v>
          </cell>
          <cell r="D3422">
            <v>0</v>
          </cell>
          <cell r="E3422">
            <v>0</v>
          </cell>
          <cell r="F3422">
            <v>0</v>
          </cell>
          <cell r="G3422">
            <v>0</v>
          </cell>
          <cell r="H3422">
            <v>1.9</v>
          </cell>
          <cell r="I3422">
            <v>0</v>
          </cell>
          <cell r="J3422">
            <v>0.71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 t="b">
            <v>0</v>
          </cell>
        </row>
        <row r="3423">
          <cell r="A3423" t="str">
            <v>Data split-7;Reg-116</v>
          </cell>
          <cell r="B3423">
            <v>-2.8</v>
          </cell>
          <cell r="C3423">
            <v>0</v>
          </cell>
          <cell r="D3423">
            <v>1.2</v>
          </cell>
          <cell r="E3423">
            <v>0</v>
          </cell>
          <cell r="F3423">
            <v>0</v>
          </cell>
          <cell r="G3423">
            <v>0.7</v>
          </cell>
          <cell r="H3423">
            <v>0</v>
          </cell>
          <cell r="I3423">
            <v>0.72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 t="b">
            <v>0</v>
          </cell>
        </row>
        <row r="3424">
          <cell r="A3424" t="str">
            <v>Data split-7;Reg-117</v>
          </cell>
          <cell r="B3424">
            <v>-5.6</v>
          </cell>
          <cell r="C3424">
            <v>0</v>
          </cell>
          <cell r="D3424">
            <v>1.3</v>
          </cell>
          <cell r="E3424">
            <v>0</v>
          </cell>
          <cell r="F3424">
            <v>0</v>
          </cell>
          <cell r="G3424">
            <v>0.66</v>
          </cell>
          <cell r="H3424">
            <v>0</v>
          </cell>
          <cell r="I3424">
            <v>0</v>
          </cell>
          <cell r="J3424">
            <v>10.1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 t="b">
            <v>0</v>
          </cell>
        </row>
        <row r="3425">
          <cell r="A3425" t="str">
            <v>Data split-7;Reg-118</v>
          </cell>
          <cell r="B3425">
            <v>-0.81</v>
          </cell>
          <cell r="C3425">
            <v>0</v>
          </cell>
          <cell r="D3425">
            <v>0.38</v>
          </cell>
          <cell r="E3425">
            <v>0</v>
          </cell>
          <cell r="F3425">
            <v>0</v>
          </cell>
          <cell r="G3425">
            <v>0</v>
          </cell>
          <cell r="H3425">
            <v>3.1</v>
          </cell>
          <cell r="I3425">
            <v>-1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 t="b">
            <v>1</v>
          </cell>
        </row>
        <row r="3426">
          <cell r="A3426" t="str">
            <v>Data split-7;Reg-119</v>
          </cell>
          <cell r="B3426">
            <v>-3.3</v>
          </cell>
          <cell r="C3426">
            <v>0</v>
          </cell>
          <cell r="D3426">
            <v>0.68</v>
          </cell>
          <cell r="E3426">
            <v>0</v>
          </cell>
          <cell r="F3426">
            <v>0</v>
          </cell>
          <cell r="G3426">
            <v>0</v>
          </cell>
          <cell r="H3426">
            <v>2.1</v>
          </cell>
          <cell r="I3426">
            <v>0</v>
          </cell>
          <cell r="J3426">
            <v>4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 t="b">
            <v>0</v>
          </cell>
        </row>
        <row r="3427">
          <cell r="A3427" t="str">
            <v>Data split-7;Reg-120</v>
          </cell>
          <cell r="B3427">
            <v>-4.3</v>
          </cell>
          <cell r="C3427">
            <v>1.5</v>
          </cell>
          <cell r="D3427">
            <v>0</v>
          </cell>
          <cell r="E3427">
            <v>0</v>
          </cell>
          <cell r="F3427">
            <v>0</v>
          </cell>
          <cell r="G3427">
            <v>0.88</v>
          </cell>
          <cell r="H3427">
            <v>0</v>
          </cell>
          <cell r="I3427">
            <v>0</v>
          </cell>
          <cell r="J3427">
            <v>0</v>
          </cell>
          <cell r="K3427">
            <v>-0.35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 t="b">
            <v>1</v>
          </cell>
        </row>
        <row r="3428">
          <cell r="A3428" t="str">
            <v>Data split-7;Reg-121</v>
          </cell>
          <cell r="B3428">
            <v>-5</v>
          </cell>
          <cell r="C3428">
            <v>1.5</v>
          </cell>
          <cell r="D3428">
            <v>0</v>
          </cell>
          <cell r="E3428">
            <v>0</v>
          </cell>
          <cell r="F3428">
            <v>0</v>
          </cell>
          <cell r="G3428">
            <v>0.8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-0.74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 t="b">
            <v>1</v>
          </cell>
        </row>
        <row r="3429">
          <cell r="A3429" t="str">
            <v>Data split-7;Reg-122</v>
          </cell>
          <cell r="B3429">
            <v>-2.6</v>
          </cell>
          <cell r="C3429">
            <v>0.93</v>
          </cell>
          <cell r="D3429">
            <v>0</v>
          </cell>
          <cell r="E3429">
            <v>0</v>
          </cell>
          <cell r="F3429">
            <v>0</v>
          </cell>
          <cell r="G3429">
            <v>0</v>
          </cell>
          <cell r="H3429">
            <v>2.1</v>
          </cell>
          <cell r="I3429">
            <v>0</v>
          </cell>
          <cell r="J3429">
            <v>0</v>
          </cell>
          <cell r="K3429">
            <v>-0.41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 t="b">
            <v>1</v>
          </cell>
        </row>
        <row r="3430">
          <cell r="A3430" t="str">
            <v>Data split-7;Reg-123</v>
          </cell>
          <cell r="B3430">
            <v>-3.9</v>
          </cell>
          <cell r="C3430">
            <v>0.97</v>
          </cell>
          <cell r="D3430">
            <v>0</v>
          </cell>
          <cell r="E3430">
            <v>0</v>
          </cell>
          <cell r="F3430">
            <v>0</v>
          </cell>
          <cell r="G3430">
            <v>0</v>
          </cell>
          <cell r="H3430">
            <v>2</v>
          </cell>
          <cell r="I3430">
            <v>0</v>
          </cell>
          <cell r="J3430">
            <v>0</v>
          </cell>
          <cell r="K3430">
            <v>0</v>
          </cell>
          <cell r="L3430">
            <v>-0.36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 t="b">
            <v>1</v>
          </cell>
        </row>
        <row r="3431">
          <cell r="A3431" t="str">
            <v>Data split-7;Reg-124</v>
          </cell>
          <cell r="B3431">
            <v>-2</v>
          </cell>
          <cell r="C3431">
            <v>0</v>
          </cell>
          <cell r="D3431">
            <v>1.1000000000000001</v>
          </cell>
          <cell r="E3431">
            <v>0</v>
          </cell>
          <cell r="F3431">
            <v>0</v>
          </cell>
          <cell r="G3431">
            <v>1</v>
          </cell>
          <cell r="H3431">
            <v>0</v>
          </cell>
          <cell r="I3431">
            <v>0</v>
          </cell>
          <cell r="J3431">
            <v>0</v>
          </cell>
          <cell r="K3431">
            <v>-5.1999999999999998E-2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 t="b">
            <v>1</v>
          </cell>
        </row>
        <row r="3432">
          <cell r="A3432" t="str">
            <v>Data split-7;Reg-125</v>
          </cell>
          <cell r="B3432">
            <v>-4</v>
          </cell>
          <cell r="C3432">
            <v>0</v>
          </cell>
          <cell r="D3432">
            <v>1.2</v>
          </cell>
          <cell r="E3432">
            <v>0</v>
          </cell>
          <cell r="F3432">
            <v>0</v>
          </cell>
          <cell r="G3432">
            <v>0.92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1.9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 t="b">
            <v>0</v>
          </cell>
        </row>
        <row r="3433">
          <cell r="A3433" t="str">
            <v>Data split-7;Reg-126</v>
          </cell>
          <cell r="B3433">
            <v>-0.49</v>
          </cell>
          <cell r="C3433">
            <v>0</v>
          </cell>
          <cell r="D3433">
            <v>0.53</v>
          </cell>
          <cell r="E3433">
            <v>0</v>
          </cell>
          <cell r="F3433">
            <v>0</v>
          </cell>
          <cell r="G3433">
            <v>0</v>
          </cell>
          <cell r="H3433">
            <v>2.6</v>
          </cell>
          <cell r="I3433">
            <v>0</v>
          </cell>
          <cell r="J3433">
            <v>0</v>
          </cell>
          <cell r="K3433">
            <v>-0.34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 t="b">
            <v>1</v>
          </cell>
        </row>
        <row r="3434">
          <cell r="A3434" t="str">
            <v>Data split-7;Reg-127</v>
          </cell>
          <cell r="B3434">
            <v>-2.8</v>
          </cell>
          <cell r="C3434">
            <v>0</v>
          </cell>
          <cell r="D3434">
            <v>0.62</v>
          </cell>
          <cell r="E3434">
            <v>0</v>
          </cell>
          <cell r="F3434">
            <v>0</v>
          </cell>
          <cell r="G3434">
            <v>0</v>
          </cell>
          <cell r="H3434">
            <v>2.2999999999999998</v>
          </cell>
          <cell r="I3434">
            <v>0</v>
          </cell>
          <cell r="J3434">
            <v>0</v>
          </cell>
          <cell r="K3434">
            <v>0</v>
          </cell>
          <cell r="L3434">
            <v>0.99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 t="b">
            <v>0</v>
          </cell>
        </row>
        <row r="3435">
          <cell r="A3435" t="str">
            <v>Data split-8;Reg-1</v>
          </cell>
          <cell r="B3435">
            <v>-4.0999999999999996</v>
          </cell>
          <cell r="C3435">
            <v>1.5</v>
          </cell>
          <cell r="D3435">
            <v>0</v>
          </cell>
          <cell r="E3435">
            <v>0</v>
          </cell>
          <cell r="F3435">
            <v>0.15</v>
          </cell>
          <cell r="G3435">
            <v>0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1.7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 t="b">
            <v>0</v>
          </cell>
        </row>
        <row r="3436">
          <cell r="A3436" t="str">
            <v>Data split-8;Reg-2</v>
          </cell>
          <cell r="B3436">
            <v>-4.0999999999999996</v>
          </cell>
          <cell r="C3436">
            <v>1.2</v>
          </cell>
          <cell r="D3436">
            <v>0</v>
          </cell>
          <cell r="E3436">
            <v>0</v>
          </cell>
          <cell r="F3436">
            <v>5.2999999999999999E-2</v>
          </cell>
          <cell r="G3436">
            <v>1.5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-8.5999999999999993E-2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 t="b">
            <v>1</v>
          </cell>
        </row>
        <row r="3437">
          <cell r="A3437" t="str">
            <v>Data split-8;Reg-3</v>
          </cell>
          <cell r="B3437">
            <v>-4.0999999999999996</v>
          </cell>
          <cell r="C3437">
            <v>1.2</v>
          </cell>
          <cell r="D3437">
            <v>0</v>
          </cell>
          <cell r="E3437">
            <v>0</v>
          </cell>
          <cell r="F3437">
            <v>5.8999999999999997E-2</v>
          </cell>
          <cell r="G3437">
            <v>1.6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-1.6E-2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 t="b">
            <v>1</v>
          </cell>
        </row>
        <row r="3438">
          <cell r="A3438" t="str">
            <v>Data split-8;Reg-4</v>
          </cell>
          <cell r="B3438">
            <v>-1.6</v>
          </cell>
          <cell r="C3438">
            <v>0.41</v>
          </cell>
          <cell r="D3438">
            <v>0</v>
          </cell>
          <cell r="E3438">
            <v>0</v>
          </cell>
          <cell r="F3438">
            <v>0.01</v>
          </cell>
          <cell r="G3438">
            <v>0</v>
          </cell>
          <cell r="H3438">
            <v>3.5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-9.5000000000000001E-2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 t="b">
            <v>1</v>
          </cell>
        </row>
        <row r="3439">
          <cell r="A3439" t="str">
            <v>Data split-8;Reg-5</v>
          </cell>
          <cell r="B3439">
            <v>-0.45</v>
          </cell>
          <cell r="C3439">
            <v>0</v>
          </cell>
          <cell r="D3439">
            <v>0.17</v>
          </cell>
          <cell r="E3439">
            <v>0</v>
          </cell>
          <cell r="F3439">
            <v>1.7000000000000001E-2</v>
          </cell>
          <cell r="G3439">
            <v>0</v>
          </cell>
          <cell r="H3439">
            <v>3.8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-9.2999999999999999E-2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 t="b">
            <v>1</v>
          </cell>
        </row>
        <row r="3440">
          <cell r="A3440" t="str">
            <v>Data split-8;Reg-6</v>
          </cell>
          <cell r="B3440">
            <v>6.3E-2</v>
          </cell>
          <cell r="C3440">
            <v>0.21</v>
          </cell>
          <cell r="D3440">
            <v>0</v>
          </cell>
          <cell r="E3440">
            <v>2.4</v>
          </cell>
          <cell r="F3440">
            <v>0</v>
          </cell>
          <cell r="G3440">
            <v>0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1.3</v>
          </cell>
          <cell r="M3440">
            <v>-7.8E-2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 t="b">
            <v>0</v>
          </cell>
        </row>
        <row r="3441">
          <cell r="A3441" t="str">
            <v>Data split-8;Reg-7</v>
          </cell>
          <cell r="B3441">
            <v>-3.5</v>
          </cell>
          <cell r="C3441">
            <v>1.2</v>
          </cell>
          <cell r="D3441">
            <v>0</v>
          </cell>
          <cell r="E3441">
            <v>0</v>
          </cell>
          <cell r="F3441">
            <v>0.12</v>
          </cell>
          <cell r="G3441">
            <v>0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1.7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6.2E-2</v>
          </cell>
          <cell r="T3441">
            <v>0</v>
          </cell>
          <cell r="U3441" t="b">
            <v>0</v>
          </cell>
        </row>
        <row r="3442">
          <cell r="A3442" t="str">
            <v>Data split-8;Reg-8</v>
          </cell>
          <cell r="B3442">
            <v>-4.0999999999999996</v>
          </cell>
          <cell r="C3442">
            <v>1.2</v>
          </cell>
          <cell r="D3442">
            <v>0</v>
          </cell>
          <cell r="E3442">
            <v>0</v>
          </cell>
          <cell r="F3442">
            <v>0</v>
          </cell>
          <cell r="G3442">
            <v>1.4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-0.28999999999999998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-5.0999999999999997E-2</v>
          </cell>
          <cell r="T3442">
            <v>0</v>
          </cell>
          <cell r="U3442" t="b">
            <v>1</v>
          </cell>
        </row>
        <row r="3443">
          <cell r="A3443" t="str">
            <v>Data split-8;Reg-9</v>
          </cell>
          <cell r="B3443">
            <v>-2.2000000000000002</v>
          </cell>
          <cell r="C3443">
            <v>0</v>
          </cell>
          <cell r="D3443">
            <v>0.19</v>
          </cell>
          <cell r="E3443">
            <v>0</v>
          </cell>
          <cell r="F3443">
            <v>0</v>
          </cell>
          <cell r="G3443">
            <v>0</v>
          </cell>
          <cell r="H3443">
            <v>4</v>
          </cell>
          <cell r="I3443">
            <v>0</v>
          </cell>
          <cell r="J3443">
            <v>0</v>
          </cell>
          <cell r="K3443">
            <v>0</v>
          </cell>
          <cell r="L3443">
            <v>1.5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-0.11</v>
          </cell>
          <cell r="T3443">
            <v>0</v>
          </cell>
          <cell r="U3443" t="b">
            <v>0</v>
          </cell>
        </row>
        <row r="3444">
          <cell r="A3444" t="str">
            <v>Data split-8;Reg-10</v>
          </cell>
          <cell r="B3444">
            <v>-2.2000000000000002</v>
          </cell>
          <cell r="C3444">
            <v>0</v>
          </cell>
          <cell r="D3444">
            <v>0.19</v>
          </cell>
          <cell r="E3444">
            <v>0</v>
          </cell>
          <cell r="F3444">
            <v>0</v>
          </cell>
          <cell r="G3444">
            <v>0</v>
          </cell>
          <cell r="H3444">
            <v>4</v>
          </cell>
          <cell r="I3444">
            <v>0</v>
          </cell>
          <cell r="J3444">
            <v>0</v>
          </cell>
          <cell r="K3444">
            <v>0</v>
          </cell>
          <cell r="L3444">
            <v>1.5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-0.11</v>
          </cell>
          <cell r="T3444">
            <v>0</v>
          </cell>
          <cell r="U3444" t="b">
            <v>0</v>
          </cell>
        </row>
        <row r="3445">
          <cell r="A3445" t="str">
            <v>Data split-8;Reg-11</v>
          </cell>
          <cell r="B3445">
            <v>-0.17</v>
          </cell>
          <cell r="C3445">
            <v>0.3</v>
          </cell>
          <cell r="D3445">
            <v>0</v>
          </cell>
          <cell r="E3445">
            <v>1.5</v>
          </cell>
          <cell r="F3445">
            <v>0</v>
          </cell>
          <cell r="G3445">
            <v>0.39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 t="b">
            <v>1</v>
          </cell>
        </row>
        <row r="3446">
          <cell r="A3446" t="str">
            <v>Data split-8;Reg-12</v>
          </cell>
          <cell r="B3446">
            <v>-0.18</v>
          </cell>
          <cell r="C3446">
            <v>0.15</v>
          </cell>
          <cell r="D3446">
            <v>0</v>
          </cell>
          <cell r="E3446">
            <v>0.87</v>
          </cell>
          <cell r="F3446">
            <v>0</v>
          </cell>
          <cell r="G3446">
            <v>0</v>
          </cell>
          <cell r="H3446">
            <v>1.6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 t="b">
            <v>1</v>
          </cell>
        </row>
        <row r="3447">
          <cell r="A3447" t="str">
            <v>Data split-8;Reg-13</v>
          </cell>
          <cell r="B3447">
            <v>-3.2</v>
          </cell>
          <cell r="C3447">
            <v>0.96</v>
          </cell>
          <cell r="D3447">
            <v>0</v>
          </cell>
          <cell r="E3447">
            <v>0</v>
          </cell>
          <cell r="F3447">
            <v>5.6000000000000001E-2</v>
          </cell>
          <cell r="G3447">
            <v>1.1000000000000001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 t="b">
            <v>1</v>
          </cell>
        </row>
        <row r="3448">
          <cell r="A3448" t="str">
            <v>Data split-8;Reg-14</v>
          </cell>
          <cell r="B3448">
            <v>-1.3</v>
          </cell>
          <cell r="C3448">
            <v>0.32</v>
          </cell>
          <cell r="D3448">
            <v>0</v>
          </cell>
          <cell r="E3448">
            <v>0</v>
          </cell>
          <cell r="F3448">
            <v>0.02</v>
          </cell>
          <cell r="G3448">
            <v>0</v>
          </cell>
          <cell r="H3448">
            <v>2.6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 t="b">
            <v>1</v>
          </cell>
        </row>
        <row r="3449">
          <cell r="A3449" t="str">
            <v>Data split-8;Reg-15</v>
          </cell>
          <cell r="B3449">
            <v>1.4</v>
          </cell>
          <cell r="C3449">
            <v>0.22</v>
          </cell>
          <cell r="D3449">
            <v>0</v>
          </cell>
          <cell r="E3449">
            <v>2.4</v>
          </cell>
          <cell r="F3449">
            <v>0</v>
          </cell>
          <cell r="G3449">
            <v>0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-7.9000000000000001E-2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 t="b">
            <v>0</v>
          </cell>
        </row>
        <row r="3450">
          <cell r="A3450" t="str">
            <v>Data split-8;Reg-16</v>
          </cell>
          <cell r="B3450">
            <v>1.8</v>
          </cell>
          <cell r="C3450">
            <v>0.15</v>
          </cell>
          <cell r="D3450">
            <v>0</v>
          </cell>
          <cell r="E3450">
            <v>2.7</v>
          </cell>
          <cell r="F3450">
            <v>0</v>
          </cell>
          <cell r="G3450">
            <v>0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-1.9E-2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 t="b">
            <v>0</v>
          </cell>
        </row>
        <row r="3451">
          <cell r="A3451" t="str">
            <v>Data split-8;Reg-17</v>
          </cell>
          <cell r="B3451">
            <v>-2.2999999999999998</v>
          </cell>
          <cell r="C3451">
            <v>1.4</v>
          </cell>
          <cell r="D3451">
            <v>0</v>
          </cell>
          <cell r="E3451">
            <v>0</v>
          </cell>
          <cell r="F3451">
            <v>0.14000000000000001</v>
          </cell>
          <cell r="G3451">
            <v>0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2.7E-2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 t="b">
            <v>0</v>
          </cell>
        </row>
        <row r="3452">
          <cell r="A3452" t="str">
            <v>Data split-8;Reg-18</v>
          </cell>
          <cell r="B3452">
            <v>-2.1</v>
          </cell>
          <cell r="C3452">
            <v>1.2</v>
          </cell>
          <cell r="D3452">
            <v>0</v>
          </cell>
          <cell r="E3452">
            <v>0</v>
          </cell>
          <cell r="F3452">
            <v>0.12</v>
          </cell>
          <cell r="G3452">
            <v>0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0.01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 t="b">
            <v>0</v>
          </cell>
        </row>
        <row r="3453">
          <cell r="A3453" t="str">
            <v>Data split-8;Reg-19</v>
          </cell>
          <cell r="B3453">
            <v>-4.2</v>
          </cell>
          <cell r="C3453">
            <v>1</v>
          </cell>
          <cell r="D3453">
            <v>0</v>
          </cell>
          <cell r="E3453">
            <v>0</v>
          </cell>
          <cell r="F3453">
            <v>0</v>
          </cell>
          <cell r="G3453">
            <v>1.5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-4.1000000000000002E-2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 t="b">
            <v>1</v>
          </cell>
        </row>
        <row r="3454">
          <cell r="A3454" t="str">
            <v>Data split-8;Reg-20</v>
          </cell>
          <cell r="B3454">
            <v>-4.0999999999999996</v>
          </cell>
          <cell r="C3454">
            <v>1</v>
          </cell>
          <cell r="D3454">
            <v>0</v>
          </cell>
          <cell r="E3454">
            <v>0</v>
          </cell>
          <cell r="F3454">
            <v>0</v>
          </cell>
          <cell r="G3454">
            <v>1.4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-4.8999999999999998E-3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 t="b">
            <v>1</v>
          </cell>
        </row>
        <row r="3455">
          <cell r="A3455" t="str">
            <v>Data split-8;Reg-21</v>
          </cell>
          <cell r="B3455">
            <v>-1.4</v>
          </cell>
          <cell r="C3455">
            <v>0.2</v>
          </cell>
          <cell r="D3455">
            <v>0</v>
          </cell>
          <cell r="E3455">
            <v>0</v>
          </cell>
          <cell r="F3455">
            <v>0</v>
          </cell>
          <cell r="G3455">
            <v>0</v>
          </cell>
          <cell r="H3455">
            <v>3.2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-4.1000000000000002E-2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 t="b">
            <v>1</v>
          </cell>
        </row>
        <row r="3456">
          <cell r="A3456" t="str">
            <v>Data split-8;Reg-22</v>
          </cell>
          <cell r="B3456">
            <v>-1.5</v>
          </cell>
          <cell r="C3456">
            <v>0.24</v>
          </cell>
          <cell r="D3456">
            <v>0</v>
          </cell>
          <cell r="E3456">
            <v>0</v>
          </cell>
          <cell r="F3456">
            <v>0</v>
          </cell>
          <cell r="G3456">
            <v>0</v>
          </cell>
          <cell r="H3456">
            <v>3.1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-5.1999999999999998E-3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 t="b">
            <v>1</v>
          </cell>
        </row>
        <row r="3457">
          <cell r="A3457" t="str">
            <v>Data split-8;Reg-23</v>
          </cell>
          <cell r="B3457">
            <v>1.4</v>
          </cell>
          <cell r="C3457">
            <v>0</v>
          </cell>
          <cell r="D3457">
            <v>-4.7E-2</v>
          </cell>
          <cell r="E3457">
            <v>1.9</v>
          </cell>
          <cell r="F3457">
            <v>0</v>
          </cell>
          <cell r="G3457">
            <v>0.24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 t="b">
            <v>0</v>
          </cell>
        </row>
        <row r="3458">
          <cell r="A3458" t="str">
            <v>Data split-8;Reg-24</v>
          </cell>
          <cell r="B3458">
            <v>0.69</v>
          </cell>
          <cell r="C3458">
            <v>0</v>
          </cell>
          <cell r="D3458">
            <v>-0.11</v>
          </cell>
          <cell r="E3458">
            <v>1.1000000000000001</v>
          </cell>
          <cell r="F3458">
            <v>0</v>
          </cell>
          <cell r="G3458">
            <v>0</v>
          </cell>
          <cell r="H3458">
            <v>1.7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 t="b">
            <v>0</v>
          </cell>
        </row>
        <row r="3459">
          <cell r="A3459" t="str">
            <v>Data split-8;Reg-25</v>
          </cell>
          <cell r="B3459">
            <v>-0.82</v>
          </cell>
          <cell r="C3459">
            <v>0</v>
          </cell>
          <cell r="D3459">
            <v>0.72</v>
          </cell>
          <cell r="E3459">
            <v>0</v>
          </cell>
          <cell r="F3459">
            <v>8.2000000000000003E-2</v>
          </cell>
          <cell r="G3459">
            <v>1.2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 t="b">
            <v>1</v>
          </cell>
        </row>
        <row r="3460">
          <cell r="A3460" t="str">
            <v>Data split-8;Reg-26</v>
          </cell>
          <cell r="B3460">
            <v>-0.33</v>
          </cell>
          <cell r="C3460">
            <v>0</v>
          </cell>
          <cell r="D3460">
            <v>8.2000000000000003E-2</v>
          </cell>
          <cell r="E3460">
            <v>0</v>
          </cell>
          <cell r="F3460">
            <v>2.5000000000000001E-2</v>
          </cell>
          <cell r="G3460">
            <v>0</v>
          </cell>
          <cell r="H3460">
            <v>2.9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 t="b">
            <v>1</v>
          </cell>
        </row>
        <row r="3461">
          <cell r="A3461" t="str">
            <v>Data split-8;Reg-27</v>
          </cell>
          <cell r="B3461">
            <v>2.4</v>
          </cell>
          <cell r="C3461">
            <v>0</v>
          </cell>
          <cell r="D3461">
            <v>-7.1999999999999995E-2</v>
          </cell>
          <cell r="E3461">
            <v>2.7</v>
          </cell>
          <cell r="F3461">
            <v>0</v>
          </cell>
          <cell r="G3461">
            <v>0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-7.6999999999999999E-2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 t="b">
            <v>0</v>
          </cell>
        </row>
        <row r="3462">
          <cell r="A3462" t="str">
            <v>Data split-8;Reg-28</v>
          </cell>
          <cell r="B3462">
            <v>2.6</v>
          </cell>
          <cell r="C3462">
            <v>0</v>
          </cell>
          <cell r="D3462">
            <v>-0.09</v>
          </cell>
          <cell r="E3462">
            <v>2.9</v>
          </cell>
          <cell r="F3462">
            <v>0</v>
          </cell>
          <cell r="G3462">
            <v>0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-1.9E-2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 t="b">
            <v>0</v>
          </cell>
        </row>
        <row r="3463">
          <cell r="A3463" t="str">
            <v>Data split-8;Reg-29</v>
          </cell>
          <cell r="B3463">
            <v>1.2</v>
          </cell>
          <cell r="C3463">
            <v>0</v>
          </cell>
          <cell r="D3463">
            <v>1.1000000000000001</v>
          </cell>
          <cell r="E3463">
            <v>0</v>
          </cell>
          <cell r="F3463">
            <v>0.17</v>
          </cell>
          <cell r="G3463">
            <v>0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4.3999999999999997E-2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 t="b">
            <v>0</v>
          </cell>
        </row>
        <row r="3464">
          <cell r="A3464" t="str">
            <v>Data split-8;Reg-30</v>
          </cell>
          <cell r="B3464">
            <v>1.1000000000000001</v>
          </cell>
          <cell r="C3464">
            <v>0</v>
          </cell>
          <cell r="D3464">
            <v>0.91</v>
          </cell>
          <cell r="E3464">
            <v>0</v>
          </cell>
          <cell r="F3464">
            <v>0.15</v>
          </cell>
          <cell r="G3464">
            <v>0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1.2999999999999999E-2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 t="b">
            <v>0</v>
          </cell>
        </row>
        <row r="3465">
          <cell r="A3465" t="str">
            <v>Data split-8;Reg-31</v>
          </cell>
          <cell r="B3465">
            <v>-1.9</v>
          </cell>
          <cell r="C3465">
            <v>0</v>
          </cell>
          <cell r="D3465">
            <v>0.76</v>
          </cell>
          <cell r="E3465">
            <v>0</v>
          </cell>
          <cell r="F3465">
            <v>0</v>
          </cell>
          <cell r="G3465">
            <v>1.6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-4.2000000000000003E-2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 t="b">
            <v>1</v>
          </cell>
        </row>
        <row r="3466">
          <cell r="A3466" t="str">
            <v>Data split-8;Reg-32</v>
          </cell>
          <cell r="B3466">
            <v>-1.8</v>
          </cell>
          <cell r="C3466">
            <v>0</v>
          </cell>
          <cell r="D3466">
            <v>0.77</v>
          </cell>
          <cell r="E3466">
            <v>0</v>
          </cell>
          <cell r="F3466">
            <v>0</v>
          </cell>
          <cell r="G3466">
            <v>1.6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-5.4999999999999997E-3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 t="b">
            <v>1</v>
          </cell>
        </row>
        <row r="3467">
          <cell r="A3467" t="str">
            <v>Data split-8;Reg-33</v>
          </cell>
          <cell r="B3467">
            <v>-0.78</v>
          </cell>
          <cell r="C3467">
            <v>0</v>
          </cell>
          <cell r="D3467">
            <v>-4.8000000000000001E-2</v>
          </cell>
          <cell r="E3467">
            <v>0</v>
          </cell>
          <cell r="F3467">
            <v>0</v>
          </cell>
          <cell r="G3467">
            <v>0</v>
          </cell>
          <cell r="H3467">
            <v>3.7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-5.0999999999999997E-2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 t="b">
            <v>0</v>
          </cell>
        </row>
        <row r="3468">
          <cell r="A3468" t="str">
            <v>Data split-8;Reg-34</v>
          </cell>
          <cell r="B3468">
            <v>-0.77</v>
          </cell>
          <cell r="C3468">
            <v>0</v>
          </cell>
          <cell r="D3468">
            <v>-8.9999999999999993E-3</v>
          </cell>
          <cell r="E3468">
            <v>0</v>
          </cell>
          <cell r="F3468">
            <v>0</v>
          </cell>
          <cell r="G3468">
            <v>0</v>
          </cell>
          <cell r="H3468">
            <v>3.5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-7.1000000000000004E-3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 t="b">
            <v>0</v>
          </cell>
        </row>
        <row r="3469">
          <cell r="A3469" t="str">
            <v>Data split-8;Reg-35</v>
          </cell>
          <cell r="B3469">
            <v>-0.66</v>
          </cell>
          <cell r="C3469">
            <v>0.48</v>
          </cell>
          <cell r="D3469">
            <v>0</v>
          </cell>
          <cell r="E3469">
            <v>1.7</v>
          </cell>
          <cell r="F3469">
            <v>0</v>
          </cell>
          <cell r="G3469">
            <v>0.76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-0.1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 t="b">
            <v>1</v>
          </cell>
        </row>
        <row r="3470">
          <cell r="A3470" t="str">
            <v>Data split-8;Reg-36</v>
          </cell>
          <cell r="B3470">
            <v>-0.27</v>
          </cell>
          <cell r="C3470">
            <v>0.41</v>
          </cell>
          <cell r="D3470">
            <v>0</v>
          </cell>
          <cell r="E3470">
            <v>2</v>
          </cell>
          <cell r="F3470">
            <v>0</v>
          </cell>
          <cell r="G3470">
            <v>0.81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-2.5000000000000001E-2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 t="b">
            <v>1</v>
          </cell>
        </row>
        <row r="3471">
          <cell r="A3471" t="str">
            <v>Data split-8;Reg-37</v>
          </cell>
          <cell r="B3471">
            <v>-0.09</v>
          </cell>
          <cell r="C3471">
            <v>0.2</v>
          </cell>
          <cell r="D3471">
            <v>0</v>
          </cell>
          <cell r="E3471">
            <v>1.1000000000000001</v>
          </cell>
          <cell r="F3471">
            <v>0</v>
          </cell>
          <cell r="G3471">
            <v>0</v>
          </cell>
          <cell r="H3471">
            <v>2.2999999999999998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-0.1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 t="b">
            <v>1</v>
          </cell>
        </row>
        <row r="3472">
          <cell r="A3472" t="str">
            <v>Data split-8;Reg-38</v>
          </cell>
          <cell r="B3472">
            <v>0.47</v>
          </cell>
          <cell r="C3472">
            <v>0.11</v>
          </cell>
          <cell r="D3472">
            <v>0</v>
          </cell>
          <cell r="E3472">
            <v>1.5</v>
          </cell>
          <cell r="F3472">
            <v>0</v>
          </cell>
          <cell r="G3472">
            <v>0</v>
          </cell>
          <cell r="H3472">
            <v>2.2000000000000002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-2.1999999999999999E-2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 t="b">
            <v>0</v>
          </cell>
        </row>
        <row r="3473">
          <cell r="A3473" t="str">
            <v>Data split-8;Reg-39</v>
          </cell>
          <cell r="B3473">
            <v>-4.0999999999999996</v>
          </cell>
          <cell r="C3473">
            <v>1.2</v>
          </cell>
          <cell r="D3473">
            <v>0</v>
          </cell>
          <cell r="E3473">
            <v>0</v>
          </cell>
          <cell r="F3473">
            <v>5.2999999999999999E-2</v>
          </cell>
          <cell r="G3473">
            <v>1.5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-8.5999999999999993E-2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 t="b">
            <v>1</v>
          </cell>
        </row>
        <row r="3474">
          <cell r="A3474" t="str">
            <v>Data split-8;Reg-40</v>
          </cell>
          <cell r="B3474">
            <v>-4.0999999999999996</v>
          </cell>
          <cell r="C3474">
            <v>1.2</v>
          </cell>
          <cell r="D3474">
            <v>0</v>
          </cell>
          <cell r="E3474">
            <v>0</v>
          </cell>
          <cell r="F3474">
            <v>5.8999999999999997E-2</v>
          </cell>
          <cell r="G3474">
            <v>1.6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-1.6E-2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 t="b">
            <v>1</v>
          </cell>
        </row>
        <row r="3475">
          <cell r="A3475" t="str">
            <v>Data split-8;Reg-41</v>
          </cell>
          <cell r="B3475">
            <v>-1.6</v>
          </cell>
          <cell r="C3475">
            <v>0.41</v>
          </cell>
          <cell r="D3475">
            <v>0</v>
          </cell>
          <cell r="E3475">
            <v>0</v>
          </cell>
          <cell r="F3475">
            <v>0.01</v>
          </cell>
          <cell r="G3475">
            <v>0</v>
          </cell>
          <cell r="H3475">
            <v>3.5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-9.5000000000000001E-2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 t="b">
            <v>1</v>
          </cell>
        </row>
        <row r="3476">
          <cell r="A3476" t="str">
            <v>Data split-8;Reg-42</v>
          </cell>
          <cell r="B3476">
            <v>-1.5</v>
          </cell>
          <cell r="C3476">
            <v>0.39</v>
          </cell>
          <cell r="D3476">
            <v>0</v>
          </cell>
          <cell r="E3476">
            <v>0</v>
          </cell>
          <cell r="F3476">
            <v>1.7000000000000001E-2</v>
          </cell>
          <cell r="G3476">
            <v>0</v>
          </cell>
          <cell r="H3476">
            <v>3.6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-1.7000000000000001E-2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 t="b">
            <v>1</v>
          </cell>
        </row>
        <row r="3477">
          <cell r="A3477" t="str">
            <v>Data split-8;Reg-43</v>
          </cell>
          <cell r="B3477">
            <v>-0.61</v>
          </cell>
          <cell r="C3477">
            <v>0.28000000000000003</v>
          </cell>
          <cell r="D3477">
            <v>0</v>
          </cell>
          <cell r="E3477">
            <v>1.5</v>
          </cell>
          <cell r="F3477">
            <v>0</v>
          </cell>
          <cell r="G3477">
            <v>0.69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-4.2000000000000003E-2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 t="b">
            <v>1</v>
          </cell>
        </row>
        <row r="3478">
          <cell r="A3478" t="str">
            <v>Data split-8;Reg-44</v>
          </cell>
          <cell r="B3478">
            <v>-0.53</v>
          </cell>
          <cell r="C3478">
            <v>0.26</v>
          </cell>
          <cell r="D3478">
            <v>0</v>
          </cell>
          <cell r="E3478">
            <v>1.5</v>
          </cell>
          <cell r="F3478">
            <v>0</v>
          </cell>
          <cell r="G3478">
            <v>0.66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-7.1000000000000004E-3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 t="b">
            <v>1</v>
          </cell>
        </row>
        <row r="3479">
          <cell r="A3479" t="str">
            <v>Data split-8;Reg-45</v>
          </cell>
          <cell r="B3479">
            <v>-0.15</v>
          </cell>
          <cell r="C3479">
            <v>2.1999999999999999E-2</v>
          </cell>
          <cell r="D3479">
            <v>0</v>
          </cell>
          <cell r="E3479">
            <v>0.88</v>
          </cell>
          <cell r="F3479">
            <v>0</v>
          </cell>
          <cell r="G3479">
            <v>0</v>
          </cell>
          <cell r="H3479">
            <v>2.2000000000000002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-4.2000000000000003E-2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 t="b">
            <v>1</v>
          </cell>
        </row>
        <row r="3480">
          <cell r="A3480" t="str">
            <v>Data split-8;Reg-46</v>
          </cell>
          <cell r="B3480">
            <v>-9.1999999999999998E-2</v>
          </cell>
          <cell r="C3480">
            <v>3.2000000000000001E-2</v>
          </cell>
          <cell r="D3480">
            <v>0</v>
          </cell>
          <cell r="E3480">
            <v>0.95</v>
          </cell>
          <cell r="F3480">
            <v>0</v>
          </cell>
          <cell r="G3480">
            <v>0</v>
          </cell>
          <cell r="H3480">
            <v>2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-6.4000000000000003E-3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 t="b">
            <v>1</v>
          </cell>
        </row>
        <row r="3481">
          <cell r="A3481" t="str">
            <v>Data split-8;Reg-47</v>
          </cell>
          <cell r="B3481">
            <v>-3.6</v>
          </cell>
          <cell r="C3481">
            <v>0.92</v>
          </cell>
          <cell r="D3481">
            <v>0</v>
          </cell>
          <cell r="E3481">
            <v>0</v>
          </cell>
          <cell r="F3481">
            <v>7.0000000000000007E-2</v>
          </cell>
          <cell r="G3481">
            <v>1.4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-4.8000000000000001E-2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 t="b">
            <v>1</v>
          </cell>
        </row>
        <row r="3482">
          <cell r="A3482" t="str">
            <v>Data split-8;Reg-48</v>
          </cell>
          <cell r="B3482">
            <v>-3.5</v>
          </cell>
          <cell r="C3482">
            <v>0.93</v>
          </cell>
          <cell r="D3482">
            <v>0</v>
          </cell>
          <cell r="E3482">
            <v>0</v>
          </cell>
          <cell r="F3482">
            <v>7.0000000000000007E-2</v>
          </cell>
          <cell r="G3482">
            <v>1.4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-6.8999999999999999E-3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 t="b">
            <v>1</v>
          </cell>
        </row>
        <row r="3483">
          <cell r="A3483" t="str">
            <v>Data split-8;Reg-49</v>
          </cell>
          <cell r="B3483">
            <v>-1.2</v>
          </cell>
          <cell r="C3483">
            <v>0.18</v>
          </cell>
          <cell r="D3483">
            <v>0</v>
          </cell>
          <cell r="E3483">
            <v>0</v>
          </cell>
          <cell r="F3483">
            <v>3.1E-2</v>
          </cell>
          <cell r="G3483">
            <v>0</v>
          </cell>
          <cell r="H3483">
            <v>3.2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-4.2999999999999997E-2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 t="b">
            <v>1</v>
          </cell>
        </row>
        <row r="3484">
          <cell r="A3484" t="str">
            <v>Data split-8;Reg-50</v>
          </cell>
          <cell r="B3484">
            <v>-1.2</v>
          </cell>
          <cell r="C3484">
            <v>0.22</v>
          </cell>
          <cell r="D3484">
            <v>0</v>
          </cell>
          <cell r="E3484">
            <v>0</v>
          </cell>
          <cell r="F3484">
            <v>0.03</v>
          </cell>
          <cell r="G3484">
            <v>0</v>
          </cell>
          <cell r="H3484">
            <v>3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-5.7000000000000002E-3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 t="b">
            <v>1</v>
          </cell>
        </row>
        <row r="3485">
          <cell r="A3485" t="str">
            <v>Data split-8;Reg-51</v>
          </cell>
          <cell r="B3485">
            <v>1.3</v>
          </cell>
          <cell r="C3485">
            <v>0</v>
          </cell>
          <cell r="D3485">
            <v>0.11</v>
          </cell>
          <cell r="E3485">
            <v>2.1</v>
          </cell>
          <cell r="F3485">
            <v>0</v>
          </cell>
          <cell r="G3485">
            <v>0.59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-9.6000000000000002E-2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 t="b">
            <v>0</v>
          </cell>
        </row>
        <row r="3486">
          <cell r="A3486" t="str">
            <v>Data split-8;Reg-52</v>
          </cell>
          <cell r="B3486">
            <v>1.3</v>
          </cell>
          <cell r="C3486">
            <v>0</v>
          </cell>
          <cell r="D3486">
            <v>0.11</v>
          </cell>
          <cell r="E3486">
            <v>2.4</v>
          </cell>
          <cell r="F3486">
            <v>0</v>
          </cell>
          <cell r="G3486">
            <v>0.69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-2.4E-2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 t="b">
            <v>0</v>
          </cell>
        </row>
        <row r="3487">
          <cell r="A3487" t="str">
            <v>Data split-8;Reg-53</v>
          </cell>
          <cell r="B3487">
            <v>0.83</v>
          </cell>
          <cell r="C3487">
            <v>0</v>
          </cell>
          <cell r="D3487">
            <v>-5.6000000000000001E-2</v>
          </cell>
          <cell r="E3487">
            <v>1.3</v>
          </cell>
          <cell r="F3487">
            <v>0</v>
          </cell>
          <cell r="G3487">
            <v>0</v>
          </cell>
          <cell r="H3487">
            <v>2.2999999999999998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-0.1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 t="b">
            <v>0</v>
          </cell>
        </row>
        <row r="3488">
          <cell r="A3488" t="str">
            <v>Data split-8;Reg-54</v>
          </cell>
          <cell r="B3488">
            <v>1.1000000000000001</v>
          </cell>
          <cell r="C3488">
            <v>0</v>
          </cell>
          <cell r="D3488">
            <v>-8.3000000000000004E-2</v>
          </cell>
          <cell r="E3488">
            <v>1.7</v>
          </cell>
          <cell r="F3488">
            <v>0</v>
          </cell>
          <cell r="G3488">
            <v>0</v>
          </cell>
          <cell r="H3488">
            <v>2.2000000000000002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-2.1999999999999999E-2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 t="b">
            <v>0</v>
          </cell>
        </row>
        <row r="3489">
          <cell r="A3489" t="str">
            <v>Data split-8;Reg-55</v>
          </cell>
          <cell r="B3489">
            <v>-1.2</v>
          </cell>
          <cell r="C3489">
            <v>0</v>
          </cell>
          <cell r="D3489">
            <v>0.9</v>
          </cell>
          <cell r="E3489">
            <v>0</v>
          </cell>
          <cell r="F3489">
            <v>8.3000000000000004E-2</v>
          </cell>
          <cell r="G3489">
            <v>1.6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-7.3999999999999996E-2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 t="b">
            <v>1</v>
          </cell>
        </row>
        <row r="3490">
          <cell r="A3490" t="str">
            <v>Data split-8;Reg-56</v>
          </cell>
          <cell r="B3490">
            <v>-1.2</v>
          </cell>
          <cell r="C3490">
            <v>0</v>
          </cell>
          <cell r="D3490">
            <v>0.92</v>
          </cell>
          <cell r="E3490">
            <v>0</v>
          </cell>
          <cell r="F3490">
            <v>8.6999999999999994E-2</v>
          </cell>
          <cell r="G3490">
            <v>1.6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-1.4E-2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 t="b">
            <v>1</v>
          </cell>
        </row>
        <row r="3491">
          <cell r="A3491" t="str">
            <v>Data split-8;Reg-57</v>
          </cell>
          <cell r="B3491">
            <v>-0.45</v>
          </cell>
          <cell r="C3491">
            <v>0</v>
          </cell>
          <cell r="D3491">
            <v>0.17</v>
          </cell>
          <cell r="E3491">
            <v>0</v>
          </cell>
          <cell r="F3491">
            <v>1.7000000000000001E-2</v>
          </cell>
          <cell r="G3491">
            <v>0</v>
          </cell>
          <cell r="H3491">
            <v>3.8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-9.2999999999999999E-2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 t="b">
            <v>1</v>
          </cell>
        </row>
        <row r="3492">
          <cell r="A3492" t="str">
            <v>Data split-8;Reg-58</v>
          </cell>
          <cell r="B3492">
            <v>-0.47</v>
          </cell>
          <cell r="C3492">
            <v>0</v>
          </cell>
          <cell r="D3492">
            <v>0.18</v>
          </cell>
          <cell r="E3492">
            <v>0</v>
          </cell>
          <cell r="F3492">
            <v>2.3E-2</v>
          </cell>
          <cell r="G3492">
            <v>0</v>
          </cell>
          <cell r="H3492">
            <v>3.8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-1.7000000000000001E-2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 t="b">
            <v>1</v>
          </cell>
        </row>
        <row r="3493">
          <cell r="A3493" t="str">
            <v>Data split-8;Reg-59</v>
          </cell>
          <cell r="B3493">
            <v>0.89</v>
          </cell>
          <cell r="C3493">
            <v>0</v>
          </cell>
          <cell r="D3493">
            <v>-7.3999999999999996E-2</v>
          </cell>
          <cell r="E3493">
            <v>1.9</v>
          </cell>
          <cell r="F3493">
            <v>0</v>
          </cell>
          <cell r="G3493">
            <v>0.56000000000000005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-4.3999999999999997E-2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 t="b">
            <v>0</v>
          </cell>
        </row>
        <row r="3494">
          <cell r="A3494" t="str">
            <v>Data split-8;Reg-60</v>
          </cell>
          <cell r="B3494">
            <v>0.87</v>
          </cell>
          <cell r="C3494">
            <v>0</v>
          </cell>
          <cell r="D3494">
            <v>-8.2000000000000003E-2</v>
          </cell>
          <cell r="E3494">
            <v>2</v>
          </cell>
          <cell r="F3494">
            <v>0</v>
          </cell>
          <cell r="G3494">
            <v>0.55000000000000004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-8.0999999999999996E-3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 t="b">
            <v>0</v>
          </cell>
        </row>
        <row r="3495">
          <cell r="A3495" t="str">
            <v>Data split-8;Reg-61</v>
          </cell>
          <cell r="B3495">
            <v>0.41</v>
          </cell>
          <cell r="C3495">
            <v>0</v>
          </cell>
          <cell r="D3495">
            <v>-0.25</v>
          </cell>
          <cell r="E3495">
            <v>1.1000000000000001</v>
          </cell>
          <cell r="F3495">
            <v>0</v>
          </cell>
          <cell r="G3495">
            <v>0</v>
          </cell>
          <cell r="H3495">
            <v>2.2999999999999998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-5.0999999999999997E-2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 t="b">
            <v>0</v>
          </cell>
        </row>
        <row r="3496">
          <cell r="A3496" t="str">
            <v>Data split-8;Reg-62</v>
          </cell>
          <cell r="B3496">
            <v>0.47</v>
          </cell>
          <cell r="C3496">
            <v>0</v>
          </cell>
          <cell r="D3496">
            <v>-0.24</v>
          </cell>
          <cell r="E3496">
            <v>1.2</v>
          </cell>
          <cell r="F3496">
            <v>0</v>
          </cell>
          <cell r="G3496">
            <v>0</v>
          </cell>
          <cell r="H3496">
            <v>2.2000000000000002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-8.3999999999999995E-3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 t="b">
            <v>0</v>
          </cell>
        </row>
        <row r="3497">
          <cell r="A3497" t="str">
            <v>Data split-8;Reg-63</v>
          </cell>
          <cell r="B3497">
            <v>-1.3</v>
          </cell>
          <cell r="C3497">
            <v>0</v>
          </cell>
          <cell r="D3497">
            <v>0.68</v>
          </cell>
          <cell r="E3497">
            <v>0</v>
          </cell>
          <cell r="F3497">
            <v>9.7000000000000003E-2</v>
          </cell>
          <cell r="G3497">
            <v>1.6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-5.0999999999999997E-2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 t="b">
            <v>1</v>
          </cell>
        </row>
        <row r="3498">
          <cell r="A3498" t="str">
            <v>Data split-8;Reg-64</v>
          </cell>
          <cell r="B3498">
            <v>-1.3</v>
          </cell>
          <cell r="C3498">
            <v>0</v>
          </cell>
          <cell r="D3498">
            <v>0.69</v>
          </cell>
          <cell r="E3498">
            <v>0</v>
          </cell>
          <cell r="F3498">
            <v>9.8000000000000004E-2</v>
          </cell>
          <cell r="G3498">
            <v>1.5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-8.2000000000000007E-3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 t="b">
            <v>1</v>
          </cell>
        </row>
        <row r="3499">
          <cell r="A3499" t="str">
            <v>Data split-8;Reg-65</v>
          </cell>
          <cell r="B3499">
            <v>-0.55000000000000004</v>
          </cell>
          <cell r="C3499">
            <v>0</v>
          </cell>
          <cell r="D3499">
            <v>-5.6000000000000001E-2</v>
          </cell>
          <cell r="E3499">
            <v>0</v>
          </cell>
          <cell r="F3499">
            <v>3.5999999999999997E-2</v>
          </cell>
          <cell r="G3499">
            <v>0</v>
          </cell>
          <cell r="H3499">
            <v>3.6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-5.2999999999999999E-2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 t="b">
            <v>0</v>
          </cell>
        </row>
        <row r="3500">
          <cell r="A3500" t="str">
            <v>Data split-8;Reg-66</v>
          </cell>
          <cell r="B3500">
            <v>-0.54</v>
          </cell>
          <cell r="C3500">
            <v>0</v>
          </cell>
          <cell r="D3500">
            <v>-1.9E-2</v>
          </cell>
          <cell r="E3500">
            <v>0</v>
          </cell>
          <cell r="F3500">
            <v>3.6999999999999998E-2</v>
          </cell>
          <cell r="G3500">
            <v>0</v>
          </cell>
          <cell r="H3500">
            <v>3.5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-7.7000000000000002E-3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 t="b">
            <v>0</v>
          </cell>
        </row>
        <row r="3501">
          <cell r="A3501" t="str">
            <v>Data split-8;Reg-67</v>
          </cell>
          <cell r="B3501">
            <v>-3.8</v>
          </cell>
          <cell r="C3501">
            <v>1</v>
          </cell>
          <cell r="D3501">
            <v>0</v>
          </cell>
          <cell r="E3501">
            <v>0</v>
          </cell>
          <cell r="F3501">
            <v>0</v>
          </cell>
          <cell r="G3501">
            <v>1.2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 t="b">
            <v>1</v>
          </cell>
        </row>
        <row r="3502">
          <cell r="A3502" t="str">
            <v>Data split-8;Reg-68</v>
          </cell>
          <cell r="B3502">
            <v>-3.2</v>
          </cell>
          <cell r="C3502">
            <v>0.96</v>
          </cell>
          <cell r="D3502">
            <v>0</v>
          </cell>
          <cell r="E3502">
            <v>0</v>
          </cell>
          <cell r="F3502">
            <v>5.6000000000000001E-2</v>
          </cell>
          <cell r="G3502">
            <v>1.1000000000000001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 t="b">
            <v>1</v>
          </cell>
        </row>
        <row r="3503">
          <cell r="A3503" t="str">
            <v>Data split-8;Reg-69</v>
          </cell>
          <cell r="B3503">
            <v>-4.0999999999999996</v>
          </cell>
          <cell r="C3503">
            <v>1</v>
          </cell>
          <cell r="D3503">
            <v>0</v>
          </cell>
          <cell r="E3503">
            <v>0</v>
          </cell>
          <cell r="F3503">
            <v>0</v>
          </cell>
          <cell r="G3503">
            <v>1.1000000000000001</v>
          </cell>
          <cell r="H3503">
            <v>0</v>
          </cell>
          <cell r="I3503">
            <v>0</v>
          </cell>
          <cell r="J3503">
            <v>1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 t="b">
            <v>0</v>
          </cell>
        </row>
        <row r="3504">
          <cell r="A3504" t="str">
            <v>Data split-8;Reg-70</v>
          </cell>
          <cell r="B3504">
            <v>-4.3</v>
          </cell>
          <cell r="C3504">
            <v>1.2</v>
          </cell>
          <cell r="D3504">
            <v>0</v>
          </cell>
          <cell r="E3504">
            <v>0</v>
          </cell>
          <cell r="F3504">
            <v>0</v>
          </cell>
          <cell r="G3504">
            <v>1.4</v>
          </cell>
          <cell r="H3504">
            <v>0</v>
          </cell>
          <cell r="I3504">
            <v>0</v>
          </cell>
          <cell r="J3504">
            <v>-0.12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-5.0999999999999997E-2</v>
          </cell>
          <cell r="T3504">
            <v>0</v>
          </cell>
          <cell r="U3504" t="b">
            <v>1</v>
          </cell>
        </row>
        <row r="3505">
          <cell r="A3505" t="str">
            <v>Data split-8;Reg-71</v>
          </cell>
          <cell r="B3505">
            <v>-0.56999999999999995</v>
          </cell>
          <cell r="C3505">
            <v>0.12</v>
          </cell>
          <cell r="D3505">
            <v>0</v>
          </cell>
          <cell r="E3505">
            <v>0</v>
          </cell>
          <cell r="F3505">
            <v>1.2999999999999999E-2</v>
          </cell>
          <cell r="G3505">
            <v>0</v>
          </cell>
          <cell r="H3505">
            <v>4.0999999999999996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-0.1</v>
          </cell>
          <cell r="T3505">
            <v>0</v>
          </cell>
          <cell r="U3505" t="b">
            <v>1</v>
          </cell>
        </row>
        <row r="3506">
          <cell r="A3506" t="str">
            <v>Data split-8;Reg-72</v>
          </cell>
          <cell r="B3506">
            <v>0.93</v>
          </cell>
          <cell r="C3506">
            <v>0.18</v>
          </cell>
          <cell r="D3506">
            <v>0</v>
          </cell>
          <cell r="E3506">
            <v>1.9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 t="b">
            <v>0</v>
          </cell>
        </row>
        <row r="3507">
          <cell r="A3507" t="str">
            <v>Data split-8;Reg-73</v>
          </cell>
          <cell r="B3507">
            <v>-2.5</v>
          </cell>
          <cell r="C3507">
            <v>1.5</v>
          </cell>
          <cell r="D3507">
            <v>0</v>
          </cell>
          <cell r="E3507">
            <v>0</v>
          </cell>
          <cell r="F3507">
            <v>0.15</v>
          </cell>
          <cell r="G3507">
            <v>0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 t="b">
            <v>1</v>
          </cell>
        </row>
        <row r="3508">
          <cell r="A3508" t="str">
            <v>Data split-8;Reg-74</v>
          </cell>
          <cell r="B3508">
            <v>1.9</v>
          </cell>
          <cell r="C3508">
            <v>0</v>
          </cell>
          <cell r="D3508">
            <v>-0.12</v>
          </cell>
          <cell r="E3508">
            <v>2.2000000000000002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 t="b">
            <v>0</v>
          </cell>
        </row>
        <row r="3509">
          <cell r="A3509" t="str">
            <v>Data split-8;Reg-75</v>
          </cell>
          <cell r="B3509">
            <v>1.4</v>
          </cell>
          <cell r="C3509">
            <v>0</v>
          </cell>
          <cell r="D3509">
            <v>1.3</v>
          </cell>
          <cell r="E3509">
            <v>0</v>
          </cell>
          <cell r="F3509">
            <v>0.19</v>
          </cell>
          <cell r="G3509">
            <v>0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 t="b">
            <v>0</v>
          </cell>
        </row>
        <row r="3510">
          <cell r="A3510" t="str">
            <v>Data split-8;Reg-76</v>
          </cell>
          <cell r="B3510">
            <v>-3.8</v>
          </cell>
          <cell r="C3510">
            <v>1</v>
          </cell>
          <cell r="D3510">
            <v>0</v>
          </cell>
          <cell r="E3510">
            <v>0</v>
          </cell>
          <cell r="F3510">
            <v>0</v>
          </cell>
          <cell r="G3510">
            <v>1.2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 t="b">
            <v>1</v>
          </cell>
        </row>
        <row r="3511">
          <cell r="A3511" t="str">
            <v>Data split-8;Reg-77</v>
          </cell>
          <cell r="B3511">
            <v>-1.4</v>
          </cell>
          <cell r="C3511">
            <v>0.33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H3511">
            <v>2.7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 t="b">
            <v>1</v>
          </cell>
        </row>
        <row r="3512">
          <cell r="A3512" t="str">
            <v>Data split-8;Reg-78</v>
          </cell>
          <cell r="B3512">
            <v>-1.4</v>
          </cell>
          <cell r="C3512">
            <v>0</v>
          </cell>
          <cell r="D3512">
            <v>0.78</v>
          </cell>
          <cell r="E3512">
            <v>0</v>
          </cell>
          <cell r="F3512">
            <v>0</v>
          </cell>
          <cell r="G3512">
            <v>1.3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 t="b">
            <v>1</v>
          </cell>
        </row>
        <row r="3513">
          <cell r="A3513" t="str">
            <v>Data split-8;Reg-79</v>
          </cell>
          <cell r="B3513">
            <v>-0.49</v>
          </cell>
          <cell r="C3513">
            <v>0</v>
          </cell>
          <cell r="D3513">
            <v>8.4000000000000005E-2</v>
          </cell>
          <cell r="E3513">
            <v>0</v>
          </cell>
          <cell r="F3513">
            <v>0</v>
          </cell>
          <cell r="G3513">
            <v>0</v>
          </cell>
          <cell r="H3513">
            <v>3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 t="b">
            <v>1</v>
          </cell>
        </row>
        <row r="3514">
          <cell r="A3514" t="str">
            <v>Data split-8;Reg-80</v>
          </cell>
          <cell r="B3514">
            <v>-5.5</v>
          </cell>
          <cell r="C3514">
            <v>1.3</v>
          </cell>
          <cell r="D3514">
            <v>0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2.2999999999999998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 t="b">
            <v>0</v>
          </cell>
        </row>
        <row r="3515">
          <cell r="A3515" t="str">
            <v>Data split-8;Reg-81</v>
          </cell>
          <cell r="B3515">
            <v>-8</v>
          </cell>
          <cell r="C3515">
            <v>1.6</v>
          </cell>
          <cell r="D3515">
            <v>0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0</v>
          </cell>
          <cell r="J3515">
            <v>12.5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 t="b">
            <v>0</v>
          </cell>
        </row>
        <row r="3516">
          <cell r="A3516" t="str">
            <v>Data split-8;Reg-82</v>
          </cell>
          <cell r="B3516">
            <v>-3.2</v>
          </cell>
          <cell r="C3516">
            <v>0</v>
          </cell>
          <cell r="D3516">
            <v>1.1000000000000001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2.7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 t="b">
            <v>0</v>
          </cell>
        </row>
        <row r="3517">
          <cell r="A3517" t="str">
            <v>Data split-8;Reg-83</v>
          </cell>
          <cell r="B3517">
            <v>-7.1</v>
          </cell>
          <cell r="C3517">
            <v>0</v>
          </cell>
          <cell r="D3517">
            <v>1.4</v>
          </cell>
          <cell r="E3517">
            <v>0</v>
          </cell>
          <cell r="F3517">
            <v>0</v>
          </cell>
          <cell r="G3517">
            <v>0</v>
          </cell>
          <cell r="H3517">
            <v>0</v>
          </cell>
          <cell r="I3517">
            <v>0</v>
          </cell>
          <cell r="J3517">
            <v>19.399999999999999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 t="b">
            <v>0</v>
          </cell>
        </row>
        <row r="3518">
          <cell r="A3518" t="str">
            <v>Data split-8;Reg-84</v>
          </cell>
          <cell r="B3518">
            <v>-6.3</v>
          </cell>
          <cell r="C3518">
            <v>1.7</v>
          </cell>
          <cell r="D3518">
            <v>0</v>
          </cell>
          <cell r="E3518">
            <v>0</v>
          </cell>
          <cell r="F3518">
            <v>0</v>
          </cell>
          <cell r="G3518">
            <v>0</v>
          </cell>
          <cell r="H3518">
            <v>0</v>
          </cell>
          <cell r="I3518">
            <v>0</v>
          </cell>
          <cell r="J3518">
            <v>0</v>
          </cell>
          <cell r="K3518">
            <v>0.6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 t="b">
            <v>0</v>
          </cell>
        </row>
        <row r="3519">
          <cell r="A3519" t="str">
            <v>Data split-8;Reg-85</v>
          </cell>
          <cell r="B3519">
            <v>-5.5</v>
          </cell>
          <cell r="C3519">
            <v>1.8</v>
          </cell>
          <cell r="D3519">
            <v>0</v>
          </cell>
          <cell r="E3519">
            <v>0</v>
          </cell>
          <cell r="F3519">
            <v>0</v>
          </cell>
          <cell r="G3519">
            <v>0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1.6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 t="b">
            <v>0</v>
          </cell>
        </row>
        <row r="3520">
          <cell r="A3520" t="str">
            <v>Data split-8;Reg-86</v>
          </cell>
          <cell r="B3520">
            <v>-5.5</v>
          </cell>
          <cell r="C3520">
            <v>0</v>
          </cell>
          <cell r="D3520">
            <v>1.5</v>
          </cell>
          <cell r="E3520">
            <v>0</v>
          </cell>
          <cell r="F3520">
            <v>0</v>
          </cell>
          <cell r="G3520">
            <v>0</v>
          </cell>
          <cell r="H3520">
            <v>0</v>
          </cell>
          <cell r="I3520">
            <v>0</v>
          </cell>
          <cell r="J3520">
            <v>0</v>
          </cell>
          <cell r="K3520">
            <v>1.2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 t="b">
            <v>0</v>
          </cell>
        </row>
        <row r="3521">
          <cell r="A3521" t="str">
            <v>Data split-8;Reg-87</v>
          </cell>
          <cell r="B3521">
            <v>-5.5</v>
          </cell>
          <cell r="C3521">
            <v>0</v>
          </cell>
          <cell r="D3521">
            <v>1.6</v>
          </cell>
          <cell r="E3521">
            <v>0</v>
          </cell>
          <cell r="F3521">
            <v>0</v>
          </cell>
          <cell r="G3521">
            <v>0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5.5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 t="b">
            <v>0</v>
          </cell>
        </row>
        <row r="3522">
          <cell r="A3522" t="str">
            <v>Data split-8;Reg-88</v>
          </cell>
          <cell r="B3522">
            <v>-3.5</v>
          </cell>
          <cell r="C3522">
            <v>1.6</v>
          </cell>
          <cell r="D3522">
            <v>0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3.7999999999999999E-2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 t="b">
            <v>0</v>
          </cell>
        </row>
        <row r="3523">
          <cell r="A3523" t="str">
            <v>Data split-8;Reg-89</v>
          </cell>
          <cell r="B3523">
            <v>-3.1</v>
          </cell>
          <cell r="C3523">
            <v>1.4</v>
          </cell>
          <cell r="D3523">
            <v>0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1.2999999999999999E-2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 t="b">
            <v>0</v>
          </cell>
        </row>
        <row r="3524">
          <cell r="A3524" t="str">
            <v>Data split-8;Reg-90</v>
          </cell>
          <cell r="B3524">
            <v>0.12</v>
          </cell>
          <cell r="C3524">
            <v>0</v>
          </cell>
          <cell r="D3524">
            <v>1.2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6.2E-2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 t="b">
            <v>0</v>
          </cell>
        </row>
        <row r="3525">
          <cell r="A3525" t="str">
            <v>Data split-8;Reg-91</v>
          </cell>
          <cell r="B3525">
            <v>0.12</v>
          </cell>
          <cell r="C3525">
            <v>0</v>
          </cell>
          <cell r="D3525">
            <v>1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1.7000000000000001E-2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 t="b">
            <v>0</v>
          </cell>
        </row>
        <row r="3526">
          <cell r="A3526" t="str">
            <v>Data split-8;Reg-92</v>
          </cell>
          <cell r="B3526">
            <v>-3</v>
          </cell>
          <cell r="C3526">
            <v>1.5</v>
          </cell>
          <cell r="D3526">
            <v>0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7.6999999999999999E-2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 t="b">
            <v>0</v>
          </cell>
        </row>
        <row r="3527">
          <cell r="A3527" t="str">
            <v>Data split-8;Reg-93</v>
          </cell>
          <cell r="B3527">
            <v>-2.7</v>
          </cell>
          <cell r="C3527">
            <v>1.4</v>
          </cell>
          <cell r="D3527">
            <v>0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1.7000000000000001E-2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 t="b">
            <v>0</v>
          </cell>
        </row>
        <row r="3528">
          <cell r="A3528" t="str">
            <v>Data split-8;Reg-94</v>
          </cell>
          <cell r="B3528">
            <v>0.44</v>
          </cell>
          <cell r="C3528">
            <v>0</v>
          </cell>
          <cell r="D3528">
            <v>1.2</v>
          </cell>
          <cell r="E3528">
            <v>0</v>
          </cell>
          <cell r="F3528">
            <v>0</v>
          </cell>
          <cell r="G3528">
            <v>0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9.0999999999999998E-2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 t="b">
            <v>0</v>
          </cell>
        </row>
        <row r="3529">
          <cell r="A3529" t="str">
            <v>Data split-8;Reg-95</v>
          </cell>
          <cell r="B3529">
            <v>0.61</v>
          </cell>
          <cell r="C3529">
            <v>0</v>
          </cell>
          <cell r="D3529">
            <v>1.1000000000000001</v>
          </cell>
          <cell r="E3529">
            <v>0</v>
          </cell>
          <cell r="F3529">
            <v>0</v>
          </cell>
          <cell r="G3529">
            <v>0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1.9E-2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 t="b">
            <v>0</v>
          </cell>
        </row>
        <row r="3530">
          <cell r="A3530" t="str">
            <v>Data split-8;Reg-96</v>
          </cell>
          <cell r="B3530">
            <v>0.42</v>
          </cell>
          <cell r="C3530">
            <v>0.22</v>
          </cell>
          <cell r="D3530">
            <v>0</v>
          </cell>
          <cell r="E3530">
            <v>1.8</v>
          </cell>
          <cell r="F3530">
            <v>0</v>
          </cell>
          <cell r="G3530">
            <v>0</v>
          </cell>
          <cell r="H3530">
            <v>0</v>
          </cell>
          <cell r="I3530">
            <v>0.28999999999999998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 t="b">
            <v>0</v>
          </cell>
        </row>
        <row r="3531">
          <cell r="A3531" t="str">
            <v>Data split-8;Reg-97</v>
          </cell>
          <cell r="B3531">
            <v>-0.67</v>
          </cell>
          <cell r="C3531">
            <v>0.23</v>
          </cell>
          <cell r="D3531">
            <v>0</v>
          </cell>
          <cell r="E3531">
            <v>1.8</v>
          </cell>
          <cell r="F3531">
            <v>0</v>
          </cell>
          <cell r="G3531">
            <v>0</v>
          </cell>
          <cell r="H3531">
            <v>0</v>
          </cell>
          <cell r="I3531">
            <v>0</v>
          </cell>
          <cell r="J3531">
            <v>4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 t="b">
            <v>0</v>
          </cell>
        </row>
        <row r="3532">
          <cell r="A3532" t="str">
            <v>Data split-8;Reg-98</v>
          </cell>
          <cell r="B3532">
            <v>-4.7</v>
          </cell>
          <cell r="C3532">
            <v>1.3</v>
          </cell>
          <cell r="D3532">
            <v>0</v>
          </cell>
          <cell r="E3532">
            <v>0</v>
          </cell>
          <cell r="F3532">
            <v>6.5000000000000002E-2</v>
          </cell>
          <cell r="G3532">
            <v>0</v>
          </cell>
          <cell r="H3532">
            <v>0</v>
          </cell>
          <cell r="I3532">
            <v>2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 t="b">
            <v>0</v>
          </cell>
        </row>
        <row r="3533">
          <cell r="A3533" t="str">
            <v>Data split-8;Reg-99</v>
          </cell>
          <cell r="B3533">
            <v>-6.4</v>
          </cell>
          <cell r="C3533">
            <v>1.4</v>
          </cell>
          <cell r="D3533">
            <v>0</v>
          </cell>
          <cell r="E3533">
            <v>0</v>
          </cell>
          <cell r="F3533">
            <v>0.13</v>
          </cell>
          <cell r="G3533">
            <v>0</v>
          </cell>
          <cell r="H3533">
            <v>0</v>
          </cell>
          <cell r="I3533">
            <v>0</v>
          </cell>
          <cell r="J3533">
            <v>11.6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 t="b">
            <v>0</v>
          </cell>
        </row>
        <row r="3534">
          <cell r="A3534" t="str">
            <v>Data split-8;Reg-100</v>
          </cell>
          <cell r="B3534">
            <v>1.9</v>
          </cell>
          <cell r="C3534">
            <v>0</v>
          </cell>
          <cell r="D3534">
            <v>-0.11</v>
          </cell>
          <cell r="E3534">
            <v>2.2000000000000002</v>
          </cell>
          <cell r="F3534">
            <v>0</v>
          </cell>
          <cell r="G3534">
            <v>0</v>
          </cell>
          <cell r="H3534">
            <v>0</v>
          </cell>
          <cell r="I3534">
            <v>1.7000000000000001E-2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 t="b">
            <v>0</v>
          </cell>
        </row>
        <row r="3535">
          <cell r="A3535" t="str">
            <v>Data split-8;Reg-101</v>
          </cell>
          <cell r="B3535">
            <v>0.53</v>
          </cell>
          <cell r="C3535">
            <v>0</v>
          </cell>
          <cell r="D3535">
            <v>-1.7999999999999999E-2</v>
          </cell>
          <cell r="E3535">
            <v>2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3.3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 t="b">
            <v>0</v>
          </cell>
        </row>
        <row r="3536">
          <cell r="A3536" t="str">
            <v>Data split-8;Reg-102</v>
          </cell>
          <cell r="B3536">
            <v>-2.4</v>
          </cell>
          <cell r="C3536">
            <v>0</v>
          </cell>
          <cell r="D3536">
            <v>1</v>
          </cell>
          <cell r="E3536">
            <v>0</v>
          </cell>
          <cell r="F3536">
            <v>7.8E-2</v>
          </cell>
          <cell r="G3536">
            <v>0</v>
          </cell>
          <cell r="H3536">
            <v>0</v>
          </cell>
          <cell r="I3536">
            <v>2.4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 t="b">
            <v>0</v>
          </cell>
        </row>
        <row r="3537">
          <cell r="A3537" t="str">
            <v>Data split-8;Reg-103</v>
          </cell>
          <cell r="B3537">
            <v>-5.5</v>
          </cell>
          <cell r="C3537">
            <v>0</v>
          </cell>
          <cell r="D3537">
            <v>1.2</v>
          </cell>
          <cell r="E3537">
            <v>0</v>
          </cell>
          <cell r="F3537">
            <v>0.14000000000000001</v>
          </cell>
          <cell r="G3537">
            <v>0</v>
          </cell>
          <cell r="H3537">
            <v>0</v>
          </cell>
          <cell r="I3537">
            <v>0</v>
          </cell>
          <cell r="J3537">
            <v>17.399999999999999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 t="b">
            <v>0</v>
          </cell>
        </row>
        <row r="3538">
          <cell r="A3538" t="str">
            <v>Data split-8;Reg-104</v>
          </cell>
          <cell r="B3538">
            <v>0.37</v>
          </cell>
          <cell r="C3538">
            <v>0.18</v>
          </cell>
          <cell r="D3538">
            <v>0</v>
          </cell>
          <cell r="E3538">
            <v>1.9</v>
          </cell>
          <cell r="F3538">
            <v>0</v>
          </cell>
          <cell r="G3538">
            <v>0</v>
          </cell>
          <cell r="H3538">
            <v>0</v>
          </cell>
          <cell r="I3538">
            <v>0</v>
          </cell>
          <cell r="J3538">
            <v>0</v>
          </cell>
          <cell r="K3538">
            <v>0.12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 t="b">
            <v>0</v>
          </cell>
        </row>
        <row r="3539">
          <cell r="A3539" t="str">
            <v>Data split-8;Reg-105</v>
          </cell>
          <cell r="B3539">
            <v>-0.49</v>
          </cell>
          <cell r="C3539">
            <v>0.17</v>
          </cell>
          <cell r="D3539">
            <v>0</v>
          </cell>
          <cell r="E3539">
            <v>1.9</v>
          </cell>
          <cell r="F3539">
            <v>0</v>
          </cell>
          <cell r="G3539">
            <v>0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1.5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 t="b">
            <v>0</v>
          </cell>
        </row>
        <row r="3540">
          <cell r="A3540" t="str">
            <v>Data split-8;Reg-106</v>
          </cell>
          <cell r="B3540">
            <v>-4.8</v>
          </cell>
          <cell r="C3540">
            <v>1.4</v>
          </cell>
          <cell r="D3540">
            <v>0</v>
          </cell>
          <cell r="E3540">
            <v>0</v>
          </cell>
          <cell r="F3540">
            <v>0.15</v>
          </cell>
          <cell r="G3540">
            <v>0</v>
          </cell>
          <cell r="H3540">
            <v>0</v>
          </cell>
          <cell r="I3540">
            <v>0</v>
          </cell>
          <cell r="J3540">
            <v>0</v>
          </cell>
          <cell r="K3540">
            <v>0.6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 t="b">
            <v>0</v>
          </cell>
        </row>
        <row r="3541">
          <cell r="A3541" t="str">
            <v>Data split-8;Reg-107</v>
          </cell>
          <cell r="B3541">
            <v>-4.0999999999999996</v>
          </cell>
          <cell r="C3541">
            <v>1.5</v>
          </cell>
          <cell r="D3541">
            <v>0</v>
          </cell>
          <cell r="E3541">
            <v>0</v>
          </cell>
          <cell r="F3541">
            <v>0.15</v>
          </cell>
          <cell r="G3541">
            <v>0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1.7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 t="b">
            <v>0</v>
          </cell>
        </row>
        <row r="3542">
          <cell r="A3542" t="str">
            <v>Data split-8;Reg-108</v>
          </cell>
          <cell r="B3542">
            <v>1.6</v>
          </cell>
          <cell r="C3542">
            <v>0</v>
          </cell>
          <cell r="D3542">
            <v>-9.6000000000000002E-2</v>
          </cell>
          <cell r="E3542">
            <v>2.2000000000000002</v>
          </cell>
          <cell r="F3542">
            <v>0</v>
          </cell>
          <cell r="G3542">
            <v>0</v>
          </cell>
          <cell r="H3542">
            <v>0</v>
          </cell>
          <cell r="I3542">
            <v>0</v>
          </cell>
          <cell r="J3542">
            <v>0</v>
          </cell>
          <cell r="K3542">
            <v>6.9000000000000006E-2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 t="b">
            <v>0</v>
          </cell>
        </row>
        <row r="3543">
          <cell r="A3543" t="str">
            <v>Data split-8;Reg-109</v>
          </cell>
          <cell r="B3543">
            <v>0.39</v>
          </cell>
          <cell r="C3543">
            <v>0</v>
          </cell>
          <cell r="D3543">
            <v>-4.3999999999999997E-2</v>
          </cell>
          <cell r="E3543">
            <v>2.1</v>
          </cell>
          <cell r="F3543">
            <v>0</v>
          </cell>
          <cell r="G3543">
            <v>0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1.4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 t="b">
            <v>0</v>
          </cell>
        </row>
        <row r="3544">
          <cell r="A3544" t="str">
            <v>Data split-8;Reg-110</v>
          </cell>
          <cell r="B3544">
            <v>-3.9</v>
          </cell>
          <cell r="C3544">
            <v>0</v>
          </cell>
          <cell r="D3544">
            <v>1.2</v>
          </cell>
          <cell r="E3544">
            <v>0</v>
          </cell>
          <cell r="F3544">
            <v>0.17</v>
          </cell>
          <cell r="G3544">
            <v>0</v>
          </cell>
          <cell r="H3544">
            <v>0</v>
          </cell>
          <cell r="I3544">
            <v>0</v>
          </cell>
          <cell r="J3544">
            <v>0</v>
          </cell>
          <cell r="K3544">
            <v>1.1000000000000001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 t="b">
            <v>0</v>
          </cell>
        </row>
        <row r="3545">
          <cell r="A3545" t="str">
            <v>Data split-8;Reg-111</v>
          </cell>
          <cell r="B3545">
            <v>-3.9</v>
          </cell>
          <cell r="C3545">
            <v>0</v>
          </cell>
          <cell r="D3545">
            <v>1.3</v>
          </cell>
          <cell r="E3545">
            <v>0</v>
          </cell>
          <cell r="F3545">
            <v>0.18</v>
          </cell>
          <cell r="G3545">
            <v>0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4.9000000000000004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 t="b">
            <v>0</v>
          </cell>
        </row>
        <row r="3546">
          <cell r="A3546" t="str">
            <v>Data split-8;Reg-112</v>
          </cell>
          <cell r="B3546">
            <v>-3.6</v>
          </cell>
          <cell r="C3546">
            <v>1</v>
          </cell>
          <cell r="D3546">
            <v>0</v>
          </cell>
          <cell r="E3546">
            <v>0</v>
          </cell>
          <cell r="F3546">
            <v>0</v>
          </cell>
          <cell r="G3546">
            <v>1.2</v>
          </cell>
          <cell r="H3546">
            <v>0</v>
          </cell>
          <cell r="I3546">
            <v>-0.18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 t="b">
            <v>1</v>
          </cell>
        </row>
        <row r="3547">
          <cell r="A3547" t="str">
            <v>Data split-8;Reg-113</v>
          </cell>
          <cell r="B3547">
            <v>-4.0999999999999996</v>
          </cell>
          <cell r="C3547">
            <v>1</v>
          </cell>
          <cell r="D3547">
            <v>0</v>
          </cell>
          <cell r="E3547">
            <v>0</v>
          </cell>
          <cell r="F3547">
            <v>0</v>
          </cell>
          <cell r="G3547">
            <v>1.1000000000000001</v>
          </cell>
          <cell r="H3547">
            <v>0</v>
          </cell>
          <cell r="I3547">
            <v>0</v>
          </cell>
          <cell r="J3547">
            <v>1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 t="b">
            <v>0</v>
          </cell>
        </row>
        <row r="3548">
          <cell r="A3548" t="str">
            <v>Data split-8;Reg-114</v>
          </cell>
          <cell r="B3548">
            <v>-1.2</v>
          </cell>
          <cell r="C3548">
            <v>0.31</v>
          </cell>
          <cell r="D3548">
            <v>0</v>
          </cell>
          <cell r="E3548">
            <v>0</v>
          </cell>
          <cell r="F3548">
            <v>0</v>
          </cell>
          <cell r="G3548">
            <v>0</v>
          </cell>
          <cell r="H3548">
            <v>2.8</v>
          </cell>
          <cell r="I3548">
            <v>-0.16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 t="b">
            <v>1</v>
          </cell>
        </row>
        <row r="3549">
          <cell r="A3549" t="str">
            <v>Data split-8;Reg-115</v>
          </cell>
          <cell r="B3549">
            <v>-2.4</v>
          </cell>
          <cell r="C3549">
            <v>0.36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2.6</v>
          </cell>
          <cell r="I3549">
            <v>0</v>
          </cell>
          <cell r="J3549">
            <v>2.7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 t="b">
            <v>0</v>
          </cell>
        </row>
        <row r="3550">
          <cell r="A3550" t="str">
            <v>Data split-8;Reg-116</v>
          </cell>
          <cell r="B3550">
            <v>-1.8</v>
          </cell>
          <cell r="C3550">
            <v>0</v>
          </cell>
          <cell r="D3550">
            <v>0.8</v>
          </cell>
          <cell r="E3550">
            <v>0</v>
          </cell>
          <cell r="F3550">
            <v>0</v>
          </cell>
          <cell r="G3550">
            <v>1.2</v>
          </cell>
          <cell r="H3550">
            <v>0</v>
          </cell>
          <cell r="I3550">
            <v>0.41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 t="b">
            <v>0</v>
          </cell>
        </row>
        <row r="3551">
          <cell r="A3551" t="str">
            <v>Data split-8;Reg-117</v>
          </cell>
          <cell r="B3551">
            <v>-3.5</v>
          </cell>
          <cell r="C3551">
            <v>0</v>
          </cell>
          <cell r="D3551">
            <v>0.87</v>
          </cell>
          <cell r="E3551">
            <v>0</v>
          </cell>
          <cell r="F3551">
            <v>0</v>
          </cell>
          <cell r="G3551">
            <v>1.1000000000000001</v>
          </cell>
          <cell r="H3551">
            <v>0</v>
          </cell>
          <cell r="I3551">
            <v>0</v>
          </cell>
          <cell r="J3551">
            <v>6.2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 t="b">
            <v>0</v>
          </cell>
        </row>
        <row r="3552">
          <cell r="A3552" t="str">
            <v>Data split-8;Reg-118</v>
          </cell>
          <cell r="B3552">
            <v>-8.1000000000000003E-2</v>
          </cell>
          <cell r="C3552">
            <v>0</v>
          </cell>
          <cell r="D3552">
            <v>2.5999999999999999E-2</v>
          </cell>
          <cell r="E3552">
            <v>0</v>
          </cell>
          <cell r="F3552">
            <v>0</v>
          </cell>
          <cell r="G3552">
            <v>0</v>
          </cell>
          <cell r="H3552">
            <v>3.2</v>
          </cell>
          <cell r="I3552">
            <v>-0.38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 t="b">
            <v>1</v>
          </cell>
        </row>
        <row r="3553">
          <cell r="A3553" t="str">
            <v>Data split-8;Reg-119</v>
          </cell>
          <cell r="B3553">
            <v>-1.6</v>
          </cell>
          <cell r="C3553">
            <v>0</v>
          </cell>
          <cell r="D3553">
            <v>0.16</v>
          </cell>
          <cell r="E3553">
            <v>0</v>
          </cell>
          <cell r="F3553">
            <v>0</v>
          </cell>
          <cell r="G3553">
            <v>0</v>
          </cell>
          <cell r="H3553">
            <v>2.8</v>
          </cell>
          <cell r="I3553">
            <v>0</v>
          </cell>
          <cell r="J3553">
            <v>3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 t="b">
            <v>0</v>
          </cell>
        </row>
        <row r="3554">
          <cell r="A3554" t="str">
            <v>Data split-8;Reg-120</v>
          </cell>
          <cell r="B3554">
            <v>-3.3</v>
          </cell>
          <cell r="C3554">
            <v>1</v>
          </cell>
          <cell r="D3554">
            <v>0</v>
          </cell>
          <cell r="E3554">
            <v>0</v>
          </cell>
          <cell r="F3554">
            <v>0</v>
          </cell>
          <cell r="G3554">
            <v>1.2</v>
          </cell>
          <cell r="H3554">
            <v>0</v>
          </cell>
          <cell r="I3554">
            <v>0</v>
          </cell>
          <cell r="J3554">
            <v>0</v>
          </cell>
          <cell r="K3554">
            <v>-0.11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 t="b">
            <v>1</v>
          </cell>
        </row>
        <row r="3555">
          <cell r="A3555" t="str">
            <v>Data split-8;Reg-121</v>
          </cell>
          <cell r="B3555">
            <v>-3.8</v>
          </cell>
          <cell r="C3555">
            <v>1</v>
          </cell>
          <cell r="D3555">
            <v>0</v>
          </cell>
          <cell r="E3555">
            <v>0</v>
          </cell>
          <cell r="F3555">
            <v>0</v>
          </cell>
          <cell r="G3555">
            <v>1.2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1.0999999999999999E-2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 t="b">
            <v>0</v>
          </cell>
        </row>
        <row r="3556">
          <cell r="A3556" t="str">
            <v>Data split-8;Reg-122</v>
          </cell>
          <cell r="B3556">
            <v>-1.8</v>
          </cell>
          <cell r="C3556">
            <v>0.33</v>
          </cell>
          <cell r="D3556">
            <v>0</v>
          </cell>
          <cell r="E3556">
            <v>0</v>
          </cell>
          <cell r="F3556">
            <v>0</v>
          </cell>
          <cell r="G3556">
            <v>0</v>
          </cell>
          <cell r="H3556">
            <v>2.6</v>
          </cell>
          <cell r="I3556">
            <v>0</v>
          </cell>
          <cell r="J3556">
            <v>0</v>
          </cell>
          <cell r="K3556">
            <v>7.6999999999999999E-2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 t="b">
            <v>0</v>
          </cell>
        </row>
        <row r="3557">
          <cell r="A3557" t="str">
            <v>Data split-8;Reg-123</v>
          </cell>
          <cell r="B3557">
            <v>-2.6</v>
          </cell>
          <cell r="C3557">
            <v>0.33</v>
          </cell>
          <cell r="D3557">
            <v>0</v>
          </cell>
          <cell r="E3557">
            <v>0</v>
          </cell>
          <cell r="F3557">
            <v>0</v>
          </cell>
          <cell r="G3557">
            <v>0</v>
          </cell>
          <cell r="H3557">
            <v>2.7</v>
          </cell>
          <cell r="I3557">
            <v>0</v>
          </cell>
          <cell r="J3557">
            <v>0</v>
          </cell>
          <cell r="K3557">
            <v>0</v>
          </cell>
          <cell r="L3557">
            <v>1.2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 t="b">
            <v>0</v>
          </cell>
        </row>
        <row r="3558">
          <cell r="A3558" t="str">
            <v>Data split-8;Reg-124</v>
          </cell>
          <cell r="B3558">
            <v>-2.6</v>
          </cell>
          <cell r="C3558">
            <v>0</v>
          </cell>
          <cell r="D3558">
            <v>0.81</v>
          </cell>
          <cell r="E3558">
            <v>0</v>
          </cell>
          <cell r="F3558">
            <v>0</v>
          </cell>
          <cell r="G3558">
            <v>1.2</v>
          </cell>
          <cell r="H3558">
            <v>0</v>
          </cell>
          <cell r="I3558">
            <v>0</v>
          </cell>
          <cell r="J3558">
            <v>0</v>
          </cell>
          <cell r="K3558">
            <v>0.28000000000000003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 t="b">
            <v>0</v>
          </cell>
        </row>
        <row r="3559">
          <cell r="A3559" t="str">
            <v>Data split-8;Reg-125</v>
          </cell>
          <cell r="B3559">
            <v>-3.4</v>
          </cell>
          <cell r="C3559">
            <v>0</v>
          </cell>
          <cell r="D3559">
            <v>0.84</v>
          </cell>
          <cell r="E3559">
            <v>0</v>
          </cell>
          <cell r="F3559">
            <v>0</v>
          </cell>
          <cell r="G3559">
            <v>1.2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2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 t="b">
            <v>0</v>
          </cell>
        </row>
        <row r="3560">
          <cell r="A3560" t="str">
            <v>Data split-8;Reg-126</v>
          </cell>
          <cell r="B3560">
            <v>-1</v>
          </cell>
          <cell r="C3560">
            <v>0</v>
          </cell>
          <cell r="D3560">
            <v>0.11</v>
          </cell>
          <cell r="E3560">
            <v>0</v>
          </cell>
          <cell r="F3560">
            <v>0</v>
          </cell>
          <cell r="G3560">
            <v>0</v>
          </cell>
          <cell r="H3560">
            <v>2.9</v>
          </cell>
          <cell r="I3560">
            <v>0</v>
          </cell>
          <cell r="J3560">
            <v>0</v>
          </cell>
          <cell r="K3560">
            <v>0.12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 t="b">
            <v>0</v>
          </cell>
        </row>
        <row r="3561">
          <cell r="A3561" t="str">
            <v>Data split-8;Reg-127</v>
          </cell>
          <cell r="B3561">
            <v>-2.1</v>
          </cell>
          <cell r="C3561">
            <v>0</v>
          </cell>
          <cell r="D3561">
            <v>0.15</v>
          </cell>
          <cell r="E3561">
            <v>0</v>
          </cell>
          <cell r="F3561">
            <v>0</v>
          </cell>
          <cell r="G3561">
            <v>0</v>
          </cell>
          <cell r="H3561">
            <v>2.9</v>
          </cell>
          <cell r="I3561">
            <v>0</v>
          </cell>
          <cell r="J3561">
            <v>0</v>
          </cell>
          <cell r="K3561">
            <v>0</v>
          </cell>
          <cell r="L3561">
            <v>1.5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 t="b">
            <v>0</v>
          </cell>
        </row>
        <row r="3562">
          <cell r="A3562" t="str">
            <v>Data split-9;Reg-1</v>
          </cell>
          <cell r="B3562">
            <v>-7.6</v>
          </cell>
          <cell r="C3562">
            <v>1.7</v>
          </cell>
          <cell r="D3562">
            <v>0</v>
          </cell>
          <cell r="E3562">
            <v>0</v>
          </cell>
          <cell r="F3562">
            <v>0.26</v>
          </cell>
          <cell r="G3562">
            <v>0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2.5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 t="b">
            <v>0</v>
          </cell>
        </row>
        <row r="3563">
          <cell r="A3563" t="str">
            <v>Data split-9;Reg-2</v>
          </cell>
          <cell r="B3563">
            <v>-6.2</v>
          </cell>
          <cell r="C3563">
            <v>1.5</v>
          </cell>
          <cell r="D3563">
            <v>0</v>
          </cell>
          <cell r="E3563">
            <v>0</v>
          </cell>
          <cell r="F3563">
            <v>0.14000000000000001</v>
          </cell>
          <cell r="G3563">
            <v>1.4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-9.1999999999999998E-2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 t="b">
            <v>1</v>
          </cell>
        </row>
        <row r="3564">
          <cell r="A3564" t="str">
            <v>Data split-9;Reg-3</v>
          </cell>
          <cell r="B3564">
            <v>-6.1</v>
          </cell>
          <cell r="C3564">
            <v>1.5</v>
          </cell>
          <cell r="D3564">
            <v>0</v>
          </cell>
          <cell r="E3564">
            <v>0</v>
          </cell>
          <cell r="F3564">
            <v>0.14000000000000001</v>
          </cell>
          <cell r="G3564">
            <v>1.4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-1.6E-2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 t="b">
            <v>1</v>
          </cell>
        </row>
        <row r="3565">
          <cell r="A3565" t="str">
            <v>Data split-9;Reg-4</v>
          </cell>
          <cell r="B3565">
            <v>-4</v>
          </cell>
          <cell r="C3565">
            <v>0.98</v>
          </cell>
          <cell r="D3565">
            <v>0</v>
          </cell>
          <cell r="E3565">
            <v>0</v>
          </cell>
          <cell r="F3565">
            <v>0.12</v>
          </cell>
          <cell r="G3565">
            <v>0</v>
          </cell>
          <cell r="H3565">
            <v>2.8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-9.5000000000000001E-2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 t="b">
            <v>1</v>
          </cell>
        </row>
        <row r="3566">
          <cell r="A3566" t="str">
            <v>Data split-9;Reg-5</v>
          </cell>
          <cell r="B3566">
            <v>-1.8</v>
          </cell>
          <cell r="C3566">
            <v>0</v>
          </cell>
          <cell r="D3566">
            <v>0.78</v>
          </cell>
          <cell r="E3566">
            <v>0</v>
          </cell>
          <cell r="F3566">
            <v>0.12</v>
          </cell>
          <cell r="G3566">
            <v>0</v>
          </cell>
          <cell r="H3566">
            <v>3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-9.6000000000000002E-2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 t="b">
            <v>1</v>
          </cell>
        </row>
        <row r="3567">
          <cell r="A3567" t="str">
            <v>Data split-9;Reg-6</v>
          </cell>
          <cell r="B3567">
            <v>-3.5</v>
          </cell>
          <cell r="C3567">
            <v>0.97</v>
          </cell>
          <cell r="D3567">
            <v>0</v>
          </cell>
          <cell r="E3567">
            <v>1.9</v>
          </cell>
          <cell r="F3567">
            <v>0</v>
          </cell>
          <cell r="G3567">
            <v>0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0.25</v>
          </cell>
          <cell r="M3567">
            <v>-6.0999999999999999E-2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 t="b">
            <v>0</v>
          </cell>
        </row>
        <row r="3568">
          <cell r="A3568" t="str">
            <v>Data split-9;Reg-7</v>
          </cell>
          <cell r="B3568">
            <v>-7.3</v>
          </cell>
          <cell r="C3568">
            <v>1.6</v>
          </cell>
          <cell r="D3568">
            <v>0</v>
          </cell>
          <cell r="E3568">
            <v>0</v>
          </cell>
          <cell r="F3568">
            <v>0.25</v>
          </cell>
          <cell r="G3568">
            <v>0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2.4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2.3E-2</v>
          </cell>
          <cell r="T3568">
            <v>0</v>
          </cell>
          <cell r="U3568" t="b">
            <v>0</v>
          </cell>
        </row>
        <row r="3569">
          <cell r="A3569" t="str">
            <v>Data split-9;Reg-8</v>
          </cell>
          <cell r="B3569">
            <v>-5.3</v>
          </cell>
          <cell r="C3569">
            <v>1.6</v>
          </cell>
          <cell r="D3569">
            <v>0</v>
          </cell>
          <cell r="E3569">
            <v>0</v>
          </cell>
          <cell r="F3569">
            <v>0</v>
          </cell>
          <cell r="G3569">
            <v>1.5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-1.4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-7.1999999999999995E-2</v>
          </cell>
          <cell r="T3569">
            <v>0</v>
          </cell>
          <cell r="U3569" t="b">
            <v>1</v>
          </cell>
        </row>
        <row r="3570">
          <cell r="A3570" t="str">
            <v>Data split-9;Reg-9</v>
          </cell>
          <cell r="B3570">
            <v>-3.5</v>
          </cell>
          <cell r="C3570">
            <v>0</v>
          </cell>
          <cell r="D3570">
            <v>0.79</v>
          </cell>
          <cell r="E3570">
            <v>0</v>
          </cell>
          <cell r="F3570">
            <v>0</v>
          </cell>
          <cell r="G3570">
            <v>0</v>
          </cell>
          <cell r="H3570">
            <v>3.8</v>
          </cell>
          <cell r="I3570">
            <v>0</v>
          </cell>
          <cell r="J3570">
            <v>0</v>
          </cell>
          <cell r="K3570">
            <v>0</v>
          </cell>
          <cell r="L3570">
            <v>0.97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-0.13</v>
          </cell>
          <cell r="T3570">
            <v>0</v>
          </cell>
          <cell r="U3570" t="b">
            <v>0</v>
          </cell>
        </row>
        <row r="3571">
          <cell r="A3571" t="str">
            <v>Data split-9;Reg-10</v>
          </cell>
          <cell r="B3571">
            <v>-3.5</v>
          </cell>
          <cell r="C3571">
            <v>0</v>
          </cell>
          <cell r="D3571">
            <v>0.79</v>
          </cell>
          <cell r="E3571">
            <v>0</v>
          </cell>
          <cell r="F3571">
            <v>0</v>
          </cell>
          <cell r="G3571">
            <v>0</v>
          </cell>
          <cell r="H3571">
            <v>3.8</v>
          </cell>
          <cell r="I3571">
            <v>0</v>
          </cell>
          <cell r="J3571">
            <v>0</v>
          </cell>
          <cell r="K3571">
            <v>0</v>
          </cell>
          <cell r="L3571">
            <v>0.97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-0.13</v>
          </cell>
          <cell r="T3571">
            <v>0</v>
          </cell>
          <cell r="U3571" t="b">
            <v>0</v>
          </cell>
        </row>
        <row r="3572">
          <cell r="A3572" t="str">
            <v>Data split-9;Reg-11</v>
          </cell>
          <cell r="B3572">
            <v>-5.2</v>
          </cell>
          <cell r="C3572">
            <v>1.2</v>
          </cell>
          <cell r="D3572">
            <v>0</v>
          </cell>
          <cell r="E3572">
            <v>0.48</v>
          </cell>
          <cell r="F3572">
            <v>0</v>
          </cell>
          <cell r="G3572">
            <v>0.78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 t="b">
            <v>1</v>
          </cell>
        </row>
        <row r="3573">
          <cell r="A3573" t="str">
            <v>Data split-9;Reg-12</v>
          </cell>
          <cell r="B3573">
            <v>-4.3</v>
          </cell>
          <cell r="C3573">
            <v>0.96</v>
          </cell>
          <cell r="D3573">
            <v>0</v>
          </cell>
          <cell r="E3573">
            <v>6.6000000000000003E-2</v>
          </cell>
          <cell r="F3573">
            <v>0</v>
          </cell>
          <cell r="G3573">
            <v>0</v>
          </cell>
          <cell r="H3573">
            <v>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 t="b">
            <v>1</v>
          </cell>
        </row>
        <row r="3574">
          <cell r="A3574" t="str">
            <v>Data split-9;Reg-13</v>
          </cell>
          <cell r="B3574">
            <v>-5.2</v>
          </cell>
          <cell r="C3574">
            <v>1.3</v>
          </cell>
          <cell r="D3574">
            <v>0</v>
          </cell>
          <cell r="E3574">
            <v>0</v>
          </cell>
          <cell r="F3574">
            <v>0.14000000000000001</v>
          </cell>
          <cell r="G3574">
            <v>0.88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 t="b">
            <v>1</v>
          </cell>
        </row>
        <row r="3575">
          <cell r="A3575" t="str">
            <v>Data split-9;Reg-14</v>
          </cell>
          <cell r="B3575">
            <v>-3.7</v>
          </cell>
          <cell r="C3575">
            <v>0.94</v>
          </cell>
          <cell r="D3575">
            <v>0</v>
          </cell>
          <cell r="E3575">
            <v>0</v>
          </cell>
          <cell r="F3575">
            <v>0.12</v>
          </cell>
          <cell r="G3575">
            <v>0</v>
          </cell>
          <cell r="H3575">
            <v>1.8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 t="b">
            <v>1</v>
          </cell>
        </row>
        <row r="3576">
          <cell r="A3576" t="str">
            <v>Data split-9;Reg-15</v>
          </cell>
          <cell r="B3576">
            <v>-3.2</v>
          </cell>
          <cell r="C3576">
            <v>0.96</v>
          </cell>
          <cell r="D3576">
            <v>0</v>
          </cell>
          <cell r="E3576">
            <v>1.9</v>
          </cell>
          <cell r="F3576">
            <v>0</v>
          </cell>
          <cell r="G3576">
            <v>0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-6.0999999999999999E-2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 t="b">
            <v>1</v>
          </cell>
        </row>
        <row r="3577">
          <cell r="A3577" t="str">
            <v>Data split-9;Reg-16</v>
          </cell>
          <cell r="B3577">
            <v>-3.1</v>
          </cell>
          <cell r="C3577">
            <v>0.94</v>
          </cell>
          <cell r="D3577">
            <v>0</v>
          </cell>
          <cell r="E3577">
            <v>1.9</v>
          </cell>
          <cell r="F3577">
            <v>0</v>
          </cell>
          <cell r="G3577">
            <v>0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-1.0999999999999999E-2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 t="b">
            <v>1</v>
          </cell>
        </row>
        <row r="3578">
          <cell r="A3578" t="str">
            <v>Data split-9;Reg-17</v>
          </cell>
          <cell r="B3578">
            <v>-4.5999999999999996</v>
          </cell>
          <cell r="C3578">
            <v>1.7</v>
          </cell>
          <cell r="D3578">
            <v>0</v>
          </cell>
          <cell r="E3578">
            <v>0</v>
          </cell>
          <cell r="F3578">
            <v>0.25</v>
          </cell>
          <cell r="G3578">
            <v>0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6.1999999999999998E-3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 t="b">
            <v>0</v>
          </cell>
        </row>
        <row r="3579">
          <cell r="A3579" t="str">
            <v>Data split-9;Reg-18</v>
          </cell>
          <cell r="B3579">
            <v>-4.4000000000000004</v>
          </cell>
          <cell r="C3579">
            <v>1.6</v>
          </cell>
          <cell r="D3579">
            <v>0</v>
          </cell>
          <cell r="E3579">
            <v>0</v>
          </cell>
          <cell r="F3579">
            <v>0.23</v>
          </cell>
          <cell r="G3579">
            <v>0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6.1999999999999998E-3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 t="b">
            <v>0</v>
          </cell>
        </row>
        <row r="3580">
          <cell r="A3580" t="str">
            <v>Data split-9;Reg-19</v>
          </cell>
          <cell r="B3580">
            <v>-6.5</v>
          </cell>
          <cell r="C3580">
            <v>1.3</v>
          </cell>
          <cell r="D3580">
            <v>0</v>
          </cell>
          <cell r="E3580">
            <v>0</v>
          </cell>
          <cell r="F3580">
            <v>0</v>
          </cell>
          <cell r="G3580">
            <v>1.5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-5.8000000000000003E-2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 t="b">
            <v>1</v>
          </cell>
        </row>
        <row r="3581">
          <cell r="A3581" t="str">
            <v>Data split-9;Reg-20</v>
          </cell>
          <cell r="B3581">
            <v>-6.4</v>
          </cell>
          <cell r="C3581">
            <v>1.4</v>
          </cell>
          <cell r="D3581">
            <v>0</v>
          </cell>
          <cell r="E3581">
            <v>0</v>
          </cell>
          <cell r="F3581">
            <v>0</v>
          </cell>
          <cell r="G3581">
            <v>1.4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-7.4000000000000003E-3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 t="b">
            <v>1</v>
          </cell>
        </row>
        <row r="3582">
          <cell r="A3582" t="str">
            <v>Data split-9;Reg-21</v>
          </cell>
          <cell r="B3582">
            <v>-4.0999999999999996</v>
          </cell>
          <cell r="C3582">
            <v>0.78</v>
          </cell>
          <cell r="D3582">
            <v>0</v>
          </cell>
          <cell r="E3582">
            <v>0</v>
          </cell>
          <cell r="F3582">
            <v>0</v>
          </cell>
          <cell r="G3582">
            <v>0</v>
          </cell>
          <cell r="H3582">
            <v>2.8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-4.4999999999999998E-2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 t="b">
            <v>1</v>
          </cell>
        </row>
        <row r="3583">
          <cell r="A3583" t="str">
            <v>Data split-9;Reg-22</v>
          </cell>
          <cell r="B3583">
            <v>-4.3</v>
          </cell>
          <cell r="C3583">
            <v>0.89</v>
          </cell>
          <cell r="D3583">
            <v>0</v>
          </cell>
          <cell r="E3583">
            <v>0</v>
          </cell>
          <cell r="F3583">
            <v>0</v>
          </cell>
          <cell r="G3583">
            <v>0</v>
          </cell>
          <cell r="H3583">
            <v>2.4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-3.8E-3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 t="b">
            <v>1</v>
          </cell>
        </row>
        <row r="3584">
          <cell r="A3584" t="str">
            <v>Data split-9;Reg-23</v>
          </cell>
          <cell r="B3584">
            <v>-2.2999999999999998</v>
          </cell>
          <cell r="C3584">
            <v>0</v>
          </cell>
          <cell r="D3584">
            <v>0.98</v>
          </cell>
          <cell r="E3584">
            <v>0.63</v>
          </cell>
          <cell r="F3584">
            <v>0</v>
          </cell>
          <cell r="G3584">
            <v>0.81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 t="b">
            <v>1</v>
          </cell>
        </row>
        <row r="3585">
          <cell r="A3585" t="str">
            <v>Data split-9;Reg-24</v>
          </cell>
          <cell r="B3585">
            <v>-2</v>
          </cell>
          <cell r="C3585">
            <v>0</v>
          </cell>
          <cell r="D3585">
            <v>0.75</v>
          </cell>
          <cell r="E3585">
            <v>0.1</v>
          </cell>
          <cell r="F3585">
            <v>0</v>
          </cell>
          <cell r="G3585">
            <v>0</v>
          </cell>
          <cell r="H3585">
            <v>2.2000000000000002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 t="b">
            <v>1</v>
          </cell>
        </row>
        <row r="3586">
          <cell r="A3586" t="str">
            <v>Data split-9;Reg-25</v>
          </cell>
          <cell r="B3586">
            <v>-2.2000000000000002</v>
          </cell>
          <cell r="C3586">
            <v>0</v>
          </cell>
          <cell r="D3586">
            <v>1.1000000000000001</v>
          </cell>
          <cell r="E3586">
            <v>0</v>
          </cell>
          <cell r="F3586">
            <v>0.14000000000000001</v>
          </cell>
          <cell r="G3586">
            <v>0.99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 t="b">
            <v>1</v>
          </cell>
        </row>
        <row r="3587">
          <cell r="A3587" t="str">
            <v>Data split-9;Reg-26</v>
          </cell>
          <cell r="B3587">
            <v>-1.5</v>
          </cell>
          <cell r="C3587">
            <v>0</v>
          </cell>
          <cell r="D3587">
            <v>0.74</v>
          </cell>
          <cell r="E3587">
            <v>0</v>
          </cell>
          <cell r="F3587">
            <v>0.12</v>
          </cell>
          <cell r="G3587">
            <v>0</v>
          </cell>
          <cell r="H3587">
            <v>2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 t="b">
            <v>1</v>
          </cell>
        </row>
        <row r="3588">
          <cell r="A3588" t="str">
            <v>Data split-9;Reg-27</v>
          </cell>
          <cell r="B3588">
            <v>-0.74</v>
          </cell>
          <cell r="C3588">
            <v>0</v>
          </cell>
          <cell r="D3588">
            <v>0.69</v>
          </cell>
          <cell r="E3588">
            <v>2.1</v>
          </cell>
          <cell r="F3588">
            <v>0</v>
          </cell>
          <cell r="G3588">
            <v>0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-0.06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 t="b">
            <v>1</v>
          </cell>
        </row>
        <row r="3589">
          <cell r="A3589" t="str">
            <v>Data split-9;Reg-28</v>
          </cell>
          <cell r="B3589">
            <v>-0.68</v>
          </cell>
          <cell r="C3589">
            <v>0</v>
          </cell>
          <cell r="D3589">
            <v>0.68</v>
          </cell>
          <cell r="E3589">
            <v>2.1</v>
          </cell>
          <cell r="F3589">
            <v>0</v>
          </cell>
          <cell r="G3589">
            <v>0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-1.0999999999999999E-2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 t="b">
            <v>1</v>
          </cell>
        </row>
        <row r="3590">
          <cell r="A3590" t="str">
            <v>Data split-9;Reg-29</v>
          </cell>
          <cell r="B3590">
            <v>-0.6</v>
          </cell>
          <cell r="C3590">
            <v>0</v>
          </cell>
          <cell r="D3590">
            <v>1.4</v>
          </cell>
          <cell r="E3590">
            <v>0</v>
          </cell>
          <cell r="F3590">
            <v>0.27</v>
          </cell>
          <cell r="G3590">
            <v>0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1.9E-2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 t="b">
            <v>0</v>
          </cell>
        </row>
        <row r="3591">
          <cell r="A3591" t="str">
            <v>Data split-9;Reg-30</v>
          </cell>
          <cell r="B3591">
            <v>-0.7</v>
          </cell>
          <cell r="C3591">
            <v>0</v>
          </cell>
          <cell r="D3591">
            <v>1.3</v>
          </cell>
          <cell r="E3591">
            <v>0</v>
          </cell>
          <cell r="F3591">
            <v>0.25</v>
          </cell>
          <cell r="G3591">
            <v>0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8.3999999999999995E-3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 t="b">
            <v>0</v>
          </cell>
        </row>
        <row r="3592">
          <cell r="A3592" t="str">
            <v>Data split-9;Reg-31</v>
          </cell>
          <cell r="B3592">
            <v>-3.5</v>
          </cell>
          <cell r="C3592">
            <v>0</v>
          </cell>
          <cell r="D3592">
            <v>1.2</v>
          </cell>
          <cell r="E3592">
            <v>0</v>
          </cell>
          <cell r="F3592">
            <v>0</v>
          </cell>
          <cell r="G3592">
            <v>1.6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-5.7000000000000002E-2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 t="b">
            <v>1</v>
          </cell>
        </row>
        <row r="3593">
          <cell r="A3593" t="str">
            <v>Data split-9;Reg-32</v>
          </cell>
          <cell r="B3593">
            <v>-3.4</v>
          </cell>
          <cell r="C3593">
            <v>0</v>
          </cell>
          <cell r="D3593">
            <v>1.2</v>
          </cell>
          <cell r="E3593">
            <v>0</v>
          </cell>
          <cell r="F3593">
            <v>0</v>
          </cell>
          <cell r="G3593">
            <v>1.5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-7.0000000000000001E-3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 t="b">
            <v>1</v>
          </cell>
        </row>
        <row r="3594">
          <cell r="A3594" t="str">
            <v>Data split-9;Reg-33</v>
          </cell>
          <cell r="B3594">
            <v>-2.2000000000000002</v>
          </cell>
          <cell r="C3594">
            <v>0</v>
          </cell>
          <cell r="D3594">
            <v>0.56000000000000005</v>
          </cell>
          <cell r="E3594">
            <v>0</v>
          </cell>
          <cell r="F3594">
            <v>0</v>
          </cell>
          <cell r="G3594">
            <v>0</v>
          </cell>
          <cell r="H3594">
            <v>3.1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-5.1999999999999998E-2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 t="b">
            <v>1</v>
          </cell>
        </row>
        <row r="3595">
          <cell r="A3595" t="str">
            <v>Data split-9;Reg-34</v>
          </cell>
          <cell r="B3595">
            <v>-2.2000000000000002</v>
          </cell>
          <cell r="C3595">
            <v>0</v>
          </cell>
          <cell r="D3595">
            <v>0.67</v>
          </cell>
          <cell r="E3595">
            <v>0</v>
          </cell>
          <cell r="F3595">
            <v>0</v>
          </cell>
          <cell r="G3595">
            <v>0</v>
          </cell>
          <cell r="H3595">
            <v>2.7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-4.7000000000000002E-3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 t="b">
            <v>1</v>
          </cell>
        </row>
        <row r="3596">
          <cell r="A3596" t="str">
            <v>Data split-9;Reg-35</v>
          </cell>
          <cell r="B3596">
            <v>-5.8</v>
          </cell>
          <cell r="C3596">
            <v>1.4</v>
          </cell>
          <cell r="D3596">
            <v>0</v>
          </cell>
          <cell r="E3596">
            <v>0.72</v>
          </cell>
          <cell r="F3596">
            <v>0</v>
          </cell>
          <cell r="G3596">
            <v>1.2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-9.8000000000000004E-2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 t="b">
            <v>1</v>
          </cell>
        </row>
        <row r="3597">
          <cell r="A3597" t="str">
            <v>Data split-9;Reg-36</v>
          </cell>
          <cell r="B3597">
            <v>-5.5</v>
          </cell>
          <cell r="C3597">
            <v>1.3</v>
          </cell>
          <cell r="D3597">
            <v>0</v>
          </cell>
          <cell r="E3597">
            <v>0.89</v>
          </cell>
          <cell r="F3597">
            <v>0</v>
          </cell>
          <cell r="G3597">
            <v>1.1000000000000001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-1.9E-2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 t="b">
            <v>1</v>
          </cell>
        </row>
        <row r="3598">
          <cell r="A3598" t="str">
            <v>Data split-9;Reg-37</v>
          </cell>
          <cell r="B3598">
            <v>-4.4000000000000004</v>
          </cell>
          <cell r="C3598">
            <v>0.96</v>
          </cell>
          <cell r="D3598">
            <v>0</v>
          </cell>
          <cell r="E3598">
            <v>0.23</v>
          </cell>
          <cell r="F3598">
            <v>0</v>
          </cell>
          <cell r="G3598">
            <v>0</v>
          </cell>
          <cell r="H3598">
            <v>2.8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-9.7000000000000003E-2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 t="b">
            <v>1</v>
          </cell>
        </row>
        <row r="3599">
          <cell r="A3599" t="str">
            <v>Data split-9;Reg-38</v>
          </cell>
          <cell r="B3599">
            <v>-4.0999999999999996</v>
          </cell>
          <cell r="C3599">
            <v>0.92</v>
          </cell>
          <cell r="D3599">
            <v>0</v>
          </cell>
          <cell r="E3599">
            <v>0.46</v>
          </cell>
          <cell r="F3599">
            <v>0</v>
          </cell>
          <cell r="G3599">
            <v>0</v>
          </cell>
          <cell r="H3599">
            <v>2.5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-1.7000000000000001E-2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 t="b">
            <v>1</v>
          </cell>
        </row>
        <row r="3600">
          <cell r="A3600" t="str">
            <v>Data split-9;Reg-39</v>
          </cell>
          <cell r="B3600">
            <v>-6.2</v>
          </cell>
          <cell r="C3600">
            <v>1.5</v>
          </cell>
          <cell r="D3600">
            <v>0</v>
          </cell>
          <cell r="E3600">
            <v>0</v>
          </cell>
          <cell r="F3600">
            <v>0.14000000000000001</v>
          </cell>
          <cell r="G3600">
            <v>1.4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-9.1999999999999998E-2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 t="b">
            <v>1</v>
          </cell>
        </row>
        <row r="3601">
          <cell r="A3601" t="str">
            <v>Data split-9;Reg-40</v>
          </cell>
          <cell r="B3601">
            <v>-6.1</v>
          </cell>
          <cell r="C3601">
            <v>1.5</v>
          </cell>
          <cell r="D3601">
            <v>0</v>
          </cell>
          <cell r="E3601">
            <v>0</v>
          </cell>
          <cell r="F3601">
            <v>0.14000000000000001</v>
          </cell>
          <cell r="G3601">
            <v>1.4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-1.6E-2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 t="b">
            <v>1</v>
          </cell>
        </row>
        <row r="3602">
          <cell r="A3602" t="str">
            <v>Data split-9;Reg-41</v>
          </cell>
          <cell r="B3602">
            <v>-4</v>
          </cell>
          <cell r="C3602">
            <v>0.98</v>
          </cell>
          <cell r="D3602">
            <v>0</v>
          </cell>
          <cell r="E3602">
            <v>0</v>
          </cell>
          <cell r="F3602">
            <v>0.12</v>
          </cell>
          <cell r="G3602">
            <v>0</v>
          </cell>
          <cell r="H3602">
            <v>2.8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-9.5000000000000001E-2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 t="b">
            <v>1</v>
          </cell>
        </row>
        <row r="3603">
          <cell r="A3603" t="str">
            <v>Data split-9;Reg-42</v>
          </cell>
          <cell r="B3603">
            <v>-3.9</v>
          </cell>
          <cell r="C3603">
            <v>0.98</v>
          </cell>
          <cell r="D3603">
            <v>0</v>
          </cell>
          <cell r="E3603">
            <v>0</v>
          </cell>
          <cell r="F3603">
            <v>0.12</v>
          </cell>
          <cell r="G3603">
            <v>0</v>
          </cell>
          <cell r="H3603">
            <v>2.7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-1.4999999999999999E-2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 t="b">
            <v>1</v>
          </cell>
        </row>
        <row r="3604">
          <cell r="A3604" t="str">
            <v>Data split-9;Reg-43</v>
          </cell>
          <cell r="B3604">
            <v>-5.4</v>
          </cell>
          <cell r="C3604">
            <v>1.1000000000000001</v>
          </cell>
          <cell r="D3604">
            <v>0</v>
          </cell>
          <cell r="E3604">
            <v>0.55000000000000004</v>
          </cell>
          <cell r="F3604">
            <v>0</v>
          </cell>
          <cell r="G3604">
            <v>1.2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-0.06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 t="b">
            <v>1</v>
          </cell>
        </row>
        <row r="3605">
          <cell r="A3605" t="str">
            <v>Data split-9;Reg-44</v>
          </cell>
          <cell r="B3605">
            <v>-5.3</v>
          </cell>
          <cell r="C3605">
            <v>1.1000000000000001</v>
          </cell>
          <cell r="D3605">
            <v>0</v>
          </cell>
          <cell r="E3605">
            <v>0.56999999999999995</v>
          </cell>
          <cell r="F3605">
            <v>0</v>
          </cell>
          <cell r="G3605">
            <v>1.1000000000000001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-8.6E-3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 t="b">
            <v>1</v>
          </cell>
        </row>
        <row r="3606">
          <cell r="A3606" t="str">
            <v>Data split-9;Reg-45</v>
          </cell>
          <cell r="B3606">
            <v>-3.9</v>
          </cell>
          <cell r="C3606">
            <v>0.75</v>
          </cell>
          <cell r="D3606">
            <v>0</v>
          </cell>
          <cell r="E3606">
            <v>0.11</v>
          </cell>
          <cell r="F3606">
            <v>0</v>
          </cell>
          <cell r="G3606">
            <v>0</v>
          </cell>
          <cell r="H3606">
            <v>2.6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-4.5999999999999999E-2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 t="b">
            <v>1</v>
          </cell>
        </row>
        <row r="3607">
          <cell r="A3607" t="str">
            <v>Data split-9;Reg-46</v>
          </cell>
          <cell r="B3607">
            <v>-4.0999999999999996</v>
          </cell>
          <cell r="C3607">
            <v>0.86</v>
          </cell>
          <cell r="D3607">
            <v>0</v>
          </cell>
          <cell r="E3607">
            <v>0.13</v>
          </cell>
          <cell r="F3607">
            <v>0</v>
          </cell>
          <cell r="G3607">
            <v>0</v>
          </cell>
          <cell r="H3607">
            <v>2.2999999999999998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-4.0000000000000001E-3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 t="b">
            <v>1</v>
          </cell>
        </row>
        <row r="3608">
          <cell r="A3608" t="str">
            <v>Data split-9;Reg-47</v>
          </cell>
          <cell r="B3608">
            <v>-5.3</v>
          </cell>
          <cell r="C3608">
            <v>1.2</v>
          </cell>
          <cell r="D3608">
            <v>0</v>
          </cell>
          <cell r="E3608">
            <v>0</v>
          </cell>
          <cell r="F3608">
            <v>0.18</v>
          </cell>
          <cell r="G3608">
            <v>1.5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-0.08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 t="b">
            <v>1</v>
          </cell>
        </row>
        <row r="3609">
          <cell r="A3609" t="str">
            <v>Data split-9;Reg-48</v>
          </cell>
          <cell r="B3609">
            <v>-5.4</v>
          </cell>
          <cell r="C3609">
            <v>1.2</v>
          </cell>
          <cell r="D3609">
            <v>0</v>
          </cell>
          <cell r="E3609">
            <v>0</v>
          </cell>
          <cell r="F3609">
            <v>0.18</v>
          </cell>
          <cell r="G3609">
            <v>1.4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-1.2999999999999999E-2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 t="b">
            <v>1</v>
          </cell>
        </row>
        <row r="3610">
          <cell r="A3610" t="str">
            <v>Data split-9;Reg-49</v>
          </cell>
          <cell r="B3610">
            <v>-3.2</v>
          </cell>
          <cell r="C3610">
            <v>0.67</v>
          </cell>
          <cell r="D3610">
            <v>0</v>
          </cell>
          <cell r="E3610">
            <v>0</v>
          </cell>
          <cell r="F3610">
            <v>0.15</v>
          </cell>
          <cell r="G3610">
            <v>0</v>
          </cell>
          <cell r="H3610">
            <v>2.6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-0.06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 t="b">
            <v>1</v>
          </cell>
        </row>
        <row r="3611">
          <cell r="A3611" t="str">
            <v>Data split-9;Reg-50</v>
          </cell>
          <cell r="B3611">
            <v>-3.4</v>
          </cell>
          <cell r="C3611">
            <v>0.78</v>
          </cell>
          <cell r="D3611">
            <v>0</v>
          </cell>
          <cell r="E3611">
            <v>0</v>
          </cell>
          <cell r="F3611">
            <v>0.14000000000000001</v>
          </cell>
          <cell r="G3611">
            <v>0</v>
          </cell>
          <cell r="H3611">
            <v>2.2999999999999998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-7.0000000000000001E-3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 t="b">
            <v>1</v>
          </cell>
        </row>
        <row r="3612">
          <cell r="A3612" t="str">
            <v>Data split-9;Reg-51</v>
          </cell>
          <cell r="B3612">
            <v>-2.7</v>
          </cell>
          <cell r="C3612">
            <v>0</v>
          </cell>
          <cell r="D3612">
            <v>1.1000000000000001</v>
          </cell>
          <cell r="E3612">
            <v>0.84</v>
          </cell>
          <cell r="F3612">
            <v>0</v>
          </cell>
          <cell r="G3612">
            <v>1.2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-9.8000000000000004E-2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 t="b">
            <v>1</v>
          </cell>
        </row>
        <row r="3613">
          <cell r="A3613" t="str">
            <v>Data split-9;Reg-52</v>
          </cell>
          <cell r="B3613">
            <v>-2.6</v>
          </cell>
          <cell r="C3613">
            <v>0</v>
          </cell>
          <cell r="D3613">
            <v>1.1000000000000001</v>
          </cell>
          <cell r="E3613">
            <v>1</v>
          </cell>
          <cell r="F3613">
            <v>0</v>
          </cell>
          <cell r="G3613">
            <v>1.2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-0.02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 t="b">
            <v>1</v>
          </cell>
        </row>
        <row r="3614">
          <cell r="A3614" t="str">
            <v>Data split-9;Reg-53</v>
          </cell>
          <cell r="B3614">
            <v>-2.2000000000000002</v>
          </cell>
          <cell r="C3614">
            <v>0</v>
          </cell>
          <cell r="D3614">
            <v>0.76</v>
          </cell>
          <cell r="E3614">
            <v>0.26</v>
          </cell>
          <cell r="F3614">
            <v>0</v>
          </cell>
          <cell r="G3614">
            <v>0</v>
          </cell>
          <cell r="H3614">
            <v>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-9.8000000000000004E-2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 t="b">
            <v>1</v>
          </cell>
        </row>
        <row r="3615">
          <cell r="A3615" t="str">
            <v>Data split-9;Reg-54</v>
          </cell>
          <cell r="B3615">
            <v>-1.9</v>
          </cell>
          <cell r="C3615">
            <v>0</v>
          </cell>
          <cell r="D3615">
            <v>0.74</v>
          </cell>
          <cell r="E3615">
            <v>0.5</v>
          </cell>
          <cell r="F3615">
            <v>0</v>
          </cell>
          <cell r="G3615">
            <v>0</v>
          </cell>
          <cell r="H3615">
            <v>2.7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-1.7999999999999999E-2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 t="b">
            <v>1</v>
          </cell>
        </row>
        <row r="3616">
          <cell r="A3616" t="str">
            <v>Data split-9;Reg-55</v>
          </cell>
          <cell r="B3616">
            <v>-2.8</v>
          </cell>
          <cell r="C3616">
            <v>0</v>
          </cell>
          <cell r="D3616">
            <v>1.3</v>
          </cell>
          <cell r="E3616">
            <v>0</v>
          </cell>
          <cell r="F3616">
            <v>0.14000000000000001</v>
          </cell>
          <cell r="G3616">
            <v>1.5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-9.0999999999999998E-2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 t="b">
            <v>1</v>
          </cell>
        </row>
        <row r="3617">
          <cell r="A3617" t="str">
            <v>Data split-9;Reg-56</v>
          </cell>
          <cell r="B3617">
            <v>-2.8</v>
          </cell>
          <cell r="C3617">
            <v>0</v>
          </cell>
          <cell r="D3617">
            <v>1.4</v>
          </cell>
          <cell r="E3617">
            <v>0</v>
          </cell>
          <cell r="F3617">
            <v>0.15</v>
          </cell>
          <cell r="G3617">
            <v>1.5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-1.7000000000000001E-2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 t="b">
            <v>1</v>
          </cell>
        </row>
        <row r="3618">
          <cell r="A3618" t="str">
            <v>Data split-9;Reg-57</v>
          </cell>
          <cell r="B3618">
            <v>-1.8</v>
          </cell>
          <cell r="C3618">
            <v>0</v>
          </cell>
          <cell r="D3618">
            <v>0.78</v>
          </cell>
          <cell r="E3618">
            <v>0</v>
          </cell>
          <cell r="F3618">
            <v>0.12</v>
          </cell>
          <cell r="G3618">
            <v>0</v>
          </cell>
          <cell r="H3618">
            <v>3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-9.6000000000000002E-2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 t="b">
            <v>1</v>
          </cell>
        </row>
        <row r="3619">
          <cell r="A3619" t="str">
            <v>Data split-9;Reg-58</v>
          </cell>
          <cell r="B3619">
            <v>-1.7</v>
          </cell>
          <cell r="C3619">
            <v>0</v>
          </cell>
          <cell r="D3619">
            <v>0.8</v>
          </cell>
          <cell r="E3619">
            <v>0</v>
          </cell>
          <cell r="F3619">
            <v>0.12</v>
          </cell>
          <cell r="G3619">
            <v>0</v>
          </cell>
          <cell r="H3619">
            <v>2.9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-1.6E-2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 t="b">
            <v>1</v>
          </cell>
        </row>
        <row r="3620">
          <cell r="A3620" t="str">
            <v>Data split-9;Reg-59</v>
          </cell>
          <cell r="B3620">
            <v>-2.7</v>
          </cell>
          <cell r="C3620">
            <v>0</v>
          </cell>
          <cell r="D3620">
            <v>0.84</v>
          </cell>
          <cell r="E3620">
            <v>0.74</v>
          </cell>
          <cell r="F3620">
            <v>0</v>
          </cell>
          <cell r="G3620">
            <v>1.3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-6.2E-2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 t="b">
            <v>1</v>
          </cell>
        </row>
        <row r="3621">
          <cell r="A3621" t="str">
            <v>Data split-9;Reg-60</v>
          </cell>
          <cell r="B3621">
            <v>-2.6</v>
          </cell>
          <cell r="C3621">
            <v>0</v>
          </cell>
          <cell r="D3621">
            <v>0.86</v>
          </cell>
          <cell r="E3621">
            <v>0.75</v>
          </cell>
          <cell r="F3621">
            <v>0</v>
          </cell>
          <cell r="G3621">
            <v>1.1000000000000001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-9.1000000000000004E-3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 t="b">
            <v>1</v>
          </cell>
        </row>
        <row r="3622">
          <cell r="A3622" t="str">
            <v>Data split-9;Reg-61</v>
          </cell>
          <cell r="B3622">
            <v>-2.1</v>
          </cell>
          <cell r="C3622">
            <v>0</v>
          </cell>
          <cell r="D3622">
            <v>0.52</v>
          </cell>
          <cell r="E3622">
            <v>0.19</v>
          </cell>
          <cell r="F3622">
            <v>0</v>
          </cell>
          <cell r="G3622">
            <v>0</v>
          </cell>
          <cell r="H3622">
            <v>2.9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-5.1999999999999998E-2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 t="b">
            <v>1</v>
          </cell>
        </row>
        <row r="3623">
          <cell r="A3623" t="str">
            <v>Data split-9;Reg-62</v>
          </cell>
          <cell r="B3623">
            <v>-2.1</v>
          </cell>
          <cell r="C3623">
            <v>0</v>
          </cell>
          <cell r="D3623">
            <v>0.62</v>
          </cell>
          <cell r="E3623">
            <v>0.2</v>
          </cell>
          <cell r="F3623">
            <v>0</v>
          </cell>
          <cell r="G3623">
            <v>0</v>
          </cell>
          <cell r="H3623">
            <v>2.5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-5.1999999999999998E-3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 t="b">
            <v>1</v>
          </cell>
        </row>
        <row r="3624">
          <cell r="A3624" t="str">
            <v>Data split-9;Reg-63</v>
          </cell>
          <cell r="B3624">
            <v>-2.6</v>
          </cell>
          <cell r="C3624">
            <v>0</v>
          </cell>
          <cell r="D3624">
            <v>0.98</v>
          </cell>
          <cell r="E3624">
            <v>0</v>
          </cell>
          <cell r="F3624">
            <v>0.19</v>
          </cell>
          <cell r="G3624">
            <v>1.6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-8.1000000000000003E-2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 t="b">
            <v>1</v>
          </cell>
        </row>
        <row r="3625">
          <cell r="A3625" t="str">
            <v>Data split-9;Reg-64</v>
          </cell>
          <cell r="B3625">
            <v>-2.6</v>
          </cell>
          <cell r="C3625">
            <v>0</v>
          </cell>
          <cell r="D3625">
            <v>1</v>
          </cell>
          <cell r="E3625">
            <v>0</v>
          </cell>
          <cell r="F3625">
            <v>0.19</v>
          </cell>
          <cell r="G3625">
            <v>1.5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-1.2999999999999999E-2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 t="b">
            <v>1</v>
          </cell>
        </row>
        <row r="3626">
          <cell r="A3626" t="str">
            <v>Data split-9;Reg-65</v>
          </cell>
          <cell r="B3626">
            <v>-1.5</v>
          </cell>
          <cell r="C3626">
            <v>0</v>
          </cell>
          <cell r="D3626">
            <v>0.46</v>
          </cell>
          <cell r="E3626">
            <v>0</v>
          </cell>
          <cell r="F3626">
            <v>0.16</v>
          </cell>
          <cell r="G3626">
            <v>0</v>
          </cell>
          <cell r="H3626">
            <v>2.9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-6.7000000000000004E-2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 t="b">
            <v>1</v>
          </cell>
        </row>
        <row r="3627">
          <cell r="A3627" t="str">
            <v>Data split-9;Reg-66</v>
          </cell>
          <cell r="B3627">
            <v>-1.6</v>
          </cell>
          <cell r="C3627">
            <v>0</v>
          </cell>
          <cell r="D3627">
            <v>0.56000000000000005</v>
          </cell>
          <cell r="E3627">
            <v>0</v>
          </cell>
          <cell r="F3627">
            <v>0.15</v>
          </cell>
          <cell r="G3627">
            <v>0</v>
          </cell>
          <cell r="H3627">
            <v>2.6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-8.3000000000000001E-3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 t="b">
            <v>1</v>
          </cell>
        </row>
        <row r="3628">
          <cell r="A3628" t="str">
            <v>Data split-9;Reg-67</v>
          </cell>
          <cell r="B3628">
            <v>-6.2</v>
          </cell>
          <cell r="C3628">
            <v>1.4</v>
          </cell>
          <cell r="D3628">
            <v>0</v>
          </cell>
          <cell r="E3628">
            <v>0</v>
          </cell>
          <cell r="F3628">
            <v>0</v>
          </cell>
          <cell r="G3628">
            <v>1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 t="b">
            <v>1</v>
          </cell>
        </row>
        <row r="3629">
          <cell r="A3629" t="str">
            <v>Data split-9;Reg-68</v>
          </cell>
          <cell r="B3629">
            <v>-5.2</v>
          </cell>
          <cell r="C3629">
            <v>1.3</v>
          </cell>
          <cell r="D3629">
            <v>0</v>
          </cell>
          <cell r="E3629">
            <v>0</v>
          </cell>
          <cell r="F3629">
            <v>0.14000000000000001</v>
          </cell>
          <cell r="G3629">
            <v>0.88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 t="b">
            <v>1</v>
          </cell>
        </row>
        <row r="3630">
          <cell r="A3630" t="str">
            <v>Data split-9;Reg-69</v>
          </cell>
          <cell r="B3630">
            <v>-5.5</v>
          </cell>
          <cell r="C3630">
            <v>1.4</v>
          </cell>
          <cell r="D3630">
            <v>0</v>
          </cell>
          <cell r="E3630">
            <v>0</v>
          </cell>
          <cell r="F3630">
            <v>0</v>
          </cell>
          <cell r="G3630">
            <v>1.1000000000000001</v>
          </cell>
          <cell r="H3630">
            <v>0</v>
          </cell>
          <cell r="I3630">
            <v>0</v>
          </cell>
          <cell r="J3630">
            <v>-1.6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 t="b">
            <v>1</v>
          </cell>
        </row>
        <row r="3631">
          <cell r="A3631" t="str">
            <v>Data split-9;Reg-70</v>
          </cell>
          <cell r="B3631">
            <v>-6</v>
          </cell>
          <cell r="C3631">
            <v>1.6</v>
          </cell>
          <cell r="D3631">
            <v>0</v>
          </cell>
          <cell r="E3631">
            <v>0</v>
          </cell>
          <cell r="F3631">
            <v>0</v>
          </cell>
          <cell r="G3631">
            <v>1.5</v>
          </cell>
          <cell r="H3631">
            <v>0</v>
          </cell>
          <cell r="I3631">
            <v>0</v>
          </cell>
          <cell r="J3631">
            <v>-2.5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-7.0000000000000007E-2</v>
          </cell>
          <cell r="T3631">
            <v>0</v>
          </cell>
          <cell r="U3631" t="b">
            <v>1</v>
          </cell>
        </row>
        <row r="3632">
          <cell r="A3632" t="str">
            <v>Data split-9;Reg-71</v>
          </cell>
          <cell r="B3632">
            <v>-1.9</v>
          </cell>
          <cell r="C3632">
            <v>0.71</v>
          </cell>
          <cell r="D3632">
            <v>0</v>
          </cell>
          <cell r="E3632">
            <v>0</v>
          </cell>
          <cell r="F3632">
            <v>9.1999999999999998E-2</v>
          </cell>
          <cell r="G3632">
            <v>0</v>
          </cell>
          <cell r="H3632">
            <v>3.6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-0.13</v>
          </cell>
          <cell r="T3632">
            <v>0</v>
          </cell>
          <cell r="U3632" t="b">
            <v>1</v>
          </cell>
        </row>
        <row r="3633">
          <cell r="A3633" t="str">
            <v>Data split-9;Reg-72</v>
          </cell>
          <cell r="B3633">
            <v>-3.4</v>
          </cell>
          <cell r="C3633">
            <v>0.96</v>
          </cell>
          <cell r="D3633">
            <v>0</v>
          </cell>
          <cell r="E3633">
            <v>1.4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 t="b">
            <v>1</v>
          </cell>
        </row>
        <row r="3634">
          <cell r="A3634" t="str">
            <v>Data split-9;Reg-73</v>
          </cell>
          <cell r="B3634">
            <v>-4.7</v>
          </cell>
          <cell r="C3634">
            <v>1.7</v>
          </cell>
          <cell r="D3634">
            <v>0</v>
          </cell>
          <cell r="E3634">
            <v>0</v>
          </cell>
          <cell r="F3634">
            <v>0.26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 t="b">
            <v>1</v>
          </cell>
        </row>
        <row r="3635">
          <cell r="A3635" t="str">
            <v>Data split-9;Reg-74</v>
          </cell>
          <cell r="B3635">
            <v>-0.92</v>
          </cell>
          <cell r="C3635">
            <v>0</v>
          </cell>
          <cell r="D3635">
            <v>0.69</v>
          </cell>
          <cell r="E3635">
            <v>1.7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 t="b">
            <v>1</v>
          </cell>
        </row>
        <row r="3636">
          <cell r="A3636" t="str">
            <v>Data split-9;Reg-75</v>
          </cell>
          <cell r="B3636">
            <v>-0.56000000000000005</v>
          </cell>
          <cell r="C3636">
            <v>0</v>
          </cell>
          <cell r="D3636">
            <v>1.5</v>
          </cell>
          <cell r="E3636">
            <v>0</v>
          </cell>
          <cell r="F3636">
            <v>0.28999999999999998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 t="b">
            <v>1</v>
          </cell>
        </row>
        <row r="3637">
          <cell r="A3637" t="str">
            <v>Data split-9;Reg-76</v>
          </cell>
          <cell r="B3637">
            <v>-6.2</v>
          </cell>
          <cell r="C3637">
            <v>1.4</v>
          </cell>
          <cell r="D3637">
            <v>0</v>
          </cell>
          <cell r="E3637">
            <v>0</v>
          </cell>
          <cell r="F3637">
            <v>0</v>
          </cell>
          <cell r="G3637">
            <v>1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 t="b">
            <v>1</v>
          </cell>
        </row>
        <row r="3638">
          <cell r="A3638" t="str">
            <v>Data split-9;Reg-77</v>
          </cell>
          <cell r="B3638">
            <v>-4.4000000000000004</v>
          </cell>
          <cell r="C3638">
            <v>0.97</v>
          </cell>
          <cell r="D3638">
            <v>0</v>
          </cell>
          <cell r="E3638">
            <v>0</v>
          </cell>
          <cell r="F3638">
            <v>0</v>
          </cell>
          <cell r="G3638">
            <v>0</v>
          </cell>
          <cell r="H3638">
            <v>2.1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 t="b">
            <v>1</v>
          </cell>
        </row>
        <row r="3639">
          <cell r="A3639" t="str">
            <v>Data split-9;Reg-78</v>
          </cell>
          <cell r="B3639">
            <v>-3</v>
          </cell>
          <cell r="C3639">
            <v>0</v>
          </cell>
          <cell r="D3639">
            <v>1.2</v>
          </cell>
          <cell r="E3639">
            <v>0</v>
          </cell>
          <cell r="F3639">
            <v>0</v>
          </cell>
          <cell r="G3639">
            <v>1.2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 t="b">
            <v>1</v>
          </cell>
        </row>
        <row r="3640">
          <cell r="A3640" t="str">
            <v>Data split-9;Reg-79</v>
          </cell>
          <cell r="B3640">
            <v>-2.1</v>
          </cell>
          <cell r="C3640">
            <v>0</v>
          </cell>
          <cell r="D3640">
            <v>0.77</v>
          </cell>
          <cell r="E3640">
            <v>0</v>
          </cell>
          <cell r="F3640">
            <v>0</v>
          </cell>
          <cell r="G3640">
            <v>0</v>
          </cell>
          <cell r="H3640">
            <v>2.2999999999999998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 t="b">
            <v>1</v>
          </cell>
        </row>
        <row r="3641">
          <cell r="A3641" t="str">
            <v>Data split-9;Reg-80</v>
          </cell>
          <cell r="B3641">
            <v>-8</v>
          </cell>
          <cell r="C3641">
            <v>1.9</v>
          </cell>
          <cell r="D3641">
            <v>0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1.3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 t="b">
            <v>0</v>
          </cell>
        </row>
        <row r="3642">
          <cell r="A3642" t="str">
            <v>Data split-9;Reg-81</v>
          </cell>
          <cell r="B3642">
            <v>-10.7</v>
          </cell>
          <cell r="C3642">
            <v>2.1</v>
          </cell>
          <cell r="D3642">
            <v>0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0</v>
          </cell>
          <cell r="J3642">
            <v>10.4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 t="b">
            <v>0</v>
          </cell>
        </row>
        <row r="3643">
          <cell r="A3643" t="str">
            <v>Data split-9;Reg-82</v>
          </cell>
          <cell r="B3643">
            <v>-4.2</v>
          </cell>
          <cell r="C3643">
            <v>0</v>
          </cell>
          <cell r="D3643">
            <v>1.7</v>
          </cell>
          <cell r="E3643">
            <v>0</v>
          </cell>
          <cell r="F3643">
            <v>0</v>
          </cell>
          <cell r="G3643">
            <v>0</v>
          </cell>
          <cell r="H3643">
            <v>0</v>
          </cell>
          <cell r="I3643">
            <v>1.6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 t="b">
            <v>0</v>
          </cell>
        </row>
        <row r="3644">
          <cell r="A3644" t="str">
            <v>Data split-9;Reg-83</v>
          </cell>
          <cell r="B3644">
            <v>-9</v>
          </cell>
          <cell r="C3644">
            <v>0</v>
          </cell>
          <cell r="D3644">
            <v>1.9</v>
          </cell>
          <cell r="E3644">
            <v>0</v>
          </cell>
          <cell r="F3644">
            <v>0</v>
          </cell>
          <cell r="G3644">
            <v>0</v>
          </cell>
          <cell r="H3644">
            <v>0</v>
          </cell>
          <cell r="I3644">
            <v>0</v>
          </cell>
          <cell r="J3644">
            <v>16.8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 t="b">
            <v>0</v>
          </cell>
        </row>
        <row r="3645">
          <cell r="A3645" t="str">
            <v>Data split-9;Reg-84</v>
          </cell>
          <cell r="B3645">
            <v>-9.6999999999999993</v>
          </cell>
          <cell r="C3645">
            <v>2.1</v>
          </cell>
          <cell r="D3645">
            <v>0</v>
          </cell>
          <cell r="E3645">
            <v>0</v>
          </cell>
          <cell r="F3645">
            <v>0</v>
          </cell>
          <cell r="G3645">
            <v>0</v>
          </cell>
          <cell r="H3645">
            <v>0</v>
          </cell>
          <cell r="I3645">
            <v>0</v>
          </cell>
          <cell r="J3645">
            <v>0</v>
          </cell>
          <cell r="K3645">
            <v>0.59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 t="b">
            <v>0</v>
          </cell>
        </row>
        <row r="3646">
          <cell r="A3646" t="str">
            <v>Data split-9;Reg-85</v>
          </cell>
          <cell r="B3646">
            <v>-9.1999999999999993</v>
          </cell>
          <cell r="C3646">
            <v>2.2000000000000002</v>
          </cell>
          <cell r="D3646">
            <v>0</v>
          </cell>
          <cell r="E3646">
            <v>0</v>
          </cell>
          <cell r="F3646">
            <v>0</v>
          </cell>
          <cell r="G3646">
            <v>0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2.1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 t="b">
            <v>0</v>
          </cell>
        </row>
        <row r="3647">
          <cell r="A3647" t="str">
            <v>Data split-9;Reg-86</v>
          </cell>
          <cell r="B3647">
            <v>-8.8000000000000007</v>
          </cell>
          <cell r="C3647">
            <v>0</v>
          </cell>
          <cell r="D3647">
            <v>1.9</v>
          </cell>
          <cell r="E3647">
            <v>0</v>
          </cell>
          <cell r="F3647">
            <v>0</v>
          </cell>
          <cell r="G3647">
            <v>0</v>
          </cell>
          <cell r="H3647">
            <v>0</v>
          </cell>
          <cell r="I3647">
            <v>0</v>
          </cell>
          <cell r="J3647">
            <v>0</v>
          </cell>
          <cell r="K3647">
            <v>1.3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 t="b">
            <v>0</v>
          </cell>
        </row>
        <row r="3648">
          <cell r="A3648" t="str">
            <v>Data split-9;Reg-87</v>
          </cell>
          <cell r="B3648">
            <v>-9.9</v>
          </cell>
          <cell r="C3648">
            <v>0</v>
          </cell>
          <cell r="D3648">
            <v>2.1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6.6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 t="b">
            <v>0</v>
          </cell>
        </row>
        <row r="3649">
          <cell r="A3649" t="str">
            <v>Data split-9;Reg-88</v>
          </cell>
          <cell r="B3649">
            <v>-6.3</v>
          </cell>
          <cell r="C3649">
            <v>2</v>
          </cell>
          <cell r="D3649">
            <v>0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2.9000000000000001E-2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 t="b">
            <v>0</v>
          </cell>
        </row>
        <row r="3650">
          <cell r="A3650" t="str">
            <v>Data split-9;Reg-89</v>
          </cell>
          <cell r="B3650">
            <v>-5.9</v>
          </cell>
          <cell r="C3650">
            <v>1.8</v>
          </cell>
          <cell r="D3650">
            <v>0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1.0999999999999999E-2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 t="b">
            <v>0</v>
          </cell>
        </row>
        <row r="3651">
          <cell r="A3651" t="str">
            <v>Data split-9;Reg-90</v>
          </cell>
          <cell r="B3651">
            <v>-1.8</v>
          </cell>
          <cell r="C3651">
            <v>0</v>
          </cell>
          <cell r="D3651">
            <v>1.7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4.5999999999999999E-2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 t="b">
            <v>0</v>
          </cell>
        </row>
        <row r="3652">
          <cell r="A3652" t="str">
            <v>Data split-9;Reg-91</v>
          </cell>
          <cell r="B3652">
            <v>-1.8</v>
          </cell>
          <cell r="C3652">
            <v>0</v>
          </cell>
          <cell r="D3652">
            <v>1.5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1.4E-2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 t="b">
            <v>0</v>
          </cell>
        </row>
        <row r="3653">
          <cell r="A3653" t="str">
            <v>Data split-9;Reg-92</v>
          </cell>
          <cell r="B3653">
            <v>-6.1</v>
          </cell>
          <cell r="C3653">
            <v>1.9</v>
          </cell>
          <cell r="D3653">
            <v>0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6.8000000000000005E-2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 t="b">
            <v>0</v>
          </cell>
        </row>
        <row r="3654">
          <cell r="A3654" t="str">
            <v>Data split-9;Reg-93</v>
          </cell>
          <cell r="B3654">
            <v>-5.8</v>
          </cell>
          <cell r="C3654">
            <v>1.8</v>
          </cell>
          <cell r="D3654">
            <v>0</v>
          </cell>
          <cell r="E3654">
            <v>0</v>
          </cell>
          <cell r="F3654">
            <v>0</v>
          </cell>
          <cell r="G3654">
            <v>0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1.4999999999999999E-2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 t="b">
            <v>0</v>
          </cell>
        </row>
        <row r="3655">
          <cell r="A3655" t="str">
            <v>Data split-9;Reg-94</v>
          </cell>
          <cell r="B3655">
            <v>-1.8</v>
          </cell>
          <cell r="C3655">
            <v>0</v>
          </cell>
          <cell r="D3655">
            <v>1.7</v>
          </cell>
          <cell r="E3655">
            <v>0</v>
          </cell>
          <cell r="F3655">
            <v>0</v>
          </cell>
          <cell r="G3655">
            <v>0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8.1000000000000003E-2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 t="b">
            <v>0</v>
          </cell>
        </row>
        <row r="3656">
          <cell r="A3656" t="str">
            <v>Data split-9;Reg-95</v>
          </cell>
          <cell r="B3656">
            <v>-1.7</v>
          </cell>
          <cell r="C3656">
            <v>0</v>
          </cell>
          <cell r="D3656">
            <v>1.6</v>
          </cell>
          <cell r="E3656">
            <v>0</v>
          </cell>
          <cell r="F3656">
            <v>0</v>
          </cell>
          <cell r="G3656">
            <v>0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1.7999999999999999E-2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 t="b">
            <v>0</v>
          </cell>
        </row>
        <row r="3657">
          <cell r="A3657" t="str">
            <v>Data split-9;Reg-96</v>
          </cell>
          <cell r="B3657">
            <v>-3.1</v>
          </cell>
          <cell r="C3657">
            <v>0.93</v>
          </cell>
          <cell r="D3657">
            <v>0</v>
          </cell>
          <cell r="E3657">
            <v>1.5</v>
          </cell>
          <cell r="F3657">
            <v>0</v>
          </cell>
          <cell r="G3657">
            <v>0</v>
          </cell>
          <cell r="H3657">
            <v>0</v>
          </cell>
          <cell r="I3657">
            <v>-0.14000000000000001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 t="b">
            <v>1</v>
          </cell>
        </row>
        <row r="3658">
          <cell r="A3658" t="str">
            <v>Data split-9;Reg-97</v>
          </cell>
          <cell r="B3658">
            <v>-4.4000000000000004</v>
          </cell>
          <cell r="C3658">
            <v>1</v>
          </cell>
          <cell r="D3658">
            <v>0</v>
          </cell>
          <cell r="E3658">
            <v>1.4</v>
          </cell>
          <cell r="F3658">
            <v>0</v>
          </cell>
          <cell r="G3658">
            <v>0</v>
          </cell>
          <cell r="H3658">
            <v>0</v>
          </cell>
          <cell r="I3658">
            <v>0</v>
          </cell>
          <cell r="J3658">
            <v>2.1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 t="b">
            <v>0</v>
          </cell>
        </row>
        <row r="3659">
          <cell r="A3659" t="str">
            <v>Data split-9;Reg-98</v>
          </cell>
          <cell r="B3659">
            <v>-6</v>
          </cell>
          <cell r="C3659">
            <v>1.6</v>
          </cell>
          <cell r="D3659">
            <v>0</v>
          </cell>
          <cell r="E3659">
            <v>0</v>
          </cell>
          <cell r="F3659">
            <v>0.21</v>
          </cell>
          <cell r="G3659">
            <v>0</v>
          </cell>
          <cell r="H3659">
            <v>0</v>
          </cell>
          <cell r="I3659">
            <v>0.96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 t="b">
            <v>0</v>
          </cell>
        </row>
        <row r="3660">
          <cell r="A3660" t="str">
            <v>Data split-9;Reg-99</v>
          </cell>
          <cell r="B3660">
            <v>-8.4</v>
          </cell>
          <cell r="C3660">
            <v>1.7</v>
          </cell>
          <cell r="D3660">
            <v>0</v>
          </cell>
          <cell r="E3660">
            <v>0</v>
          </cell>
          <cell r="F3660">
            <v>0.25</v>
          </cell>
          <cell r="G3660">
            <v>0</v>
          </cell>
          <cell r="H3660">
            <v>0</v>
          </cell>
          <cell r="I3660">
            <v>0</v>
          </cell>
          <cell r="J3660">
            <v>9.5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 t="b">
            <v>0</v>
          </cell>
        </row>
        <row r="3661">
          <cell r="A3661" t="str">
            <v>Data split-9;Reg-100</v>
          </cell>
          <cell r="B3661">
            <v>-0.55000000000000004</v>
          </cell>
          <cell r="C3661">
            <v>0</v>
          </cell>
          <cell r="D3661">
            <v>0.64</v>
          </cell>
          <cell r="E3661">
            <v>1.8</v>
          </cell>
          <cell r="F3661">
            <v>0</v>
          </cell>
          <cell r="G3661">
            <v>0</v>
          </cell>
          <cell r="H3661">
            <v>0</v>
          </cell>
          <cell r="I3661">
            <v>-0.21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 t="b">
            <v>1</v>
          </cell>
        </row>
        <row r="3662">
          <cell r="A3662" t="str">
            <v>Data split-9;Reg-101</v>
          </cell>
          <cell r="B3662">
            <v>-3.3</v>
          </cell>
          <cell r="C3662">
            <v>0</v>
          </cell>
          <cell r="D3662">
            <v>0.89</v>
          </cell>
          <cell r="E3662">
            <v>1.4</v>
          </cell>
          <cell r="F3662">
            <v>0</v>
          </cell>
          <cell r="G3662">
            <v>0</v>
          </cell>
          <cell r="H3662">
            <v>0</v>
          </cell>
          <cell r="I3662">
            <v>0</v>
          </cell>
          <cell r="J3662">
            <v>5.2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 t="b">
            <v>0</v>
          </cell>
        </row>
        <row r="3663">
          <cell r="A3663" t="str">
            <v>Data split-9;Reg-102</v>
          </cell>
          <cell r="B3663">
            <v>-2.6</v>
          </cell>
          <cell r="C3663">
            <v>0</v>
          </cell>
          <cell r="D3663">
            <v>1.4</v>
          </cell>
          <cell r="E3663">
            <v>0</v>
          </cell>
          <cell r="F3663">
            <v>0.22</v>
          </cell>
          <cell r="G3663">
            <v>0</v>
          </cell>
          <cell r="H3663">
            <v>0</v>
          </cell>
          <cell r="I3663">
            <v>1.2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 t="b">
            <v>0</v>
          </cell>
        </row>
        <row r="3664">
          <cell r="A3664" t="str">
            <v>Data split-9;Reg-103</v>
          </cell>
          <cell r="B3664">
            <v>-7</v>
          </cell>
          <cell r="C3664">
            <v>0</v>
          </cell>
          <cell r="D3664">
            <v>1.5</v>
          </cell>
          <cell r="E3664">
            <v>0</v>
          </cell>
          <cell r="F3664">
            <v>0.25</v>
          </cell>
          <cell r="G3664">
            <v>0</v>
          </cell>
          <cell r="H3664">
            <v>0</v>
          </cell>
          <cell r="I3664">
            <v>0</v>
          </cell>
          <cell r="J3664">
            <v>14.7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 t="b">
            <v>0</v>
          </cell>
        </row>
        <row r="3665">
          <cell r="A3665" t="str">
            <v>Data split-9;Reg-104</v>
          </cell>
          <cell r="B3665">
            <v>-2.2999999999999998</v>
          </cell>
          <cell r="C3665">
            <v>0.92</v>
          </cell>
          <cell r="D3665">
            <v>0</v>
          </cell>
          <cell r="E3665">
            <v>1.5</v>
          </cell>
          <cell r="F3665">
            <v>0</v>
          </cell>
          <cell r="G3665">
            <v>0</v>
          </cell>
          <cell r="H3665">
            <v>0</v>
          </cell>
          <cell r="I3665">
            <v>0</v>
          </cell>
          <cell r="J3665">
            <v>0</v>
          </cell>
          <cell r="K3665">
            <v>-0.18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 t="b">
            <v>1</v>
          </cell>
        </row>
        <row r="3666">
          <cell r="A3666" t="str">
            <v>Data split-9;Reg-105</v>
          </cell>
          <cell r="B3666">
            <v>-3.9</v>
          </cell>
          <cell r="C3666">
            <v>0.98</v>
          </cell>
          <cell r="D3666">
            <v>0</v>
          </cell>
          <cell r="E3666">
            <v>1.4</v>
          </cell>
          <cell r="F3666">
            <v>0</v>
          </cell>
          <cell r="G3666">
            <v>0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0.43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 t="b">
            <v>0</v>
          </cell>
        </row>
        <row r="3667">
          <cell r="A3667" t="str">
            <v>Data split-9;Reg-106</v>
          </cell>
          <cell r="B3667">
            <v>-7.7</v>
          </cell>
          <cell r="C3667">
            <v>1.7</v>
          </cell>
          <cell r="D3667">
            <v>0</v>
          </cell>
          <cell r="E3667">
            <v>0</v>
          </cell>
          <cell r="F3667">
            <v>0.26</v>
          </cell>
          <cell r="G3667">
            <v>0</v>
          </cell>
          <cell r="H3667">
            <v>0</v>
          </cell>
          <cell r="I3667">
            <v>0</v>
          </cell>
          <cell r="J3667">
            <v>0</v>
          </cell>
          <cell r="K3667">
            <v>0.61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 t="b">
            <v>0</v>
          </cell>
        </row>
        <row r="3668">
          <cell r="A3668" t="str">
            <v>Data split-9;Reg-107</v>
          </cell>
          <cell r="B3668">
            <v>-7.6</v>
          </cell>
          <cell r="C3668">
            <v>1.7</v>
          </cell>
          <cell r="D3668">
            <v>0</v>
          </cell>
          <cell r="E3668">
            <v>0</v>
          </cell>
          <cell r="F3668">
            <v>0.26</v>
          </cell>
          <cell r="G3668">
            <v>0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2.5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 t="b">
            <v>0</v>
          </cell>
        </row>
        <row r="3669">
          <cell r="A3669" t="str">
            <v>Data split-9;Reg-108</v>
          </cell>
          <cell r="B3669">
            <v>-0.99</v>
          </cell>
          <cell r="C3669">
            <v>0</v>
          </cell>
          <cell r="D3669">
            <v>0.7</v>
          </cell>
          <cell r="E3669">
            <v>1.7</v>
          </cell>
          <cell r="F3669">
            <v>0</v>
          </cell>
          <cell r="G3669">
            <v>0</v>
          </cell>
          <cell r="H3669">
            <v>0</v>
          </cell>
          <cell r="I3669">
            <v>0</v>
          </cell>
          <cell r="J3669">
            <v>0</v>
          </cell>
          <cell r="K3669">
            <v>1.2E-2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 t="b">
            <v>0</v>
          </cell>
        </row>
        <row r="3670">
          <cell r="A3670" t="str">
            <v>Data split-9;Reg-109</v>
          </cell>
          <cell r="B3670">
            <v>-3.6</v>
          </cell>
          <cell r="C3670">
            <v>0</v>
          </cell>
          <cell r="D3670">
            <v>0.85</v>
          </cell>
          <cell r="E3670">
            <v>1.5</v>
          </cell>
          <cell r="F3670">
            <v>0</v>
          </cell>
          <cell r="G3670">
            <v>0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2.1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 t="b">
            <v>0</v>
          </cell>
        </row>
        <row r="3671">
          <cell r="A3671" t="str">
            <v>Data split-9;Reg-110</v>
          </cell>
          <cell r="B3671">
            <v>-6.9</v>
          </cell>
          <cell r="C3671">
            <v>0</v>
          </cell>
          <cell r="D3671">
            <v>1.5</v>
          </cell>
          <cell r="E3671">
            <v>0</v>
          </cell>
          <cell r="F3671">
            <v>0.27</v>
          </cell>
          <cell r="G3671">
            <v>0</v>
          </cell>
          <cell r="H3671">
            <v>0</v>
          </cell>
          <cell r="I3671">
            <v>0</v>
          </cell>
          <cell r="J3671">
            <v>0</v>
          </cell>
          <cell r="K3671">
            <v>1.1000000000000001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 t="b">
            <v>0</v>
          </cell>
        </row>
        <row r="3672">
          <cell r="A3672" t="str">
            <v>Data split-9;Reg-111</v>
          </cell>
          <cell r="B3672">
            <v>-8.1</v>
          </cell>
          <cell r="C3672">
            <v>0</v>
          </cell>
          <cell r="D3672">
            <v>1.7</v>
          </cell>
          <cell r="E3672">
            <v>0</v>
          </cell>
          <cell r="F3672">
            <v>0.28000000000000003</v>
          </cell>
          <cell r="G3672">
            <v>0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6.1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 t="b">
            <v>0</v>
          </cell>
        </row>
        <row r="3673">
          <cell r="A3673" t="str">
            <v>Data split-9;Reg-112</v>
          </cell>
          <cell r="B3673">
            <v>-4.8</v>
          </cell>
          <cell r="C3673">
            <v>1.3</v>
          </cell>
          <cell r="D3673">
            <v>0</v>
          </cell>
          <cell r="E3673">
            <v>0</v>
          </cell>
          <cell r="F3673">
            <v>0</v>
          </cell>
          <cell r="G3673">
            <v>1.5</v>
          </cell>
          <cell r="H3673">
            <v>0</v>
          </cell>
          <cell r="I3673">
            <v>-1.1000000000000001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 t="b">
            <v>1</v>
          </cell>
        </row>
        <row r="3674">
          <cell r="A3674" t="str">
            <v>Data split-9;Reg-113</v>
          </cell>
          <cell r="B3674">
            <v>-5.5</v>
          </cell>
          <cell r="C3674">
            <v>1.4</v>
          </cell>
          <cell r="D3674">
            <v>0</v>
          </cell>
          <cell r="E3674">
            <v>0</v>
          </cell>
          <cell r="F3674">
            <v>0</v>
          </cell>
          <cell r="G3674">
            <v>1.1000000000000001</v>
          </cell>
          <cell r="H3674">
            <v>0</v>
          </cell>
          <cell r="I3674">
            <v>0</v>
          </cell>
          <cell r="J3674">
            <v>-1.6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 t="b">
            <v>1</v>
          </cell>
        </row>
        <row r="3675">
          <cell r="A3675" t="str">
            <v>Data split-9;Reg-114</v>
          </cell>
          <cell r="B3675">
            <v>-2.1</v>
          </cell>
          <cell r="C3675">
            <v>0.68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3</v>
          </cell>
          <cell r="I3675">
            <v>-1.2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 t="b">
            <v>1</v>
          </cell>
        </row>
        <row r="3676">
          <cell r="A3676" t="str">
            <v>Data split-9;Reg-115</v>
          </cell>
          <cell r="B3676">
            <v>-4.2</v>
          </cell>
          <cell r="C3676">
            <v>0.97</v>
          </cell>
          <cell r="D3676">
            <v>0</v>
          </cell>
          <cell r="E3676">
            <v>0</v>
          </cell>
          <cell r="F3676">
            <v>0</v>
          </cell>
          <cell r="G3676">
            <v>0</v>
          </cell>
          <cell r="H3676">
            <v>2.1</v>
          </cell>
          <cell r="I3676">
            <v>0</v>
          </cell>
          <cell r="J3676">
            <v>-0.35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 t="b">
            <v>1</v>
          </cell>
        </row>
        <row r="3677">
          <cell r="A3677" t="str">
            <v>Data split-9;Reg-116</v>
          </cell>
          <cell r="B3677">
            <v>-1.9</v>
          </cell>
          <cell r="C3677">
            <v>0</v>
          </cell>
          <cell r="D3677">
            <v>1.2</v>
          </cell>
          <cell r="E3677">
            <v>0</v>
          </cell>
          <cell r="F3677">
            <v>0</v>
          </cell>
          <cell r="G3677">
            <v>1.6</v>
          </cell>
          <cell r="H3677">
            <v>0</v>
          </cell>
          <cell r="I3677">
            <v>-1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 t="b">
            <v>1</v>
          </cell>
        </row>
        <row r="3678">
          <cell r="A3678" t="str">
            <v>Data split-9;Reg-117</v>
          </cell>
          <cell r="B3678">
            <v>-4.5</v>
          </cell>
          <cell r="C3678">
            <v>0</v>
          </cell>
          <cell r="D3678">
            <v>1.3</v>
          </cell>
          <cell r="E3678">
            <v>0</v>
          </cell>
          <cell r="F3678">
            <v>0</v>
          </cell>
          <cell r="G3678">
            <v>1</v>
          </cell>
          <cell r="H3678">
            <v>0</v>
          </cell>
          <cell r="I3678">
            <v>0</v>
          </cell>
          <cell r="J3678">
            <v>3.8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 t="b">
            <v>0</v>
          </cell>
        </row>
        <row r="3679">
          <cell r="A3679" t="str">
            <v>Data split-9;Reg-118</v>
          </cell>
          <cell r="B3679">
            <v>-0.22</v>
          </cell>
          <cell r="C3679">
            <v>0</v>
          </cell>
          <cell r="D3679">
            <v>0.46</v>
          </cell>
          <cell r="E3679">
            <v>0</v>
          </cell>
          <cell r="F3679">
            <v>0</v>
          </cell>
          <cell r="G3679">
            <v>0</v>
          </cell>
          <cell r="H3679">
            <v>3.3</v>
          </cell>
          <cell r="I3679">
            <v>-1.4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 t="b">
            <v>1</v>
          </cell>
        </row>
        <row r="3680">
          <cell r="A3680" t="str">
            <v>Data split-9;Reg-119</v>
          </cell>
          <cell r="B3680">
            <v>-3.2</v>
          </cell>
          <cell r="C3680">
            <v>0</v>
          </cell>
          <cell r="D3680">
            <v>0.85</v>
          </cell>
          <cell r="E3680">
            <v>0</v>
          </cell>
          <cell r="F3680">
            <v>0</v>
          </cell>
          <cell r="G3680">
            <v>0</v>
          </cell>
          <cell r="H3680">
            <v>2.1</v>
          </cell>
          <cell r="I3680">
            <v>0</v>
          </cell>
          <cell r="J3680">
            <v>2.5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 t="b">
            <v>0</v>
          </cell>
        </row>
        <row r="3681">
          <cell r="A3681" t="str">
            <v>Data split-9;Reg-120</v>
          </cell>
          <cell r="B3681">
            <v>-3.6</v>
          </cell>
          <cell r="C3681">
            <v>1.4</v>
          </cell>
          <cell r="D3681">
            <v>0</v>
          </cell>
          <cell r="E3681">
            <v>0</v>
          </cell>
          <cell r="F3681">
            <v>0</v>
          </cell>
          <cell r="G3681">
            <v>1.2</v>
          </cell>
          <cell r="H3681">
            <v>0</v>
          </cell>
          <cell r="I3681">
            <v>0</v>
          </cell>
          <cell r="J3681">
            <v>0</v>
          </cell>
          <cell r="K3681">
            <v>-0.49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 t="b">
            <v>1</v>
          </cell>
        </row>
        <row r="3682">
          <cell r="A3682" t="str">
            <v>Data split-9;Reg-121</v>
          </cell>
          <cell r="B3682">
            <v>-5.4</v>
          </cell>
          <cell r="C3682">
            <v>1.4</v>
          </cell>
          <cell r="D3682">
            <v>0</v>
          </cell>
          <cell r="E3682">
            <v>0</v>
          </cell>
          <cell r="F3682">
            <v>0</v>
          </cell>
          <cell r="G3682">
            <v>1.1000000000000001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-0.66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 t="b">
            <v>1</v>
          </cell>
        </row>
        <row r="3683">
          <cell r="A3683" t="str">
            <v>Data split-9;Reg-122</v>
          </cell>
          <cell r="B3683">
            <v>-2.5</v>
          </cell>
          <cell r="C3683">
            <v>0.9</v>
          </cell>
          <cell r="D3683">
            <v>0</v>
          </cell>
          <cell r="E3683">
            <v>0</v>
          </cell>
          <cell r="F3683">
            <v>0</v>
          </cell>
          <cell r="G3683">
            <v>0</v>
          </cell>
          <cell r="H3683">
            <v>2.2999999999999998</v>
          </cell>
          <cell r="I3683">
            <v>0</v>
          </cell>
          <cell r="J3683">
            <v>0</v>
          </cell>
          <cell r="K3683">
            <v>-0.34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 t="b">
            <v>1</v>
          </cell>
        </row>
        <row r="3684">
          <cell r="A3684" t="str">
            <v>Data split-9;Reg-123</v>
          </cell>
          <cell r="B3684">
            <v>-4.5999999999999996</v>
          </cell>
          <cell r="C3684">
            <v>0.98</v>
          </cell>
          <cell r="D3684">
            <v>0</v>
          </cell>
          <cell r="E3684">
            <v>0</v>
          </cell>
          <cell r="F3684">
            <v>0</v>
          </cell>
          <cell r="G3684">
            <v>0</v>
          </cell>
          <cell r="H3684">
            <v>2.1</v>
          </cell>
          <cell r="I3684">
            <v>0</v>
          </cell>
          <cell r="J3684">
            <v>0</v>
          </cell>
          <cell r="K3684">
            <v>0</v>
          </cell>
          <cell r="L3684">
            <v>0.23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 t="b">
            <v>0</v>
          </cell>
        </row>
        <row r="3685">
          <cell r="A3685" t="str">
            <v>Data split-9;Reg-124</v>
          </cell>
          <cell r="B3685">
            <v>-3</v>
          </cell>
          <cell r="C3685">
            <v>0</v>
          </cell>
          <cell r="D3685">
            <v>1.2</v>
          </cell>
          <cell r="E3685">
            <v>0</v>
          </cell>
          <cell r="F3685">
            <v>0</v>
          </cell>
          <cell r="G3685">
            <v>1.2</v>
          </cell>
          <cell r="H3685">
            <v>0</v>
          </cell>
          <cell r="I3685">
            <v>0</v>
          </cell>
          <cell r="J3685">
            <v>0</v>
          </cell>
          <cell r="K3685">
            <v>-1.0999999999999999E-2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 t="b">
            <v>1</v>
          </cell>
        </row>
        <row r="3686">
          <cell r="A3686" t="str">
            <v>Data split-9;Reg-125</v>
          </cell>
          <cell r="B3686">
            <v>-5.6</v>
          </cell>
          <cell r="C3686">
            <v>0</v>
          </cell>
          <cell r="D3686">
            <v>1.3</v>
          </cell>
          <cell r="E3686">
            <v>0</v>
          </cell>
          <cell r="F3686">
            <v>0</v>
          </cell>
          <cell r="G3686">
            <v>1.1000000000000001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2.2000000000000002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 t="b">
            <v>0</v>
          </cell>
        </row>
        <row r="3687">
          <cell r="A3687" t="str">
            <v>Data split-9;Reg-126</v>
          </cell>
          <cell r="B3687">
            <v>-1.5</v>
          </cell>
          <cell r="C3687">
            <v>0</v>
          </cell>
          <cell r="D3687">
            <v>0.73</v>
          </cell>
          <cell r="E3687">
            <v>0</v>
          </cell>
          <cell r="F3687">
            <v>0</v>
          </cell>
          <cell r="G3687">
            <v>0</v>
          </cell>
          <cell r="H3687">
            <v>2.4</v>
          </cell>
          <cell r="I3687">
            <v>0</v>
          </cell>
          <cell r="J3687">
            <v>0</v>
          </cell>
          <cell r="K3687">
            <v>-0.11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 t="b">
            <v>1</v>
          </cell>
        </row>
        <row r="3688">
          <cell r="A3688" t="str">
            <v>Data split-9;Reg-127</v>
          </cell>
          <cell r="B3688">
            <v>-4.5999999999999996</v>
          </cell>
          <cell r="C3688">
            <v>0</v>
          </cell>
          <cell r="D3688">
            <v>0.89</v>
          </cell>
          <cell r="E3688">
            <v>0</v>
          </cell>
          <cell r="F3688">
            <v>0</v>
          </cell>
          <cell r="G3688">
            <v>0</v>
          </cell>
          <cell r="H3688">
            <v>2.2000000000000002</v>
          </cell>
          <cell r="I3688">
            <v>0</v>
          </cell>
          <cell r="J3688">
            <v>0</v>
          </cell>
          <cell r="K3688">
            <v>0</v>
          </cell>
          <cell r="L3688">
            <v>2.1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 t="b">
            <v>0</v>
          </cell>
        </row>
        <row r="3689">
          <cell r="A3689" t="str">
            <v>Data split-10;Reg-1</v>
          </cell>
          <cell r="B3689">
            <v>-6</v>
          </cell>
          <cell r="C3689">
            <v>1.8</v>
          </cell>
          <cell r="D3689">
            <v>0</v>
          </cell>
          <cell r="E3689">
            <v>0</v>
          </cell>
          <cell r="F3689">
            <v>0.18</v>
          </cell>
          <cell r="G3689">
            <v>0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0.97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 t="b">
            <v>0</v>
          </cell>
        </row>
        <row r="3690">
          <cell r="A3690" t="str">
            <v>Data split-10;Reg-2</v>
          </cell>
          <cell r="B3690">
            <v>-6.1</v>
          </cell>
          <cell r="C3690">
            <v>1.4</v>
          </cell>
          <cell r="D3690">
            <v>0</v>
          </cell>
          <cell r="E3690">
            <v>0</v>
          </cell>
          <cell r="F3690">
            <v>8.5000000000000006E-2</v>
          </cell>
          <cell r="G3690">
            <v>1.7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-0.1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 t="b">
            <v>1</v>
          </cell>
        </row>
        <row r="3691">
          <cell r="A3691" t="str">
            <v>Data split-10;Reg-3</v>
          </cell>
          <cell r="B3691">
            <v>-6.1</v>
          </cell>
          <cell r="C3691">
            <v>1.4</v>
          </cell>
          <cell r="D3691">
            <v>0</v>
          </cell>
          <cell r="E3691">
            <v>0</v>
          </cell>
          <cell r="F3691">
            <v>8.1000000000000003E-2</v>
          </cell>
          <cell r="G3691">
            <v>1.7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-1.7999999999999999E-2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 t="b">
            <v>1</v>
          </cell>
        </row>
        <row r="3692">
          <cell r="A3692" t="str">
            <v>Data split-10;Reg-4</v>
          </cell>
          <cell r="B3692">
            <v>-4.4000000000000004</v>
          </cell>
          <cell r="C3692">
            <v>0.69</v>
          </cell>
          <cell r="D3692">
            <v>0</v>
          </cell>
          <cell r="E3692">
            <v>0</v>
          </cell>
          <cell r="F3692">
            <v>2.5999999999999999E-2</v>
          </cell>
          <cell r="G3692">
            <v>0</v>
          </cell>
          <cell r="H3692">
            <v>3.8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-0.13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 t="b">
            <v>1</v>
          </cell>
        </row>
        <row r="3693">
          <cell r="A3693" t="str">
            <v>Data split-10;Reg-5</v>
          </cell>
          <cell r="B3693">
            <v>-2.7</v>
          </cell>
          <cell r="C3693">
            <v>0</v>
          </cell>
          <cell r="D3693">
            <v>0.23</v>
          </cell>
          <cell r="E3693">
            <v>0</v>
          </cell>
          <cell r="F3693">
            <v>2.1999999999999999E-2</v>
          </cell>
          <cell r="G3693">
            <v>0</v>
          </cell>
          <cell r="H3693">
            <v>4.5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-0.13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 t="b">
            <v>1</v>
          </cell>
        </row>
        <row r="3694">
          <cell r="A3694" t="str">
            <v>Data split-10;Reg-6</v>
          </cell>
          <cell r="B3694">
            <v>-4.2</v>
          </cell>
          <cell r="C3694">
            <v>0.83</v>
          </cell>
          <cell r="D3694">
            <v>0</v>
          </cell>
          <cell r="E3694">
            <v>2.4</v>
          </cell>
          <cell r="F3694">
            <v>0</v>
          </cell>
          <cell r="G3694">
            <v>0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-0.12</v>
          </cell>
          <cell r="M3694">
            <v>-0.09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 t="b">
            <v>1</v>
          </cell>
        </row>
        <row r="3695">
          <cell r="A3695" t="str">
            <v>Data split-10;Reg-7</v>
          </cell>
          <cell r="B3695">
            <v>-6</v>
          </cell>
          <cell r="C3695">
            <v>1.6</v>
          </cell>
          <cell r="D3695">
            <v>0</v>
          </cell>
          <cell r="E3695">
            <v>0</v>
          </cell>
          <cell r="F3695">
            <v>0.14000000000000001</v>
          </cell>
          <cell r="G3695">
            <v>0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1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3.9E-2</v>
          </cell>
          <cell r="T3695">
            <v>0</v>
          </cell>
          <cell r="U3695" t="b">
            <v>0</v>
          </cell>
        </row>
        <row r="3696">
          <cell r="A3696" t="str">
            <v>Data split-10;Reg-8</v>
          </cell>
          <cell r="B3696">
            <v>-6</v>
          </cell>
          <cell r="C3696">
            <v>1.4</v>
          </cell>
          <cell r="D3696">
            <v>0</v>
          </cell>
          <cell r="E3696">
            <v>0</v>
          </cell>
          <cell r="F3696">
            <v>0</v>
          </cell>
          <cell r="G3696">
            <v>1.7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-0.63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-8.4000000000000005E-2</v>
          </cell>
          <cell r="T3696">
            <v>0</v>
          </cell>
          <cell r="U3696" t="b">
            <v>1</v>
          </cell>
        </row>
        <row r="3697">
          <cell r="A3697" t="str">
            <v>Data split-10;Reg-9</v>
          </cell>
          <cell r="B3697">
            <v>-3.7</v>
          </cell>
          <cell r="C3697">
            <v>0</v>
          </cell>
          <cell r="D3697">
            <v>0.16</v>
          </cell>
          <cell r="E3697">
            <v>0</v>
          </cell>
          <cell r="F3697">
            <v>0</v>
          </cell>
          <cell r="G3697">
            <v>0</v>
          </cell>
          <cell r="H3697">
            <v>5.3</v>
          </cell>
          <cell r="I3697">
            <v>0</v>
          </cell>
          <cell r="J3697">
            <v>0</v>
          </cell>
          <cell r="K3697">
            <v>0</v>
          </cell>
          <cell r="L3697">
            <v>0.93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-0.18</v>
          </cell>
          <cell r="T3697">
            <v>0</v>
          </cell>
          <cell r="U3697" t="b">
            <v>0</v>
          </cell>
        </row>
        <row r="3698">
          <cell r="A3698" t="str">
            <v>Data split-10;Reg-10</v>
          </cell>
          <cell r="B3698">
            <v>-3.7</v>
          </cell>
          <cell r="C3698">
            <v>0</v>
          </cell>
          <cell r="D3698">
            <v>0.16</v>
          </cell>
          <cell r="E3698">
            <v>0</v>
          </cell>
          <cell r="F3698">
            <v>0</v>
          </cell>
          <cell r="G3698">
            <v>0</v>
          </cell>
          <cell r="H3698">
            <v>5.3</v>
          </cell>
          <cell r="I3698">
            <v>0</v>
          </cell>
          <cell r="J3698">
            <v>0</v>
          </cell>
          <cell r="K3698">
            <v>0</v>
          </cell>
          <cell r="L3698">
            <v>0.93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-0.18</v>
          </cell>
          <cell r="T3698">
            <v>0</v>
          </cell>
          <cell r="U3698" t="b">
            <v>0</v>
          </cell>
        </row>
        <row r="3699">
          <cell r="A3699" t="str">
            <v>Data split-10;Reg-11</v>
          </cell>
          <cell r="B3699">
            <v>-5.6</v>
          </cell>
          <cell r="C3699">
            <v>1</v>
          </cell>
          <cell r="D3699">
            <v>0</v>
          </cell>
          <cell r="E3699">
            <v>0.49</v>
          </cell>
          <cell r="F3699">
            <v>0</v>
          </cell>
          <cell r="G3699">
            <v>1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 t="b">
            <v>1</v>
          </cell>
        </row>
        <row r="3700">
          <cell r="A3700" t="str">
            <v>Data split-10;Reg-12</v>
          </cell>
          <cell r="B3700">
            <v>-4.8</v>
          </cell>
          <cell r="C3700">
            <v>0.74</v>
          </cell>
          <cell r="D3700">
            <v>0</v>
          </cell>
          <cell r="E3700">
            <v>-0.28999999999999998</v>
          </cell>
          <cell r="F3700">
            <v>0</v>
          </cell>
          <cell r="G3700">
            <v>0</v>
          </cell>
          <cell r="H3700">
            <v>2.9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 t="b">
            <v>0</v>
          </cell>
        </row>
        <row r="3701">
          <cell r="A3701" t="str">
            <v>Data split-10;Reg-13</v>
          </cell>
          <cell r="B3701">
            <v>-5.7</v>
          </cell>
          <cell r="C3701">
            <v>1.2</v>
          </cell>
          <cell r="D3701">
            <v>0</v>
          </cell>
          <cell r="E3701">
            <v>0</v>
          </cell>
          <cell r="F3701">
            <v>5.3999999999999999E-2</v>
          </cell>
          <cell r="G3701">
            <v>1.2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 t="b">
            <v>1</v>
          </cell>
        </row>
        <row r="3702">
          <cell r="A3702" t="str">
            <v>Data split-10;Reg-14</v>
          </cell>
          <cell r="B3702">
            <v>-4.5999999999999996</v>
          </cell>
          <cell r="C3702">
            <v>0.72</v>
          </cell>
          <cell r="D3702">
            <v>0</v>
          </cell>
          <cell r="E3702">
            <v>0</v>
          </cell>
          <cell r="F3702">
            <v>1.2999999999999999E-2</v>
          </cell>
          <cell r="G3702">
            <v>0</v>
          </cell>
          <cell r="H3702">
            <v>2.5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 t="b">
            <v>1</v>
          </cell>
        </row>
        <row r="3703">
          <cell r="A3703" t="str">
            <v>Data split-10;Reg-15</v>
          </cell>
          <cell r="B3703">
            <v>-4.3</v>
          </cell>
          <cell r="C3703">
            <v>0.83</v>
          </cell>
          <cell r="D3703">
            <v>0</v>
          </cell>
          <cell r="E3703">
            <v>2.4</v>
          </cell>
          <cell r="F3703">
            <v>0</v>
          </cell>
          <cell r="G3703">
            <v>0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-0.09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 t="b">
            <v>1</v>
          </cell>
        </row>
        <row r="3704">
          <cell r="A3704" t="str">
            <v>Data split-10;Reg-16</v>
          </cell>
          <cell r="B3704">
            <v>-4.3</v>
          </cell>
          <cell r="C3704">
            <v>0.84</v>
          </cell>
          <cell r="D3704">
            <v>0</v>
          </cell>
          <cell r="E3704">
            <v>2.2999999999999998</v>
          </cell>
          <cell r="F3704">
            <v>0</v>
          </cell>
          <cell r="G3704">
            <v>0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-1.2999999999999999E-2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 t="b">
            <v>1</v>
          </cell>
        </row>
        <row r="3705">
          <cell r="A3705" t="str">
            <v>Data split-10;Reg-17</v>
          </cell>
          <cell r="B3705">
            <v>-5.0999999999999996</v>
          </cell>
          <cell r="C3705">
            <v>1.7</v>
          </cell>
          <cell r="D3705">
            <v>0</v>
          </cell>
          <cell r="E3705">
            <v>0</v>
          </cell>
          <cell r="F3705">
            <v>0.16</v>
          </cell>
          <cell r="G3705">
            <v>0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1.4999999999999999E-2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 t="b">
            <v>0</v>
          </cell>
        </row>
        <row r="3706">
          <cell r="A3706" t="str">
            <v>Data split-10;Reg-18</v>
          </cell>
          <cell r="B3706">
            <v>-5.0999999999999996</v>
          </cell>
          <cell r="C3706">
            <v>1.5</v>
          </cell>
          <cell r="D3706">
            <v>0</v>
          </cell>
          <cell r="E3706">
            <v>0</v>
          </cell>
          <cell r="F3706">
            <v>0.14000000000000001</v>
          </cell>
          <cell r="G3706">
            <v>0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8.9999999999999993E-3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 t="b">
            <v>0</v>
          </cell>
        </row>
        <row r="3707">
          <cell r="A3707" t="str">
            <v>Data split-10;Reg-19</v>
          </cell>
          <cell r="B3707">
            <v>-6.5</v>
          </cell>
          <cell r="C3707">
            <v>1.1000000000000001</v>
          </cell>
          <cell r="D3707">
            <v>0</v>
          </cell>
          <cell r="E3707">
            <v>0</v>
          </cell>
          <cell r="F3707">
            <v>0</v>
          </cell>
          <cell r="G3707">
            <v>1.9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-7.6999999999999999E-2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 t="b">
            <v>1</v>
          </cell>
        </row>
        <row r="3708">
          <cell r="A3708" t="str">
            <v>Data split-10;Reg-20</v>
          </cell>
          <cell r="B3708">
            <v>-6.6</v>
          </cell>
          <cell r="C3708">
            <v>1.1000000000000001</v>
          </cell>
          <cell r="D3708">
            <v>0</v>
          </cell>
          <cell r="E3708">
            <v>0</v>
          </cell>
          <cell r="F3708">
            <v>0</v>
          </cell>
          <cell r="G3708">
            <v>1.8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-1.0999999999999999E-2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 t="b">
            <v>1</v>
          </cell>
        </row>
        <row r="3709">
          <cell r="A3709" t="str">
            <v>Data split-10;Reg-21</v>
          </cell>
          <cell r="B3709">
            <v>-4.5</v>
          </cell>
          <cell r="C3709">
            <v>0.48</v>
          </cell>
          <cell r="D3709">
            <v>0</v>
          </cell>
          <cell r="E3709">
            <v>0</v>
          </cell>
          <cell r="F3709">
            <v>0</v>
          </cell>
          <cell r="G3709">
            <v>0</v>
          </cell>
          <cell r="H3709">
            <v>3.4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-0.06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 t="b">
            <v>1</v>
          </cell>
        </row>
        <row r="3710">
          <cell r="A3710" t="str">
            <v>Data split-10;Reg-22</v>
          </cell>
          <cell r="B3710">
            <v>-4.5999999999999996</v>
          </cell>
          <cell r="C3710">
            <v>0.59</v>
          </cell>
          <cell r="D3710">
            <v>0</v>
          </cell>
          <cell r="E3710">
            <v>0</v>
          </cell>
          <cell r="F3710">
            <v>0</v>
          </cell>
          <cell r="G3710">
            <v>0</v>
          </cell>
          <cell r="H3710">
            <v>3.1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-6.6E-3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 t="b">
            <v>1</v>
          </cell>
        </row>
        <row r="3711">
          <cell r="A3711" t="str">
            <v>Data split-10;Reg-23</v>
          </cell>
          <cell r="B3711">
            <v>-2.9</v>
          </cell>
          <cell r="C3711">
            <v>0</v>
          </cell>
          <cell r="D3711">
            <v>0.41</v>
          </cell>
          <cell r="E3711">
            <v>1.3</v>
          </cell>
          <cell r="F3711">
            <v>0</v>
          </cell>
          <cell r="G3711">
            <v>0.83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 t="b">
            <v>1</v>
          </cell>
        </row>
        <row r="3712">
          <cell r="A3712" t="str">
            <v>Data split-10;Reg-24</v>
          </cell>
          <cell r="B3712">
            <v>-2.7</v>
          </cell>
          <cell r="C3712">
            <v>0</v>
          </cell>
          <cell r="D3712">
            <v>0.21</v>
          </cell>
          <cell r="E3712">
            <v>0.15</v>
          </cell>
          <cell r="F3712">
            <v>0</v>
          </cell>
          <cell r="G3712">
            <v>0</v>
          </cell>
          <cell r="H3712">
            <v>3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 t="b">
            <v>1</v>
          </cell>
        </row>
        <row r="3713">
          <cell r="A3713" t="str">
            <v>Data split-10;Reg-25</v>
          </cell>
          <cell r="B3713">
            <v>-2.7</v>
          </cell>
          <cell r="C3713">
            <v>0</v>
          </cell>
          <cell r="D3713">
            <v>0.74</v>
          </cell>
          <cell r="E3713">
            <v>0</v>
          </cell>
          <cell r="F3713">
            <v>9.0999999999999998E-2</v>
          </cell>
          <cell r="G3713">
            <v>1.4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 t="b">
            <v>1</v>
          </cell>
        </row>
        <row r="3714">
          <cell r="A3714" t="str">
            <v>Data split-10;Reg-26</v>
          </cell>
          <cell r="B3714">
            <v>-2.7</v>
          </cell>
          <cell r="C3714">
            <v>0</v>
          </cell>
          <cell r="D3714">
            <v>0.22</v>
          </cell>
          <cell r="E3714">
            <v>0</v>
          </cell>
          <cell r="F3714">
            <v>8.3999999999999995E-3</v>
          </cell>
          <cell r="G3714">
            <v>0</v>
          </cell>
          <cell r="H3714">
            <v>3.2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 t="b">
            <v>1</v>
          </cell>
        </row>
        <row r="3715">
          <cell r="A3715" t="str">
            <v>Data split-10;Reg-27</v>
          </cell>
          <cell r="B3715">
            <v>-2.2999999999999998</v>
          </cell>
          <cell r="C3715">
            <v>0</v>
          </cell>
          <cell r="D3715">
            <v>0.36</v>
          </cell>
          <cell r="E3715">
            <v>2.9</v>
          </cell>
          <cell r="F3715">
            <v>0</v>
          </cell>
          <cell r="G3715">
            <v>0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-9.7000000000000003E-2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 t="b">
            <v>1</v>
          </cell>
        </row>
        <row r="3716">
          <cell r="A3716" t="str">
            <v>Data split-10;Reg-28</v>
          </cell>
          <cell r="B3716">
            <v>-2.2000000000000002</v>
          </cell>
          <cell r="C3716">
            <v>0</v>
          </cell>
          <cell r="D3716">
            <v>0.37</v>
          </cell>
          <cell r="E3716">
            <v>2.9</v>
          </cell>
          <cell r="F3716">
            <v>0</v>
          </cell>
          <cell r="G3716">
            <v>0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-1.4999999999999999E-2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 t="b">
            <v>1</v>
          </cell>
        </row>
        <row r="3717">
          <cell r="A3717" t="str">
            <v>Data split-10;Reg-29</v>
          </cell>
          <cell r="B3717">
            <v>-0.82</v>
          </cell>
          <cell r="C3717">
            <v>0</v>
          </cell>
          <cell r="D3717">
            <v>1.2</v>
          </cell>
          <cell r="E3717">
            <v>0</v>
          </cell>
          <cell r="F3717">
            <v>0.22</v>
          </cell>
          <cell r="G3717">
            <v>0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4.3999999999999997E-2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 t="b">
            <v>0</v>
          </cell>
        </row>
        <row r="3718">
          <cell r="A3718" t="str">
            <v>Data split-10;Reg-30</v>
          </cell>
          <cell r="B3718">
            <v>-1.2</v>
          </cell>
          <cell r="C3718">
            <v>0</v>
          </cell>
          <cell r="D3718">
            <v>1</v>
          </cell>
          <cell r="E3718">
            <v>0</v>
          </cell>
          <cell r="F3718">
            <v>0.18</v>
          </cell>
          <cell r="G3718">
            <v>0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1.4999999999999999E-2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 t="b">
            <v>0</v>
          </cell>
        </row>
        <row r="3719">
          <cell r="A3719" t="str">
            <v>Data split-10;Reg-31</v>
          </cell>
          <cell r="B3719">
            <v>-4.3</v>
          </cell>
          <cell r="C3719">
            <v>0</v>
          </cell>
          <cell r="D3719">
            <v>0.69</v>
          </cell>
          <cell r="E3719">
            <v>0</v>
          </cell>
          <cell r="F3719">
            <v>0</v>
          </cell>
          <cell r="G3719">
            <v>2.4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-0.11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 t="b">
            <v>1</v>
          </cell>
        </row>
        <row r="3720">
          <cell r="A3720" t="str">
            <v>Data split-10;Reg-32</v>
          </cell>
          <cell r="B3720">
            <v>-4.3</v>
          </cell>
          <cell r="C3720">
            <v>0</v>
          </cell>
          <cell r="D3720">
            <v>0.72</v>
          </cell>
          <cell r="E3720">
            <v>0</v>
          </cell>
          <cell r="F3720">
            <v>0</v>
          </cell>
          <cell r="G3720">
            <v>2.2999999999999998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-1.7999999999999999E-2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 t="b">
            <v>1</v>
          </cell>
        </row>
        <row r="3721">
          <cell r="A3721" t="str">
            <v>Data split-10;Reg-33</v>
          </cell>
          <cell r="B3721">
            <v>-3.2</v>
          </cell>
          <cell r="C3721">
            <v>0</v>
          </cell>
          <cell r="D3721">
            <v>6.3E-2</v>
          </cell>
          <cell r="E3721">
            <v>0</v>
          </cell>
          <cell r="F3721">
            <v>0</v>
          </cell>
          <cell r="G3721">
            <v>0</v>
          </cell>
          <cell r="H3721">
            <v>4.3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-8.3000000000000004E-2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 t="b">
            <v>1</v>
          </cell>
        </row>
        <row r="3722">
          <cell r="A3722" t="str">
            <v>Data split-10;Reg-34</v>
          </cell>
          <cell r="B3722">
            <v>-3.2</v>
          </cell>
          <cell r="C3722">
            <v>0</v>
          </cell>
          <cell r="D3722">
            <v>0.12</v>
          </cell>
          <cell r="E3722">
            <v>0</v>
          </cell>
          <cell r="F3722">
            <v>0</v>
          </cell>
          <cell r="G3722">
            <v>0</v>
          </cell>
          <cell r="H3722">
            <v>4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-1.2E-2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 t="b">
            <v>1</v>
          </cell>
        </row>
        <row r="3723">
          <cell r="A3723" t="str">
            <v>Data split-10;Reg-35</v>
          </cell>
          <cell r="B3723">
            <v>-5.7</v>
          </cell>
          <cell r="C3723">
            <v>1</v>
          </cell>
          <cell r="D3723">
            <v>0</v>
          </cell>
          <cell r="E3723">
            <v>1.2</v>
          </cell>
          <cell r="F3723">
            <v>0</v>
          </cell>
          <cell r="G3723">
            <v>1.3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-0.13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 t="b">
            <v>1</v>
          </cell>
        </row>
        <row r="3724">
          <cell r="A3724" t="str">
            <v>Data split-10;Reg-36</v>
          </cell>
          <cell r="B3724">
            <v>-5.6</v>
          </cell>
          <cell r="C3724">
            <v>1</v>
          </cell>
          <cell r="D3724">
            <v>0</v>
          </cell>
          <cell r="E3724">
            <v>1.2</v>
          </cell>
          <cell r="F3724">
            <v>0</v>
          </cell>
          <cell r="G3724">
            <v>1.4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-2.5000000000000001E-2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 t="b">
            <v>1</v>
          </cell>
        </row>
        <row r="3725">
          <cell r="A3725" t="str">
            <v>Data split-10;Reg-37</v>
          </cell>
          <cell r="B3725">
            <v>-4.5</v>
          </cell>
          <cell r="C3725">
            <v>0.65</v>
          </cell>
          <cell r="D3725">
            <v>0</v>
          </cell>
          <cell r="E3725">
            <v>0.23</v>
          </cell>
          <cell r="F3725">
            <v>0</v>
          </cell>
          <cell r="G3725">
            <v>0</v>
          </cell>
          <cell r="H3725">
            <v>3.7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-0.13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 t="b">
            <v>1</v>
          </cell>
        </row>
        <row r="3726">
          <cell r="A3726" t="str">
            <v>Data split-10;Reg-38</v>
          </cell>
          <cell r="B3726">
            <v>-4.4000000000000004</v>
          </cell>
          <cell r="C3726">
            <v>0.66</v>
          </cell>
          <cell r="D3726">
            <v>0</v>
          </cell>
          <cell r="E3726">
            <v>0.27</v>
          </cell>
          <cell r="F3726">
            <v>0</v>
          </cell>
          <cell r="G3726">
            <v>0</v>
          </cell>
          <cell r="H3726">
            <v>3.7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-2.3E-2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 t="b">
            <v>1</v>
          </cell>
        </row>
        <row r="3727">
          <cell r="A3727" t="str">
            <v>Data split-10;Reg-39</v>
          </cell>
          <cell r="B3727">
            <v>-6.1</v>
          </cell>
          <cell r="C3727">
            <v>1.4</v>
          </cell>
          <cell r="D3727">
            <v>0</v>
          </cell>
          <cell r="E3727">
            <v>0</v>
          </cell>
          <cell r="F3727">
            <v>8.5000000000000006E-2</v>
          </cell>
          <cell r="G3727">
            <v>1.7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-0.1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 t="b">
            <v>1</v>
          </cell>
        </row>
        <row r="3728">
          <cell r="A3728" t="str">
            <v>Data split-10;Reg-40</v>
          </cell>
          <cell r="B3728">
            <v>-6.1</v>
          </cell>
          <cell r="C3728">
            <v>1.4</v>
          </cell>
          <cell r="D3728">
            <v>0</v>
          </cell>
          <cell r="E3728">
            <v>0</v>
          </cell>
          <cell r="F3728">
            <v>8.1000000000000003E-2</v>
          </cell>
          <cell r="G3728">
            <v>1.7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-1.7999999999999999E-2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 t="b">
            <v>1</v>
          </cell>
        </row>
        <row r="3729">
          <cell r="A3729" t="str">
            <v>Data split-10;Reg-41</v>
          </cell>
          <cell r="B3729">
            <v>-4.4000000000000004</v>
          </cell>
          <cell r="C3729">
            <v>0.69</v>
          </cell>
          <cell r="D3729">
            <v>0</v>
          </cell>
          <cell r="E3729">
            <v>0</v>
          </cell>
          <cell r="F3729">
            <v>2.5999999999999999E-2</v>
          </cell>
          <cell r="G3729">
            <v>0</v>
          </cell>
          <cell r="H3729">
            <v>3.8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-0.13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 t="b">
            <v>1</v>
          </cell>
        </row>
        <row r="3730">
          <cell r="A3730" t="str">
            <v>Data split-10;Reg-42</v>
          </cell>
          <cell r="B3730">
            <v>-4.4000000000000004</v>
          </cell>
          <cell r="C3730">
            <v>0.7</v>
          </cell>
          <cell r="D3730">
            <v>0</v>
          </cell>
          <cell r="E3730">
            <v>0</v>
          </cell>
          <cell r="F3730">
            <v>2.3E-2</v>
          </cell>
          <cell r="G3730">
            <v>0</v>
          </cell>
          <cell r="H3730">
            <v>3.8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-2.1999999999999999E-2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 t="b">
            <v>1</v>
          </cell>
        </row>
        <row r="3731">
          <cell r="A3731" t="str">
            <v>Data split-10;Reg-43</v>
          </cell>
          <cell r="B3731">
            <v>-5.9</v>
          </cell>
          <cell r="C3731">
            <v>0.83</v>
          </cell>
          <cell r="D3731">
            <v>0</v>
          </cell>
          <cell r="E3731">
            <v>0.68</v>
          </cell>
          <cell r="F3731">
            <v>0</v>
          </cell>
          <cell r="G3731">
            <v>1.6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-8.5000000000000006E-2</v>
          </cell>
          <cell r="P3731">
            <v>0</v>
          </cell>
          <cell r="Q3731">
            <v>0</v>
          </cell>
          <cell r="R3731">
            <v>0</v>
          </cell>
          <cell r="S3731">
            <v>0</v>
          </cell>
          <cell r="T3731">
            <v>0</v>
          </cell>
          <cell r="U3731" t="b">
            <v>1</v>
          </cell>
        </row>
        <row r="3732">
          <cell r="A3732" t="str">
            <v>Data split-10;Reg-44</v>
          </cell>
          <cell r="B3732">
            <v>-6</v>
          </cell>
          <cell r="C3732">
            <v>0.9</v>
          </cell>
          <cell r="D3732">
            <v>0</v>
          </cell>
          <cell r="E3732">
            <v>0.62</v>
          </cell>
          <cell r="F3732">
            <v>0</v>
          </cell>
          <cell r="G3732">
            <v>1.5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-1.2999999999999999E-2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 t="b">
            <v>1</v>
          </cell>
        </row>
        <row r="3733">
          <cell r="A3733" t="str">
            <v>Data split-10;Reg-45</v>
          </cell>
          <cell r="B3733">
            <v>-4.5</v>
          </cell>
          <cell r="C3733">
            <v>0.51</v>
          </cell>
          <cell r="D3733">
            <v>0</v>
          </cell>
          <cell r="E3733">
            <v>-0.26</v>
          </cell>
          <cell r="F3733">
            <v>0</v>
          </cell>
          <cell r="G3733">
            <v>0</v>
          </cell>
          <cell r="H3733">
            <v>3.7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-0.06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 t="b">
            <v>0</v>
          </cell>
        </row>
        <row r="3734">
          <cell r="A3734" t="str">
            <v>Data split-10;Reg-46</v>
          </cell>
          <cell r="B3734">
            <v>-4.7</v>
          </cell>
          <cell r="C3734">
            <v>0.62</v>
          </cell>
          <cell r="D3734">
            <v>0</v>
          </cell>
          <cell r="E3734">
            <v>-0.27</v>
          </cell>
          <cell r="F3734">
            <v>0</v>
          </cell>
          <cell r="G3734">
            <v>0</v>
          </cell>
          <cell r="H3734">
            <v>3.4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-6.4999999999999997E-3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 t="b">
            <v>0</v>
          </cell>
        </row>
        <row r="3735">
          <cell r="A3735" t="str">
            <v>Data split-10;Reg-47</v>
          </cell>
          <cell r="B3735">
            <v>-5.9</v>
          </cell>
          <cell r="C3735">
            <v>1</v>
          </cell>
          <cell r="D3735">
            <v>0</v>
          </cell>
          <cell r="E3735">
            <v>0</v>
          </cell>
          <cell r="F3735">
            <v>9.4E-2</v>
          </cell>
          <cell r="G3735">
            <v>1.9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-9.0999999999999998E-2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 t="b">
            <v>1</v>
          </cell>
        </row>
        <row r="3736">
          <cell r="A3736" t="str">
            <v>Data split-10;Reg-48</v>
          </cell>
          <cell r="B3736">
            <v>-6.1</v>
          </cell>
          <cell r="C3736">
            <v>1.1000000000000001</v>
          </cell>
          <cell r="D3736">
            <v>0</v>
          </cell>
          <cell r="E3736">
            <v>0</v>
          </cell>
          <cell r="F3736">
            <v>8.4000000000000005E-2</v>
          </cell>
          <cell r="G3736">
            <v>1.8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-1.4E-2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 t="b">
            <v>1</v>
          </cell>
        </row>
        <row r="3737">
          <cell r="A3737" t="str">
            <v>Data split-10;Reg-49</v>
          </cell>
          <cell r="B3737">
            <v>-4.3</v>
          </cell>
          <cell r="C3737">
            <v>0.48</v>
          </cell>
          <cell r="D3737">
            <v>0</v>
          </cell>
          <cell r="E3737">
            <v>0</v>
          </cell>
          <cell r="F3737">
            <v>3.2000000000000001E-2</v>
          </cell>
          <cell r="G3737">
            <v>0</v>
          </cell>
          <cell r="H3737">
            <v>3.4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-6.2E-2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 t="b">
            <v>1</v>
          </cell>
        </row>
        <row r="3738">
          <cell r="A3738" t="str">
            <v>Data split-10;Reg-50</v>
          </cell>
          <cell r="B3738">
            <v>-4.5</v>
          </cell>
          <cell r="C3738">
            <v>0.59</v>
          </cell>
          <cell r="D3738">
            <v>0</v>
          </cell>
          <cell r="E3738">
            <v>0</v>
          </cell>
          <cell r="F3738">
            <v>2.4E-2</v>
          </cell>
          <cell r="G3738">
            <v>0</v>
          </cell>
          <cell r="H3738">
            <v>3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-6.8999999999999999E-3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 t="b">
            <v>1</v>
          </cell>
        </row>
        <row r="3739">
          <cell r="A3739" t="str">
            <v>Data split-10;Reg-51</v>
          </cell>
          <cell r="B3739">
            <v>-3</v>
          </cell>
          <cell r="C3739">
            <v>0</v>
          </cell>
          <cell r="D3739">
            <v>0.44</v>
          </cell>
          <cell r="E3739">
            <v>2</v>
          </cell>
          <cell r="F3739">
            <v>0</v>
          </cell>
          <cell r="G3739">
            <v>1.2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-0.13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 t="b">
            <v>1</v>
          </cell>
        </row>
        <row r="3740">
          <cell r="A3740" t="str">
            <v>Data split-10;Reg-52</v>
          </cell>
          <cell r="B3740">
            <v>-3</v>
          </cell>
          <cell r="C3740">
            <v>0</v>
          </cell>
          <cell r="D3740">
            <v>0.46</v>
          </cell>
          <cell r="E3740">
            <v>2</v>
          </cell>
          <cell r="F3740">
            <v>0</v>
          </cell>
          <cell r="G3740">
            <v>1.2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-2.5999999999999999E-2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 t="b">
            <v>1</v>
          </cell>
        </row>
        <row r="3741">
          <cell r="A3741" t="str">
            <v>Data split-10;Reg-53</v>
          </cell>
          <cell r="B3741">
            <v>-2.7</v>
          </cell>
          <cell r="C3741">
            <v>0</v>
          </cell>
          <cell r="D3741">
            <v>0.18</v>
          </cell>
          <cell r="E3741">
            <v>0.64</v>
          </cell>
          <cell r="F3741">
            <v>0</v>
          </cell>
          <cell r="G3741">
            <v>0</v>
          </cell>
          <cell r="H3741">
            <v>3.9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-0.14000000000000001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 t="b">
            <v>1</v>
          </cell>
        </row>
        <row r="3742">
          <cell r="A3742" t="str">
            <v>Data split-10;Reg-54</v>
          </cell>
          <cell r="B3742">
            <v>-2.6</v>
          </cell>
          <cell r="C3742">
            <v>0</v>
          </cell>
          <cell r="D3742">
            <v>0.2</v>
          </cell>
          <cell r="E3742">
            <v>0.7</v>
          </cell>
          <cell r="F3742">
            <v>0</v>
          </cell>
          <cell r="G3742">
            <v>0</v>
          </cell>
          <cell r="H3742">
            <v>3.9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-2.5000000000000001E-2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 t="b">
            <v>1</v>
          </cell>
        </row>
        <row r="3743">
          <cell r="A3743" t="str">
            <v>Data split-10;Reg-55</v>
          </cell>
          <cell r="B3743">
            <v>-2.7</v>
          </cell>
          <cell r="C3743">
            <v>0</v>
          </cell>
          <cell r="D3743">
            <v>0.87</v>
          </cell>
          <cell r="E3743">
            <v>0</v>
          </cell>
          <cell r="F3743">
            <v>0.12</v>
          </cell>
          <cell r="G3743">
            <v>1.8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-8.5999999999999993E-2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 t="b">
            <v>1</v>
          </cell>
        </row>
        <row r="3744">
          <cell r="A3744" t="str">
            <v>Data split-10;Reg-56</v>
          </cell>
          <cell r="B3744">
            <v>-2.7</v>
          </cell>
          <cell r="C3744">
            <v>0</v>
          </cell>
          <cell r="D3744">
            <v>0.86</v>
          </cell>
          <cell r="E3744">
            <v>0</v>
          </cell>
          <cell r="F3744">
            <v>0.12</v>
          </cell>
          <cell r="G3744">
            <v>1.8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-1.4E-2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 t="b">
            <v>1</v>
          </cell>
        </row>
        <row r="3745">
          <cell r="A3745" t="str">
            <v>Data split-10;Reg-57</v>
          </cell>
          <cell r="B3745">
            <v>-2.7</v>
          </cell>
          <cell r="C3745">
            <v>0</v>
          </cell>
          <cell r="D3745">
            <v>0.23</v>
          </cell>
          <cell r="E3745">
            <v>0</v>
          </cell>
          <cell r="F3745">
            <v>2.1999999999999999E-2</v>
          </cell>
          <cell r="G3745">
            <v>0</v>
          </cell>
          <cell r="H3745">
            <v>4.5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-0.13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 t="b">
            <v>1</v>
          </cell>
        </row>
        <row r="3746">
          <cell r="A3746" t="str">
            <v>Data split-10;Reg-58</v>
          </cell>
          <cell r="B3746">
            <v>-2.6</v>
          </cell>
          <cell r="C3746">
            <v>0</v>
          </cell>
          <cell r="D3746">
            <v>0.25</v>
          </cell>
          <cell r="E3746">
            <v>0</v>
          </cell>
          <cell r="F3746">
            <v>0.02</v>
          </cell>
          <cell r="G3746">
            <v>0</v>
          </cell>
          <cell r="H3746">
            <v>4.5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-2.3E-2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 t="b">
            <v>1</v>
          </cell>
        </row>
        <row r="3747">
          <cell r="A3747" t="str">
            <v>Data split-10;Reg-59</v>
          </cell>
          <cell r="B3747">
            <v>-3.9</v>
          </cell>
          <cell r="C3747">
            <v>0</v>
          </cell>
          <cell r="D3747">
            <v>0.33</v>
          </cell>
          <cell r="E3747">
            <v>1.3</v>
          </cell>
          <cell r="F3747">
            <v>0</v>
          </cell>
          <cell r="G3747">
            <v>1.6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-0.11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 t="b">
            <v>1</v>
          </cell>
        </row>
        <row r="3748">
          <cell r="A3748" t="str">
            <v>Data split-10;Reg-60</v>
          </cell>
          <cell r="B3748">
            <v>-4</v>
          </cell>
          <cell r="C3748">
            <v>0</v>
          </cell>
          <cell r="D3748">
            <v>0.37</v>
          </cell>
          <cell r="E3748">
            <v>1.3</v>
          </cell>
          <cell r="F3748">
            <v>0</v>
          </cell>
          <cell r="G3748">
            <v>1.6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-1.7999999999999999E-2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 t="b">
            <v>1</v>
          </cell>
        </row>
        <row r="3749">
          <cell r="A3749" t="str">
            <v>Data split-10;Reg-61</v>
          </cell>
          <cell r="B3749">
            <v>-3.2</v>
          </cell>
          <cell r="C3749">
            <v>0</v>
          </cell>
          <cell r="D3749">
            <v>6.0999999999999999E-2</v>
          </cell>
          <cell r="E3749">
            <v>3.5000000000000003E-2</v>
          </cell>
          <cell r="F3749">
            <v>0</v>
          </cell>
          <cell r="G3749">
            <v>0</v>
          </cell>
          <cell r="H3749">
            <v>4.2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-8.3000000000000004E-2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 t="b">
            <v>1</v>
          </cell>
        </row>
        <row r="3750">
          <cell r="A3750" t="str">
            <v>Data split-10;Reg-62</v>
          </cell>
          <cell r="B3750">
            <v>-3.2</v>
          </cell>
          <cell r="C3750">
            <v>0</v>
          </cell>
          <cell r="D3750">
            <v>0.11</v>
          </cell>
          <cell r="E3750">
            <v>7.1999999999999995E-2</v>
          </cell>
          <cell r="F3750">
            <v>0</v>
          </cell>
          <cell r="G3750">
            <v>0</v>
          </cell>
          <cell r="H3750">
            <v>3.9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-1.2E-2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 t="b">
            <v>1</v>
          </cell>
        </row>
        <row r="3751">
          <cell r="A3751" t="str">
            <v>Data split-10;Reg-63</v>
          </cell>
          <cell r="B3751">
            <v>-3.6</v>
          </cell>
          <cell r="C3751">
            <v>0</v>
          </cell>
          <cell r="D3751">
            <v>0.64</v>
          </cell>
          <cell r="E3751">
            <v>0</v>
          </cell>
          <cell r="F3751">
            <v>0.14000000000000001</v>
          </cell>
          <cell r="G3751">
            <v>2.2999999999999998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-0.13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 t="b">
            <v>1</v>
          </cell>
        </row>
        <row r="3752">
          <cell r="A3752" t="str">
            <v>Data split-10;Reg-64</v>
          </cell>
          <cell r="B3752">
            <v>-3.8</v>
          </cell>
          <cell r="C3752">
            <v>0</v>
          </cell>
          <cell r="D3752">
            <v>0.68</v>
          </cell>
          <cell r="E3752">
            <v>0</v>
          </cell>
          <cell r="F3752">
            <v>0.13</v>
          </cell>
          <cell r="G3752">
            <v>2.2999999999999998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-2.1000000000000001E-2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 t="b">
            <v>1</v>
          </cell>
        </row>
        <row r="3753">
          <cell r="A3753" t="str">
            <v>Data split-10;Reg-65</v>
          </cell>
          <cell r="B3753">
            <v>-3.1</v>
          </cell>
          <cell r="C3753">
            <v>0</v>
          </cell>
          <cell r="D3753">
            <v>7.3999999999999996E-2</v>
          </cell>
          <cell r="E3753">
            <v>0</v>
          </cell>
          <cell r="F3753">
            <v>3.3000000000000002E-2</v>
          </cell>
          <cell r="G3753">
            <v>0</v>
          </cell>
          <cell r="H3753">
            <v>4.2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-8.5000000000000006E-2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 t="b">
            <v>1</v>
          </cell>
        </row>
        <row r="3754">
          <cell r="A3754" t="str">
            <v>Data split-10;Reg-66</v>
          </cell>
          <cell r="B3754">
            <v>-3.1</v>
          </cell>
          <cell r="C3754">
            <v>0</v>
          </cell>
          <cell r="D3754">
            <v>0.13</v>
          </cell>
          <cell r="E3754">
            <v>0</v>
          </cell>
          <cell r="F3754">
            <v>2.5999999999999999E-2</v>
          </cell>
          <cell r="G3754">
            <v>0</v>
          </cell>
          <cell r="H3754">
            <v>4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-1.2E-2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 t="b">
            <v>1</v>
          </cell>
        </row>
        <row r="3755">
          <cell r="A3755" t="str">
            <v>Data split-10;Reg-67</v>
          </cell>
          <cell r="B3755">
            <v>-6.1</v>
          </cell>
          <cell r="C3755">
            <v>1.2</v>
          </cell>
          <cell r="D3755">
            <v>0</v>
          </cell>
          <cell r="E3755">
            <v>0</v>
          </cell>
          <cell r="F3755">
            <v>0</v>
          </cell>
          <cell r="G3755">
            <v>1.3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 t="b">
            <v>1</v>
          </cell>
        </row>
        <row r="3756">
          <cell r="A3756" t="str">
            <v>Data split-10;Reg-68</v>
          </cell>
          <cell r="B3756">
            <v>-5.7</v>
          </cell>
          <cell r="C3756">
            <v>1.2</v>
          </cell>
          <cell r="D3756">
            <v>0</v>
          </cell>
          <cell r="E3756">
            <v>0</v>
          </cell>
          <cell r="F3756">
            <v>5.3999999999999999E-2</v>
          </cell>
          <cell r="G3756">
            <v>1.2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 t="b">
            <v>1</v>
          </cell>
        </row>
        <row r="3757">
          <cell r="A3757" t="str">
            <v>Data split-10;Reg-69</v>
          </cell>
          <cell r="B3757">
            <v>-6</v>
          </cell>
          <cell r="C3757">
            <v>1.2</v>
          </cell>
          <cell r="D3757">
            <v>0</v>
          </cell>
          <cell r="E3757">
            <v>0</v>
          </cell>
          <cell r="F3757">
            <v>0</v>
          </cell>
          <cell r="G3757">
            <v>1.3</v>
          </cell>
          <cell r="H3757">
            <v>0</v>
          </cell>
          <cell r="I3757">
            <v>0</v>
          </cell>
          <cell r="J3757">
            <v>-0.35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 t="b">
            <v>1</v>
          </cell>
        </row>
        <row r="3758">
          <cell r="A3758" t="str">
            <v>Data split-10;Reg-70</v>
          </cell>
          <cell r="B3758">
            <v>-6.4</v>
          </cell>
          <cell r="C3758">
            <v>1.4</v>
          </cell>
          <cell r="D3758">
            <v>0</v>
          </cell>
          <cell r="E3758">
            <v>0</v>
          </cell>
          <cell r="F3758">
            <v>0</v>
          </cell>
          <cell r="G3758">
            <v>1.7</v>
          </cell>
          <cell r="H3758">
            <v>0</v>
          </cell>
          <cell r="I3758">
            <v>0</v>
          </cell>
          <cell r="J3758">
            <v>-0.56999999999999995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-8.3000000000000004E-2</v>
          </cell>
          <cell r="T3758">
            <v>0</v>
          </cell>
          <cell r="U3758" t="b">
            <v>1</v>
          </cell>
        </row>
        <row r="3759">
          <cell r="A3759" t="str">
            <v>Data split-10;Reg-71</v>
          </cell>
          <cell r="B3759">
            <v>-2.7</v>
          </cell>
          <cell r="C3759">
            <v>0.14000000000000001</v>
          </cell>
          <cell r="D3759">
            <v>0</v>
          </cell>
          <cell r="E3759">
            <v>0</v>
          </cell>
          <cell r="F3759">
            <v>1.6E-2</v>
          </cell>
          <cell r="G3759">
            <v>0</v>
          </cell>
          <cell r="H3759">
            <v>5.3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-0.18</v>
          </cell>
          <cell r="T3759">
            <v>0</v>
          </cell>
          <cell r="U3759" t="b">
            <v>1</v>
          </cell>
        </row>
        <row r="3760">
          <cell r="A3760" t="str">
            <v>Data split-10;Reg-72</v>
          </cell>
          <cell r="B3760">
            <v>-4.5</v>
          </cell>
          <cell r="C3760">
            <v>0.87</v>
          </cell>
          <cell r="D3760">
            <v>0</v>
          </cell>
          <cell r="E3760">
            <v>1.6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 t="b">
            <v>1</v>
          </cell>
        </row>
        <row r="3761">
          <cell r="A3761" t="str">
            <v>Data split-10;Reg-73</v>
          </cell>
          <cell r="B3761">
            <v>-5.0999999999999996</v>
          </cell>
          <cell r="C3761">
            <v>1.8</v>
          </cell>
          <cell r="D3761">
            <v>0</v>
          </cell>
          <cell r="E3761">
            <v>0</v>
          </cell>
          <cell r="F3761">
            <v>0.18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 t="b">
            <v>1</v>
          </cell>
        </row>
        <row r="3762">
          <cell r="A3762" t="str">
            <v>Data split-10;Reg-74</v>
          </cell>
          <cell r="B3762">
            <v>-2.2999999999999998</v>
          </cell>
          <cell r="C3762">
            <v>0</v>
          </cell>
          <cell r="D3762">
            <v>0.35</v>
          </cell>
          <cell r="E3762">
            <v>2.2000000000000002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 t="b">
            <v>1</v>
          </cell>
        </row>
        <row r="3763">
          <cell r="A3763" t="str">
            <v>Data split-10;Reg-75</v>
          </cell>
          <cell r="B3763">
            <v>-0.49</v>
          </cell>
          <cell r="C3763">
            <v>0</v>
          </cell>
          <cell r="D3763">
            <v>1.3</v>
          </cell>
          <cell r="E3763">
            <v>0</v>
          </cell>
          <cell r="F3763">
            <v>0.26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 t="b">
            <v>1</v>
          </cell>
        </row>
        <row r="3764">
          <cell r="A3764" t="str">
            <v>Data split-10;Reg-76</v>
          </cell>
          <cell r="B3764">
            <v>-6.1</v>
          </cell>
          <cell r="C3764">
            <v>1.2</v>
          </cell>
          <cell r="D3764">
            <v>0</v>
          </cell>
          <cell r="E3764">
            <v>0</v>
          </cell>
          <cell r="F3764">
            <v>0</v>
          </cell>
          <cell r="G3764">
            <v>1.3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 t="b">
            <v>1</v>
          </cell>
        </row>
        <row r="3765">
          <cell r="A3765" t="str">
            <v>Data split-10;Reg-77</v>
          </cell>
          <cell r="B3765">
            <v>-4.7</v>
          </cell>
          <cell r="C3765">
            <v>0.71</v>
          </cell>
          <cell r="D3765">
            <v>0</v>
          </cell>
          <cell r="E3765">
            <v>0</v>
          </cell>
          <cell r="F3765">
            <v>0</v>
          </cell>
          <cell r="G3765">
            <v>0</v>
          </cell>
          <cell r="H3765">
            <v>2.5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 t="b">
            <v>1</v>
          </cell>
        </row>
        <row r="3766">
          <cell r="A3766" t="str">
            <v>Data split-10;Reg-78</v>
          </cell>
          <cell r="B3766">
            <v>-3.3</v>
          </cell>
          <cell r="C3766">
            <v>0</v>
          </cell>
          <cell r="D3766">
            <v>0.76</v>
          </cell>
          <cell r="E3766">
            <v>0</v>
          </cell>
          <cell r="F3766">
            <v>0</v>
          </cell>
          <cell r="G3766">
            <v>1.6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 t="b">
            <v>1</v>
          </cell>
        </row>
        <row r="3767">
          <cell r="A3767" t="str">
            <v>Data split-10;Reg-79</v>
          </cell>
          <cell r="B3767">
            <v>-2.8</v>
          </cell>
          <cell r="C3767">
            <v>0</v>
          </cell>
          <cell r="D3767">
            <v>0.22</v>
          </cell>
          <cell r="E3767">
            <v>0</v>
          </cell>
          <cell r="F3767">
            <v>0</v>
          </cell>
          <cell r="G3767">
            <v>0</v>
          </cell>
          <cell r="H3767">
            <v>3.2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 t="b">
            <v>1</v>
          </cell>
        </row>
        <row r="3768">
          <cell r="A3768" t="str">
            <v>Data split-10;Reg-80</v>
          </cell>
          <cell r="B3768">
            <v>-8.5</v>
          </cell>
          <cell r="C3768">
            <v>1.7</v>
          </cell>
          <cell r="D3768">
            <v>0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2.1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 t="b">
            <v>0</v>
          </cell>
        </row>
        <row r="3769">
          <cell r="A3769" t="str">
            <v>Data split-10;Reg-81</v>
          </cell>
          <cell r="B3769">
            <v>-9.9</v>
          </cell>
          <cell r="C3769">
            <v>2</v>
          </cell>
          <cell r="D3769">
            <v>0</v>
          </cell>
          <cell r="E3769">
            <v>0</v>
          </cell>
          <cell r="F3769">
            <v>0</v>
          </cell>
          <cell r="G3769">
            <v>0</v>
          </cell>
          <cell r="H3769">
            <v>0</v>
          </cell>
          <cell r="I3769">
            <v>0</v>
          </cell>
          <cell r="J3769">
            <v>10.5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 t="b">
            <v>0</v>
          </cell>
        </row>
        <row r="3770">
          <cell r="A3770" t="str">
            <v>Data split-10;Reg-82</v>
          </cell>
          <cell r="B3770">
            <v>-6.2</v>
          </cell>
          <cell r="C3770">
            <v>0</v>
          </cell>
          <cell r="D3770">
            <v>1.3</v>
          </cell>
          <cell r="E3770">
            <v>0</v>
          </cell>
          <cell r="F3770">
            <v>0</v>
          </cell>
          <cell r="G3770">
            <v>0</v>
          </cell>
          <cell r="H3770">
            <v>0</v>
          </cell>
          <cell r="I3770">
            <v>3.2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 t="b">
            <v>0</v>
          </cell>
        </row>
        <row r="3771">
          <cell r="A3771" t="str">
            <v>Data split-10;Reg-83</v>
          </cell>
          <cell r="B3771">
            <v>-10.199999999999999</v>
          </cell>
          <cell r="C3771">
            <v>0</v>
          </cell>
          <cell r="D3771">
            <v>1.6</v>
          </cell>
          <cell r="E3771">
            <v>0</v>
          </cell>
          <cell r="F3771">
            <v>0</v>
          </cell>
          <cell r="G3771">
            <v>0</v>
          </cell>
          <cell r="H3771">
            <v>0</v>
          </cell>
          <cell r="I3771">
            <v>0</v>
          </cell>
          <cell r="J3771">
            <v>23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 t="b">
            <v>0</v>
          </cell>
        </row>
        <row r="3772">
          <cell r="A3772" t="str">
            <v>Data split-10;Reg-84</v>
          </cell>
          <cell r="B3772">
            <v>-8.1999999999999993</v>
          </cell>
          <cell r="C3772">
            <v>2</v>
          </cell>
          <cell r="D3772">
            <v>0</v>
          </cell>
          <cell r="E3772">
            <v>0</v>
          </cell>
          <cell r="F3772">
            <v>0</v>
          </cell>
          <cell r="G3772">
            <v>0</v>
          </cell>
          <cell r="H3772">
            <v>0</v>
          </cell>
          <cell r="I3772">
            <v>0</v>
          </cell>
          <cell r="J3772">
            <v>0</v>
          </cell>
          <cell r="K3772">
            <v>0.44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 t="b">
            <v>0</v>
          </cell>
        </row>
        <row r="3773">
          <cell r="A3773" t="str">
            <v>Data split-10;Reg-85</v>
          </cell>
          <cell r="B3773">
            <v>-7.4</v>
          </cell>
          <cell r="C3773">
            <v>2</v>
          </cell>
          <cell r="D3773">
            <v>0</v>
          </cell>
          <cell r="E3773">
            <v>0</v>
          </cell>
          <cell r="F3773">
            <v>0</v>
          </cell>
          <cell r="G3773">
            <v>0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1.1000000000000001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 t="b">
            <v>0</v>
          </cell>
        </row>
        <row r="3774">
          <cell r="A3774" t="str">
            <v>Data split-10;Reg-86</v>
          </cell>
          <cell r="B3774">
            <v>-7</v>
          </cell>
          <cell r="C3774">
            <v>0</v>
          </cell>
          <cell r="D3774">
            <v>1.6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0</v>
          </cell>
          <cell r="J3774">
            <v>0</v>
          </cell>
          <cell r="K3774">
            <v>1.2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 t="b">
            <v>0</v>
          </cell>
        </row>
        <row r="3775">
          <cell r="A3775" t="str">
            <v>Data split-10;Reg-87</v>
          </cell>
          <cell r="B3775">
            <v>-8.4</v>
          </cell>
          <cell r="C3775">
            <v>0</v>
          </cell>
          <cell r="D3775">
            <v>1.7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6.7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 t="b">
            <v>0</v>
          </cell>
        </row>
        <row r="3776">
          <cell r="A3776" t="str">
            <v>Data split-10;Reg-88</v>
          </cell>
          <cell r="B3776">
            <v>-6.1</v>
          </cell>
          <cell r="C3776">
            <v>1.8</v>
          </cell>
          <cell r="D3776">
            <v>0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4.1000000000000002E-2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 t="b">
            <v>0</v>
          </cell>
        </row>
        <row r="3777">
          <cell r="A3777" t="str">
            <v>Data split-10;Reg-89</v>
          </cell>
          <cell r="B3777">
            <v>-5.9</v>
          </cell>
          <cell r="C3777">
            <v>1.6</v>
          </cell>
          <cell r="D3777">
            <v>0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1.4E-2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 t="b">
            <v>0</v>
          </cell>
        </row>
        <row r="3778">
          <cell r="A3778" t="str">
            <v>Data split-10;Reg-90</v>
          </cell>
          <cell r="B3778">
            <v>-1.8</v>
          </cell>
          <cell r="C3778">
            <v>0</v>
          </cell>
          <cell r="D3778">
            <v>1.2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8.5000000000000006E-2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 t="b">
            <v>0</v>
          </cell>
        </row>
        <row r="3779">
          <cell r="A3779" t="str">
            <v>Data split-10;Reg-91</v>
          </cell>
          <cell r="B3779">
            <v>-2.1</v>
          </cell>
          <cell r="C3779">
            <v>0</v>
          </cell>
          <cell r="D3779">
            <v>1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2.3E-2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 t="b">
            <v>0</v>
          </cell>
        </row>
        <row r="3780">
          <cell r="A3780" t="str">
            <v>Data split-10;Reg-92</v>
          </cell>
          <cell r="B3780">
            <v>-5.9</v>
          </cell>
          <cell r="C3780">
            <v>1.7</v>
          </cell>
          <cell r="D3780">
            <v>0</v>
          </cell>
          <cell r="E3780">
            <v>0</v>
          </cell>
          <cell r="F3780">
            <v>0</v>
          </cell>
          <cell r="G3780">
            <v>0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7.3999999999999996E-2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 t="b">
            <v>0</v>
          </cell>
        </row>
        <row r="3781">
          <cell r="A3781" t="str">
            <v>Data split-10;Reg-93</v>
          </cell>
          <cell r="B3781">
            <v>-5.6</v>
          </cell>
          <cell r="C3781">
            <v>1.6</v>
          </cell>
          <cell r="D3781">
            <v>0</v>
          </cell>
          <cell r="E3781">
            <v>0</v>
          </cell>
          <cell r="F3781">
            <v>0</v>
          </cell>
          <cell r="G3781">
            <v>0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1.6E-2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 t="b">
            <v>0</v>
          </cell>
        </row>
        <row r="3782">
          <cell r="A3782" t="str">
            <v>Data split-10;Reg-94</v>
          </cell>
          <cell r="B3782">
            <v>-1.4</v>
          </cell>
          <cell r="C3782">
            <v>0</v>
          </cell>
          <cell r="D3782">
            <v>1.3</v>
          </cell>
          <cell r="E3782">
            <v>0</v>
          </cell>
          <cell r="F3782">
            <v>0</v>
          </cell>
          <cell r="G3782">
            <v>0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8.6999999999999994E-2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 t="b">
            <v>0</v>
          </cell>
        </row>
        <row r="3783">
          <cell r="A3783" t="str">
            <v>Data split-10;Reg-95</v>
          </cell>
          <cell r="B3783">
            <v>-1.2</v>
          </cell>
          <cell r="C3783">
            <v>0</v>
          </cell>
          <cell r="D3783">
            <v>1.2</v>
          </cell>
          <cell r="E3783">
            <v>0</v>
          </cell>
          <cell r="F3783">
            <v>0</v>
          </cell>
          <cell r="G3783">
            <v>0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1.9E-2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 t="b">
            <v>0</v>
          </cell>
        </row>
        <row r="3784">
          <cell r="A3784" t="str">
            <v>Data split-10;Reg-96</v>
          </cell>
          <cell r="B3784">
            <v>-4.9000000000000004</v>
          </cell>
          <cell r="C3784">
            <v>0.9</v>
          </cell>
          <cell r="D3784">
            <v>0</v>
          </cell>
          <cell r="E3784">
            <v>1.5</v>
          </cell>
          <cell r="F3784">
            <v>0</v>
          </cell>
          <cell r="G3784">
            <v>0</v>
          </cell>
          <cell r="H3784">
            <v>0</v>
          </cell>
          <cell r="I3784">
            <v>0.25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 t="b">
            <v>0</v>
          </cell>
        </row>
        <row r="3785">
          <cell r="A3785" t="str">
            <v>Data split-10;Reg-97</v>
          </cell>
          <cell r="B3785">
            <v>-5.5</v>
          </cell>
          <cell r="C3785">
            <v>0.9</v>
          </cell>
          <cell r="D3785">
            <v>0</v>
          </cell>
          <cell r="E3785">
            <v>1.6</v>
          </cell>
          <cell r="F3785">
            <v>0</v>
          </cell>
          <cell r="G3785">
            <v>0</v>
          </cell>
          <cell r="H3785">
            <v>0</v>
          </cell>
          <cell r="I3785">
            <v>0</v>
          </cell>
          <cell r="J3785">
            <v>2.8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 t="b">
            <v>0</v>
          </cell>
        </row>
        <row r="3786">
          <cell r="A3786" t="str">
            <v>Data split-10;Reg-98</v>
          </cell>
          <cell r="B3786">
            <v>-7.3</v>
          </cell>
          <cell r="C3786">
            <v>1.6</v>
          </cell>
          <cell r="D3786">
            <v>0</v>
          </cell>
          <cell r="E3786">
            <v>0</v>
          </cell>
          <cell r="F3786">
            <v>0.11</v>
          </cell>
          <cell r="G3786">
            <v>0</v>
          </cell>
          <cell r="H3786">
            <v>0</v>
          </cell>
          <cell r="I3786">
            <v>1.7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 t="b">
            <v>0</v>
          </cell>
        </row>
        <row r="3787">
          <cell r="A3787" t="str">
            <v>Data split-10;Reg-99</v>
          </cell>
          <cell r="B3787">
            <v>-8.1</v>
          </cell>
          <cell r="C3787">
            <v>1.7</v>
          </cell>
          <cell r="D3787">
            <v>0</v>
          </cell>
          <cell r="E3787">
            <v>0</v>
          </cell>
          <cell r="F3787">
            <v>0.16</v>
          </cell>
          <cell r="G3787">
            <v>0</v>
          </cell>
          <cell r="H3787">
            <v>0</v>
          </cell>
          <cell r="I3787">
            <v>0</v>
          </cell>
          <cell r="J3787">
            <v>8.8000000000000007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 t="b">
            <v>0</v>
          </cell>
        </row>
        <row r="3788">
          <cell r="A3788" t="str">
            <v>Data split-10;Reg-100</v>
          </cell>
          <cell r="B3788">
            <v>-2.4</v>
          </cell>
          <cell r="C3788">
            <v>0</v>
          </cell>
          <cell r="D3788">
            <v>0.35</v>
          </cell>
          <cell r="E3788">
            <v>2.2000000000000002</v>
          </cell>
          <cell r="F3788">
            <v>0</v>
          </cell>
          <cell r="G3788">
            <v>0</v>
          </cell>
          <cell r="H3788">
            <v>0</v>
          </cell>
          <cell r="I3788">
            <v>2.3E-2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 t="b">
            <v>0</v>
          </cell>
        </row>
        <row r="3789">
          <cell r="A3789" t="str">
            <v>Data split-10;Reg-101</v>
          </cell>
          <cell r="B3789">
            <v>-4.2</v>
          </cell>
          <cell r="C3789">
            <v>0</v>
          </cell>
          <cell r="D3789">
            <v>0.47</v>
          </cell>
          <cell r="E3789">
            <v>2</v>
          </cell>
          <cell r="F3789">
            <v>0</v>
          </cell>
          <cell r="G3789">
            <v>0</v>
          </cell>
          <cell r="H3789">
            <v>0</v>
          </cell>
          <cell r="I3789">
            <v>0</v>
          </cell>
          <cell r="J3789">
            <v>5.0999999999999996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 t="b">
            <v>0</v>
          </cell>
        </row>
        <row r="3790">
          <cell r="A3790" t="str">
            <v>Data split-10;Reg-102</v>
          </cell>
          <cell r="B3790">
            <v>-4.9000000000000004</v>
          </cell>
          <cell r="C3790">
            <v>0</v>
          </cell>
          <cell r="D3790">
            <v>1.2</v>
          </cell>
          <cell r="E3790">
            <v>0</v>
          </cell>
          <cell r="F3790">
            <v>0.13</v>
          </cell>
          <cell r="G3790">
            <v>0</v>
          </cell>
          <cell r="H3790">
            <v>0</v>
          </cell>
          <cell r="I3790">
            <v>2.6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 t="b">
            <v>0</v>
          </cell>
        </row>
        <row r="3791">
          <cell r="A3791" t="str">
            <v>Data split-10;Reg-103</v>
          </cell>
          <cell r="B3791">
            <v>-8.1</v>
          </cell>
          <cell r="C3791">
            <v>0</v>
          </cell>
          <cell r="D3791">
            <v>1.4</v>
          </cell>
          <cell r="E3791">
            <v>0</v>
          </cell>
          <cell r="F3791">
            <v>0.19</v>
          </cell>
          <cell r="G3791">
            <v>0</v>
          </cell>
          <cell r="H3791">
            <v>0</v>
          </cell>
          <cell r="I3791">
            <v>0</v>
          </cell>
          <cell r="J3791">
            <v>19.3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 t="b">
            <v>0</v>
          </cell>
        </row>
        <row r="3792">
          <cell r="A3792" t="str">
            <v>Data split-10;Reg-104</v>
          </cell>
          <cell r="B3792">
            <v>-3.8</v>
          </cell>
          <cell r="C3792">
            <v>0.85</v>
          </cell>
          <cell r="D3792">
            <v>0</v>
          </cell>
          <cell r="E3792">
            <v>1.7</v>
          </cell>
          <cell r="F3792">
            <v>0</v>
          </cell>
          <cell r="G3792">
            <v>0</v>
          </cell>
          <cell r="H3792">
            <v>0</v>
          </cell>
          <cell r="I3792">
            <v>0</v>
          </cell>
          <cell r="J3792">
            <v>0</v>
          </cell>
          <cell r="K3792">
            <v>-0.17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 t="b">
            <v>1</v>
          </cell>
        </row>
        <row r="3793">
          <cell r="A3793" t="str">
            <v>Data split-10;Reg-105</v>
          </cell>
          <cell r="B3793">
            <v>-4.9000000000000004</v>
          </cell>
          <cell r="C3793">
            <v>0.87</v>
          </cell>
          <cell r="D3793">
            <v>0</v>
          </cell>
          <cell r="E3793">
            <v>1.6</v>
          </cell>
          <cell r="F3793">
            <v>0</v>
          </cell>
          <cell r="G3793">
            <v>0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0.4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 t="b">
            <v>0</v>
          </cell>
        </row>
        <row r="3794">
          <cell r="A3794" t="str">
            <v>Data split-10;Reg-106</v>
          </cell>
          <cell r="B3794">
            <v>-6.6</v>
          </cell>
          <cell r="C3794">
            <v>1.7</v>
          </cell>
          <cell r="D3794">
            <v>0</v>
          </cell>
          <cell r="E3794">
            <v>0</v>
          </cell>
          <cell r="F3794">
            <v>0.17</v>
          </cell>
          <cell r="G3794">
            <v>0</v>
          </cell>
          <cell r="H3794">
            <v>0</v>
          </cell>
          <cell r="I3794">
            <v>0</v>
          </cell>
          <cell r="J3794">
            <v>0</v>
          </cell>
          <cell r="K3794">
            <v>0.36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 t="b">
            <v>0</v>
          </cell>
        </row>
        <row r="3795">
          <cell r="A3795" t="str">
            <v>Data split-10;Reg-107</v>
          </cell>
          <cell r="B3795">
            <v>-6</v>
          </cell>
          <cell r="C3795">
            <v>1.8</v>
          </cell>
          <cell r="D3795">
            <v>0</v>
          </cell>
          <cell r="E3795">
            <v>0</v>
          </cell>
          <cell r="F3795">
            <v>0.18</v>
          </cell>
          <cell r="G3795">
            <v>0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0.97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 t="b">
            <v>0</v>
          </cell>
        </row>
        <row r="3796">
          <cell r="A3796" t="str">
            <v>Data split-10;Reg-108</v>
          </cell>
          <cell r="B3796">
            <v>-1.7</v>
          </cell>
          <cell r="C3796">
            <v>0</v>
          </cell>
          <cell r="D3796">
            <v>0.33</v>
          </cell>
          <cell r="E3796">
            <v>2.2000000000000002</v>
          </cell>
          <cell r="F3796">
            <v>0</v>
          </cell>
          <cell r="G3796">
            <v>0</v>
          </cell>
          <cell r="H3796">
            <v>0</v>
          </cell>
          <cell r="I3796">
            <v>0</v>
          </cell>
          <cell r="J3796">
            <v>0</v>
          </cell>
          <cell r="K3796">
            <v>-0.13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 t="b">
            <v>1</v>
          </cell>
        </row>
        <row r="3797">
          <cell r="A3797" t="str">
            <v>Data split-10;Reg-109</v>
          </cell>
          <cell r="B3797">
            <v>-3.9</v>
          </cell>
          <cell r="C3797">
            <v>0</v>
          </cell>
          <cell r="D3797">
            <v>0.41</v>
          </cell>
          <cell r="E3797">
            <v>2.1</v>
          </cell>
          <cell r="F3797">
            <v>0</v>
          </cell>
          <cell r="G3797">
            <v>0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1.5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 t="b">
            <v>0</v>
          </cell>
        </row>
        <row r="3798">
          <cell r="A3798" t="str">
            <v>Data split-10;Reg-110</v>
          </cell>
          <cell r="B3798">
            <v>-5</v>
          </cell>
          <cell r="C3798">
            <v>0</v>
          </cell>
          <cell r="D3798">
            <v>1.3</v>
          </cell>
          <cell r="E3798">
            <v>0</v>
          </cell>
          <cell r="F3798">
            <v>0.23</v>
          </cell>
          <cell r="G3798">
            <v>0</v>
          </cell>
          <cell r="H3798">
            <v>0</v>
          </cell>
          <cell r="I3798">
            <v>0</v>
          </cell>
          <cell r="J3798">
            <v>0</v>
          </cell>
          <cell r="K3798">
            <v>0.96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 t="b">
            <v>0</v>
          </cell>
        </row>
        <row r="3799">
          <cell r="A3799" t="str">
            <v>Data split-10;Reg-111</v>
          </cell>
          <cell r="B3799">
            <v>-6.4</v>
          </cell>
          <cell r="C3799">
            <v>0</v>
          </cell>
          <cell r="D3799">
            <v>1.4</v>
          </cell>
          <cell r="E3799">
            <v>0</v>
          </cell>
          <cell r="F3799">
            <v>0.24</v>
          </cell>
          <cell r="G3799">
            <v>0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5.6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 t="b">
            <v>0</v>
          </cell>
        </row>
        <row r="3800">
          <cell r="A3800" t="str">
            <v>Data split-10;Reg-112</v>
          </cell>
          <cell r="B3800">
            <v>-5.5</v>
          </cell>
          <cell r="C3800">
            <v>1.2</v>
          </cell>
          <cell r="D3800">
            <v>0</v>
          </cell>
          <cell r="E3800">
            <v>0</v>
          </cell>
          <cell r="F3800">
            <v>0</v>
          </cell>
          <cell r="G3800">
            <v>1.4</v>
          </cell>
          <cell r="H3800">
            <v>0</v>
          </cell>
          <cell r="I3800">
            <v>-0.59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 t="b">
            <v>1</v>
          </cell>
        </row>
        <row r="3801">
          <cell r="A3801" t="str">
            <v>Data split-10;Reg-113</v>
          </cell>
          <cell r="B3801">
            <v>-6</v>
          </cell>
          <cell r="C3801">
            <v>1.2</v>
          </cell>
          <cell r="D3801">
            <v>0</v>
          </cell>
          <cell r="E3801">
            <v>0</v>
          </cell>
          <cell r="F3801">
            <v>0</v>
          </cell>
          <cell r="G3801">
            <v>1.3</v>
          </cell>
          <cell r="H3801">
            <v>0</v>
          </cell>
          <cell r="I3801">
            <v>0</v>
          </cell>
          <cell r="J3801">
            <v>-0.35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 t="b">
            <v>1</v>
          </cell>
        </row>
        <row r="3802">
          <cell r="A3802" t="str">
            <v>Data split-10;Reg-114</v>
          </cell>
          <cell r="B3802">
            <v>-3.9</v>
          </cell>
          <cell r="C3802">
            <v>0.64</v>
          </cell>
          <cell r="D3802">
            <v>0</v>
          </cell>
          <cell r="E3802">
            <v>0</v>
          </cell>
          <cell r="F3802">
            <v>0</v>
          </cell>
          <cell r="G3802">
            <v>0</v>
          </cell>
          <cell r="H3802">
            <v>2.8</v>
          </cell>
          <cell r="I3802">
            <v>-0.56999999999999995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 t="b">
            <v>1</v>
          </cell>
        </row>
        <row r="3803">
          <cell r="A3803" t="str">
            <v>Data split-10;Reg-115</v>
          </cell>
          <cell r="B3803">
            <v>-5</v>
          </cell>
          <cell r="C3803">
            <v>0.72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2.5</v>
          </cell>
          <cell r="I3803">
            <v>0</v>
          </cell>
          <cell r="J3803">
            <v>1.1000000000000001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 t="b">
            <v>0</v>
          </cell>
        </row>
        <row r="3804">
          <cell r="A3804" t="str">
            <v>Data split-10;Reg-116</v>
          </cell>
          <cell r="B3804">
            <v>-3.4</v>
          </cell>
          <cell r="C3804">
            <v>0</v>
          </cell>
          <cell r="D3804">
            <v>0.77</v>
          </cell>
          <cell r="E3804">
            <v>0</v>
          </cell>
          <cell r="F3804">
            <v>0</v>
          </cell>
          <cell r="G3804">
            <v>1.5</v>
          </cell>
          <cell r="H3804">
            <v>0</v>
          </cell>
          <cell r="I3804">
            <v>8.6999999999999994E-2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 t="b">
            <v>0</v>
          </cell>
        </row>
        <row r="3805">
          <cell r="A3805" t="str">
            <v>Data split-10;Reg-117</v>
          </cell>
          <cell r="B3805">
            <v>-5.4</v>
          </cell>
          <cell r="C3805">
            <v>0</v>
          </cell>
          <cell r="D3805">
            <v>0.85</v>
          </cell>
          <cell r="E3805">
            <v>0</v>
          </cell>
          <cell r="F3805">
            <v>0</v>
          </cell>
          <cell r="G3805">
            <v>1.4</v>
          </cell>
          <cell r="H3805">
            <v>0</v>
          </cell>
          <cell r="I3805">
            <v>0</v>
          </cell>
          <cell r="J3805">
            <v>6.1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 t="b">
            <v>0</v>
          </cell>
        </row>
        <row r="3806">
          <cell r="A3806" t="str">
            <v>Data split-10;Reg-118</v>
          </cell>
          <cell r="B3806">
            <v>-1.3</v>
          </cell>
          <cell r="C3806">
            <v>0</v>
          </cell>
          <cell r="D3806">
            <v>0.04</v>
          </cell>
          <cell r="E3806">
            <v>0</v>
          </cell>
          <cell r="F3806">
            <v>0</v>
          </cell>
          <cell r="G3806">
            <v>0</v>
          </cell>
          <cell r="H3806">
            <v>3.9</v>
          </cell>
          <cell r="I3806">
            <v>-1.2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 t="b">
            <v>1</v>
          </cell>
        </row>
        <row r="3807">
          <cell r="A3807" t="str">
            <v>Data split-10;Reg-119</v>
          </cell>
          <cell r="B3807">
            <v>-3.3</v>
          </cell>
          <cell r="C3807">
            <v>0</v>
          </cell>
          <cell r="D3807">
            <v>0.26</v>
          </cell>
          <cell r="E3807">
            <v>0</v>
          </cell>
          <cell r="F3807">
            <v>0</v>
          </cell>
          <cell r="G3807">
            <v>0</v>
          </cell>
          <cell r="H3807">
            <v>3.1</v>
          </cell>
          <cell r="I3807">
            <v>0</v>
          </cell>
          <cell r="J3807">
            <v>1.6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 t="b">
            <v>0</v>
          </cell>
        </row>
        <row r="3808">
          <cell r="A3808" t="str">
            <v>Data split-10;Reg-120</v>
          </cell>
          <cell r="B3808">
            <v>-4.7</v>
          </cell>
          <cell r="C3808">
            <v>1.2</v>
          </cell>
          <cell r="D3808">
            <v>0</v>
          </cell>
          <cell r="E3808">
            <v>0</v>
          </cell>
          <cell r="F3808">
            <v>0</v>
          </cell>
          <cell r="G3808">
            <v>1.3</v>
          </cell>
          <cell r="H3808">
            <v>0</v>
          </cell>
          <cell r="I3808">
            <v>0</v>
          </cell>
          <cell r="J3808">
            <v>0</v>
          </cell>
          <cell r="K3808">
            <v>-0.34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 t="b">
            <v>1</v>
          </cell>
        </row>
        <row r="3809">
          <cell r="A3809" t="str">
            <v>Data split-10;Reg-121</v>
          </cell>
          <cell r="B3809">
            <v>-6</v>
          </cell>
          <cell r="C3809">
            <v>1.2</v>
          </cell>
          <cell r="D3809">
            <v>0</v>
          </cell>
          <cell r="E3809">
            <v>0</v>
          </cell>
          <cell r="F3809">
            <v>0</v>
          </cell>
          <cell r="G3809">
            <v>1.3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-0.14000000000000001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 t="b">
            <v>1</v>
          </cell>
        </row>
        <row r="3810">
          <cell r="A3810" t="str">
            <v>Data split-10;Reg-122</v>
          </cell>
          <cell r="B3810">
            <v>-3.7</v>
          </cell>
          <cell r="C3810">
            <v>0.7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2.6</v>
          </cell>
          <cell r="I3810">
            <v>0</v>
          </cell>
          <cell r="J3810">
            <v>0</v>
          </cell>
          <cell r="K3810">
            <v>-0.22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 t="b">
            <v>1</v>
          </cell>
        </row>
        <row r="3811">
          <cell r="A3811" t="str">
            <v>Data split-10;Reg-123</v>
          </cell>
          <cell r="B3811">
            <v>-5.4</v>
          </cell>
          <cell r="C3811">
            <v>0.71</v>
          </cell>
          <cell r="D3811">
            <v>0</v>
          </cell>
          <cell r="E3811">
            <v>0</v>
          </cell>
          <cell r="F3811">
            <v>0</v>
          </cell>
          <cell r="G3811">
            <v>0</v>
          </cell>
          <cell r="H3811">
            <v>2.5</v>
          </cell>
          <cell r="I3811">
            <v>0</v>
          </cell>
          <cell r="J3811">
            <v>0</v>
          </cell>
          <cell r="K3811">
            <v>0</v>
          </cell>
          <cell r="L3811">
            <v>0.79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 t="b">
            <v>0</v>
          </cell>
        </row>
        <row r="3812">
          <cell r="A3812" t="str">
            <v>Data split-10;Reg-124</v>
          </cell>
          <cell r="B3812">
            <v>-3.1</v>
          </cell>
          <cell r="C3812">
            <v>0</v>
          </cell>
          <cell r="D3812">
            <v>0.76</v>
          </cell>
          <cell r="E3812">
            <v>0</v>
          </cell>
          <cell r="F3812">
            <v>0</v>
          </cell>
          <cell r="G3812">
            <v>1.6</v>
          </cell>
          <cell r="H3812">
            <v>0</v>
          </cell>
          <cell r="I3812">
            <v>0</v>
          </cell>
          <cell r="J3812">
            <v>0</v>
          </cell>
          <cell r="K3812">
            <v>-4.5999999999999999E-2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 t="b">
            <v>1</v>
          </cell>
        </row>
        <row r="3813">
          <cell r="A3813" t="str">
            <v>Data split-10;Reg-125</v>
          </cell>
          <cell r="B3813">
            <v>-5.6</v>
          </cell>
          <cell r="C3813">
            <v>0</v>
          </cell>
          <cell r="D3813">
            <v>0.82</v>
          </cell>
          <cell r="E3813">
            <v>0</v>
          </cell>
          <cell r="F3813">
            <v>0</v>
          </cell>
          <cell r="G3813">
            <v>1.5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2.2999999999999998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 t="b">
            <v>0</v>
          </cell>
        </row>
        <row r="3814">
          <cell r="A3814" t="str">
            <v>Data split-10;Reg-126</v>
          </cell>
          <cell r="B3814">
            <v>-1.8</v>
          </cell>
          <cell r="C3814">
            <v>0</v>
          </cell>
          <cell r="D3814">
            <v>0.19</v>
          </cell>
          <cell r="E3814">
            <v>0</v>
          </cell>
          <cell r="F3814">
            <v>0</v>
          </cell>
          <cell r="G3814">
            <v>0</v>
          </cell>
          <cell r="H3814">
            <v>3.3</v>
          </cell>
          <cell r="I3814">
            <v>0</v>
          </cell>
          <cell r="J3814">
            <v>0</v>
          </cell>
          <cell r="K3814">
            <v>-0.22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 t="b">
            <v>1</v>
          </cell>
        </row>
        <row r="3815">
          <cell r="A3815" t="str">
            <v>Data split-10;Reg-127</v>
          </cell>
          <cell r="B3815">
            <v>-4.4000000000000004</v>
          </cell>
          <cell r="C3815">
            <v>0</v>
          </cell>
          <cell r="D3815">
            <v>0.28000000000000003</v>
          </cell>
          <cell r="E3815">
            <v>0</v>
          </cell>
          <cell r="F3815">
            <v>0</v>
          </cell>
          <cell r="G3815">
            <v>0</v>
          </cell>
          <cell r="H3815">
            <v>3.1</v>
          </cell>
          <cell r="I3815">
            <v>0</v>
          </cell>
          <cell r="J3815">
            <v>0</v>
          </cell>
          <cell r="K3815">
            <v>0</v>
          </cell>
          <cell r="L3815">
            <v>1.6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 t="b">
            <v>0</v>
          </cell>
        </row>
        <row r="3816">
          <cell r="A3816" t="str">
            <v>Data split-11;Reg-1</v>
          </cell>
          <cell r="B3816">
            <v>-6.9</v>
          </cell>
          <cell r="C3816">
            <v>1.9</v>
          </cell>
          <cell r="D3816">
            <v>0</v>
          </cell>
          <cell r="E3816">
            <v>0</v>
          </cell>
          <cell r="F3816">
            <v>0.18</v>
          </cell>
          <cell r="G3816">
            <v>0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0.97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 t="b">
            <v>0</v>
          </cell>
        </row>
        <row r="3817">
          <cell r="A3817" t="str">
            <v>Data split-11;Reg-2</v>
          </cell>
          <cell r="B3817">
            <v>-7.7</v>
          </cell>
          <cell r="C3817">
            <v>1.9</v>
          </cell>
          <cell r="D3817">
            <v>0</v>
          </cell>
          <cell r="E3817">
            <v>0</v>
          </cell>
          <cell r="F3817">
            <v>0.1</v>
          </cell>
          <cell r="G3817">
            <v>1.5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-0.14000000000000001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 t="b">
            <v>1</v>
          </cell>
        </row>
        <row r="3818">
          <cell r="A3818" t="str">
            <v>Data split-11;Reg-3</v>
          </cell>
          <cell r="B3818">
            <v>-7.7</v>
          </cell>
          <cell r="C3818">
            <v>1.8</v>
          </cell>
          <cell r="D3818">
            <v>0</v>
          </cell>
          <cell r="E3818">
            <v>0</v>
          </cell>
          <cell r="F3818">
            <v>0.11</v>
          </cell>
          <cell r="G3818">
            <v>1.4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-2.1999999999999999E-2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 t="b">
            <v>1</v>
          </cell>
        </row>
        <row r="3819">
          <cell r="A3819" t="str">
            <v>Data split-11;Reg-4</v>
          </cell>
          <cell r="B3819">
            <v>-6.1</v>
          </cell>
          <cell r="C3819">
            <v>1.3</v>
          </cell>
          <cell r="D3819">
            <v>0</v>
          </cell>
          <cell r="E3819">
            <v>0</v>
          </cell>
          <cell r="F3819">
            <v>7.5999999999999998E-2</v>
          </cell>
          <cell r="G3819">
            <v>0</v>
          </cell>
          <cell r="H3819">
            <v>3.1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-0.14000000000000001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 t="b">
            <v>1</v>
          </cell>
        </row>
        <row r="3820">
          <cell r="A3820" t="str">
            <v>Data split-11;Reg-5</v>
          </cell>
          <cell r="B3820">
            <v>-3.7</v>
          </cell>
          <cell r="C3820">
            <v>0</v>
          </cell>
          <cell r="D3820">
            <v>1</v>
          </cell>
          <cell r="E3820">
            <v>0</v>
          </cell>
          <cell r="F3820">
            <v>8.5000000000000006E-2</v>
          </cell>
          <cell r="G3820">
            <v>0</v>
          </cell>
          <cell r="H3820">
            <v>3.4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-0.14000000000000001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 t="b">
            <v>1</v>
          </cell>
        </row>
        <row r="3821">
          <cell r="A3821" t="str">
            <v>Data split-11;Reg-6</v>
          </cell>
          <cell r="B3821">
            <v>-5.5</v>
          </cell>
          <cell r="C3821">
            <v>1.5</v>
          </cell>
          <cell r="D3821">
            <v>0</v>
          </cell>
          <cell r="E3821">
            <v>1.6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-0.63</v>
          </cell>
          <cell r="M3821">
            <v>-8.6999999999999994E-2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 t="b">
            <v>1</v>
          </cell>
        </row>
        <row r="3822">
          <cell r="A3822" t="str">
            <v>Data split-11;Reg-7</v>
          </cell>
          <cell r="B3822">
            <v>-7.2</v>
          </cell>
          <cell r="C3822">
            <v>1.8</v>
          </cell>
          <cell r="D3822">
            <v>0</v>
          </cell>
          <cell r="E3822">
            <v>0</v>
          </cell>
          <cell r="F3822">
            <v>0.17</v>
          </cell>
          <cell r="G3822">
            <v>0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1.1000000000000001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1.7999999999999999E-2</v>
          </cell>
          <cell r="T3822">
            <v>0</v>
          </cell>
          <cell r="U3822" t="b">
            <v>0</v>
          </cell>
        </row>
        <row r="3823">
          <cell r="A3823" t="str">
            <v>Data split-11;Reg-8</v>
          </cell>
          <cell r="B3823">
            <v>-5.7</v>
          </cell>
          <cell r="C3823">
            <v>1.9</v>
          </cell>
          <cell r="D3823">
            <v>0</v>
          </cell>
          <cell r="E3823">
            <v>0</v>
          </cell>
          <cell r="F3823">
            <v>0</v>
          </cell>
          <cell r="G3823">
            <v>1.5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-2.8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-0.11</v>
          </cell>
          <cell r="T3823">
            <v>0</v>
          </cell>
          <cell r="U3823" t="b">
            <v>1</v>
          </cell>
        </row>
        <row r="3824">
          <cell r="A3824" t="str">
            <v>Data split-11;Reg-9</v>
          </cell>
          <cell r="B3824">
            <v>-4.5999999999999996</v>
          </cell>
          <cell r="C3824">
            <v>0</v>
          </cell>
          <cell r="D3824">
            <v>0.91</v>
          </cell>
          <cell r="E3824">
            <v>0</v>
          </cell>
          <cell r="F3824">
            <v>0</v>
          </cell>
          <cell r="G3824">
            <v>0</v>
          </cell>
          <cell r="H3824">
            <v>4.0999999999999996</v>
          </cell>
          <cell r="I3824">
            <v>0</v>
          </cell>
          <cell r="J3824">
            <v>0</v>
          </cell>
          <cell r="K3824">
            <v>0</v>
          </cell>
          <cell r="L3824">
            <v>0.8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-0.16</v>
          </cell>
          <cell r="T3824">
            <v>0</v>
          </cell>
          <cell r="U3824" t="b">
            <v>0</v>
          </cell>
        </row>
        <row r="3825">
          <cell r="A3825" t="str">
            <v>Data split-11;Reg-10</v>
          </cell>
          <cell r="B3825">
            <v>-4.5999999999999996</v>
          </cell>
          <cell r="C3825">
            <v>0</v>
          </cell>
          <cell r="D3825">
            <v>0.91</v>
          </cell>
          <cell r="E3825">
            <v>0</v>
          </cell>
          <cell r="F3825">
            <v>0</v>
          </cell>
          <cell r="G3825">
            <v>0</v>
          </cell>
          <cell r="H3825">
            <v>4.0999999999999996</v>
          </cell>
          <cell r="I3825">
            <v>0</v>
          </cell>
          <cell r="J3825">
            <v>0</v>
          </cell>
          <cell r="K3825">
            <v>0</v>
          </cell>
          <cell r="L3825">
            <v>0.8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-0.16</v>
          </cell>
          <cell r="T3825">
            <v>0</v>
          </cell>
          <cell r="U3825" t="b">
            <v>0</v>
          </cell>
        </row>
        <row r="3826">
          <cell r="A3826" t="str">
            <v>Data split-11;Reg-11</v>
          </cell>
          <cell r="B3826">
            <v>-8.5</v>
          </cell>
          <cell r="C3826">
            <v>1.7</v>
          </cell>
          <cell r="D3826">
            <v>0</v>
          </cell>
          <cell r="E3826">
            <v>-0.36</v>
          </cell>
          <cell r="F3826">
            <v>0</v>
          </cell>
          <cell r="G3826">
            <v>1.1000000000000001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 t="b">
            <v>0</v>
          </cell>
        </row>
        <row r="3827">
          <cell r="A3827" t="str">
            <v>Data split-11;Reg-12</v>
          </cell>
          <cell r="B3827">
            <v>-7.6</v>
          </cell>
          <cell r="C3827">
            <v>1.3</v>
          </cell>
          <cell r="D3827">
            <v>0</v>
          </cell>
          <cell r="E3827">
            <v>-1.3</v>
          </cell>
          <cell r="F3827">
            <v>0</v>
          </cell>
          <cell r="G3827">
            <v>0</v>
          </cell>
          <cell r="H3827">
            <v>3.5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 t="b">
            <v>0</v>
          </cell>
        </row>
        <row r="3828">
          <cell r="A3828" t="str">
            <v>Data split-11;Reg-13</v>
          </cell>
          <cell r="B3828">
            <v>-7.3</v>
          </cell>
          <cell r="C3828">
            <v>1.5</v>
          </cell>
          <cell r="D3828">
            <v>0</v>
          </cell>
          <cell r="E3828">
            <v>0</v>
          </cell>
          <cell r="F3828">
            <v>0.1</v>
          </cell>
          <cell r="G3828">
            <v>0.84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 t="b">
            <v>1</v>
          </cell>
        </row>
        <row r="3829">
          <cell r="A3829" t="str">
            <v>Data split-11;Reg-14</v>
          </cell>
          <cell r="B3829">
            <v>-6.4</v>
          </cell>
          <cell r="C3829">
            <v>1.2</v>
          </cell>
          <cell r="D3829">
            <v>0</v>
          </cell>
          <cell r="E3829">
            <v>0</v>
          </cell>
          <cell r="F3829">
            <v>8.5999999999999993E-2</v>
          </cell>
          <cell r="G3829">
            <v>0</v>
          </cell>
          <cell r="H3829">
            <v>1.7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 t="b">
            <v>1</v>
          </cell>
        </row>
        <row r="3830">
          <cell r="A3830" t="str">
            <v>Data split-11;Reg-15</v>
          </cell>
          <cell r="B3830">
            <v>-6</v>
          </cell>
          <cell r="C3830">
            <v>1.5</v>
          </cell>
          <cell r="D3830">
            <v>0</v>
          </cell>
          <cell r="E3830">
            <v>1.6</v>
          </cell>
          <cell r="F3830">
            <v>0</v>
          </cell>
          <cell r="G3830">
            <v>0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-8.5000000000000006E-2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 t="b">
            <v>1</v>
          </cell>
        </row>
        <row r="3831">
          <cell r="A3831" t="str">
            <v>Data split-11;Reg-16</v>
          </cell>
          <cell r="B3831">
            <v>-6.3</v>
          </cell>
          <cell r="C3831">
            <v>1.5</v>
          </cell>
          <cell r="D3831">
            <v>0</v>
          </cell>
          <cell r="E3831">
            <v>1.3</v>
          </cell>
          <cell r="F3831">
            <v>0</v>
          </cell>
          <cell r="G3831">
            <v>0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-7.9000000000000008E-3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 t="b">
            <v>1</v>
          </cell>
        </row>
        <row r="3832">
          <cell r="A3832" t="str">
            <v>Data split-11;Reg-17</v>
          </cell>
          <cell r="B3832">
            <v>-6</v>
          </cell>
          <cell r="C3832">
            <v>1.9</v>
          </cell>
          <cell r="D3832">
            <v>0</v>
          </cell>
          <cell r="E3832">
            <v>0</v>
          </cell>
          <cell r="F3832">
            <v>0.18</v>
          </cell>
          <cell r="G3832">
            <v>0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-0.01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 t="b">
            <v>1</v>
          </cell>
        </row>
        <row r="3833">
          <cell r="A3833" t="str">
            <v>Data split-11;Reg-18</v>
          </cell>
          <cell r="B3833">
            <v>-6.2</v>
          </cell>
          <cell r="C3833">
            <v>1.7</v>
          </cell>
          <cell r="D3833">
            <v>0</v>
          </cell>
          <cell r="E3833">
            <v>0</v>
          </cell>
          <cell r="F3833">
            <v>0.16</v>
          </cell>
          <cell r="G3833">
            <v>0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5.3E-3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 t="b">
            <v>0</v>
          </cell>
        </row>
        <row r="3834">
          <cell r="A3834" t="str">
            <v>Data split-11;Reg-19</v>
          </cell>
          <cell r="B3834">
            <v>-8.1999999999999993</v>
          </cell>
          <cell r="C3834">
            <v>1.6</v>
          </cell>
          <cell r="D3834">
            <v>0</v>
          </cell>
          <cell r="E3834">
            <v>0</v>
          </cell>
          <cell r="F3834">
            <v>0</v>
          </cell>
          <cell r="G3834">
            <v>1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-1.2E-2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 t="b">
            <v>1</v>
          </cell>
        </row>
        <row r="3835">
          <cell r="A3835" t="str">
            <v>Data split-11;Reg-20</v>
          </cell>
          <cell r="B3835">
            <v>-7.9</v>
          </cell>
          <cell r="C3835">
            <v>1.6</v>
          </cell>
          <cell r="D3835">
            <v>0</v>
          </cell>
          <cell r="E3835">
            <v>0</v>
          </cell>
          <cell r="F3835">
            <v>0</v>
          </cell>
          <cell r="G3835">
            <v>0.71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5.4000000000000003E-3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 t="b">
            <v>0</v>
          </cell>
        </row>
        <row r="3836">
          <cell r="A3836" t="str">
            <v>Data split-11;Reg-21</v>
          </cell>
          <cell r="B3836">
            <v>-7</v>
          </cell>
          <cell r="C3836">
            <v>1.2</v>
          </cell>
          <cell r="D3836">
            <v>0</v>
          </cell>
          <cell r="E3836">
            <v>0</v>
          </cell>
          <cell r="F3836">
            <v>0</v>
          </cell>
          <cell r="G3836">
            <v>0</v>
          </cell>
          <cell r="H3836">
            <v>2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-1.6000000000000001E-3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 t="b">
            <v>1</v>
          </cell>
        </row>
        <row r="3837">
          <cell r="A3837" t="str">
            <v>Data split-11;Reg-22</v>
          </cell>
          <cell r="B3837">
            <v>-7</v>
          </cell>
          <cell r="C3837">
            <v>1.4</v>
          </cell>
          <cell r="D3837">
            <v>0</v>
          </cell>
          <cell r="E3837">
            <v>0</v>
          </cell>
          <cell r="F3837">
            <v>0</v>
          </cell>
          <cell r="G3837">
            <v>0</v>
          </cell>
          <cell r="H3837">
            <v>1.3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6.8999999999999999E-3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 t="b">
            <v>0</v>
          </cell>
        </row>
        <row r="3838">
          <cell r="A3838" t="str">
            <v>Data split-11;Reg-23</v>
          </cell>
          <cell r="B3838">
            <v>-5.0999999999999996</v>
          </cell>
          <cell r="C3838">
            <v>0</v>
          </cell>
          <cell r="D3838">
            <v>1.4</v>
          </cell>
          <cell r="E3838">
            <v>2.7E-2</v>
          </cell>
          <cell r="F3838">
            <v>0</v>
          </cell>
          <cell r="G3838">
            <v>1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 t="b">
            <v>1</v>
          </cell>
        </row>
        <row r="3839">
          <cell r="A3839" t="str">
            <v>Data split-11;Reg-24</v>
          </cell>
          <cell r="B3839">
            <v>-5.2</v>
          </cell>
          <cell r="C3839">
            <v>0</v>
          </cell>
          <cell r="D3839">
            <v>1</v>
          </cell>
          <cell r="E3839">
            <v>-1.2</v>
          </cell>
          <cell r="F3839">
            <v>0</v>
          </cell>
          <cell r="G3839">
            <v>0</v>
          </cell>
          <cell r="H3839">
            <v>3.7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 t="b">
            <v>0</v>
          </cell>
        </row>
        <row r="3840">
          <cell r="A3840" t="str">
            <v>Data split-11;Reg-25</v>
          </cell>
          <cell r="B3840">
            <v>-4.4000000000000004</v>
          </cell>
          <cell r="C3840">
            <v>0</v>
          </cell>
          <cell r="D3840">
            <v>1.3</v>
          </cell>
          <cell r="E3840">
            <v>0</v>
          </cell>
          <cell r="F3840">
            <v>0.12</v>
          </cell>
          <cell r="G3840">
            <v>0.9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 t="b">
            <v>1</v>
          </cell>
        </row>
        <row r="3841">
          <cell r="A3841" t="str">
            <v>Data split-11;Reg-26</v>
          </cell>
          <cell r="B3841">
            <v>-4.2</v>
          </cell>
          <cell r="C3841">
            <v>0</v>
          </cell>
          <cell r="D3841">
            <v>0.9</v>
          </cell>
          <cell r="E3841">
            <v>0</v>
          </cell>
          <cell r="F3841">
            <v>9.5000000000000001E-2</v>
          </cell>
          <cell r="G3841">
            <v>0</v>
          </cell>
          <cell r="H3841">
            <v>2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 t="b">
            <v>1</v>
          </cell>
        </row>
        <row r="3842">
          <cell r="A3842" t="str">
            <v>Data split-11;Reg-27</v>
          </cell>
          <cell r="B3842">
            <v>-3.2</v>
          </cell>
          <cell r="C3842">
            <v>0</v>
          </cell>
          <cell r="D3842">
            <v>1.2</v>
          </cell>
          <cell r="E3842">
            <v>1.8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-8.5000000000000006E-2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 t="b">
            <v>1</v>
          </cell>
        </row>
        <row r="3843">
          <cell r="A3843" t="str">
            <v>Data split-11;Reg-28</v>
          </cell>
          <cell r="B3843">
            <v>-3.4</v>
          </cell>
          <cell r="C3843">
            <v>0</v>
          </cell>
          <cell r="D3843">
            <v>1.2</v>
          </cell>
          <cell r="E3843">
            <v>1.7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-0.01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 t="b">
            <v>1</v>
          </cell>
        </row>
        <row r="3844">
          <cell r="A3844" t="str">
            <v>Data split-11;Reg-29</v>
          </cell>
          <cell r="B3844">
            <v>-2.4</v>
          </cell>
          <cell r="C3844">
            <v>0</v>
          </cell>
          <cell r="D3844">
            <v>1.7</v>
          </cell>
          <cell r="E3844">
            <v>0</v>
          </cell>
          <cell r="F3844">
            <v>0.2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-1.1999999999999999E-3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 t="b">
            <v>1</v>
          </cell>
        </row>
        <row r="3845">
          <cell r="A3845" t="str">
            <v>Data split-11;Reg-30</v>
          </cell>
          <cell r="B3845">
            <v>-2.8</v>
          </cell>
          <cell r="C3845">
            <v>0</v>
          </cell>
          <cell r="D3845">
            <v>1.5</v>
          </cell>
          <cell r="E3845">
            <v>0</v>
          </cell>
          <cell r="F3845">
            <v>0.18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6.4000000000000003E-3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 t="b">
            <v>0</v>
          </cell>
        </row>
        <row r="3846">
          <cell r="A3846" t="str">
            <v>Data split-11;Reg-31</v>
          </cell>
          <cell r="B3846">
            <v>-5.4</v>
          </cell>
          <cell r="C3846">
            <v>0</v>
          </cell>
          <cell r="D3846">
            <v>1.4</v>
          </cell>
          <cell r="E3846">
            <v>0</v>
          </cell>
          <cell r="F3846">
            <v>0</v>
          </cell>
          <cell r="G3846">
            <v>1.2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-2.8000000000000001E-2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 t="b">
            <v>1</v>
          </cell>
        </row>
        <row r="3847">
          <cell r="A3847" t="str">
            <v>Data split-11;Reg-32</v>
          </cell>
          <cell r="B3847">
            <v>-5.0999999999999996</v>
          </cell>
          <cell r="C3847">
            <v>0</v>
          </cell>
          <cell r="D3847">
            <v>1.4</v>
          </cell>
          <cell r="E3847">
            <v>0</v>
          </cell>
          <cell r="F3847">
            <v>0</v>
          </cell>
          <cell r="G3847">
            <v>0.98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1.2999999999999999E-3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 t="b">
            <v>0</v>
          </cell>
        </row>
        <row r="3848">
          <cell r="A3848" t="str">
            <v>Data split-11;Reg-33</v>
          </cell>
          <cell r="B3848">
            <v>-4.9000000000000004</v>
          </cell>
          <cell r="C3848">
            <v>0</v>
          </cell>
          <cell r="D3848">
            <v>0.81</v>
          </cell>
          <cell r="E3848">
            <v>0</v>
          </cell>
          <cell r="F3848">
            <v>0</v>
          </cell>
          <cell r="G3848">
            <v>0</v>
          </cell>
          <cell r="H3848">
            <v>2.7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-2.8000000000000001E-2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 t="b">
            <v>1</v>
          </cell>
        </row>
        <row r="3849">
          <cell r="A3849" t="str">
            <v>Data split-11;Reg-34</v>
          </cell>
          <cell r="B3849">
            <v>-4.7</v>
          </cell>
          <cell r="C3849">
            <v>0</v>
          </cell>
          <cell r="D3849">
            <v>0.93</v>
          </cell>
          <cell r="E3849">
            <v>0</v>
          </cell>
          <cell r="F3849">
            <v>0</v>
          </cell>
          <cell r="G3849">
            <v>0</v>
          </cell>
          <cell r="H3849">
            <v>2.2000000000000002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9.2000000000000003E-4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 t="b">
            <v>0</v>
          </cell>
        </row>
        <row r="3850">
          <cell r="A3850" t="str">
            <v>Data split-11;Reg-35</v>
          </cell>
          <cell r="B3850">
            <v>-8.3000000000000007</v>
          </cell>
          <cell r="C3850">
            <v>1.9</v>
          </cell>
          <cell r="D3850">
            <v>0</v>
          </cell>
          <cell r="E3850">
            <v>0.15</v>
          </cell>
          <cell r="F3850">
            <v>0</v>
          </cell>
          <cell r="G3850">
            <v>1.5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-0.14000000000000001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 t="b">
            <v>1</v>
          </cell>
        </row>
        <row r="3851">
          <cell r="A3851" t="str">
            <v>Data split-11;Reg-36</v>
          </cell>
          <cell r="B3851">
            <v>-8.4</v>
          </cell>
          <cell r="C3851">
            <v>1.8</v>
          </cell>
          <cell r="D3851">
            <v>0</v>
          </cell>
          <cell r="E3851">
            <v>0.17</v>
          </cell>
          <cell r="F3851">
            <v>0</v>
          </cell>
          <cell r="G3851">
            <v>1.5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-2.1999999999999999E-2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 t="b">
            <v>1</v>
          </cell>
        </row>
        <row r="3852">
          <cell r="A3852" t="str">
            <v>Data split-11;Reg-37</v>
          </cell>
          <cell r="B3852">
            <v>-7.1</v>
          </cell>
          <cell r="C3852">
            <v>1.4</v>
          </cell>
          <cell r="D3852">
            <v>0</v>
          </cell>
          <cell r="E3852">
            <v>-0.94</v>
          </cell>
          <cell r="F3852">
            <v>0</v>
          </cell>
          <cell r="G3852">
            <v>0</v>
          </cell>
          <cell r="H3852">
            <v>4.4000000000000004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-0.13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 t="b">
            <v>0</v>
          </cell>
        </row>
        <row r="3853">
          <cell r="A3853" t="str">
            <v>Data split-11;Reg-38</v>
          </cell>
          <cell r="B3853">
            <v>-7.2</v>
          </cell>
          <cell r="C3853">
            <v>1.3</v>
          </cell>
          <cell r="D3853">
            <v>0</v>
          </cell>
          <cell r="E3853">
            <v>-0.88</v>
          </cell>
          <cell r="F3853">
            <v>0</v>
          </cell>
          <cell r="G3853">
            <v>0</v>
          </cell>
          <cell r="H3853">
            <v>4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-1.7999999999999999E-2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 t="b">
            <v>0</v>
          </cell>
        </row>
        <row r="3854">
          <cell r="A3854" t="str">
            <v>Data split-11;Reg-39</v>
          </cell>
          <cell r="B3854">
            <v>-7.7</v>
          </cell>
          <cell r="C3854">
            <v>1.9</v>
          </cell>
          <cell r="D3854">
            <v>0</v>
          </cell>
          <cell r="E3854">
            <v>0</v>
          </cell>
          <cell r="F3854">
            <v>0.1</v>
          </cell>
          <cell r="G3854">
            <v>1.5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-0.14000000000000001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 t="b">
            <v>1</v>
          </cell>
        </row>
        <row r="3855">
          <cell r="A3855" t="str">
            <v>Data split-11;Reg-40</v>
          </cell>
          <cell r="B3855">
            <v>-7.7</v>
          </cell>
          <cell r="C3855">
            <v>1.8</v>
          </cell>
          <cell r="D3855">
            <v>0</v>
          </cell>
          <cell r="E3855">
            <v>0</v>
          </cell>
          <cell r="F3855">
            <v>0.11</v>
          </cell>
          <cell r="G3855">
            <v>1.4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-2.1999999999999999E-2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 t="b">
            <v>1</v>
          </cell>
        </row>
        <row r="3856">
          <cell r="A3856" t="str">
            <v>Data split-11;Reg-41</v>
          </cell>
          <cell r="B3856">
            <v>-6.1</v>
          </cell>
          <cell r="C3856">
            <v>1.3</v>
          </cell>
          <cell r="D3856">
            <v>0</v>
          </cell>
          <cell r="E3856">
            <v>0</v>
          </cell>
          <cell r="F3856">
            <v>7.5999999999999998E-2</v>
          </cell>
          <cell r="G3856">
            <v>0</v>
          </cell>
          <cell r="H3856">
            <v>3.1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-0.14000000000000001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 t="b">
            <v>1</v>
          </cell>
        </row>
        <row r="3857">
          <cell r="A3857" t="str">
            <v>Data split-11;Reg-42</v>
          </cell>
          <cell r="B3857">
            <v>-6.1</v>
          </cell>
          <cell r="C3857">
            <v>1.2</v>
          </cell>
          <cell r="D3857">
            <v>0</v>
          </cell>
          <cell r="E3857">
            <v>0</v>
          </cell>
          <cell r="F3857">
            <v>8.5000000000000006E-2</v>
          </cell>
          <cell r="G3857">
            <v>0</v>
          </cell>
          <cell r="H3857">
            <v>2.9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-2.1000000000000001E-2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 t="b">
            <v>1</v>
          </cell>
        </row>
        <row r="3858">
          <cell r="A3858" t="str">
            <v>Data split-11;Reg-43</v>
          </cell>
          <cell r="B3858">
            <v>-8.6</v>
          </cell>
          <cell r="C3858">
            <v>1.7</v>
          </cell>
          <cell r="D3858">
            <v>0</v>
          </cell>
          <cell r="E3858">
            <v>-0.35</v>
          </cell>
          <cell r="F3858">
            <v>0</v>
          </cell>
          <cell r="G3858">
            <v>1.2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-9.4999999999999998E-3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 t="b">
            <v>0</v>
          </cell>
        </row>
        <row r="3859">
          <cell r="A3859" t="str">
            <v>Data split-11;Reg-44</v>
          </cell>
          <cell r="B3859">
            <v>-8.3000000000000007</v>
          </cell>
          <cell r="C3859">
            <v>1.8</v>
          </cell>
          <cell r="D3859">
            <v>0</v>
          </cell>
          <cell r="E3859">
            <v>-0.43</v>
          </cell>
          <cell r="F3859">
            <v>0</v>
          </cell>
          <cell r="G3859">
            <v>0.89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6.4000000000000003E-3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 t="b">
            <v>0</v>
          </cell>
        </row>
        <row r="3860">
          <cell r="A3860" t="str">
            <v>Data split-11;Reg-45</v>
          </cell>
          <cell r="B3860">
            <v>-7.6</v>
          </cell>
          <cell r="C3860">
            <v>1.3</v>
          </cell>
          <cell r="D3860">
            <v>0</v>
          </cell>
          <cell r="E3860">
            <v>-1.3</v>
          </cell>
          <cell r="F3860">
            <v>0</v>
          </cell>
          <cell r="G3860">
            <v>0</v>
          </cell>
          <cell r="H3860">
            <v>3.6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-6.0000000000000001E-3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 t="b">
            <v>0</v>
          </cell>
        </row>
        <row r="3861">
          <cell r="A3861" t="str">
            <v>Data split-11;Reg-46</v>
          </cell>
          <cell r="B3861">
            <v>-7.6</v>
          </cell>
          <cell r="C3861">
            <v>1.5</v>
          </cell>
          <cell r="D3861">
            <v>0</v>
          </cell>
          <cell r="E3861">
            <v>-1.3</v>
          </cell>
          <cell r="F3861">
            <v>0</v>
          </cell>
          <cell r="G3861">
            <v>0</v>
          </cell>
          <cell r="H3861">
            <v>2.9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6.7999999999999996E-3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 t="b">
            <v>0</v>
          </cell>
        </row>
        <row r="3862">
          <cell r="A3862" t="str">
            <v>Data split-11;Reg-47</v>
          </cell>
          <cell r="B3862">
            <v>-7.4</v>
          </cell>
          <cell r="C3862">
            <v>1.5</v>
          </cell>
          <cell r="D3862">
            <v>0</v>
          </cell>
          <cell r="E3862">
            <v>0</v>
          </cell>
          <cell r="F3862">
            <v>0.12</v>
          </cell>
          <cell r="G3862">
            <v>1.1000000000000001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-3.3000000000000002E-2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 t="b">
            <v>1</v>
          </cell>
        </row>
        <row r="3863">
          <cell r="A3863" t="str">
            <v>Data split-11;Reg-48</v>
          </cell>
          <cell r="B3863">
            <v>-7.3</v>
          </cell>
          <cell r="C3863">
            <v>1.5</v>
          </cell>
          <cell r="D3863">
            <v>0</v>
          </cell>
          <cell r="E3863">
            <v>0</v>
          </cell>
          <cell r="F3863">
            <v>9.6000000000000002E-2</v>
          </cell>
          <cell r="G3863">
            <v>0.79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1.1999999999999999E-3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 t="b">
            <v>0</v>
          </cell>
        </row>
        <row r="3864">
          <cell r="A3864" t="str">
            <v>Data split-11;Reg-49</v>
          </cell>
          <cell r="B3864">
            <v>-6.3</v>
          </cell>
          <cell r="C3864">
            <v>1.1000000000000001</v>
          </cell>
          <cell r="D3864">
            <v>0</v>
          </cell>
          <cell r="E3864">
            <v>0</v>
          </cell>
          <cell r="F3864">
            <v>9.0999999999999998E-2</v>
          </cell>
          <cell r="G3864">
            <v>0</v>
          </cell>
          <cell r="H3864">
            <v>1.9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-1.2E-2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 t="b">
            <v>1</v>
          </cell>
        </row>
        <row r="3865">
          <cell r="A3865" t="str">
            <v>Data split-11;Reg-50</v>
          </cell>
          <cell r="B3865">
            <v>-6.5</v>
          </cell>
          <cell r="C3865">
            <v>1.3</v>
          </cell>
          <cell r="D3865">
            <v>0</v>
          </cell>
          <cell r="E3865">
            <v>0</v>
          </cell>
          <cell r="F3865">
            <v>7.4999999999999997E-2</v>
          </cell>
          <cell r="G3865">
            <v>0</v>
          </cell>
          <cell r="H3865">
            <v>1.3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4.8999999999999998E-3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 t="b">
            <v>0</v>
          </cell>
        </row>
        <row r="3866">
          <cell r="A3866" t="str">
            <v>Data split-11;Reg-51</v>
          </cell>
          <cell r="B3866">
            <v>-4.7</v>
          </cell>
          <cell r="C3866">
            <v>0</v>
          </cell>
          <cell r="D3866">
            <v>1.5</v>
          </cell>
          <cell r="E3866">
            <v>0.5</v>
          </cell>
          <cell r="F3866">
            <v>0</v>
          </cell>
          <cell r="G3866">
            <v>1.4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-0.13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 t="b">
            <v>1</v>
          </cell>
        </row>
        <row r="3867">
          <cell r="A3867" t="str">
            <v>Data split-11;Reg-52</v>
          </cell>
          <cell r="B3867">
            <v>-4.9000000000000004</v>
          </cell>
          <cell r="C3867">
            <v>0</v>
          </cell>
          <cell r="D3867">
            <v>1.5</v>
          </cell>
          <cell r="E3867">
            <v>0.55000000000000004</v>
          </cell>
          <cell r="F3867">
            <v>0</v>
          </cell>
          <cell r="G3867">
            <v>1.4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-2.4E-2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 t="b">
            <v>1</v>
          </cell>
        </row>
        <row r="3868">
          <cell r="A3868" t="str">
            <v>Data split-11;Reg-53</v>
          </cell>
          <cell r="B3868">
            <v>-4.5999999999999996</v>
          </cell>
          <cell r="C3868">
            <v>0</v>
          </cell>
          <cell r="D3868">
            <v>1.1000000000000001</v>
          </cell>
          <cell r="E3868">
            <v>-0.87</v>
          </cell>
          <cell r="F3868">
            <v>0</v>
          </cell>
          <cell r="G3868">
            <v>0</v>
          </cell>
          <cell r="H3868">
            <v>4.5999999999999996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-0.14000000000000001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 t="b">
            <v>0</v>
          </cell>
        </row>
        <row r="3869">
          <cell r="A3869" t="str">
            <v>Data split-11;Reg-54</v>
          </cell>
          <cell r="B3869">
            <v>-4.7</v>
          </cell>
          <cell r="C3869">
            <v>0</v>
          </cell>
          <cell r="D3869">
            <v>1.1000000000000001</v>
          </cell>
          <cell r="E3869">
            <v>-0.76</v>
          </cell>
          <cell r="F3869">
            <v>0</v>
          </cell>
          <cell r="G3869">
            <v>0</v>
          </cell>
          <cell r="H3869">
            <v>4.3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-2.1000000000000001E-2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 t="b">
            <v>0</v>
          </cell>
        </row>
        <row r="3870">
          <cell r="A3870" t="str">
            <v>Data split-11;Reg-55</v>
          </cell>
          <cell r="B3870">
            <v>-4.2</v>
          </cell>
          <cell r="C3870">
            <v>0</v>
          </cell>
          <cell r="D3870">
            <v>1.6</v>
          </cell>
          <cell r="E3870">
            <v>0</v>
          </cell>
          <cell r="F3870">
            <v>0.13</v>
          </cell>
          <cell r="G3870">
            <v>1.5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-0.13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 t="b">
            <v>1</v>
          </cell>
        </row>
        <row r="3871">
          <cell r="A3871" t="str">
            <v>Data split-11;Reg-56</v>
          </cell>
          <cell r="B3871">
            <v>-4.3</v>
          </cell>
          <cell r="C3871">
            <v>0</v>
          </cell>
          <cell r="D3871">
            <v>1.6</v>
          </cell>
          <cell r="E3871">
            <v>0</v>
          </cell>
          <cell r="F3871">
            <v>0.13</v>
          </cell>
          <cell r="G3871">
            <v>1.5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-2.1999999999999999E-2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 t="b">
            <v>1</v>
          </cell>
        </row>
        <row r="3872">
          <cell r="A3872" t="str">
            <v>Data split-11;Reg-57</v>
          </cell>
          <cell r="B3872">
            <v>-3.7</v>
          </cell>
          <cell r="C3872">
            <v>0</v>
          </cell>
          <cell r="D3872">
            <v>1</v>
          </cell>
          <cell r="E3872">
            <v>0</v>
          </cell>
          <cell r="F3872">
            <v>8.5000000000000006E-2</v>
          </cell>
          <cell r="G3872">
            <v>0</v>
          </cell>
          <cell r="H3872">
            <v>3.4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-0.14000000000000001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 t="b">
            <v>1</v>
          </cell>
        </row>
        <row r="3873">
          <cell r="A3873" t="str">
            <v>Data split-11;Reg-58</v>
          </cell>
          <cell r="B3873">
            <v>-3.9</v>
          </cell>
          <cell r="C3873">
            <v>0</v>
          </cell>
          <cell r="D3873">
            <v>0.98</v>
          </cell>
          <cell r="E3873">
            <v>0</v>
          </cell>
          <cell r="F3873">
            <v>9.4E-2</v>
          </cell>
          <cell r="G3873">
            <v>0</v>
          </cell>
          <cell r="H3873">
            <v>3.3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-2.3E-2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 t="b">
            <v>1</v>
          </cell>
        </row>
        <row r="3874">
          <cell r="A3874" t="str">
            <v>Data split-11;Reg-59</v>
          </cell>
          <cell r="B3874">
            <v>-5.4</v>
          </cell>
          <cell r="C3874">
            <v>0</v>
          </cell>
          <cell r="D3874">
            <v>1.3</v>
          </cell>
          <cell r="E3874">
            <v>5.7000000000000002E-2</v>
          </cell>
          <cell r="F3874">
            <v>0</v>
          </cell>
          <cell r="G3874">
            <v>1.2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-2.9000000000000001E-2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 t="b">
            <v>1</v>
          </cell>
        </row>
        <row r="3875">
          <cell r="A3875" t="str">
            <v>Data split-11;Reg-60</v>
          </cell>
          <cell r="B3875">
            <v>-5.0999999999999996</v>
          </cell>
          <cell r="C3875">
            <v>0</v>
          </cell>
          <cell r="D3875">
            <v>1.4</v>
          </cell>
          <cell r="E3875">
            <v>1.7999999999999999E-2</v>
          </cell>
          <cell r="F3875">
            <v>0</v>
          </cell>
          <cell r="G3875">
            <v>0.97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1.1999999999999999E-3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 t="b">
            <v>0</v>
          </cell>
        </row>
        <row r="3876">
          <cell r="A3876" t="str">
            <v>Data split-11;Reg-61</v>
          </cell>
          <cell r="B3876">
            <v>-5.3</v>
          </cell>
          <cell r="C3876">
            <v>0</v>
          </cell>
          <cell r="D3876">
            <v>0.92</v>
          </cell>
          <cell r="E3876">
            <v>-1.2</v>
          </cell>
          <cell r="F3876">
            <v>0</v>
          </cell>
          <cell r="G3876">
            <v>0</v>
          </cell>
          <cell r="H3876">
            <v>4.2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-3.2000000000000001E-2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 t="b">
            <v>0</v>
          </cell>
        </row>
        <row r="3877">
          <cell r="A3877" t="str">
            <v>Data split-11;Reg-62</v>
          </cell>
          <cell r="B3877">
            <v>-5.0999999999999996</v>
          </cell>
          <cell r="C3877">
            <v>0</v>
          </cell>
          <cell r="D3877">
            <v>1</v>
          </cell>
          <cell r="E3877">
            <v>-1.2</v>
          </cell>
          <cell r="F3877">
            <v>0</v>
          </cell>
          <cell r="G3877">
            <v>0</v>
          </cell>
          <cell r="H3877">
            <v>3.6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8.0999999999999996E-4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 t="b">
            <v>0</v>
          </cell>
        </row>
        <row r="3878">
          <cell r="A3878" t="str">
            <v>Data split-11;Reg-63</v>
          </cell>
          <cell r="B3878">
            <v>-4.7</v>
          </cell>
          <cell r="C3878">
            <v>0</v>
          </cell>
          <cell r="D3878">
            <v>1.2</v>
          </cell>
          <cell r="E3878">
            <v>0</v>
          </cell>
          <cell r="F3878">
            <v>0.15</v>
          </cell>
          <cell r="G3878">
            <v>1.3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-5.2999999999999999E-2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 t="b">
            <v>1</v>
          </cell>
        </row>
        <row r="3879">
          <cell r="A3879" t="str">
            <v>Data split-11;Reg-64</v>
          </cell>
          <cell r="B3879">
            <v>-4.5999999999999996</v>
          </cell>
          <cell r="C3879">
            <v>0</v>
          </cell>
          <cell r="D3879">
            <v>1.3</v>
          </cell>
          <cell r="E3879">
            <v>0</v>
          </cell>
          <cell r="F3879">
            <v>0.13</v>
          </cell>
          <cell r="G3879">
            <v>1.1000000000000001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-4.1000000000000003E-3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 t="b">
            <v>1</v>
          </cell>
        </row>
        <row r="3880">
          <cell r="A3880" t="str">
            <v>Data split-11;Reg-65</v>
          </cell>
          <cell r="B3880">
            <v>-4.3</v>
          </cell>
          <cell r="C3880">
            <v>0</v>
          </cell>
          <cell r="D3880">
            <v>0.76</v>
          </cell>
          <cell r="E3880">
            <v>0</v>
          </cell>
          <cell r="F3880">
            <v>0.11</v>
          </cell>
          <cell r="G3880">
            <v>0</v>
          </cell>
          <cell r="H3880">
            <v>2.5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-3.9E-2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 t="b">
            <v>1</v>
          </cell>
        </row>
        <row r="3881">
          <cell r="A3881" t="str">
            <v>Data split-11;Reg-66</v>
          </cell>
          <cell r="B3881">
            <v>-4.2</v>
          </cell>
          <cell r="C3881">
            <v>0</v>
          </cell>
          <cell r="D3881">
            <v>0.88</v>
          </cell>
          <cell r="E3881">
            <v>0</v>
          </cell>
          <cell r="F3881">
            <v>9.8000000000000004E-2</v>
          </cell>
          <cell r="G3881">
            <v>0</v>
          </cell>
          <cell r="H3881">
            <v>2.1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-1.4E-3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 t="b">
            <v>1</v>
          </cell>
        </row>
        <row r="3882">
          <cell r="A3882" t="str">
            <v>Data split-11;Reg-67</v>
          </cell>
          <cell r="B3882">
            <v>-8.1</v>
          </cell>
          <cell r="C3882">
            <v>1.6</v>
          </cell>
          <cell r="D3882">
            <v>0</v>
          </cell>
          <cell r="E3882">
            <v>0</v>
          </cell>
          <cell r="F3882">
            <v>0</v>
          </cell>
          <cell r="G3882">
            <v>0.95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 t="b">
            <v>1</v>
          </cell>
        </row>
        <row r="3883">
          <cell r="A3883" t="str">
            <v>Data split-11;Reg-68</v>
          </cell>
          <cell r="B3883">
            <v>-7.3</v>
          </cell>
          <cell r="C3883">
            <v>1.5</v>
          </cell>
          <cell r="D3883">
            <v>0</v>
          </cell>
          <cell r="E3883">
            <v>0</v>
          </cell>
          <cell r="F3883">
            <v>0.1</v>
          </cell>
          <cell r="G3883">
            <v>0.84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 t="b">
            <v>1</v>
          </cell>
        </row>
        <row r="3884">
          <cell r="A3884" t="str">
            <v>Data split-11;Reg-69</v>
          </cell>
          <cell r="B3884">
            <v>-6.4</v>
          </cell>
          <cell r="C3884">
            <v>1.6</v>
          </cell>
          <cell r="D3884">
            <v>0</v>
          </cell>
          <cell r="E3884">
            <v>0</v>
          </cell>
          <cell r="F3884">
            <v>0</v>
          </cell>
          <cell r="G3884">
            <v>1.1000000000000001</v>
          </cell>
          <cell r="H3884">
            <v>0</v>
          </cell>
          <cell r="I3884">
            <v>0</v>
          </cell>
          <cell r="J3884">
            <v>-6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 t="b">
            <v>1</v>
          </cell>
        </row>
        <row r="3885">
          <cell r="A3885" t="str">
            <v>Data split-11;Reg-70</v>
          </cell>
          <cell r="B3885">
            <v>-5.4</v>
          </cell>
          <cell r="C3885">
            <v>1.8</v>
          </cell>
          <cell r="D3885">
            <v>0</v>
          </cell>
          <cell r="E3885">
            <v>0</v>
          </cell>
          <cell r="F3885">
            <v>0</v>
          </cell>
          <cell r="G3885">
            <v>1.7</v>
          </cell>
          <cell r="H3885">
            <v>0</v>
          </cell>
          <cell r="I3885">
            <v>0</v>
          </cell>
          <cell r="J3885">
            <v>-9.4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-0.11</v>
          </cell>
          <cell r="T3885">
            <v>0</v>
          </cell>
          <cell r="U3885" t="b">
            <v>1</v>
          </cell>
        </row>
        <row r="3886">
          <cell r="A3886" t="str">
            <v>Data split-11;Reg-71</v>
          </cell>
          <cell r="B3886">
            <v>-3.4</v>
          </cell>
          <cell r="C3886">
            <v>0.88</v>
          </cell>
          <cell r="D3886">
            <v>0</v>
          </cell>
          <cell r="E3886">
            <v>0</v>
          </cell>
          <cell r="F3886">
            <v>8.6999999999999994E-2</v>
          </cell>
          <cell r="G3886">
            <v>0</v>
          </cell>
          <cell r="H3886">
            <v>3.9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-0.16</v>
          </cell>
          <cell r="T3886">
            <v>0</v>
          </cell>
          <cell r="U3886" t="b">
            <v>1</v>
          </cell>
        </row>
        <row r="3887">
          <cell r="A3887" t="str">
            <v>Data split-11;Reg-72</v>
          </cell>
          <cell r="B3887">
            <v>-6.5</v>
          </cell>
          <cell r="C3887">
            <v>1.4</v>
          </cell>
          <cell r="D3887">
            <v>0</v>
          </cell>
          <cell r="E3887">
            <v>1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 t="b">
            <v>1</v>
          </cell>
        </row>
        <row r="3888">
          <cell r="A3888" t="str">
            <v>Data split-11;Reg-73</v>
          </cell>
          <cell r="B3888">
            <v>-6</v>
          </cell>
          <cell r="C3888">
            <v>1.9</v>
          </cell>
          <cell r="D3888">
            <v>0</v>
          </cell>
          <cell r="E3888">
            <v>0</v>
          </cell>
          <cell r="F3888">
            <v>0.17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 t="b">
            <v>1</v>
          </cell>
        </row>
        <row r="3889">
          <cell r="A3889" t="str">
            <v>Data split-11;Reg-74</v>
          </cell>
          <cell r="B3889">
            <v>-3.8</v>
          </cell>
          <cell r="C3889">
            <v>0</v>
          </cell>
          <cell r="D3889">
            <v>1.1000000000000001</v>
          </cell>
          <cell r="E3889">
            <v>1.3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 t="b">
            <v>1</v>
          </cell>
        </row>
        <row r="3890">
          <cell r="A3890" t="str">
            <v>Data split-11;Reg-75</v>
          </cell>
          <cell r="B3890">
            <v>-2.4</v>
          </cell>
          <cell r="C3890">
            <v>0</v>
          </cell>
          <cell r="D3890">
            <v>1.7</v>
          </cell>
          <cell r="E3890">
            <v>0</v>
          </cell>
          <cell r="F3890">
            <v>0.2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 t="b">
            <v>1</v>
          </cell>
        </row>
        <row r="3891">
          <cell r="A3891" t="str">
            <v>Data split-11;Reg-76</v>
          </cell>
          <cell r="B3891">
            <v>-8.1</v>
          </cell>
          <cell r="C3891">
            <v>1.6</v>
          </cell>
          <cell r="D3891">
            <v>0</v>
          </cell>
          <cell r="E3891">
            <v>0</v>
          </cell>
          <cell r="F3891">
            <v>0</v>
          </cell>
          <cell r="G3891">
            <v>0.95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 t="b">
            <v>1</v>
          </cell>
        </row>
        <row r="3892">
          <cell r="A3892" t="str">
            <v>Data split-11;Reg-77</v>
          </cell>
          <cell r="B3892">
            <v>-7</v>
          </cell>
          <cell r="C3892">
            <v>1.2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1.9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 t="b">
            <v>1</v>
          </cell>
        </row>
        <row r="3893">
          <cell r="A3893" t="str">
            <v>Data split-11;Reg-78</v>
          </cell>
          <cell r="B3893">
            <v>-5.0999999999999996</v>
          </cell>
          <cell r="C3893">
            <v>0</v>
          </cell>
          <cell r="D3893">
            <v>1.4</v>
          </cell>
          <cell r="E3893">
            <v>0</v>
          </cell>
          <cell r="F3893">
            <v>0</v>
          </cell>
          <cell r="G3893">
            <v>1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 t="b">
            <v>1</v>
          </cell>
        </row>
        <row r="3894">
          <cell r="A3894" t="str">
            <v>Data split-11;Reg-79</v>
          </cell>
          <cell r="B3894">
            <v>-4.7</v>
          </cell>
          <cell r="C3894">
            <v>0</v>
          </cell>
          <cell r="D3894">
            <v>0.91</v>
          </cell>
          <cell r="E3894">
            <v>0</v>
          </cell>
          <cell r="F3894">
            <v>0</v>
          </cell>
          <cell r="G3894">
            <v>0</v>
          </cell>
          <cell r="H3894">
            <v>2.2999999999999998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 t="b">
            <v>1</v>
          </cell>
        </row>
        <row r="3895">
          <cell r="A3895" t="str">
            <v>Data split-11;Reg-80</v>
          </cell>
          <cell r="B3895">
            <v>-8.4</v>
          </cell>
          <cell r="C3895">
            <v>2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1.1000000000000001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 t="b">
            <v>0</v>
          </cell>
        </row>
        <row r="3896">
          <cell r="A3896" t="str">
            <v>Data split-11;Reg-81</v>
          </cell>
          <cell r="B3896">
            <v>-9.8000000000000007</v>
          </cell>
          <cell r="C3896">
            <v>2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8.1999999999999993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 t="b">
            <v>0</v>
          </cell>
        </row>
        <row r="3897">
          <cell r="A3897" t="str">
            <v>Data split-11;Reg-82</v>
          </cell>
          <cell r="B3897">
            <v>-5.0999999999999996</v>
          </cell>
          <cell r="C3897">
            <v>0</v>
          </cell>
          <cell r="D3897">
            <v>1.7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1.3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 t="b">
            <v>0</v>
          </cell>
        </row>
        <row r="3898">
          <cell r="A3898" t="str">
            <v>Data split-11;Reg-83</v>
          </cell>
          <cell r="B3898">
            <v>-8.5</v>
          </cell>
          <cell r="C3898">
            <v>0</v>
          </cell>
          <cell r="D3898">
            <v>1.8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15.1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 t="b">
            <v>0</v>
          </cell>
        </row>
        <row r="3899">
          <cell r="A3899" t="str">
            <v>Data split-11;Reg-84</v>
          </cell>
          <cell r="B3899">
            <v>-8.6</v>
          </cell>
          <cell r="C3899">
            <v>2.1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0.35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 t="b">
            <v>0</v>
          </cell>
        </row>
        <row r="3900">
          <cell r="A3900" t="str">
            <v>Data split-11;Reg-85</v>
          </cell>
          <cell r="B3900">
            <v>-7.7</v>
          </cell>
          <cell r="C3900">
            <v>2.1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0.54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 t="b">
            <v>0</v>
          </cell>
        </row>
        <row r="3901">
          <cell r="A3901" t="str">
            <v>Data split-11;Reg-86</v>
          </cell>
          <cell r="B3901">
            <v>-8</v>
          </cell>
          <cell r="C3901">
            <v>0</v>
          </cell>
          <cell r="D3901">
            <v>1.9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1.1000000000000001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 t="b">
            <v>0</v>
          </cell>
        </row>
        <row r="3902">
          <cell r="A3902" t="str">
            <v>Data split-11;Reg-87</v>
          </cell>
          <cell r="B3902">
            <v>-7.9</v>
          </cell>
          <cell r="C3902">
            <v>0</v>
          </cell>
          <cell r="D3902">
            <v>2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5.0999999999999996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>
            <v>0</v>
          </cell>
          <cell r="R3902">
            <v>0</v>
          </cell>
          <cell r="S3902">
            <v>0</v>
          </cell>
          <cell r="T3902">
            <v>0</v>
          </cell>
          <cell r="U3902" t="b">
            <v>0</v>
          </cell>
        </row>
        <row r="3903">
          <cell r="A3903" t="str">
            <v>Data split-11;Reg-88</v>
          </cell>
          <cell r="B3903">
            <v>-7.2</v>
          </cell>
          <cell r="C3903">
            <v>2.1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8.8999999999999999E-3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 t="b">
            <v>0</v>
          </cell>
        </row>
        <row r="3904">
          <cell r="A3904" t="str">
            <v>Data split-11;Reg-89</v>
          </cell>
          <cell r="B3904">
            <v>-7.3</v>
          </cell>
          <cell r="C3904">
            <v>1.8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9.2999999999999992E-3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 t="b">
            <v>0</v>
          </cell>
        </row>
        <row r="3905">
          <cell r="A3905" t="str">
            <v>Data split-11;Reg-90</v>
          </cell>
          <cell r="B3905">
            <v>-3.4</v>
          </cell>
          <cell r="C3905">
            <v>0</v>
          </cell>
          <cell r="D3905">
            <v>1.8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2.1999999999999999E-2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 t="b">
            <v>0</v>
          </cell>
        </row>
        <row r="3906">
          <cell r="A3906" t="str">
            <v>Data split-11;Reg-91</v>
          </cell>
          <cell r="B3906">
            <v>-3.8</v>
          </cell>
          <cell r="C3906">
            <v>0</v>
          </cell>
          <cell r="D3906">
            <v>1.6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1.0999999999999999E-2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 t="b">
            <v>0</v>
          </cell>
        </row>
        <row r="3907">
          <cell r="A3907" t="str">
            <v>Data split-11;Reg-92</v>
          </cell>
          <cell r="B3907">
            <v>-7.3</v>
          </cell>
          <cell r="C3907">
            <v>1.9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7.8E-2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 t="b">
            <v>0</v>
          </cell>
        </row>
        <row r="3908">
          <cell r="A3908" t="str">
            <v>Data split-11;Reg-93</v>
          </cell>
          <cell r="B3908">
            <v>-7.1</v>
          </cell>
          <cell r="C3908">
            <v>1.8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1.7000000000000001E-2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 t="b">
            <v>0</v>
          </cell>
        </row>
        <row r="3909">
          <cell r="A3909" t="str">
            <v>Data split-11;Reg-94</v>
          </cell>
          <cell r="B3909">
            <v>-3.6</v>
          </cell>
          <cell r="C3909">
            <v>0</v>
          </cell>
          <cell r="D3909">
            <v>1.7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0.08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 t="b">
            <v>0</v>
          </cell>
        </row>
        <row r="3910">
          <cell r="A3910" t="str">
            <v>Data split-11;Reg-95</v>
          </cell>
          <cell r="B3910">
            <v>-3.5</v>
          </cell>
          <cell r="C3910">
            <v>0</v>
          </cell>
          <cell r="D3910">
            <v>1.6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1.7000000000000001E-2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 t="b">
            <v>0</v>
          </cell>
        </row>
        <row r="3911">
          <cell r="A3911" t="str">
            <v>Data split-11;Reg-96</v>
          </cell>
          <cell r="B3911">
            <v>-6.8</v>
          </cell>
          <cell r="C3911">
            <v>1.5</v>
          </cell>
          <cell r="D3911">
            <v>0</v>
          </cell>
          <cell r="E3911">
            <v>0.92</v>
          </cell>
          <cell r="F3911">
            <v>0</v>
          </cell>
          <cell r="G3911">
            <v>0</v>
          </cell>
          <cell r="H3911">
            <v>0</v>
          </cell>
          <cell r="I3911">
            <v>0.16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 t="b">
            <v>0</v>
          </cell>
        </row>
        <row r="3912">
          <cell r="A3912" t="str">
            <v>Data split-11;Reg-97</v>
          </cell>
          <cell r="B3912">
            <v>-7.1</v>
          </cell>
          <cell r="C3912">
            <v>1.5</v>
          </cell>
          <cell r="D3912">
            <v>0</v>
          </cell>
          <cell r="E3912">
            <v>0.94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1.7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 t="b">
            <v>0</v>
          </cell>
        </row>
        <row r="3913">
          <cell r="A3913" t="str">
            <v>Data split-11;Reg-98</v>
          </cell>
          <cell r="B3913">
            <v>-7</v>
          </cell>
          <cell r="C3913">
            <v>1.8</v>
          </cell>
          <cell r="D3913">
            <v>0</v>
          </cell>
          <cell r="E3913">
            <v>0</v>
          </cell>
          <cell r="F3913">
            <v>0.15</v>
          </cell>
          <cell r="G3913">
            <v>0</v>
          </cell>
          <cell r="H3913">
            <v>0</v>
          </cell>
          <cell r="I3913">
            <v>0.73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 t="b">
            <v>0</v>
          </cell>
        </row>
        <row r="3914">
          <cell r="A3914" t="str">
            <v>Data split-11;Reg-99</v>
          </cell>
          <cell r="B3914">
            <v>-8.3000000000000007</v>
          </cell>
          <cell r="C3914">
            <v>1.8</v>
          </cell>
          <cell r="D3914">
            <v>0</v>
          </cell>
          <cell r="E3914">
            <v>0</v>
          </cell>
          <cell r="F3914">
            <v>0.17</v>
          </cell>
          <cell r="G3914">
            <v>0</v>
          </cell>
          <cell r="H3914">
            <v>0</v>
          </cell>
          <cell r="I3914">
            <v>0</v>
          </cell>
          <cell r="J3914">
            <v>7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 t="b">
            <v>0</v>
          </cell>
        </row>
        <row r="3915">
          <cell r="A3915" t="str">
            <v>Data split-11;Reg-100</v>
          </cell>
          <cell r="B3915">
            <v>-3.9</v>
          </cell>
          <cell r="C3915">
            <v>0</v>
          </cell>
          <cell r="D3915">
            <v>1.2</v>
          </cell>
          <cell r="E3915">
            <v>1.2</v>
          </cell>
          <cell r="F3915">
            <v>0</v>
          </cell>
          <cell r="G3915">
            <v>0</v>
          </cell>
          <cell r="H3915">
            <v>0</v>
          </cell>
          <cell r="I3915">
            <v>0.13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 t="b">
            <v>0</v>
          </cell>
        </row>
        <row r="3916">
          <cell r="A3916" t="str">
            <v>Data split-11;Reg-101</v>
          </cell>
          <cell r="B3916">
            <v>-6</v>
          </cell>
          <cell r="C3916">
            <v>0</v>
          </cell>
          <cell r="D3916">
            <v>1.3</v>
          </cell>
          <cell r="E3916">
            <v>0.96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6.8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 t="b">
            <v>0</v>
          </cell>
        </row>
        <row r="3917">
          <cell r="A3917" t="str">
            <v>Data split-11;Reg-102</v>
          </cell>
          <cell r="B3917">
            <v>-3.9</v>
          </cell>
          <cell r="C3917">
            <v>0</v>
          </cell>
          <cell r="D3917">
            <v>1.6</v>
          </cell>
          <cell r="E3917">
            <v>0</v>
          </cell>
          <cell r="F3917">
            <v>0.16</v>
          </cell>
          <cell r="G3917">
            <v>0</v>
          </cell>
          <cell r="H3917">
            <v>0</v>
          </cell>
          <cell r="I3917">
            <v>0.93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 t="b">
            <v>0</v>
          </cell>
        </row>
        <row r="3918">
          <cell r="A3918" t="str">
            <v>Data split-11;Reg-103</v>
          </cell>
          <cell r="B3918">
            <v>-7</v>
          </cell>
          <cell r="C3918">
            <v>0</v>
          </cell>
          <cell r="D3918">
            <v>1.6</v>
          </cell>
          <cell r="E3918">
            <v>0</v>
          </cell>
          <cell r="F3918">
            <v>0.18</v>
          </cell>
          <cell r="G3918">
            <v>0</v>
          </cell>
          <cell r="H3918">
            <v>0</v>
          </cell>
          <cell r="I3918">
            <v>0</v>
          </cell>
          <cell r="J3918">
            <v>13.1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 t="b">
            <v>0</v>
          </cell>
        </row>
        <row r="3919">
          <cell r="A3919" t="str">
            <v>Data split-11;Reg-104</v>
          </cell>
          <cell r="B3919">
            <v>-6.1</v>
          </cell>
          <cell r="C3919">
            <v>1.4</v>
          </cell>
          <cell r="D3919">
            <v>0</v>
          </cell>
          <cell r="E3919">
            <v>1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-0.12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 t="b">
            <v>1</v>
          </cell>
        </row>
        <row r="3920">
          <cell r="A3920" t="str">
            <v>Data split-11;Reg-105</v>
          </cell>
          <cell r="B3920">
            <v>-6.9</v>
          </cell>
          <cell r="C3920">
            <v>1.5</v>
          </cell>
          <cell r="D3920">
            <v>0</v>
          </cell>
          <cell r="E3920">
            <v>1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0.42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 t="b">
            <v>0</v>
          </cell>
        </row>
        <row r="3921">
          <cell r="A3921" t="str">
            <v>Data split-11;Reg-106</v>
          </cell>
          <cell r="B3921">
            <v>-7.4</v>
          </cell>
          <cell r="C3921">
            <v>1.8</v>
          </cell>
          <cell r="D3921">
            <v>0</v>
          </cell>
          <cell r="E3921">
            <v>0</v>
          </cell>
          <cell r="F3921">
            <v>0.17</v>
          </cell>
          <cell r="G3921">
            <v>0</v>
          </cell>
          <cell r="H3921">
            <v>0</v>
          </cell>
          <cell r="I3921">
            <v>0</v>
          </cell>
          <cell r="J3921">
            <v>0</v>
          </cell>
          <cell r="K3921">
            <v>0.33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 t="b">
            <v>0</v>
          </cell>
        </row>
        <row r="3922">
          <cell r="A3922" t="str">
            <v>Data split-11;Reg-107</v>
          </cell>
          <cell r="B3922">
            <v>-6.9</v>
          </cell>
          <cell r="C3922">
            <v>1.9</v>
          </cell>
          <cell r="D3922">
            <v>0</v>
          </cell>
          <cell r="E3922">
            <v>0</v>
          </cell>
          <cell r="F3922">
            <v>0.18</v>
          </cell>
          <cell r="G3922">
            <v>0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0.97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 t="b">
            <v>0</v>
          </cell>
        </row>
        <row r="3923">
          <cell r="A3923" t="str">
            <v>Data split-11;Reg-108</v>
          </cell>
          <cell r="B3923">
            <v>-5.2</v>
          </cell>
          <cell r="C3923">
            <v>0</v>
          </cell>
          <cell r="D3923">
            <v>1.2</v>
          </cell>
          <cell r="E3923">
            <v>1.1000000000000001</v>
          </cell>
          <cell r="F3923">
            <v>0</v>
          </cell>
          <cell r="G3923">
            <v>0</v>
          </cell>
          <cell r="H3923">
            <v>0</v>
          </cell>
          <cell r="I3923">
            <v>0</v>
          </cell>
          <cell r="J3923">
            <v>0</v>
          </cell>
          <cell r="K3923">
            <v>0.35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 t="b">
            <v>0</v>
          </cell>
        </row>
        <row r="3924">
          <cell r="A3924" t="str">
            <v>Data split-11;Reg-109</v>
          </cell>
          <cell r="B3924">
            <v>-6.7</v>
          </cell>
          <cell r="C3924">
            <v>0</v>
          </cell>
          <cell r="D3924">
            <v>1.2</v>
          </cell>
          <cell r="E3924">
            <v>1.1000000000000001</v>
          </cell>
          <cell r="F3924">
            <v>0</v>
          </cell>
          <cell r="G3924">
            <v>0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3.2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 t="b">
            <v>0</v>
          </cell>
        </row>
        <row r="3925">
          <cell r="A3925" t="str">
            <v>Data split-11;Reg-110</v>
          </cell>
          <cell r="B3925">
            <v>-6.7</v>
          </cell>
          <cell r="C3925">
            <v>0</v>
          </cell>
          <cell r="D3925">
            <v>1.6</v>
          </cell>
          <cell r="E3925">
            <v>0</v>
          </cell>
          <cell r="F3925">
            <v>0.19</v>
          </cell>
          <cell r="G3925">
            <v>0</v>
          </cell>
          <cell r="H3925">
            <v>0</v>
          </cell>
          <cell r="I3925">
            <v>0</v>
          </cell>
          <cell r="J3925">
            <v>0</v>
          </cell>
          <cell r="K3925">
            <v>0.96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 t="b">
            <v>0</v>
          </cell>
        </row>
        <row r="3926">
          <cell r="A3926" t="str">
            <v>Data split-11;Reg-111</v>
          </cell>
          <cell r="B3926">
            <v>-7</v>
          </cell>
          <cell r="C3926">
            <v>0</v>
          </cell>
          <cell r="D3926">
            <v>1.7</v>
          </cell>
          <cell r="E3926">
            <v>0</v>
          </cell>
          <cell r="F3926">
            <v>0.2</v>
          </cell>
          <cell r="G3926">
            <v>0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4.9000000000000004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 t="b">
            <v>0</v>
          </cell>
        </row>
        <row r="3927">
          <cell r="A3927" t="str">
            <v>Data split-11;Reg-112</v>
          </cell>
          <cell r="B3927">
            <v>-6.9</v>
          </cell>
          <cell r="C3927">
            <v>1.5</v>
          </cell>
          <cell r="D3927">
            <v>0</v>
          </cell>
          <cell r="E3927">
            <v>0</v>
          </cell>
          <cell r="F3927">
            <v>0</v>
          </cell>
          <cell r="G3927">
            <v>1.6</v>
          </cell>
          <cell r="H3927">
            <v>0</v>
          </cell>
          <cell r="I3927">
            <v>-1.7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 t="b">
            <v>1</v>
          </cell>
        </row>
        <row r="3928">
          <cell r="A3928" t="str">
            <v>Data split-11;Reg-113</v>
          </cell>
          <cell r="B3928">
            <v>-6.4</v>
          </cell>
          <cell r="C3928">
            <v>1.6</v>
          </cell>
          <cell r="D3928">
            <v>0</v>
          </cell>
          <cell r="E3928">
            <v>0</v>
          </cell>
          <cell r="F3928">
            <v>0</v>
          </cell>
          <cell r="G3928">
            <v>1.1000000000000001</v>
          </cell>
          <cell r="H3928">
            <v>0</v>
          </cell>
          <cell r="I3928">
            <v>0</v>
          </cell>
          <cell r="J3928">
            <v>-6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 t="b">
            <v>1</v>
          </cell>
        </row>
        <row r="3929">
          <cell r="A3929" t="str">
            <v>Data split-11;Reg-114</v>
          </cell>
          <cell r="B3929">
            <v>-5.4</v>
          </cell>
          <cell r="C3929">
            <v>0.94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2.9</v>
          </cell>
          <cell r="I3929">
            <v>-1.3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 t="b">
            <v>1</v>
          </cell>
        </row>
        <row r="3930">
          <cell r="A3930" t="str">
            <v>Data split-11;Reg-115</v>
          </cell>
          <cell r="B3930">
            <v>-6.2</v>
          </cell>
          <cell r="C3930">
            <v>1.2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2</v>
          </cell>
          <cell r="I3930">
            <v>0</v>
          </cell>
          <cell r="J3930">
            <v>-2.4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 t="b">
            <v>1</v>
          </cell>
        </row>
        <row r="3931">
          <cell r="A3931" t="str">
            <v>Data split-11;Reg-116</v>
          </cell>
          <cell r="B3931">
            <v>-4.0999999999999996</v>
          </cell>
          <cell r="C3931">
            <v>0</v>
          </cell>
          <cell r="D3931">
            <v>1.3</v>
          </cell>
          <cell r="E3931">
            <v>0</v>
          </cell>
          <cell r="F3931">
            <v>0</v>
          </cell>
          <cell r="G3931">
            <v>1.6</v>
          </cell>
          <cell r="H3931">
            <v>0</v>
          </cell>
          <cell r="I3931">
            <v>-1.4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 t="b">
            <v>1</v>
          </cell>
        </row>
        <row r="3932">
          <cell r="A3932" t="str">
            <v>Data split-11;Reg-117</v>
          </cell>
          <cell r="B3932">
            <v>-5.4</v>
          </cell>
          <cell r="C3932">
            <v>0</v>
          </cell>
          <cell r="D3932">
            <v>1.4</v>
          </cell>
          <cell r="E3932">
            <v>0</v>
          </cell>
          <cell r="F3932">
            <v>0</v>
          </cell>
          <cell r="G3932">
            <v>1</v>
          </cell>
          <cell r="H3932">
            <v>0</v>
          </cell>
          <cell r="I3932">
            <v>0</v>
          </cell>
          <cell r="J3932">
            <v>1.1000000000000001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 t="b">
            <v>0</v>
          </cell>
        </row>
        <row r="3933">
          <cell r="A3933" t="str">
            <v>Data split-11;Reg-118</v>
          </cell>
          <cell r="B3933">
            <v>-3.3</v>
          </cell>
          <cell r="C3933">
            <v>0</v>
          </cell>
          <cell r="D3933">
            <v>0.56999999999999995</v>
          </cell>
          <cell r="E3933">
            <v>0</v>
          </cell>
          <cell r="F3933">
            <v>0</v>
          </cell>
          <cell r="G3933">
            <v>0</v>
          </cell>
          <cell r="H3933">
            <v>3.5</v>
          </cell>
          <cell r="I3933">
            <v>-1.6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 t="b">
            <v>1</v>
          </cell>
        </row>
        <row r="3934">
          <cell r="A3934" t="str">
            <v>Data split-11;Reg-119</v>
          </cell>
          <cell r="B3934">
            <v>-5</v>
          </cell>
          <cell r="C3934">
            <v>0</v>
          </cell>
          <cell r="D3934">
            <v>0.92</v>
          </cell>
          <cell r="E3934">
            <v>0</v>
          </cell>
          <cell r="F3934">
            <v>0</v>
          </cell>
          <cell r="G3934">
            <v>0</v>
          </cell>
          <cell r="H3934">
            <v>2.2000000000000002</v>
          </cell>
          <cell r="I3934">
            <v>0</v>
          </cell>
          <cell r="J3934">
            <v>0.77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 t="b">
            <v>0</v>
          </cell>
        </row>
        <row r="3935">
          <cell r="A3935" t="str">
            <v>Data split-11;Reg-120</v>
          </cell>
          <cell r="B3935">
            <v>-5.4</v>
          </cell>
          <cell r="C3935">
            <v>1.6</v>
          </cell>
          <cell r="D3935">
            <v>0</v>
          </cell>
          <cell r="E3935">
            <v>0</v>
          </cell>
          <cell r="F3935">
            <v>0</v>
          </cell>
          <cell r="G3935">
            <v>1.1000000000000001</v>
          </cell>
          <cell r="H3935">
            <v>0</v>
          </cell>
          <cell r="I3935">
            <v>0</v>
          </cell>
          <cell r="J3935">
            <v>0</v>
          </cell>
          <cell r="K3935">
            <v>-0.71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 t="b">
            <v>1</v>
          </cell>
        </row>
        <row r="3936">
          <cell r="A3936" t="str">
            <v>Data split-11;Reg-121</v>
          </cell>
          <cell r="B3936">
            <v>-7.4</v>
          </cell>
          <cell r="C3936">
            <v>1.6</v>
          </cell>
          <cell r="D3936">
            <v>0</v>
          </cell>
          <cell r="E3936">
            <v>0</v>
          </cell>
          <cell r="F3936">
            <v>0</v>
          </cell>
          <cell r="G3936">
            <v>0.96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-0.87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 t="b">
            <v>1</v>
          </cell>
        </row>
        <row r="3937">
          <cell r="A3937" t="str">
            <v>Data split-11;Reg-122</v>
          </cell>
          <cell r="B3937">
            <v>-5.4</v>
          </cell>
          <cell r="C3937">
            <v>1.2</v>
          </cell>
          <cell r="D3937">
            <v>0</v>
          </cell>
          <cell r="E3937">
            <v>0</v>
          </cell>
          <cell r="F3937">
            <v>0</v>
          </cell>
          <cell r="G3937">
            <v>0</v>
          </cell>
          <cell r="H3937">
            <v>2.1</v>
          </cell>
          <cell r="I3937">
            <v>0</v>
          </cell>
          <cell r="J3937">
            <v>0</v>
          </cell>
          <cell r="K3937">
            <v>-0.39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 t="b">
            <v>1</v>
          </cell>
        </row>
        <row r="3938">
          <cell r="A3938" t="str">
            <v>Data split-11;Reg-123</v>
          </cell>
          <cell r="B3938">
            <v>-7.4</v>
          </cell>
          <cell r="C3938">
            <v>1.2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1.9</v>
          </cell>
          <cell r="I3938">
            <v>0</v>
          </cell>
          <cell r="J3938">
            <v>0</v>
          </cell>
          <cell r="K3938">
            <v>0</v>
          </cell>
          <cell r="L3938">
            <v>0.47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 t="b">
            <v>0</v>
          </cell>
        </row>
        <row r="3939">
          <cell r="A3939" t="str">
            <v>Data split-11;Reg-124</v>
          </cell>
          <cell r="B3939">
            <v>-4.8</v>
          </cell>
          <cell r="C3939">
            <v>0</v>
          </cell>
          <cell r="D3939">
            <v>1.4</v>
          </cell>
          <cell r="E3939">
            <v>0</v>
          </cell>
          <cell r="F3939">
            <v>0</v>
          </cell>
          <cell r="G3939">
            <v>1.1000000000000001</v>
          </cell>
          <cell r="H3939">
            <v>0</v>
          </cell>
          <cell r="I3939">
            <v>0</v>
          </cell>
          <cell r="J3939">
            <v>0</v>
          </cell>
          <cell r="K3939">
            <v>-7.8E-2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 t="b">
            <v>1</v>
          </cell>
        </row>
        <row r="3940">
          <cell r="A3940" t="str">
            <v>Data split-11;Reg-125</v>
          </cell>
          <cell r="B3940">
            <v>-7.3</v>
          </cell>
          <cell r="C3940">
            <v>0</v>
          </cell>
          <cell r="D3940">
            <v>1.4</v>
          </cell>
          <cell r="E3940">
            <v>0</v>
          </cell>
          <cell r="F3940">
            <v>0</v>
          </cell>
          <cell r="G3940">
            <v>0.98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2.4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 t="b">
            <v>0</v>
          </cell>
        </row>
        <row r="3941">
          <cell r="A3941" t="str">
            <v>Data split-11;Reg-126</v>
          </cell>
          <cell r="B3941">
            <v>-4.4000000000000004</v>
          </cell>
          <cell r="C3941">
            <v>0</v>
          </cell>
          <cell r="D3941">
            <v>0.9</v>
          </cell>
          <cell r="E3941">
            <v>0</v>
          </cell>
          <cell r="F3941">
            <v>0</v>
          </cell>
          <cell r="G3941">
            <v>0</v>
          </cell>
          <cell r="H3941">
            <v>2.2999999999999998</v>
          </cell>
          <cell r="I3941">
            <v>0</v>
          </cell>
          <cell r="J3941">
            <v>0</v>
          </cell>
          <cell r="K3941">
            <v>-7.4999999999999997E-2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 t="b">
            <v>1</v>
          </cell>
        </row>
        <row r="3942">
          <cell r="A3942" t="str">
            <v>Data split-11;Reg-127</v>
          </cell>
          <cell r="B3942">
            <v>-7.2</v>
          </cell>
          <cell r="C3942">
            <v>0</v>
          </cell>
          <cell r="D3942">
            <v>0.98</v>
          </cell>
          <cell r="E3942">
            <v>0</v>
          </cell>
          <cell r="F3942">
            <v>0</v>
          </cell>
          <cell r="G3942">
            <v>0</v>
          </cell>
          <cell r="H3942">
            <v>2.2000000000000002</v>
          </cell>
          <cell r="I3942">
            <v>0</v>
          </cell>
          <cell r="J3942">
            <v>0</v>
          </cell>
          <cell r="K3942">
            <v>0</v>
          </cell>
          <cell r="L3942">
            <v>2.7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 t="b">
            <v>0</v>
          </cell>
        </row>
        <row r="3943">
          <cell r="A3943" t="str">
            <v>Data split-12;Reg-1</v>
          </cell>
          <cell r="B3943">
            <v>-9.4</v>
          </cell>
          <cell r="C3943">
            <v>2.1</v>
          </cell>
          <cell r="D3943">
            <v>0</v>
          </cell>
          <cell r="E3943">
            <v>0</v>
          </cell>
          <cell r="F3943">
            <v>0.11</v>
          </cell>
          <cell r="G3943">
            <v>0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1.3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 t="b">
            <v>0</v>
          </cell>
        </row>
        <row r="3944">
          <cell r="A3944" t="str">
            <v>Data split-12;Reg-2</v>
          </cell>
          <cell r="B3944">
            <v>-7.4</v>
          </cell>
          <cell r="C3944">
            <v>1.8</v>
          </cell>
          <cell r="D3944">
            <v>0</v>
          </cell>
          <cell r="E3944">
            <v>0</v>
          </cell>
          <cell r="F3944">
            <v>5.2999999999999999E-2</v>
          </cell>
          <cell r="G3944">
            <v>1.2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0</v>
          </cell>
          <cell r="M3944">
            <v>-8.7999999999999995E-2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 t="b">
            <v>1</v>
          </cell>
        </row>
        <row r="3945">
          <cell r="A3945" t="str">
            <v>Data split-12;Reg-3</v>
          </cell>
          <cell r="B3945">
            <v>-7.5</v>
          </cell>
          <cell r="C3945">
            <v>1.8</v>
          </cell>
          <cell r="D3945">
            <v>0</v>
          </cell>
          <cell r="E3945">
            <v>0</v>
          </cell>
          <cell r="F3945">
            <v>4.8000000000000001E-2</v>
          </cell>
          <cell r="G3945">
            <v>1.2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-1.2999999999999999E-2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 t="b">
            <v>1</v>
          </cell>
        </row>
        <row r="3946">
          <cell r="A3946" t="str">
            <v>Data split-12;Reg-4</v>
          </cell>
          <cell r="B3946">
            <v>-7.1</v>
          </cell>
          <cell r="C3946">
            <v>1.3</v>
          </cell>
          <cell r="D3946">
            <v>0</v>
          </cell>
          <cell r="E3946">
            <v>0</v>
          </cell>
          <cell r="F3946">
            <v>-5.1000000000000004E-3</v>
          </cell>
          <cell r="G3946">
            <v>0</v>
          </cell>
          <cell r="H3946">
            <v>3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-0.11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 t="b">
            <v>0</v>
          </cell>
        </row>
        <row r="3947">
          <cell r="A3947" t="str">
            <v>Data split-12;Reg-5</v>
          </cell>
          <cell r="B3947">
            <v>-4</v>
          </cell>
          <cell r="C3947">
            <v>0</v>
          </cell>
          <cell r="D3947">
            <v>0.73</v>
          </cell>
          <cell r="E3947">
            <v>0</v>
          </cell>
          <cell r="F3947">
            <v>-8.2000000000000007E-3</v>
          </cell>
          <cell r="G3947">
            <v>0</v>
          </cell>
          <cell r="H3947">
            <v>3.8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-0.11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 t="b">
            <v>0</v>
          </cell>
        </row>
        <row r="3948">
          <cell r="A3948" t="str">
            <v>Data split-12;Reg-6</v>
          </cell>
          <cell r="B3948">
            <v>-7.8</v>
          </cell>
          <cell r="C3948">
            <v>1.7</v>
          </cell>
          <cell r="D3948">
            <v>0</v>
          </cell>
          <cell r="E3948">
            <v>1.2</v>
          </cell>
          <cell r="F3948">
            <v>0</v>
          </cell>
          <cell r="G3948">
            <v>0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0.25</v>
          </cell>
          <cell r="M3948">
            <v>-5.0999999999999997E-2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 t="b">
            <v>0</v>
          </cell>
        </row>
        <row r="3949">
          <cell r="A3949" t="str">
            <v>Data split-12;Reg-7</v>
          </cell>
          <cell r="B3949">
            <v>-9.1999999999999993</v>
          </cell>
          <cell r="C3949">
            <v>2</v>
          </cell>
          <cell r="D3949">
            <v>0</v>
          </cell>
          <cell r="E3949">
            <v>0</v>
          </cell>
          <cell r="F3949">
            <v>8.2000000000000003E-2</v>
          </cell>
          <cell r="G3949">
            <v>0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0.98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3.4000000000000002E-2</v>
          </cell>
          <cell r="T3949">
            <v>0</v>
          </cell>
          <cell r="U3949" t="b">
            <v>0</v>
          </cell>
        </row>
        <row r="3950">
          <cell r="A3950" t="str">
            <v>Data split-12;Reg-8</v>
          </cell>
          <cell r="B3950">
            <v>-7.6</v>
          </cell>
          <cell r="C3950">
            <v>1.7</v>
          </cell>
          <cell r="D3950">
            <v>0</v>
          </cell>
          <cell r="E3950">
            <v>0</v>
          </cell>
          <cell r="F3950">
            <v>0</v>
          </cell>
          <cell r="G3950">
            <v>1.2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-0.1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-5.0999999999999997E-2</v>
          </cell>
          <cell r="T3950">
            <v>0</v>
          </cell>
          <cell r="U3950" t="b">
            <v>1</v>
          </cell>
        </row>
        <row r="3951">
          <cell r="A3951" t="str">
            <v>Data split-12;Reg-9</v>
          </cell>
          <cell r="B3951">
            <v>-4.0999999999999996</v>
          </cell>
          <cell r="C3951">
            <v>0</v>
          </cell>
          <cell r="D3951">
            <v>0.62</v>
          </cell>
          <cell r="E3951">
            <v>0</v>
          </cell>
          <cell r="F3951">
            <v>0</v>
          </cell>
          <cell r="G3951">
            <v>0</v>
          </cell>
          <cell r="H3951">
            <v>4.2</v>
          </cell>
          <cell r="I3951">
            <v>0</v>
          </cell>
          <cell r="J3951">
            <v>0</v>
          </cell>
          <cell r="K3951">
            <v>0</v>
          </cell>
          <cell r="L3951">
            <v>0.55000000000000004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-0.13</v>
          </cell>
          <cell r="T3951">
            <v>0</v>
          </cell>
          <cell r="U3951" t="b">
            <v>0</v>
          </cell>
        </row>
        <row r="3952">
          <cell r="A3952" t="str">
            <v>Data split-12;Reg-10</v>
          </cell>
          <cell r="B3952">
            <v>-4.0999999999999996</v>
          </cell>
          <cell r="C3952">
            <v>0</v>
          </cell>
          <cell r="D3952">
            <v>0.62</v>
          </cell>
          <cell r="E3952">
            <v>0</v>
          </cell>
          <cell r="F3952">
            <v>0</v>
          </cell>
          <cell r="G3952">
            <v>0</v>
          </cell>
          <cell r="H3952">
            <v>4.2</v>
          </cell>
          <cell r="I3952">
            <v>0</v>
          </cell>
          <cell r="J3952">
            <v>0</v>
          </cell>
          <cell r="K3952">
            <v>0</v>
          </cell>
          <cell r="L3952">
            <v>0.55000000000000004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-0.13</v>
          </cell>
          <cell r="T3952">
            <v>0</v>
          </cell>
          <cell r="U3952" t="b">
            <v>0</v>
          </cell>
        </row>
        <row r="3953">
          <cell r="A3953" t="str">
            <v>Data split-12;Reg-11</v>
          </cell>
          <cell r="B3953">
            <v>-7.9</v>
          </cell>
          <cell r="C3953">
            <v>1.7</v>
          </cell>
          <cell r="D3953">
            <v>0</v>
          </cell>
          <cell r="E3953">
            <v>-0.08</v>
          </cell>
          <cell r="F3953">
            <v>0</v>
          </cell>
          <cell r="G3953">
            <v>0.92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 t="b">
            <v>0</v>
          </cell>
        </row>
        <row r="3954">
          <cell r="A3954" t="str">
            <v>Data split-12;Reg-12</v>
          </cell>
          <cell r="B3954">
            <v>-7.9</v>
          </cell>
          <cell r="C3954">
            <v>1.4</v>
          </cell>
          <cell r="D3954">
            <v>0</v>
          </cell>
          <cell r="E3954">
            <v>-0.96</v>
          </cell>
          <cell r="F3954">
            <v>0</v>
          </cell>
          <cell r="G3954">
            <v>0</v>
          </cell>
          <cell r="H3954">
            <v>3</v>
          </cell>
          <cell r="I3954">
            <v>0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 t="b">
            <v>0</v>
          </cell>
        </row>
        <row r="3955">
          <cell r="A3955" t="str">
            <v>Data split-12;Reg-13</v>
          </cell>
          <cell r="B3955">
            <v>-7.6</v>
          </cell>
          <cell r="C3955">
            <v>1.7</v>
          </cell>
          <cell r="D3955">
            <v>0</v>
          </cell>
          <cell r="E3955">
            <v>0</v>
          </cell>
          <cell r="F3955">
            <v>3.5000000000000003E-2</v>
          </cell>
          <cell r="G3955">
            <v>0.82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 t="b">
            <v>1</v>
          </cell>
        </row>
        <row r="3956">
          <cell r="A3956" t="str">
            <v>Data split-12;Reg-14</v>
          </cell>
          <cell r="B3956">
            <v>-7.5</v>
          </cell>
          <cell r="C3956">
            <v>1.4</v>
          </cell>
          <cell r="D3956">
            <v>0</v>
          </cell>
          <cell r="E3956">
            <v>0</v>
          </cell>
          <cell r="F3956">
            <v>-2.2000000000000001E-3</v>
          </cell>
          <cell r="G3956">
            <v>0</v>
          </cell>
          <cell r="H3956">
            <v>1.8</v>
          </cell>
          <cell r="I3956">
            <v>0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 t="b">
            <v>0</v>
          </cell>
        </row>
        <row r="3957">
          <cell r="A3957" t="str">
            <v>Data split-12;Reg-15</v>
          </cell>
          <cell r="B3957">
            <v>-7.6</v>
          </cell>
          <cell r="C3957">
            <v>1.7</v>
          </cell>
          <cell r="D3957">
            <v>0</v>
          </cell>
          <cell r="E3957">
            <v>1.2</v>
          </cell>
          <cell r="F3957">
            <v>0</v>
          </cell>
          <cell r="G3957">
            <v>0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0</v>
          </cell>
          <cell r="M3957">
            <v>-5.0999999999999997E-2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 t="b">
            <v>1</v>
          </cell>
        </row>
        <row r="3958">
          <cell r="A3958" t="str">
            <v>Data split-12;Reg-16</v>
          </cell>
          <cell r="B3958">
            <v>-7.8</v>
          </cell>
          <cell r="C3958">
            <v>1.7</v>
          </cell>
          <cell r="D3958">
            <v>0</v>
          </cell>
          <cell r="E3958">
            <v>0.98</v>
          </cell>
          <cell r="F3958">
            <v>0</v>
          </cell>
          <cell r="G3958">
            <v>0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-2.7000000000000001E-3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 t="b">
            <v>1</v>
          </cell>
        </row>
        <row r="3959">
          <cell r="A3959" t="str">
            <v>Data split-12;Reg-17</v>
          </cell>
          <cell r="B3959">
            <v>-8.4</v>
          </cell>
          <cell r="C3959">
            <v>2</v>
          </cell>
          <cell r="D3959">
            <v>0</v>
          </cell>
          <cell r="E3959">
            <v>0</v>
          </cell>
          <cell r="F3959">
            <v>0.1</v>
          </cell>
          <cell r="G3959">
            <v>0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0</v>
          </cell>
          <cell r="M3959">
            <v>1.6E-2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 t="b">
            <v>0</v>
          </cell>
        </row>
        <row r="3960">
          <cell r="A3960" t="str">
            <v>Data split-12;Reg-18</v>
          </cell>
          <cell r="B3960">
            <v>-8.1999999999999993</v>
          </cell>
          <cell r="C3960">
            <v>1.9</v>
          </cell>
          <cell r="D3960">
            <v>0</v>
          </cell>
          <cell r="E3960">
            <v>0</v>
          </cell>
          <cell r="F3960">
            <v>8.1000000000000003E-2</v>
          </cell>
          <cell r="G3960">
            <v>0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8.2000000000000007E-3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 t="b">
            <v>0</v>
          </cell>
        </row>
        <row r="3961">
          <cell r="A3961" t="str">
            <v>Data split-12;Reg-19</v>
          </cell>
          <cell r="B3961">
            <v>-8.1</v>
          </cell>
          <cell r="C3961">
            <v>1.6</v>
          </cell>
          <cell r="D3961">
            <v>0</v>
          </cell>
          <cell r="E3961">
            <v>0</v>
          </cell>
          <cell r="F3961">
            <v>0</v>
          </cell>
          <cell r="G3961">
            <v>1.3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-6.2E-2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 t="b">
            <v>1</v>
          </cell>
        </row>
        <row r="3962">
          <cell r="A3962" t="str">
            <v>Data split-12;Reg-20</v>
          </cell>
          <cell r="B3962">
            <v>-8.1999999999999993</v>
          </cell>
          <cell r="C3962">
            <v>1.6</v>
          </cell>
          <cell r="D3962">
            <v>0</v>
          </cell>
          <cell r="E3962">
            <v>0</v>
          </cell>
          <cell r="F3962">
            <v>0</v>
          </cell>
          <cell r="G3962">
            <v>1.3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-8.6999999999999994E-3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 t="b">
            <v>1</v>
          </cell>
        </row>
        <row r="3963">
          <cell r="A3963" t="str">
            <v>Data split-12;Reg-21</v>
          </cell>
          <cell r="B3963">
            <v>-7.6</v>
          </cell>
          <cell r="C3963">
            <v>1.2</v>
          </cell>
          <cell r="D3963">
            <v>0</v>
          </cell>
          <cell r="E3963">
            <v>0</v>
          </cell>
          <cell r="F3963">
            <v>0</v>
          </cell>
          <cell r="G3963">
            <v>0</v>
          </cell>
          <cell r="H3963">
            <v>2.4</v>
          </cell>
          <cell r="I3963">
            <v>0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-4.3999999999999997E-2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 t="b">
            <v>1</v>
          </cell>
        </row>
        <row r="3964">
          <cell r="A3964" t="str">
            <v>Data split-12;Reg-22</v>
          </cell>
          <cell r="B3964">
            <v>-7.6</v>
          </cell>
          <cell r="C3964">
            <v>1.3</v>
          </cell>
          <cell r="D3964">
            <v>0</v>
          </cell>
          <cell r="E3964">
            <v>0</v>
          </cell>
          <cell r="F3964">
            <v>0</v>
          </cell>
          <cell r="G3964">
            <v>0</v>
          </cell>
          <cell r="H3964">
            <v>2.2000000000000002</v>
          </cell>
          <cell r="I3964">
            <v>0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-5.1999999999999998E-3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 t="b">
            <v>1</v>
          </cell>
        </row>
        <row r="3965">
          <cell r="A3965" t="str">
            <v>Data split-12;Reg-23</v>
          </cell>
          <cell r="B3965">
            <v>-3.9</v>
          </cell>
          <cell r="C3965">
            <v>0</v>
          </cell>
          <cell r="D3965">
            <v>1</v>
          </cell>
          <cell r="E3965">
            <v>0.67</v>
          </cell>
          <cell r="F3965">
            <v>0</v>
          </cell>
          <cell r="G3965">
            <v>0.79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 t="b">
            <v>1</v>
          </cell>
        </row>
        <row r="3966">
          <cell r="A3966" t="str">
            <v>Data split-12;Reg-24</v>
          </cell>
          <cell r="B3966">
            <v>-4.5</v>
          </cell>
          <cell r="C3966">
            <v>0</v>
          </cell>
          <cell r="D3966">
            <v>0.79</v>
          </cell>
          <cell r="E3966">
            <v>-0.67</v>
          </cell>
          <cell r="F3966">
            <v>0</v>
          </cell>
          <cell r="G3966">
            <v>0</v>
          </cell>
          <cell r="H3966">
            <v>3.4</v>
          </cell>
          <cell r="I3966">
            <v>0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 t="b">
            <v>0</v>
          </cell>
        </row>
        <row r="3967">
          <cell r="A3967" t="str">
            <v>Data split-12;Reg-25</v>
          </cell>
          <cell r="B3967">
            <v>-3.7</v>
          </cell>
          <cell r="C3967">
            <v>0</v>
          </cell>
          <cell r="D3967">
            <v>1.2</v>
          </cell>
          <cell r="E3967">
            <v>0</v>
          </cell>
          <cell r="F3967">
            <v>7.2999999999999995E-2</v>
          </cell>
          <cell r="G3967">
            <v>1.1000000000000001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 t="b">
            <v>1</v>
          </cell>
        </row>
        <row r="3968">
          <cell r="A3968" t="str">
            <v>Data split-12;Reg-26</v>
          </cell>
          <cell r="B3968">
            <v>-4.3</v>
          </cell>
          <cell r="C3968">
            <v>0</v>
          </cell>
          <cell r="D3968">
            <v>0.75</v>
          </cell>
          <cell r="E3968">
            <v>0</v>
          </cell>
          <cell r="F3968">
            <v>-5.1000000000000004E-3</v>
          </cell>
          <cell r="G3968">
            <v>0</v>
          </cell>
          <cell r="H3968">
            <v>2.6</v>
          </cell>
          <cell r="I3968">
            <v>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 t="b">
            <v>0</v>
          </cell>
        </row>
        <row r="3969">
          <cell r="A3969" t="str">
            <v>Data split-12;Reg-27</v>
          </cell>
          <cell r="B3969">
            <v>-3.7</v>
          </cell>
          <cell r="C3969">
            <v>0</v>
          </cell>
          <cell r="D3969">
            <v>1</v>
          </cell>
          <cell r="E3969">
            <v>1.8</v>
          </cell>
          <cell r="F3969">
            <v>0</v>
          </cell>
          <cell r="G3969">
            <v>0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0</v>
          </cell>
          <cell r="M3969">
            <v>-5.6000000000000001E-2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 t="b">
            <v>1</v>
          </cell>
        </row>
        <row r="3970">
          <cell r="A3970" t="str">
            <v>Data split-12;Reg-28</v>
          </cell>
          <cell r="B3970">
            <v>-3.9</v>
          </cell>
          <cell r="C3970">
            <v>0</v>
          </cell>
          <cell r="D3970">
            <v>1</v>
          </cell>
          <cell r="E3970">
            <v>1.6</v>
          </cell>
          <cell r="F3970">
            <v>0</v>
          </cell>
          <cell r="G3970">
            <v>0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-4.4999999999999997E-3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 t="b">
            <v>1</v>
          </cell>
        </row>
        <row r="3971">
          <cell r="A3971" t="str">
            <v>Data split-12;Reg-29</v>
          </cell>
          <cell r="B3971">
            <v>-4</v>
          </cell>
          <cell r="C3971">
            <v>0</v>
          </cell>
          <cell r="D3971">
            <v>1.5</v>
          </cell>
          <cell r="E3971">
            <v>0</v>
          </cell>
          <cell r="F3971">
            <v>0.14000000000000001</v>
          </cell>
          <cell r="G3971">
            <v>0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0</v>
          </cell>
          <cell r="M3971">
            <v>5.1999999999999998E-2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 t="b">
            <v>0</v>
          </cell>
        </row>
        <row r="3972">
          <cell r="A3972" t="str">
            <v>Data split-12;Reg-30</v>
          </cell>
          <cell r="B3972">
            <v>-4.0999999999999996</v>
          </cell>
          <cell r="C3972">
            <v>0</v>
          </cell>
          <cell r="D3972">
            <v>1.3</v>
          </cell>
          <cell r="E3972">
            <v>0</v>
          </cell>
          <cell r="F3972">
            <v>0.12</v>
          </cell>
          <cell r="G3972">
            <v>0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1.4999999999999999E-2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 t="b">
            <v>0</v>
          </cell>
        </row>
        <row r="3973">
          <cell r="A3973" t="str">
            <v>Data split-12;Reg-31</v>
          </cell>
          <cell r="B3973">
            <v>-4.5</v>
          </cell>
          <cell r="C3973">
            <v>0</v>
          </cell>
          <cell r="D3973">
            <v>1.1000000000000001</v>
          </cell>
          <cell r="E3973">
            <v>0</v>
          </cell>
          <cell r="F3973">
            <v>0</v>
          </cell>
          <cell r="G3973">
            <v>1.8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-8.6999999999999994E-2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 t="b">
            <v>1</v>
          </cell>
        </row>
        <row r="3974">
          <cell r="A3974" t="str">
            <v>Data split-12;Reg-32</v>
          </cell>
          <cell r="B3974">
            <v>-4.5999999999999996</v>
          </cell>
          <cell r="C3974">
            <v>0</v>
          </cell>
          <cell r="D3974">
            <v>1.1000000000000001</v>
          </cell>
          <cell r="E3974">
            <v>0</v>
          </cell>
          <cell r="F3974">
            <v>0</v>
          </cell>
          <cell r="G3974">
            <v>1.7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-1.2E-2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 t="b">
            <v>1</v>
          </cell>
        </row>
        <row r="3975">
          <cell r="A3975" t="str">
            <v>Data split-12;Reg-33</v>
          </cell>
          <cell r="B3975">
            <v>-5</v>
          </cell>
          <cell r="C3975">
            <v>0</v>
          </cell>
          <cell r="D3975">
            <v>0.59</v>
          </cell>
          <cell r="E3975">
            <v>0</v>
          </cell>
          <cell r="F3975">
            <v>0</v>
          </cell>
          <cell r="G3975">
            <v>0</v>
          </cell>
          <cell r="H3975">
            <v>3.5</v>
          </cell>
          <cell r="I3975">
            <v>0</v>
          </cell>
          <cell r="J3975">
            <v>0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-0.08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 t="b">
            <v>1</v>
          </cell>
        </row>
        <row r="3976">
          <cell r="A3976" t="str">
            <v>Data split-12;Reg-34</v>
          </cell>
          <cell r="B3976">
            <v>-5</v>
          </cell>
          <cell r="C3976">
            <v>0</v>
          </cell>
          <cell r="D3976">
            <v>0.64</v>
          </cell>
          <cell r="E3976">
            <v>0</v>
          </cell>
          <cell r="F3976">
            <v>0</v>
          </cell>
          <cell r="G3976">
            <v>0</v>
          </cell>
          <cell r="H3976">
            <v>3.4</v>
          </cell>
          <cell r="I3976">
            <v>0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-1.2E-2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 t="b">
            <v>1</v>
          </cell>
        </row>
        <row r="3977">
          <cell r="A3977" t="str">
            <v>Data split-12;Reg-35</v>
          </cell>
          <cell r="B3977">
            <v>-7.4</v>
          </cell>
          <cell r="C3977">
            <v>1.7</v>
          </cell>
          <cell r="D3977">
            <v>0</v>
          </cell>
          <cell r="E3977">
            <v>0.38</v>
          </cell>
          <cell r="F3977">
            <v>0</v>
          </cell>
          <cell r="G3977">
            <v>1.2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0</v>
          </cell>
          <cell r="M3977">
            <v>-9.7000000000000003E-2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 t="b">
            <v>1</v>
          </cell>
        </row>
        <row r="3978">
          <cell r="A3978" t="str">
            <v>Data split-12;Reg-36</v>
          </cell>
          <cell r="B3978">
            <v>-7.5</v>
          </cell>
          <cell r="C3978">
            <v>1.7</v>
          </cell>
          <cell r="D3978">
            <v>0</v>
          </cell>
          <cell r="E3978">
            <v>0.35</v>
          </cell>
          <cell r="F3978">
            <v>0</v>
          </cell>
          <cell r="G3978">
            <v>1.2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-1.6E-2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 t="b">
            <v>1</v>
          </cell>
        </row>
        <row r="3979">
          <cell r="A3979" t="str">
            <v>Data split-12;Reg-37</v>
          </cell>
          <cell r="B3979">
            <v>-7.3</v>
          </cell>
          <cell r="C3979">
            <v>1.4</v>
          </cell>
          <cell r="D3979">
            <v>0</v>
          </cell>
          <cell r="E3979">
            <v>-0.57999999999999996</v>
          </cell>
          <cell r="F3979">
            <v>0</v>
          </cell>
          <cell r="G3979">
            <v>0</v>
          </cell>
          <cell r="H3979">
            <v>3.5</v>
          </cell>
          <cell r="I3979">
            <v>0</v>
          </cell>
          <cell r="J3979">
            <v>0</v>
          </cell>
          <cell r="K3979">
            <v>0</v>
          </cell>
          <cell r="L3979">
            <v>0</v>
          </cell>
          <cell r="M3979">
            <v>-9.8000000000000004E-2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 t="b">
            <v>0</v>
          </cell>
        </row>
        <row r="3980">
          <cell r="A3980" t="str">
            <v>Data split-12;Reg-38</v>
          </cell>
          <cell r="B3980">
            <v>-7.5</v>
          </cell>
          <cell r="C3980">
            <v>1.4</v>
          </cell>
          <cell r="D3980">
            <v>0</v>
          </cell>
          <cell r="E3980">
            <v>-0.62</v>
          </cell>
          <cell r="F3980">
            <v>0</v>
          </cell>
          <cell r="G3980">
            <v>0</v>
          </cell>
          <cell r="H3980">
            <v>3.4</v>
          </cell>
          <cell r="I3980">
            <v>0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-1.4E-2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 t="b">
            <v>0</v>
          </cell>
        </row>
        <row r="3981">
          <cell r="A3981" t="str">
            <v>Data split-12;Reg-39</v>
          </cell>
          <cell r="B3981">
            <v>-7.4</v>
          </cell>
          <cell r="C3981">
            <v>1.8</v>
          </cell>
          <cell r="D3981">
            <v>0</v>
          </cell>
          <cell r="E3981">
            <v>0</v>
          </cell>
          <cell r="F3981">
            <v>5.2999999999999999E-2</v>
          </cell>
          <cell r="G3981">
            <v>1.2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0</v>
          </cell>
          <cell r="M3981">
            <v>-8.7999999999999995E-2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 t="b">
            <v>1</v>
          </cell>
        </row>
        <row r="3982">
          <cell r="A3982" t="str">
            <v>Data split-12;Reg-40</v>
          </cell>
          <cell r="B3982">
            <v>-7.5</v>
          </cell>
          <cell r="C3982">
            <v>1.8</v>
          </cell>
          <cell r="D3982">
            <v>0</v>
          </cell>
          <cell r="E3982">
            <v>0</v>
          </cell>
          <cell r="F3982">
            <v>4.8000000000000001E-2</v>
          </cell>
          <cell r="G3982">
            <v>1.2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-1.2999999999999999E-2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 t="b">
            <v>1</v>
          </cell>
        </row>
        <row r="3983">
          <cell r="A3983" t="str">
            <v>Data split-12;Reg-41</v>
          </cell>
          <cell r="B3983">
            <v>-7.1</v>
          </cell>
          <cell r="C3983">
            <v>1.3</v>
          </cell>
          <cell r="D3983">
            <v>0</v>
          </cell>
          <cell r="E3983">
            <v>0</v>
          </cell>
          <cell r="F3983">
            <v>-5.1000000000000004E-3</v>
          </cell>
          <cell r="G3983">
            <v>0</v>
          </cell>
          <cell r="H3983">
            <v>3</v>
          </cell>
          <cell r="I3983">
            <v>0</v>
          </cell>
          <cell r="J3983">
            <v>0</v>
          </cell>
          <cell r="K3983">
            <v>0</v>
          </cell>
          <cell r="L3983">
            <v>0</v>
          </cell>
          <cell r="M3983">
            <v>-0.11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 t="b">
            <v>0</v>
          </cell>
        </row>
        <row r="3984">
          <cell r="A3984" t="str">
            <v>Data split-12;Reg-42</v>
          </cell>
          <cell r="B3984">
            <v>-7.2</v>
          </cell>
          <cell r="C3984">
            <v>1.3</v>
          </cell>
          <cell r="D3984">
            <v>0</v>
          </cell>
          <cell r="E3984">
            <v>0</v>
          </cell>
          <cell r="F3984">
            <v>-8.8999999999999999E-3</v>
          </cell>
          <cell r="G3984">
            <v>0</v>
          </cell>
          <cell r="H3984">
            <v>2.9</v>
          </cell>
          <cell r="I3984">
            <v>0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-1.7000000000000001E-2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 t="b">
            <v>0</v>
          </cell>
        </row>
        <row r="3985">
          <cell r="A3985" t="str">
            <v>Data split-12;Reg-43</v>
          </cell>
          <cell r="B3985">
            <v>-8.1</v>
          </cell>
          <cell r="C3985">
            <v>1.6</v>
          </cell>
          <cell r="D3985">
            <v>0</v>
          </cell>
          <cell r="E3985">
            <v>2.7000000000000001E-3</v>
          </cell>
          <cell r="F3985">
            <v>0</v>
          </cell>
          <cell r="G3985">
            <v>1.3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-6.2E-2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 t="b">
            <v>1</v>
          </cell>
        </row>
        <row r="3986">
          <cell r="A3986" t="str">
            <v>Data split-12;Reg-44</v>
          </cell>
          <cell r="B3986">
            <v>-8.1999999999999993</v>
          </cell>
          <cell r="C3986">
            <v>1.6</v>
          </cell>
          <cell r="D3986">
            <v>0</v>
          </cell>
          <cell r="E3986">
            <v>-2.1999999999999999E-2</v>
          </cell>
          <cell r="F3986">
            <v>0</v>
          </cell>
          <cell r="G3986">
            <v>1.3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-8.6E-3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 t="b">
            <v>0</v>
          </cell>
        </row>
        <row r="3987">
          <cell r="A3987" t="str">
            <v>Data split-12;Reg-45</v>
          </cell>
          <cell r="B3987">
            <v>-8</v>
          </cell>
          <cell r="C3987">
            <v>1.3</v>
          </cell>
          <cell r="D3987">
            <v>0</v>
          </cell>
          <cell r="E3987">
            <v>-0.97</v>
          </cell>
          <cell r="F3987">
            <v>0</v>
          </cell>
          <cell r="G3987">
            <v>0</v>
          </cell>
          <cell r="H3987">
            <v>3.6</v>
          </cell>
          <cell r="I3987">
            <v>0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-4.4999999999999998E-2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 t="b">
            <v>0</v>
          </cell>
        </row>
        <row r="3988">
          <cell r="A3988" t="str">
            <v>Data split-12;Reg-46</v>
          </cell>
          <cell r="B3988">
            <v>-8.1</v>
          </cell>
          <cell r="C3988">
            <v>1.3</v>
          </cell>
          <cell r="D3988">
            <v>0</v>
          </cell>
          <cell r="E3988">
            <v>-0.97</v>
          </cell>
          <cell r="F3988">
            <v>0</v>
          </cell>
          <cell r="G3988">
            <v>0</v>
          </cell>
          <cell r="H3988">
            <v>3.4</v>
          </cell>
          <cell r="I3988">
            <v>0</v>
          </cell>
          <cell r="J3988">
            <v>0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-5.4999999999999997E-3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 t="b">
            <v>0</v>
          </cell>
        </row>
        <row r="3989">
          <cell r="A3989" t="str">
            <v>Data split-12;Reg-47</v>
          </cell>
          <cell r="B3989">
            <v>-7.7</v>
          </cell>
          <cell r="C3989">
            <v>1.6</v>
          </cell>
          <cell r="D3989">
            <v>0</v>
          </cell>
          <cell r="E3989">
            <v>0</v>
          </cell>
          <cell r="F3989">
            <v>6.6000000000000003E-2</v>
          </cell>
          <cell r="G3989">
            <v>1.3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-7.6999999999999999E-2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 t="b">
            <v>1</v>
          </cell>
        </row>
        <row r="3990">
          <cell r="A3990" t="str">
            <v>Data split-12;Reg-48</v>
          </cell>
          <cell r="B3990">
            <v>-7.9</v>
          </cell>
          <cell r="C3990">
            <v>1.6</v>
          </cell>
          <cell r="D3990">
            <v>0</v>
          </cell>
          <cell r="E3990">
            <v>0</v>
          </cell>
          <cell r="F3990">
            <v>5.8000000000000003E-2</v>
          </cell>
          <cell r="G3990">
            <v>1.3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-1.0999999999999999E-2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 t="b">
            <v>1</v>
          </cell>
        </row>
        <row r="3991">
          <cell r="A3991" t="str">
            <v>Data split-12;Reg-49</v>
          </cell>
          <cell r="B3991">
            <v>-7.5</v>
          </cell>
          <cell r="C3991">
            <v>1.2</v>
          </cell>
          <cell r="D3991">
            <v>0</v>
          </cell>
          <cell r="E3991">
            <v>0</v>
          </cell>
          <cell r="F3991">
            <v>8.6999999999999994E-3</v>
          </cell>
          <cell r="G3991">
            <v>0</v>
          </cell>
          <cell r="H3991">
            <v>2.4</v>
          </cell>
          <cell r="I3991">
            <v>0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-4.4999999999999998E-2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 t="b">
            <v>1</v>
          </cell>
        </row>
        <row r="3992">
          <cell r="A3992" t="str">
            <v>Data split-12;Reg-50</v>
          </cell>
          <cell r="B3992">
            <v>-7.6</v>
          </cell>
          <cell r="C3992">
            <v>1.3</v>
          </cell>
          <cell r="D3992">
            <v>0</v>
          </cell>
          <cell r="E3992">
            <v>0</v>
          </cell>
          <cell r="F3992">
            <v>3.3999999999999998E-3</v>
          </cell>
          <cell r="G3992">
            <v>0</v>
          </cell>
          <cell r="H3992">
            <v>2.2000000000000002</v>
          </cell>
          <cell r="I3992">
            <v>0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-5.3E-3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 t="b">
            <v>1</v>
          </cell>
        </row>
        <row r="3993">
          <cell r="A3993" t="str">
            <v>Data split-12;Reg-51</v>
          </cell>
          <cell r="B3993">
            <v>-3.4</v>
          </cell>
          <cell r="C3993">
            <v>0</v>
          </cell>
          <cell r="D3993">
            <v>1</v>
          </cell>
          <cell r="E3993">
            <v>1.1000000000000001</v>
          </cell>
          <cell r="F3993">
            <v>0</v>
          </cell>
          <cell r="G3993">
            <v>1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-9.7000000000000003E-2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 t="b">
            <v>1</v>
          </cell>
        </row>
        <row r="3994">
          <cell r="A3994" t="str">
            <v>Data split-12;Reg-52</v>
          </cell>
          <cell r="B3994">
            <v>-3.5</v>
          </cell>
          <cell r="C3994">
            <v>0</v>
          </cell>
          <cell r="D3994">
            <v>1</v>
          </cell>
          <cell r="E3994">
            <v>1.1000000000000001</v>
          </cell>
          <cell r="F3994">
            <v>0</v>
          </cell>
          <cell r="G3994">
            <v>1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-1.6E-2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 t="b">
            <v>1</v>
          </cell>
        </row>
        <row r="3995">
          <cell r="A3995" t="str">
            <v>Data split-12;Reg-53</v>
          </cell>
          <cell r="B3995">
            <v>-4</v>
          </cell>
          <cell r="C3995">
            <v>0</v>
          </cell>
          <cell r="D3995">
            <v>0.75</v>
          </cell>
          <cell r="E3995">
            <v>-0.27</v>
          </cell>
          <cell r="F3995">
            <v>0</v>
          </cell>
          <cell r="G3995">
            <v>0</v>
          </cell>
          <cell r="H3995">
            <v>4</v>
          </cell>
          <cell r="I3995">
            <v>0</v>
          </cell>
          <cell r="J3995">
            <v>0</v>
          </cell>
          <cell r="K3995">
            <v>0</v>
          </cell>
          <cell r="L3995">
            <v>0</v>
          </cell>
          <cell r="M3995">
            <v>-0.11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 t="b">
            <v>0</v>
          </cell>
        </row>
        <row r="3996">
          <cell r="A3996" t="str">
            <v>Data split-12;Reg-54</v>
          </cell>
          <cell r="B3996">
            <v>-4.2</v>
          </cell>
          <cell r="C3996">
            <v>0</v>
          </cell>
          <cell r="D3996">
            <v>0.76</v>
          </cell>
          <cell r="E3996">
            <v>-0.28000000000000003</v>
          </cell>
          <cell r="F3996">
            <v>0</v>
          </cell>
          <cell r="G3996">
            <v>0</v>
          </cell>
          <cell r="H3996">
            <v>4</v>
          </cell>
          <cell r="I3996">
            <v>0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-1.7000000000000001E-2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 t="b">
            <v>0</v>
          </cell>
        </row>
        <row r="3997">
          <cell r="A3997" t="str">
            <v>Data split-12;Reg-55</v>
          </cell>
          <cell r="B3997">
            <v>-3.3</v>
          </cell>
          <cell r="C3997">
            <v>0</v>
          </cell>
          <cell r="D3997">
            <v>1.2</v>
          </cell>
          <cell r="E3997">
            <v>0</v>
          </cell>
          <cell r="F3997">
            <v>8.6999999999999994E-2</v>
          </cell>
          <cell r="G3997">
            <v>1.3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0</v>
          </cell>
          <cell r="M3997">
            <v>-0.06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 t="b">
            <v>1</v>
          </cell>
        </row>
        <row r="3998">
          <cell r="A3998" t="str">
            <v>Data split-12;Reg-56</v>
          </cell>
          <cell r="B3998">
            <v>-3.5</v>
          </cell>
          <cell r="C3998">
            <v>0</v>
          </cell>
          <cell r="D3998">
            <v>1.2</v>
          </cell>
          <cell r="E3998">
            <v>0</v>
          </cell>
          <cell r="F3998">
            <v>8.1000000000000003E-2</v>
          </cell>
          <cell r="G3998">
            <v>1.3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-6.6E-3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 t="b">
            <v>1</v>
          </cell>
        </row>
        <row r="3999">
          <cell r="A3999" t="str">
            <v>Data split-12;Reg-57</v>
          </cell>
          <cell r="B3999">
            <v>-4</v>
          </cell>
          <cell r="C3999">
            <v>0</v>
          </cell>
          <cell r="D3999">
            <v>0.73</v>
          </cell>
          <cell r="E3999">
            <v>0</v>
          </cell>
          <cell r="F3999">
            <v>-8.2000000000000007E-3</v>
          </cell>
          <cell r="G3999">
            <v>0</v>
          </cell>
          <cell r="H3999">
            <v>3.8</v>
          </cell>
          <cell r="I3999">
            <v>0</v>
          </cell>
          <cell r="J3999">
            <v>0</v>
          </cell>
          <cell r="K3999">
            <v>0</v>
          </cell>
          <cell r="L3999">
            <v>0</v>
          </cell>
          <cell r="M3999">
            <v>-0.11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 t="b">
            <v>0</v>
          </cell>
        </row>
        <row r="4000">
          <cell r="A4000" t="str">
            <v>Data split-12;Reg-58</v>
          </cell>
          <cell r="B4000">
            <v>-4.0999999999999996</v>
          </cell>
          <cell r="C4000">
            <v>0</v>
          </cell>
          <cell r="D4000">
            <v>0.74</v>
          </cell>
          <cell r="E4000">
            <v>0</v>
          </cell>
          <cell r="F4000">
            <v>-1.2E-2</v>
          </cell>
          <cell r="G4000">
            <v>0</v>
          </cell>
          <cell r="H4000">
            <v>3.8</v>
          </cell>
          <cell r="I4000">
            <v>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-1.9E-2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 t="b">
            <v>0</v>
          </cell>
        </row>
        <row r="4001">
          <cell r="A4001" t="str">
            <v>Data split-12;Reg-59</v>
          </cell>
          <cell r="B4001">
            <v>-4.5</v>
          </cell>
          <cell r="C4001">
            <v>0</v>
          </cell>
          <cell r="D4001">
            <v>0.9</v>
          </cell>
          <cell r="E4001">
            <v>0.74</v>
          </cell>
          <cell r="F4001">
            <v>0</v>
          </cell>
          <cell r="G4001">
            <v>1.4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-9.2999999999999999E-2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 t="b">
            <v>1</v>
          </cell>
        </row>
        <row r="4002">
          <cell r="A4002" t="str">
            <v>Data split-12;Reg-60</v>
          </cell>
          <cell r="B4002">
            <v>-4.5999999999999996</v>
          </cell>
          <cell r="C4002">
            <v>0</v>
          </cell>
          <cell r="D4002">
            <v>0.94</v>
          </cell>
          <cell r="E4002">
            <v>0.73</v>
          </cell>
          <cell r="F4002">
            <v>0</v>
          </cell>
          <cell r="G4002">
            <v>1.3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-1.4E-2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 t="b">
            <v>1</v>
          </cell>
        </row>
        <row r="4003">
          <cell r="A4003" t="str">
            <v>Data split-12;Reg-61</v>
          </cell>
          <cell r="B4003">
            <v>-5.2</v>
          </cell>
          <cell r="C4003">
            <v>0</v>
          </cell>
          <cell r="D4003">
            <v>0.63</v>
          </cell>
          <cell r="E4003">
            <v>-0.73</v>
          </cell>
          <cell r="F4003">
            <v>0</v>
          </cell>
          <cell r="G4003">
            <v>0</v>
          </cell>
          <cell r="H4003">
            <v>4.5</v>
          </cell>
          <cell r="I4003">
            <v>0</v>
          </cell>
          <cell r="J4003">
            <v>0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-8.2000000000000003E-2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 t="b">
            <v>0</v>
          </cell>
        </row>
        <row r="4004">
          <cell r="A4004" t="str">
            <v>Data split-12;Reg-62</v>
          </cell>
          <cell r="B4004">
            <v>-5.3</v>
          </cell>
          <cell r="C4004">
            <v>0</v>
          </cell>
          <cell r="D4004">
            <v>0.67</v>
          </cell>
          <cell r="E4004">
            <v>-0.72</v>
          </cell>
          <cell r="F4004">
            <v>0</v>
          </cell>
          <cell r="G4004">
            <v>0</v>
          </cell>
          <cell r="H4004">
            <v>4.4000000000000004</v>
          </cell>
          <cell r="I4004">
            <v>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-1.2E-2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 t="b">
            <v>0</v>
          </cell>
        </row>
        <row r="4005">
          <cell r="A4005" t="str">
            <v>Data split-12;Reg-63</v>
          </cell>
          <cell r="B4005">
            <v>-4.0999999999999996</v>
          </cell>
          <cell r="C4005">
            <v>0</v>
          </cell>
          <cell r="D4005">
            <v>1.1000000000000001</v>
          </cell>
          <cell r="E4005">
            <v>0</v>
          </cell>
          <cell r="F4005">
            <v>0.11</v>
          </cell>
          <cell r="G4005">
            <v>1.8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-0.11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 t="b">
            <v>1</v>
          </cell>
        </row>
        <row r="4006">
          <cell r="A4006" t="str">
            <v>Data split-12;Reg-64</v>
          </cell>
          <cell r="B4006">
            <v>-4.3</v>
          </cell>
          <cell r="C4006">
            <v>0</v>
          </cell>
          <cell r="D4006">
            <v>1.1000000000000001</v>
          </cell>
          <cell r="E4006">
            <v>0</v>
          </cell>
          <cell r="F4006">
            <v>0.1</v>
          </cell>
          <cell r="G4006">
            <v>1.7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-1.6E-2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 t="b">
            <v>1</v>
          </cell>
        </row>
        <row r="4007">
          <cell r="A4007" t="str">
            <v>Data split-12;Reg-65</v>
          </cell>
          <cell r="B4007">
            <v>-4.9000000000000004</v>
          </cell>
          <cell r="C4007">
            <v>0</v>
          </cell>
          <cell r="D4007">
            <v>0.6</v>
          </cell>
          <cell r="E4007">
            <v>0</v>
          </cell>
          <cell r="F4007">
            <v>1.4E-2</v>
          </cell>
          <cell r="G4007">
            <v>0</v>
          </cell>
          <cell r="H4007">
            <v>3.5</v>
          </cell>
          <cell r="I4007">
            <v>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-8.1000000000000003E-2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 t="b">
            <v>1</v>
          </cell>
        </row>
        <row r="4008">
          <cell r="A4008" t="str">
            <v>Data split-12;Reg-66</v>
          </cell>
          <cell r="B4008">
            <v>-5</v>
          </cell>
          <cell r="C4008">
            <v>0</v>
          </cell>
          <cell r="D4008">
            <v>0.64</v>
          </cell>
          <cell r="E4008">
            <v>0</v>
          </cell>
          <cell r="F4008">
            <v>7.3000000000000001E-3</v>
          </cell>
          <cell r="G4008">
            <v>0</v>
          </cell>
          <cell r="H4008">
            <v>3.4</v>
          </cell>
          <cell r="I4008">
            <v>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-1.2E-2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 t="b">
            <v>1</v>
          </cell>
        </row>
        <row r="4009">
          <cell r="A4009" t="str">
            <v>Data split-12;Reg-67</v>
          </cell>
          <cell r="B4009">
            <v>-7.8</v>
          </cell>
          <cell r="C4009">
            <v>1.7</v>
          </cell>
          <cell r="D4009">
            <v>0</v>
          </cell>
          <cell r="E4009">
            <v>0</v>
          </cell>
          <cell r="F4009">
            <v>0</v>
          </cell>
          <cell r="G4009">
            <v>0.88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 t="b">
            <v>1</v>
          </cell>
        </row>
        <row r="4010">
          <cell r="A4010" t="str">
            <v>Data split-12;Reg-68</v>
          </cell>
          <cell r="B4010">
            <v>-7.6</v>
          </cell>
          <cell r="C4010">
            <v>1.7</v>
          </cell>
          <cell r="D4010">
            <v>0</v>
          </cell>
          <cell r="E4010">
            <v>0</v>
          </cell>
          <cell r="F4010">
            <v>3.5000000000000003E-2</v>
          </cell>
          <cell r="G4010">
            <v>0.82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 t="b">
            <v>1</v>
          </cell>
        </row>
        <row r="4011">
          <cell r="A4011" t="str">
            <v>Data split-12;Reg-69</v>
          </cell>
          <cell r="B4011">
            <v>-7.3</v>
          </cell>
          <cell r="C4011">
            <v>1.7</v>
          </cell>
          <cell r="D4011">
            <v>0</v>
          </cell>
          <cell r="E4011">
            <v>0</v>
          </cell>
          <cell r="F4011">
            <v>0</v>
          </cell>
          <cell r="G4011">
            <v>0.93</v>
          </cell>
          <cell r="H4011">
            <v>0</v>
          </cell>
          <cell r="I4011">
            <v>0</v>
          </cell>
          <cell r="J4011">
            <v>-1.8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 t="b">
            <v>1</v>
          </cell>
        </row>
        <row r="4012">
          <cell r="A4012" t="str">
            <v>Data split-12;Reg-70</v>
          </cell>
          <cell r="B4012">
            <v>-7.5</v>
          </cell>
          <cell r="C4012">
            <v>1.7</v>
          </cell>
          <cell r="D4012">
            <v>0</v>
          </cell>
          <cell r="E4012">
            <v>0</v>
          </cell>
          <cell r="F4012">
            <v>0</v>
          </cell>
          <cell r="G4012">
            <v>1.2</v>
          </cell>
          <cell r="H4012">
            <v>0</v>
          </cell>
          <cell r="I4012">
            <v>0</v>
          </cell>
          <cell r="J4012">
            <v>-0.7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-0.05</v>
          </cell>
          <cell r="T4012">
            <v>0</v>
          </cell>
          <cell r="U4012" t="b">
            <v>1</v>
          </cell>
        </row>
        <row r="4013">
          <cell r="A4013" t="str">
            <v>Data split-12;Reg-71</v>
          </cell>
          <cell r="B4013">
            <v>-3.6</v>
          </cell>
          <cell r="C4013">
            <v>0.6</v>
          </cell>
          <cell r="D4013">
            <v>0</v>
          </cell>
          <cell r="E4013">
            <v>0</v>
          </cell>
          <cell r="F4013">
            <v>4.1999999999999997E-3</v>
          </cell>
          <cell r="G4013">
            <v>0</v>
          </cell>
          <cell r="H4013">
            <v>4.2</v>
          </cell>
          <cell r="I4013">
            <v>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-0.13</v>
          </cell>
          <cell r="T4013">
            <v>0</v>
          </cell>
          <cell r="U4013" t="b">
            <v>1</v>
          </cell>
        </row>
        <row r="4014">
          <cell r="A4014" t="str">
            <v>Data split-12;Reg-72</v>
          </cell>
          <cell r="B4014">
            <v>-7.9</v>
          </cell>
          <cell r="C4014">
            <v>1.7</v>
          </cell>
          <cell r="D4014">
            <v>0</v>
          </cell>
          <cell r="E4014">
            <v>0.86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 t="b">
            <v>1</v>
          </cell>
        </row>
        <row r="4015">
          <cell r="A4015" t="str">
            <v>Data split-12;Reg-73</v>
          </cell>
          <cell r="B4015">
            <v>-8.4</v>
          </cell>
          <cell r="C4015">
            <v>2.1</v>
          </cell>
          <cell r="D4015">
            <v>0</v>
          </cell>
          <cell r="E4015">
            <v>0</v>
          </cell>
          <cell r="F4015">
            <v>0.11</v>
          </cell>
          <cell r="G4015">
            <v>0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 t="b">
            <v>1</v>
          </cell>
        </row>
        <row r="4016">
          <cell r="A4016" t="str">
            <v>Data split-12;Reg-74</v>
          </cell>
          <cell r="B4016">
            <v>-4</v>
          </cell>
          <cell r="C4016">
            <v>0</v>
          </cell>
          <cell r="D4016">
            <v>1</v>
          </cell>
          <cell r="E4016">
            <v>1.4</v>
          </cell>
          <cell r="F4016">
            <v>0</v>
          </cell>
          <cell r="G4016">
            <v>0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 t="b">
            <v>1</v>
          </cell>
        </row>
        <row r="4017">
          <cell r="A4017" t="str">
            <v>Data split-12;Reg-75</v>
          </cell>
          <cell r="B4017">
            <v>-3.7</v>
          </cell>
          <cell r="C4017">
            <v>0</v>
          </cell>
          <cell r="D4017">
            <v>1.7</v>
          </cell>
          <cell r="E4017">
            <v>0</v>
          </cell>
          <cell r="F4017">
            <v>0.18</v>
          </cell>
          <cell r="G4017">
            <v>0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 t="b">
            <v>1</v>
          </cell>
        </row>
        <row r="4018">
          <cell r="A4018" t="str">
            <v>Data split-12;Reg-76</v>
          </cell>
          <cell r="B4018">
            <v>-7.8</v>
          </cell>
          <cell r="C4018">
            <v>1.7</v>
          </cell>
          <cell r="D4018">
            <v>0</v>
          </cell>
          <cell r="E4018">
            <v>0</v>
          </cell>
          <cell r="F4018">
            <v>0</v>
          </cell>
          <cell r="G4018">
            <v>0.88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 t="b">
            <v>1</v>
          </cell>
        </row>
        <row r="4019">
          <cell r="A4019" t="str">
            <v>Data split-12;Reg-77</v>
          </cell>
          <cell r="B4019">
            <v>-7.5</v>
          </cell>
          <cell r="C4019">
            <v>1.4</v>
          </cell>
          <cell r="D4019">
            <v>0</v>
          </cell>
          <cell r="E4019">
            <v>0</v>
          </cell>
          <cell r="F4019">
            <v>0</v>
          </cell>
          <cell r="G4019">
            <v>0</v>
          </cell>
          <cell r="H4019">
            <v>1.8</v>
          </cell>
          <cell r="I4019">
            <v>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 t="b">
            <v>1</v>
          </cell>
        </row>
        <row r="4020">
          <cell r="A4020" t="str">
            <v>Data split-12;Reg-78</v>
          </cell>
          <cell r="B4020">
            <v>-4</v>
          </cell>
          <cell r="C4020">
            <v>0</v>
          </cell>
          <cell r="D4020">
            <v>1.2</v>
          </cell>
          <cell r="E4020">
            <v>0</v>
          </cell>
          <cell r="F4020">
            <v>0</v>
          </cell>
          <cell r="G4020">
            <v>1.2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 t="b">
            <v>1</v>
          </cell>
        </row>
        <row r="4021">
          <cell r="A4021" t="str">
            <v>Data split-12;Reg-79</v>
          </cell>
          <cell r="B4021">
            <v>-4.3</v>
          </cell>
          <cell r="C4021">
            <v>0</v>
          </cell>
          <cell r="D4021">
            <v>0.75</v>
          </cell>
          <cell r="E4021">
            <v>0</v>
          </cell>
          <cell r="F4021">
            <v>0</v>
          </cell>
          <cell r="G4021">
            <v>0</v>
          </cell>
          <cell r="H4021">
            <v>2.6</v>
          </cell>
          <cell r="I4021">
            <v>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 t="b">
            <v>1</v>
          </cell>
        </row>
        <row r="4022">
          <cell r="A4022" t="str">
            <v>Data split-12;Reg-80</v>
          </cell>
          <cell r="B4022">
            <v>-10</v>
          </cell>
          <cell r="C4022">
            <v>2.1</v>
          </cell>
          <cell r="D4022">
            <v>0</v>
          </cell>
          <cell r="E4022">
            <v>0</v>
          </cell>
          <cell r="F4022">
            <v>0</v>
          </cell>
          <cell r="G4022">
            <v>0</v>
          </cell>
          <cell r="H4022">
            <v>0</v>
          </cell>
          <cell r="I4022">
            <v>1.1000000000000001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 t="b">
            <v>0</v>
          </cell>
        </row>
        <row r="4023">
          <cell r="A4023" t="str">
            <v>Data split-12;Reg-81</v>
          </cell>
          <cell r="B4023">
            <v>-11.3</v>
          </cell>
          <cell r="C4023">
            <v>2.2000000000000002</v>
          </cell>
          <cell r="D4023">
            <v>0</v>
          </cell>
          <cell r="E4023">
            <v>0</v>
          </cell>
          <cell r="F4023">
            <v>0</v>
          </cell>
          <cell r="G4023">
            <v>0</v>
          </cell>
          <cell r="H4023">
            <v>0</v>
          </cell>
          <cell r="I4023">
            <v>0</v>
          </cell>
          <cell r="J4023">
            <v>7.7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 t="b">
            <v>0</v>
          </cell>
        </row>
        <row r="4024">
          <cell r="A4024" t="str">
            <v>Data split-12;Reg-82</v>
          </cell>
          <cell r="B4024">
            <v>-6.4</v>
          </cell>
          <cell r="C4024">
            <v>0</v>
          </cell>
          <cell r="D4024">
            <v>1.7</v>
          </cell>
          <cell r="E4024">
            <v>0</v>
          </cell>
          <cell r="F4024">
            <v>0</v>
          </cell>
          <cell r="G4024">
            <v>0</v>
          </cell>
          <cell r="H4024">
            <v>0</v>
          </cell>
          <cell r="I4024">
            <v>1.7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 t="b">
            <v>0</v>
          </cell>
        </row>
        <row r="4025">
          <cell r="A4025" t="str">
            <v>Data split-12;Reg-83</v>
          </cell>
          <cell r="B4025">
            <v>-9.4</v>
          </cell>
          <cell r="C4025">
            <v>0</v>
          </cell>
          <cell r="D4025">
            <v>1.8</v>
          </cell>
          <cell r="E4025">
            <v>0</v>
          </cell>
          <cell r="F4025">
            <v>0</v>
          </cell>
          <cell r="G4025">
            <v>0</v>
          </cell>
          <cell r="H4025">
            <v>0</v>
          </cell>
          <cell r="I4025">
            <v>0</v>
          </cell>
          <cell r="J4025">
            <v>16.399999999999999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 t="b">
            <v>0</v>
          </cell>
        </row>
        <row r="4026">
          <cell r="A4026" t="str">
            <v>Data split-12;Reg-84</v>
          </cell>
          <cell r="B4026">
            <v>-10.5</v>
          </cell>
          <cell r="C4026">
            <v>2.2999999999999998</v>
          </cell>
          <cell r="D4026">
            <v>0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0</v>
          </cell>
          <cell r="J4026">
            <v>0</v>
          </cell>
          <cell r="K4026">
            <v>0.33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 t="b">
            <v>0</v>
          </cell>
        </row>
        <row r="4027">
          <cell r="A4027" t="str">
            <v>Data split-12;Reg-85</v>
          </cell>
          <cell r="B4027">
            <v>-10.5</v>
          </cell>
          <cell r="C4027">
            <v>2.2999999999999998</v>
          </cell>
          <cell r="D4027">
            <v>0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1.4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 t="b">
            <v>0</v>
          </cell>
        </row>
        <row r="4028">
          <cell r="A4028" t="str">
            <v>Data split-12;Reg-86</v>
          </cell>
          <cell r="B4028">
            <v>-7.3</v>
          </cell>
          <cell r="C4028">
            <v>0</v>
          </cell>
          <cell r="D4028">
            <v>1.9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0</v>
          </cell>
          <cell r="J4028">
            <v>0</v>
          </cell>
          <cell r="K4028">
            <v>0.69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 t="b">
            <v>0</v>
          </cell>
        </row>
        <row r="4029">
          <cell r="A4029" t="str">
            <v>Data split-12;Reg-87</v>
          </cell>
          <cell r="B4029">
            <v>-9.6</v>
          </cell>
          <cell r="C4029">
            <v>0</v>
          </cell>
          <cell r="D4029">
            <v>2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5.7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 t="b">
            <v>0</v>
          </cell>
        </row>
        <row r="4030">
          <cell r="A4030" t="str">
            <v>Data split-12;Reg-88</v>
          </cell>
          <cell r="B4030">
            <v>-9.1999999999999993</v>
          </cell>
          <cell r="C4030">
            <v>2.1</v>
          </cell>
          <cell r="D4030">
            <v>0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0</v>
          </cell>
          <cell r="M4030">
            <v>3.5999999999999997E-2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 t="b">
            <v>0</v>
          </cell>
        </row>
        <row r="4031">
          <cell r="A4031" t="str">
            <v>Data split-12;Reg-89</v>
          </cell>
          <cell r="B4031">
            <v>-8.8000000000000007</v>
          </cell>
          <cell r="C4031">
            <v>1.9</v>
          </cell>
          <cell r="D4031">
            <v>0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1.0999999999999999E-2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 t="b">
            <v>0</v>
          </cell>
        </row>
        <row r="4032">
          <cell r="A4032" t="str">
            <v>Data split-12;Reg-90</v>
          </cell>
          <cell r="B4032">
            <v>-4.9000000000000004</v>
          </cell>
          <cell r="C4032">
            <v>0</v>
          </cell>
          <cell r="D4032">
            <v>1.6</v>
          </cell>
          <cell r="E4032">
            <v>0</v>
          </cell>
          <cell r="F4032">
            <v>0</v>
          </cell>
          <cell r="G4032">
            <v>0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0</v>
          </cell>
          <cell r="M4032">
            <v>8.4000000000000005E-2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 t="b">
            <v>0</v>
          </cell>
        </row>
        <row r="4033">
          <cell r="A4033" t="str">
            <v>Data split-12;Reg-91</v>
          </cell>
          <cell r="B4033">
            <v>-4.8</v>
          </cell>
          <cell r="C4033">
            <v>0</v>
          </cell>
          <cell r="D4033">
            <v>1.4</v>
          </cell>
          <cell r="E4033">
            <v>0</v>
          </cell>
          <cell r="F4033">
            <v>0</v>
          </cell>
          <cell r="G4033">
            <v>0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0.02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 t="b">
            <v>0</v>
          </cell>
        </row>
        <row r="4034">
          <cell r="A4034" t="str">
            <v>Data split-12;Reg-92</v>
          </cell>
          <cell r="B4034">
            <v>-8.5</v>
          </cell>
          <cell r="C4034">
            <v>2.1</v>
          </cell>
          <cell r="D4034">
            <v>0</v>
          </cell>
          <cell r="E4034">
            <v>0</v>
          </cell>
          <cell r="F4034">
            <v>0</v>
          </cell>
          <cell r="G4034">
            <v>0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5.8999999999999997E-2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 t="b">
            <v>0</v>
          </cell>
        </row>
        <row r="4035">
          <cell r="A4035" t="str">
            <v>Data split-12;Reg-93</v>
          </cell>
          <cell r="B4035">
            <v>-8</v>
          </cell>
          <cell r="C4035">
            <v>2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1.2E-2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 t="b">
            <v>0</v>
          </cell>
        </row>
        <row r="4036">
          <cell r="A4036" t="str">
            <v>Data split-12;Reg-94</v>
          </cell>
          <cell r="B4036">
            <v>-4</v>
          </cell>
          <cell r="C4036">
            <v>0</v>
          </cell>
          <cell r="D4036">
            <v>1.6</v>
          </cell>
          <cell r="E4036">
            <v>0</v>
          </cell>
          <cell r="F4036">
            <v>0</v>
          </cell>
          <cell r="G4036">
            <v>0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0.08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 t="b">
            <v>0</v>
          </cell>
        </row>
        <row r="4037">
          <cell r="A4037" t="str">
            <v>Data split-12;Reg-95</v>
          </cell>
          <cell r="B4037">
            <v>-3.5</v>
          </cell>
          <cell r="C4037">
            <v>0</v>
          </cell>
          <cell r="D4037">
            <v>1.6</v>
          </cell>
          <cell r="E4037">
            <v>0</v>
          </cell>
          <cell r="F4037">
            <v>0</v>
          </cell>
          <cell r="G4037">
            <v>0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1.6E-2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 t="b">
            <v>0</v>
          </cell>
        </row>
        <row r="4038">
          <cell r="A4038" t="str">
            <v>Data split-12;Reg-96</v>
          </cell>
          <cell r="B4038">
            <v>-8.3000000000000007</v>
          </cell>
          <cell r="C4038">
            <v>1.7</v>
          </cell>
          <cell r="D4038">
            <v>0</v>
          </cell>
          <cell r="E4038">
            <v>0.73</v>
          </cell>
          <cell r="F4038">
            <v>0</v>
          </cell>
          <cell r="G4038">
            <v>0</v>
          </cell>
          <cell r="H4038">
            <v>0</v>
          </cell>
          <cell r="I4038">
            <v>0.27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 t="b">
            <v>0</v>
          </cell>
        </row>
        <row r="4039">
          <cell r="A4039" t="str">
            <v>Data split-12;Reg-97</v>
          </cell>
          <cell r="B4039">
            <v>-8.5</v>
          </cell>
          <cell r="C4039">
            <v>1.7</v>
          </cell>
          <cell r="D4039">
            <v>0</v>
          </cell>
          <cell r="E4039">
            <v>0.79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2.1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 t="b">
            <v>0</v>
          </cell>
        </row>
        <row r="4040">
          <cell r="A4040" t="str">
            <v>Data split-12;Reg-98</v>
          </cell>
          <cell r="B4040">
            <v>-9.1999999999999993</v>
          </cell>
          <cell r="C4040">
            <v>2</v>
          </cell>
          <cell r="D4040">
            <v>0</v>
          </cell>
          <cell r="E4040">
            <v>0</v>
          </cell>
          <cell r="F4040">
            <v>7.3999999999999996E-2</v>
          </cell>
          <cell r="G4040">
            <v>0</v>
          </cell>
          <cell r="H4040">
            <v>0</v>
          </cell>
          <cell r="I4040">
            <v>0.83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 t="b">
            <v>0</v>
          </cell>
        </row>
        <row r="4041">
          <cell r="A4041" t="str">
            <v>Data split-12;Reg-99</v>
          </cell>
          <cell r="B4041">
            <v>-10.1</v>
          </cell>
          <cell r="C4041">
            <v>2.1</v>
          </cell>
          <cell r="D4041">
            <v>0</v>
          </cell>
          <cell r="E4041">
            <v>0</v>
          </cell>
          <cell r="F4041">
            <v>9.9000000000000005E-2</v>
          </cell>
          <cell r="G4041">
            <v>0</v>
          </cell>
          <cell r="H4041">
            <v>0</v>
          </cell>
          <cell r="I4041">
            <v>0</v>
          </cell>
          <cell r="J4041">
            <v>6.6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 t="b">
            <v>0</v>
          </cell>
        </row>
        <row r="4042">
          <cell r="A4042" t="str">
            <v>Data split-12;Reg-100</v>
          </cell>
          <cell r="B4042">
            <v>-3.9</v>
          </cell>
          <cell r="C4042">
            <v>0</v>
          </cell>
          <cell r="D4042">
            <v>0.99</v>
          </cell>
          <cell r="E4042">
            <v>1.5</v>
          </cell>
          <cell r="F4042">
            <v>0</v>
          </cell>
          <cell r="G4042">
            <v>0</v>
          </cell>
          <cell r="H4042">
            <v>0</v>
          </cell>
          <cell r="I4042">
            <v>-0.08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 t="b">
            <v>1</v>
          </cell>
        </row>
        <row r="4043">
          <cell r="A4043" t="str">
            <v>Data split-12;Reg-101</v>
          </cell>
          <cell r="B4043">
            <v>-5.4</v>
          </cell>
          <cell r="C4043">
            <v>0</v>
          </cell>
          <cell r="D4043">
            <v>1.1000000000000001</v>
          </cell>
          <cell r="E4043">
            <v>1.2</v>
          </cell>
          <cell r="F4043">
            <v>0</v>
          </cell>
          <cell r="G4043">
            <v>0</v>
          </cell>
          <cell r="H4043">
            <v>0</v>
          </cell>
          <cell r="I4043">
            <v>0</v>
          </cell>
          <cell r="J4043">
            <v>4.5999999999999996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 t="b">
            <v>0</v>
          </cell>
        </row>
        <row r="4044">
          <cell r="A4044" t="str">
            <v>Data split-12;Reg-102</v>
          </cell>
          <cell r="B4044">
            <v>-5.3</v>
          </cell>
          <cell r="C4044">
            <v>0</v>
          </cell>
          <cell r="D4044">
            <v>1.6</v>
          </cell>
          <cell r="E4044">
            <v>0</v>
          </cell>
          <cell r="F4044">
            <v>0.12</v>
          </cell>
          <cell r="G4044">
            <v>0</v>
          </cell>
          <cell r="H4044">
            <v>0</v>
          </cell>
          <cell r="I4044">
            <v>1.3</v>
          </cell>
          <cell r="J4044">
            <v>0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 t="b">
            <v>0</v>
          </cell>
        </row>
        <row r="4045">
          <cell r="A4045" t="str">
            <v>Data split-12;Reg-103</v>
          </cell>
          <cell r="B4045">
            <v>-7.8</v>
          </cell>
          <cell r="C4045">
            <v>0</v>
          </cell>
          <cell r="D4045">
            <v>1.6</v>
          </cell>
          <cell r="E4045">
            <v>0</v>
          </cell>
          <cell r="F4045">
            <v>0.14000000000000001</v>
          </cell>
          <cell r="G4045">
            <v>0</v>
          </cell>
          <cell r="H4045">
            <v>0</v>
          </cell>
          <cell r="I4045">
            <v>0</v>
          </cell>
          <cell r="J4045">
            <v>13.9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 t="b">
            <v>0</v>
          </cell>
        </row>
        <row r="4046">
          <cell r="A4046" t="str">
            <v>Data split-12;Reg-104</v>
          </cell>
          <cell r="B4046">
            <v>-7</v>
          </cell>
          <cell r="C4046">
            <v>1.6</v>
          </cell>
          <cell r="D4046">
            <v>0</v>
          </cell>
          <cell r="E4046">
            <v>0.95</v>
          </cell>
          <cell r="F4046">
            <v>0</v>
          </cell>
          <cell r="G4046">
            <v>0</v>
          </cell>
          <cell r="H4046">
            <v>0</v>
          </cell>
          <cell r="I4046">
            <v>0</v>
          </cell>
          <cell r="J4046">
            <v>0</v>
          </cell>
          <cell r="K4046">
            <v>-0.21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 t="b">
            <v>1</v>
          </cell>
        </row>
        <row r="4047">
          <cell r="A4047" t="str">
            <v>Data split-12;Reg-105</v>
          </cell>
          <cell r="B4047">
            <v>-8</v>
          </cell>
          <cell r="C4047">
            <v>1.7</v>
          </cell>
          <cell r="D4047">
            <v>0</v>
          </cell>
          <cell r="E4047">
            <v>0.86</v>
          </cell>
          <cell r="F4047">
            <v>0</v>
          </cell>
          <cell r="G4047">
            <v>0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0.2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 t="b">
            <v>0</v>
          </cell>
        </row>
        <row r="4048">
          <cell r="A4048" t="str">
            <v>Data split-12;Reg-106</v>
          </cell>
          <cell r="B4048">
            <v>-9.3000000000000007</v>
          </cell>
          <cell r="C4048">
            <v>2.1</v>
          </cell>
          <cell r="D4048">
            <v>0</v>
          </cell>
          <cell r="E4048">
            <v>0</v>
          </cell>
          <cell r="F4048">
            <v>0.11</v>
          </cell>
          <cell r="G4048">
            <v>0</v>
          </cell>
          <cell r="H4048">
            <v>0</v>
          </cell>
          <cell r="I4048">
            <v>0</v>
          </cell>
          <cell r="J4048">
            <v>0</v>
          </cell>
          <cell r="K4048">
            <v>0.25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 t="b">
            <v>0</v>
          </cell>
        </row>
        <row r="4049">
          <cell r="A4049" t="str">
            <v>Data split-12;Reg-107</v>
          </cell>
          <cell r="B4049">
            <v>-9.4</v>
          </cell>
          <cell r="C4049">
            <v>2.1</v>
          </cell>
          <cell r="D4049">
            <v>0</v>
          </cell>
          <cell r="E4049">
            <v>0</v>
          </cell>
          <cell r="F4049">
            <v>0.11</v>
          </cell>
          <cell r="G4049">
            <v>0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1.3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 t="b">
            <v>0</v>
          </cell>
        </row>
        <row r="4050">
          <cell r="A4050" t="str">
            <v>Data split-12;Reg-108</v>
          </cell>
          <cell r="B4050">
            <v>-2.7</v>
          </cell>
          <cell r="C4050">
            <v>0</v>
          </cell>
          <cell r="D4050">
            <v>0.95</v>
          </cell>
          <cell r="E4050">
            <v>1.6</v>
          </cell>
          <cell r="F4050">
            <v>0</v>
          </cell>
          <cell r="G4050">
            <v>0</v>
          </cell>
          <cell r="H4050">
            <v>0</v>
          </cell>
          <cell r="I4050">
            <v>0</v>
          </cell>
          <cell r="J4050">
            <v>0</v>
          </cell>
          <cell r="K4050">
            <v>-0.35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 t="b">
            <v>1</v>
          </cell>
        </row>
        <row r="4051">
          <cell r="A4051" t="str">
            <v>Data split-12;Reg-109</v>
          </cell>
          <cell r="B4051">
            <v>-5.7</v>
          </cell>
          <cell r="C4051">
            <v>0</v>
          </cell>
          <cell r="D4051">
            <v>1.1000000000000001</v>
          </cell>
          <cell r="E4051">
            <v>1.4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1.9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 t="b">
            <v>0</v>
          </cell>
        </row>
        <row r="4052">
          <cell r="A4052" t="str">
            <v>Data split-12;Reg-110</v>
          </cell>
          <cell r="B4052">
            <v>-5.6</v>
          </cell>
          <cell r="C4052">
            <v>0</v>
          </cell>
          <cell r="D4052">
            <v>1.7</v>
          </cell>
          <cell r="E4052">
            <v>0</v>
          </cell>
          <cell r="F4052">
            <v>0.17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0.52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 t="b">
            <v>0</v>
          </cell>
        </row>
        <row r="4053">
          <cell r="A4053" t="str">
            <v>Data split-12;Reg-111</v>
          </cell>
          <cell r="B4053">
            <v>-8</v>
          </cell>
          <cell r="C4053">
            <v>0</v>
          </cell>
          <cell r="D4053">
            <v>1.7</v>
          </cell>
          <cell r="E4053">
            <v>0</v>
          </cell>
          <cell r="F4053">
            <v>0.17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5.0999999999999996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 t="b">
            <v>0</v>
          </cell>
        </row>
        <row r="4054">
          <cell r="A4054" t="str">
            <v>Data split-12;Reg-112</v>
          </cell>
          <cell r="B4054">
            <v>-7.1</v>
          </cell>
          <cell r="C4054">
            <v>1.6</v>
          </cell>
          <cell r="D4054">
            <v>0</v>
          </cell>
          <cell r="E4054">
            <v>0</v>
          </cell>
          <cell r="F4054">
            <v>0</v>
          </cell>
          <cell r="G4054">
            <v>1.1000000000000001</v>
          </cell>
          <cell r="H4054">
            <v>0</v>
          </cell>
          <cell r="I4054">
            <v>-0.62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 t="b">
            <v>1</v>
          </cell>
        </row>
        <row r="4055">
          <cell r="A4055" t="str">
            <v>Data split-12;Reg-113</v>
          </cell>
          <cell r="B4055">
            <v>-7.3</v>
          </cell>
          <cell r="C4055">
            <v>1.7</v>
          </cell>
          <cell r="D4055">
            <v>0</v>
          </cell>
          <cell r="E4055">
            <v>0</v>
          </cell>
          <cell r="F4055">
            <v>0</v>
          </cell>
          <cell r="G4055">
            <v>0.93</v>
          </cell>
          <cell r="H4055">
            <v>0</v>
          </cell>
          <cell r="I4055">
            <v>0</v>
          </cell>
          <cell r="J4055">
            <v>-1.8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 t="b">
            <v>1</v>
          </cell>
        </row>
        <row r="4056">
          <cell r="A4056" t="str">
            <v>Data split-12;Reg-114</v>
          </cell>
          <cell r="B4056">
            <v>-5.8</v>
          </cell>
          <cell r="C4056">
            <v>1.1000000000000001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2.7</v>
          </cell>
          <cell r="I4056">
            <v>-1.2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 t="b">
            <v>1</v>
          </cell>
        </row>
        <row r="4057">
          <cell r="A4057" t="str">
            <v>Data split-12;Reg-115</v>
          </cell>
          <cell r="B4057">
            <v>-6.5</v>
          </cell>
          <cell r="C4057">
            <v>1.3</v>
          </cell>
          <cell r="D4057">
            <v>0</v>
          </cell>
          <cell r="E4057">
            <v>0</v>
          </cell>
          <cell r="F4057">
            <v>0</v>
          </cell>
          <cell r="G4057">
            <v>0</v>
          </cell>
          <cell r="H4057">
            <v>2</v>
          </cell>
          <cell r="I4057">
            <v>0</v>
          </cell>
          <cell r="J4057">
            <v>-3.1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 t="b">
            <v>1</v>
          </cell>
        </row>
        <row r="4058">
          <cell r="A4058" t="str">
            <v>Data split-12;Reg-116</v>
          </cell>
          <cell r="B4058">
            <v>-3.5</v>
          </cell>
          <cell r="C4058">
            <v>0</v>
          </cell>
          <cell r="D4058">
            <v>1.1000000000000001</v>
          </cell>
          <cell r="E4058">
            <v>0</v>
          </cell>
          <cell r="F4058">
            <v>0</v>
          </cell>
          <cell r="G4058">
            <v>1.4</v>
          </cell>
          <cell r="H4058">
            <v>0</v>
          </cell>
          <cell r="I4058">
            <v>-0.46</v>
          </cell>
          <cell r="J4058">
            <v>0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 t="b">
            <v>1</v>
          </cell>
        </row>
        <row r="4059">
          <cell r="A4059" t="str">
            <v>Data split-12;Reg-117</v>
          </cell>
          <cell r="B4059">
            <v>-5</v>
          </cell>
          <cell r="C4059">
            <v>0</v>
          </cell>
          <cell r="D4059">
            <v>1.2</v>
          </cell>
          <cell r="E4059">
            <v>0</v>
          </cell>
          <cell r="F4059">
            <v>0</v>
          </cell>
          <cell r="G4059">
            <v>1.1000000000000001</v>
          </cell>
          <cell r="H4059">
            <v>0</v>
          </cell>
          <cell r="I4059">
            <v>0</v>
          </cell>
          <cell r="J4059">
            <v>3.3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 t="b">
            <v>0</v>
          </cell>
        </row>
        <row r="4060">
          <cell r="A4060" t="str">
            <v>Data split-12;Reg-118</v>
          </cell>
          <cell r="B4060">
            <v>-2.1</v>
          </cell>
          <cell r="C4060">
            <v>0</v>
          </cell>
          <cell r="D4060">
            <v>0.32</v>
          </cell>
          <cell r="E4060">
            <v>0</v>
          </cell>
          <cell r="F4060">
            <v>0</v>
          </cell>
          <cell r="G4060">
            <v>0</v>
          </cell>
          <cell r="H4060">
            <v>4.2</v>
          </cell>
          <cell r="I4060">
            <v>-2.1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 t="b">
            <v>1</v>
          </cell>
        </row>
        <row r="4061">
          <cell r="A4061" t="str">
            <v>Data split-12;Reg-119</v>
          </cell>
          <cell r="B4061">
            <v>-3.3</v>
          </cell>
          <cell r="C4061">
            <v>0</v>
          </cell>
          <cell r="D4061">
            <v>0.66</v>
          </cell>
          <cell r="E4061">
            <v>0</v>
          </cell>
          <cell r="F4061">
            <v>0</v>
          </cell>
          <cell r="G4061">
            <v>0</v>
          </cell>
          <cell r="H4061">
            <v>2.8</v>
          </cell>
          <cell r="I4061">
            <v>0</v>
          </cell>
          <cell r="J4061">
            <v>-3.5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 t="b">
            <v>1</v>
          </cell>
        </row>
        <row r="4062">
          <cell r="A4062" t="str">
            <v>Data split-12;Reg-120</v>
          </cell>
          <cell r="B4062">
            <v>-6.2</v>
          </cell>
          <cell r="C4062">
            <v>1.6</v>
          </cell>
          <cell r="D4062">
            <v>0</v>
          </cell>
          <cell r="E4062">
            <v>0</v>
          </cell>
          <cell r="F4062">
            <v>0</v>
          </cell>
          <cell r="G4062">
            <v>1</v>
          </cell>
          <cell r="H4062">
            <v>0</v>
          </cell>
          <cell r="I4062">
            <v>0</v>
          </cell>
          <cell r="J4062">
            <v>0</v>
          </cell>
          <cell r="K4062">
            <v>-0.44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 t="b">
            <v>1</v>
          </cell>
        </row>
        <row r="4063">
          <cell r="A4063" t="str">
            <v>Data split-12;Reg-121</v>
          </cell>
          <cell r="B4063">
            <v>-7.7</v>
          </cell>
          <cell r="C4063">
            <v>1.7</v>
          </cell>
          <cell r="D4063">
            <v>0</v>
          </cell>
          <cell r="E4063">
            <v>0</v>
          </cell>
          <cell r="F4063">
            <v>0</v>
          </cell>
          <cell r="G4063">
            <v>0.88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-0.13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 t="b">
            <v>1</v>
          </cell>
        </row>
        <row r="4064">
          <cell r="A4064" t="str">
            <v>Data split-12;Reg-122</v>
          </cell>
          <cell r="B4064">
            <v>-5.4</v>
          </cell>
          <cell r="C4064">
            <v>1.3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2.1</v>
          </cell>
          <cell r="I4064">
            <v>0</v>
          </cell>
          <cell r="J4064">
            <v>0</v>
          </cell>
          <cell r="K4064">
            <v>-0.53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 t="b">
            <v>1</v>
          </cell>
        </row>
        <row r="4065">
          <cell r="A4065" t="str">
            <v>Data split-12;Reg-123</v>
          </cell>
          <cell r="B4065">
            <v>-7.3</v>
          </cell>
          <cell r="C4065">
            <v>1.4</v>
          </cell>
          <cell r="D4065">
            <v>0</v>
          </cell>
          <cell r="E4065">
            <v>0</v>
          </cell>
          <cell r="F4065">
            <v>0</v>
          </cell>
          <cell r="G4065">
            <v>0</v>
          </cell>
          <cell r="H4065">
            <v>1.8</v>
          </cell>
          <cell r="I4065">
            <v>0</v>
          </cell>
          <cell r="J4065">
            <v>0</v>
          </cell>
          <cell r="K4065">
            <v>0</v>
          </cell>
          <cell r="L4065">
            <v>-0.17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 t="b">
            <v>1</v>
          </cell>
        </row>
        <row r="4066">
          <cell r="A4066" t="str">
            <v>Data split-12;Reg-124</v>
          </cell>
          <cell r="B4066">
            <v>-2.5</v>
          </cell>
          <cell r="C4066">
            <v>0</v>
          </cell>
          <cell r="D4066">
            <v>1.2</v>
          </cell>
          <cell r="E4066">
            <v>0</v>
          </cell>
          <cell r="F4066">
            <v>0</v>
          </cell>
          <cell r="G4066">
            <v>1.3</v>
          </cell>
          <cell r="H4066">
            <v>0</v>
          </cell>
          <cell r="I4066">
            <v>0</v>
          </cell>
          <cell r="J4066">
            <v>0</v>
          </cell>
          <cell r="K4066">
            <v>-0.4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 t="b">
            <v>1</v>
          </cell>
        </row>
        <row r="4067">
          <cell r="A4067" t="str">
            <v>Data split-12;Reg-125</v>
          </cell>
          <cell r="B4067">
            <v>-5.9</v>
          </cell>
          <cell r="C4067">
            <v>0</v>
          </cell>
          <cell r="D4067">
            <v>1.2</v>
          </cell>
          <cell r="E4067">
            <v>0</v>
          </cell>
          <cell r="F4067">
            <v>0</v>
          </cell>
          <cell r="G4067">
            <v>1.1000000000000001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2.2000000000000002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 t="b">
            <v>0</v>
          </cell>
        </row>
        <row r="4068">
          <cell r="A4068" t="str">
            <v>Data split-12;Reg-126</v>
          </cell>
          <cell r="B4068">
            <v>-1.7</v>
          </cell>
          <cell r="C4068">
            <v>0</v>
          </cell>
          <cell r="D4068">
            <v>0.63</v>
          </cell>
          <cell r="E4068">
            <v>0</v>
          </cell>
          <cell r="F4068">
            <v>0</v>
          </cell>
          <cell r="G4068">
            <v>0</v>
          </cell>
          <cell r="H4068">
            <v>3</v>
          </cell>
          <cell r="I4068">
            <v>0</v>
          </cell>
          <cell r="J4068">
            <v>0</v>
          </cell>
          <cell r="K4068">
            <v>-0.7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 t="b">
            <v>1</v>
          </cell>
        </row>
        <row r="4069">
          <cell r="A4069" t="str">
            <v>Data split-12;Reg-127</v>
          </cell>
          <cell r="B4069">
            <v>-5.0999999999999996</v>
          </cell>
          <cell r="C4069">
            <v>0</v>
          </cell>
          <cell r="D4069">
            <v>0.78</v>
          </cell>
          <cell r="E4069">
            <v>0</v>
          </cell>
          <cell r="F4069">
            <v>0</v>
          </cell>
          <cell r="G4069">
            <v>0</v>
          </cell>
          <cell r="H4069">
            <v>2.5</v>
          </cell>
          <cell r="I4069">
            <v>0</v>
          </cell>
          <cell r="J4069">
            <v>0</v>
          </cell>
          <cell r="K4069">
            <v>0</v>
          </cell>
          <cell r="L4069">
            <v>0.98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 t="b">
            <v>0</v>
          </cell>
        </row>
        <row r="4070">
          <cell r="A4070" t="str">
            <v>Data split-13;Reg-1</v>
          </cell>
          <cell r="B4070">
            <v>-7</v>
          </cell>
          <cell r="C4070">
            <v>1.9</v>
          </cell>
          <cell r="D4070">
            <v>0</v>
          </cell>
          <cell r="E4070">
            <v>0</v>
          </cell>
          <cell r="F4070">
            <v>0.22</v>
          </cell>
          <cell r="G4070">
            <v>0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0.64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 t="b">
            <v>0</v>
          </cell>
        </row>
        <row r="4071">
          <cell r="A4071" t="str">
            <v>Data split-13;Reg-2</v>
          </cell>
          <cell r="B4071">
            <v>-7.3</v>
          </cell>
          <cell r="C4071">
            <v>1.8</v>
          </cell>
          <cell r="D4071">
            <v>0</v>
          </cell>
          <cell r="E4071">
            <v>0</v>
          </cell>
          <cell r="F4071">
            <v>0.14000000000000001</v>
          </cell>
          <cell r="G4071">
            <v>1.2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0</v>
          </cell>
          <cell r="M4071">
            <v>-9.0999999999999998E-2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 t="b">
            <v>1</v>
          </cell>
        </row>
        <row r="4072">
          <cell r="A4072" t="str">
            <v>Data split-13;Reg-3</v>
          </cell>
          <cell r="B4072">
            <v>-7.2</v>
          </cell>
          <cell r="C4072">
            <v>1.7</v>
          </cell>
          <cell r="D4072">
            <v>0</v>
          </cell>
          <cell r="E4072">
            <v>0</v>
          </cell>
          <cell r="F4072">
            <v>0.12</v>
          </cell>
          <cell r="G4072">
            <v>1.2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-1.4E-2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 t="b">
            <v>1</v>
          </cell>
        </row>
        <row r="4073">
          <cell r="A4073" t="str">
            <v>Data split-13;Reg-4</v>
          </cell>
          <cell r="B4073">
            <v>-6.1</v>
          </cell>
          <cell r="C4073">
            <v>1.2</v>
          </cell>
          <cell r="D4073">
            <v>0</v>
          </cell>
          <cell r="E4073">
            <v>0</v>
          </cell>
          <cell r="F4073">
            <v>0.05</v>
          </cell>
          <cell r="G4073">
            <v>0</v>
          </cell>
          <cell r="H4073">
            <v>3.2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-0.12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 t="b">
            <v>1</v>
          </cell>
        </row>
        <row r="4074">
          <cell r="A4074" t="str">
            <v>Data split-13;Reg-5</v>
          </cell>
          <cell r="B4074">
            <v>-3.3</v>
          </cell>
          <cell r="C4074">
            <v>0</v>
          </cell>
          <cell r="D4074">
            <v>0.67</v>
          </cell>
          <cell r="E4074">
            <v>0</v>
          </cell>
          <cell r="F4074">
            <v>2.4E-2</v>
          </cell>
          <cell r="G4074">
            <v>0</v>
          </cell>
          <cell r="H4074">
            <v>4</v>
          </cell>
          <cell r="I4074">
            <v>0</v>
          </cell>
          <cell r="J4074">
            <v>0</v>
          </cell>
          <cell r="K4074">
            <v>0</v>
          </cell>
          <cell r="L4074">
            <v>0</v>
          </cell>
          <cell r="M4074">
            <v>-0.13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 t="b">
            <v>1</v>
          </cell>
        </row>
        <row r="4075">
          <cell r="A4075" t="str">
            <v>Data split-13;Reg-6</v>
          </cell>
          <cell r="B4075">
            <v>-5.8</v>
          </cell>
          <cell r="C4075">
            <v>1.3</v>
          </cell>
          <cell r="D4075">
            <v>0</v>
          </cell>
          <cell r="E4075">
            <v>1.6</v>
          </cell>
          <cell r="F4075">
            <v>0</v>
          </cell>
          <cell r="G4075">
            <v>0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-8.2000000000000003E-2</v>
          </cell>
          <cell r="M4075">
            <v>-5.5E-2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 t="b">
            <v>1</v>
          </cell>
        </row>
        <row r="4076">
          <cell r="A4076" t="str">
            <v>Data split-13;Reg-7</v>
          </cell>
          <cell r="B4076">
            <v>-6.9</v>
          </cell>
          <cell r="C4076">
            <v>1.9</v>
          </cell>
          <cell r="D4076">
            <v>0</v>
          </cell>
          <cell r="E4076">
            <v>0</v>
          </cell>
          <cell r="F4076">
            <v>0.19</v>
          </cell>
          <cell r="G4076">
            <v>0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0.53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0.02</v>
          </cell>
          <cell r="T4076">
            <v>0</v>
          </cell>
          <cell r="U4076" t="b">
            <v>0</v>
          </cell>
        </row>
        <row r="4077">
          <cell r="A4077" t="str">
            <v>Data split-13;Reg-8</v>
          </cell>
          <cell r="B4077">
            <v>-5.9</v>
          </cell>
          <cell r="C4077">
            <v>1.7</v>
          </cell>
          <cell r="D4077">
            <v>0</v>
          </cell>
          <cell r="E4077">
            <v>0</v>
          </cell>
          <cell r="F4077">
            <v>0</v>
          </cell>
          <cell r="G4077">
            <v>1.4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-2.1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-6.2E-2</v>
          </cell>
          <cell r="T4077">
            <v>0</v>
          </cell>
          <cell r="U4077" t="b">
            <v>1</v>
          </cell>
        </row>
        <row r="4078">
          <cell r="A4078" t="str">
            <v>Data split-13;Reg-9</v>
          </cell>
          <cell r="B4078">
            <v>-4.0999999999999996</v>
          </cell>
          <cell r="C4078">
            <v>0</v>
          </cell>
          <cell r="D4078">
            <v>0.56000000000000005</v>
          </cell>
          <cell r="E4078">
            <v>0</v>
          </cell>
          <cell r="F4078">
            <v>0</v>
          </cell>
          <cell r="G4078">
            <v>0</v>
          </cell>
          <cell r="H4078">
            <v>4.7</v>
          </cell>
          <cell r="I4078">
            <v>0</v>
          </cell>
          <cell r="J4078">
            <v>0</v>
          </cell>
          <cell r="K4078">
            <v>0</v>
          </cell>
          <cell r="L4078">
            <v>0.73</v>
          </cell>
          <cell r="M4078">
            <v>0</v>
          </cell>
          <cell r="N4078">
            <v>0</v>
          </cell>
          <cell r="O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-0.16</v>
          </cell>
          <cell r="T4078">
            <v>0</v>
          </cell>
          <cell r="U4078" t="b">
            <v>0</v>
          </cell>
        </row>
        <row r="4079">
          <cell r="A4079" t="str">
            <v>Data split-13;Reg-10</v>
          </cell>
          <cell r="B4079">
            <v>-4.0999999999999996</v>
          </cell>
          <cell r="C4079">
            <v>0</v>
          </cell>
          <cell r="D4079">
            <v>0.56000000000000005</v>
          </cell>
          <cell r="E4079">
            <v>0</v>
          </cell>
          <cell r="F4079">
            <v>0</v>
          </cell>
          <cell r="G4079">
            <v>0</v>
          </cell>
          <cell r="H4079">
            <v>4.7</v>
          </cell>
          <cell r="I4079">
            <v>0</v>
          </cell>
          <cell r="J4079">
            <v>0</v>
          </cell>
          <cell r="K4079">
            <v>0</v>
          </cell>
          <cell r="L4079">
            <v>0.73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-0.16</v>
          </cell>
          <cell r="T4079">
            <v>0</v>
          </cell>
          <cell r="U4079" t="b">
            <v>0</v>
          </cell>
        </row>
        <row r="4080">
          <cell r="A4080" t="str">
            <v>Data split-13;Reg-11</v>
          </cell>
          <cell r="B4080">
            <v>-7.2</v>
          </cell>
          <cell r="C4080">
            <v>1.6</v>
          </cell>
          <cell r="D4080">
            <v>0</v>
          </cell>
          <cell r="E4080">
            <v>7.3999999999999996E-2</v>
          </cell>
          <cell r="F4080">
            <v>0</v>
          </cell>
          <cell r="G4080">
            <v>0.88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 t="b">
            <v>1</v>
          </cell>
        </row>
        <row r="4081">
          <cell r="A4081" t="str">
            <v>Data split-13;Reg-12</v>
          </cell>
          <cell r="B4081">
            <v>-6.6</v>
          </cell>
          <cell r="C4081">
            <v>1.4</v>
          </cell>
          <cell r="D4081">
            <v>0</v>
          </cell>
          <cell r="E4081">
            <v>-0.6</v>
          </cell>
          <cell r="F4081">
            <v>0</v>
          </cell>
          <cell r="G4081">
            <v>0</v>
          </cell>
          <cell r="H4081">
            <v>2.5</v>
          </cell>
          <cell r="I4081">
            <v>0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 t="b">
            <v>0</v>
          </cell>
        </row>
        <row r="4082">
          <cell r="A4082" t="str">
            <v>Data split-13;Reg-13</v>
          </cell>
          <cell r="B4082">
            <v>-6.9</v>
          </cell>
          <cell r="C4082">
            <v>1.6</v>
          </cell>
          <cell r="D4082">
            <v>0</v>
          </cell>
          <cell r="E4082">
            <v>0</v>
          </cell>
          <cell r="F4082">
            <v>8.3000000000000004E-2</v>
          </cell>
          <cell r="G4082">
            <v>0.79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 t="b">
            <v>1</v>
          </cell>
        </row>
        <row r="4083">
          <cell r="A4083" t="str">
            <v>Data split-13;Reg-14</v>
          </cell>
          <cell r="B4083">
            <v>-6.2</v>
          </cell>
          <cell r="C4083">
            <v>1.3</v>
          </cell>
          <cell r="D4083">
            <v>0</v>
          </cell>
          <cell r="E4083">
            <v>0</v>
          </cell>
          <cell r="F4083">
            <v>3.9E-2</v>
          </cell>
          <cell r="G4083">
            <v>0</v>
          </cell>
          <cell r="H4083">
            <v>1.7</v>
          </cell>
          <cell r="I4083">
            <v>0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 t="b">
            <v>1</v>
          </cell>
        </row>
        <row r="4084">
          <cell r="A4084" t="str">
            <v>Data split-13;Reg-15</v>
          </cell>
          <cell r="B4084">
            <v>-5.9</v>
          </cell>
          <cell r="C4084">
            <v>1.3</v>
          </cell>
          <cell r="D4084">
            <v>0</v>
          </cell>
          <cell r="E4084">
            <v>1.6</v>
          </cell>
          <cell r="F4084">
            <v>0</v>
          </cell>
          <cell r="G4084">
            <v>0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0</v>
          </cell>
          <cell r="M4084">
            <v>-5.5E-2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 t="b">
            <v>1</v>
          </cell>
        </row>
        <row r="4085">
          <cell r="A4085" t="str">
            <v>Data split-13;Reg-16</v>
          </cell>
          <cell r="B4085">
            <v>-6</v>
          </cell>
          <cell r="C4085">
            <v>1.4</v>
          </cell>
          <cell r="D4085">
            <v>0</v>
          </cell>
          <cell r="E4085">
            <v>1.3</v>
          </cell>
          <cell r="F4085">
            <v>0</v>
          </cell>
          <cell r="G4085">
            <v>0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-3.8E-3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 t="b">
            <v>1</v>
          </cell>
        </row>
        <row r="4086">
          <cell r="A4086" t="str">
            <v>Data split-13;Reg-17</v>
          </cell>
          <cell r="B4086">
            <v>-6.5</v>
          </cell>
          <cell r="C4086">
            <v>1.9</v>
          </cell>
          <cell r="D4086">
            <v>0</v>
          </cell>
          <cell r="E4086">
            <v>0</v>
          </cell>
          <cell r="F4086">
            <v>0.22</v>
          </cell>
          <cell r="G4086">
            <v>0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0</v>
          </cell>
          <cell r="M4086">
            <v>2.8999999999999998E-3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 t="b">
            <v>0</v>
          </cell>
        </row>
        <row r="4087">
          <cell r="A4087" t="str">
            <v>Data split-13;Reg-18</v>
          </cell>
          <cell r="B4087">
            <v>-6.4</v>
          </cell>
          <cell r="C4087">
            <v>1.8</v>
          </cell>
          <cell r="D4087">
            <v>0</v>
          </cell>
          <cell r="E4087">
            <v>0</v>
          </cell>
          <cell r="F4087">
            <v>0.17</v>
          </cell>
          <cell r="G4087">
            <v>0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6.6E-3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 t="b">
            <v>0</v>
          </cell>
        </row>
        <row r="4088">
          <cell r="A4088" t="str">
            <v>Data split-13;Reg-19</v>
          </cell>
          <cell r="B4088">
            <v>-7.4</v>
          </cell>
          <cell r="C4088">
            <v>1.5</v>
          </cell>
          <cell r="D4088">
            <v>0</v>
          </cell>
          <cell r="E4088">
            <v>0</v>
          </cell>
          <cell r="F4088">
            <v>0</v>
          </cell>
          <cell r="G4088">
            <v>1.4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-5.7000000000000002E-2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 t="b">
            <v>1</v>
          </cell>
        </row>
        <row r="4089">
          <cell r="A4089" t="str">
            <v>Data split-13;Reg-20</v>
          </cell>
          <cell r="B4089">
            <v>-7.5</v>
          </cell>
          <cell r="C4089">
            <v>1.5</v>
          </cell>
          <cell r="D4089">
            <v>0</v>
          </cell>
          <cell r="E4089">
            <v>0</v>
          </cell>
          <cell r="F4089">
            <v>0</v>
          </cell>
          <cell r="G4089">
            <v>1.3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-8.6E-3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 t="b">
            <v>1</v>
          </cell>
        </row>
        <row r="4090">
          <cell r="A4090" t="str">
            <v>Data split-13;Reg-21</v>
          </cell>
          <cell r="B4090">
            <v>-5.9</v>
          </cell>
          <cell r="C4090">
            <v>1</v>
          </cell>
          <cell r="D4090">
            <v>0</v>
          </cell>
          <cell r="E4090">
            <v>0</v>
          </cell>
          <cell r="F4090">
            <v>0</v>
          </cell>
          <cell r="G4090">
            <v>0</v>
          </cell>
          <cell r="H4090">
            <v>2.7</v>
          </cell>
          <cell r="I4090">
            <v>0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-5.2999999999999999E-2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 t="b">
            <v>1</v>
          </cell>
        </row>
        <row r="4091">
          <cell r="A4091" t="str">
            <v>Data split-13;Reg-22</v>
          </cell>
          <cell r="B4091">
            <v>-6.1</v>
          </cell>
          <cell r="C4091">
            <v>1.2</v>
          </cell>
          <cell r="D4091">
            <v>0</v>
          </cell>
          <cell r="E4091">
            <v>0</v>
          </cell>
          <cell r="F4091">
            <v>0</v>
          </cell>
          <cell r="G4091">
            <v>0</v>
          </cell>
          <cell r="H4091">
            <v>2.2999999999999998</v>
          </cell>
          <cell r="I4091">
            <v>0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-5.1000000000000004E-3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 t="b">
            <v>1</v>
          </cell>
        </row>
        <row r="4092">
          <cell r="A4092" t="str">
            <v>Data split-13;Reg-23</v>
          </cell>
          <cell r="B4092">
            <v>-3.4</v>
          </cell>
          <cell r="C4092">
            <v>0</v>
          </cell>
          <cell r="D4092">
            <v>0.87</v>
          </cell>
          <cell r="E4092">
            <v>0.91</v>
          </cell>
          <cell r="F4092">
            <v>0</v>
          </cell>
          <cell r="G4092">
            <v>0.7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 t="b">
            <v>1</v>
          </cell>
        </row>
        <row r="4093">
          <cell r="A4093" t="str">
            <v>Data split-13;Reg-24</v>
          </cell>
          <cell r="B4093">
            <v>-3.3</v>
          </cell>
          <cell r="C4093">
            <v>0</v>
          </cell>
          <cell r="D4093">
            <v>0.73</v>
          </cell>
          <cell r="E4093">
            <v>7.9000000000000001E-2</v>
          </cell>
          <cell r="F4093">
            <v>0</v>
          </cell>
          <cell r="G4093">
            <v>0</v>
          </cell>
          <cell r="H4093">
            <v>2.4</v>
          </cell>
          <cell r="I4093">
            <v>0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 t="b">
            <v>1</v>
          </cell>
        </row>
        <row r="4094">
          <cell r="A4094" t="str">
            <v>Data split-13;Reg-25</v>
          </cell>
          <cell r="B4094">
            <v>-3.4</v>
          </cell>
          <cell r="C4094">
            <v>0</v>
          </cell>
          <cell r="D4094">
            <v>1.1000000000000001</v>
          </cell>
          <cell r="E4094">
            <v>0</v>
          </cell>
          <cell r="F4094">
            <v>0.12</v>
          </cell>
          <cell r="G4094">
            <v>1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 t="b">
            <v>1</v>
          </cell>
        </row>
        <row r="4095">
          <cell r="A4095" t="str">
            <v>Data split-13;Reg-26</v>
          </cell>
          <cell r="B4095">
            <v>-3.2</v>
          </cell>
          <cell r="C4095">
            <v>0</v>
          </cell>
          <cell r="D4095">
            <v>0.74</v>
          </cell>
          <cell r="E4095">
            <v>0</v>
          </cell>
          <cell r="F4095">
            <v>1.4E-2</v>
          </cell>
          <cell r="G4095">
            <v>0</v>
          </cell>
          <cell r="H4095">
            <v>2.4</v>
          </cell>
          <cell r="I4095">
            <v>0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 t="b">
            <v>1</v>
          </cell>
        </row>
        <row r="4096">
          <cell r="A4096" t="str">
            <v>Data split-13;Reg-27</v>
          </cell>
          <cell r="B4096">
            <v>-2.7</v>
          </cell>
          <cell r="C4096">
            <v>0</v>
          </cell>
          <cell r="D4096">
            <v>0.73</v>
          </cell>
          <cell r="E4096">
            <v>2.2999999999999998</v>
          </cell>
          <cell r="F4096">
            <v>0</v>
          </cell>
          <cell r="G4096">
            <v>0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0</v>
          </cell>
          <cell r="M4096">
            <v>-7.0000000000000007E-2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 t="b">
            <v>1</v>
          </cell>
        </row>
        <row r="4097">
          <cell r="A4097" t="str">
            <v>Data split-13;Reg-28</v>
          </cell>
          <cell r="B4097">
            <v>-2.7</v>
          </cell>
          <cell r="C4097">
            <v>0</v>
          </cell>
          <cell r="D4097">
            <v>0.76</v>
          </cell>
          <cell r="E4097">
            <v>2.1</v>
          </cell>
          <cell r="F4097">
            <v>0</v>
          </cell>
          <cell r="G4097">
            <v>0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-7.4000000000000003E-3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 t="b">
            <v>1</v>
          </cell>
        </row>
        <row r="4098">
          <cell r="A4098" t="str">
            <v>Data split-13;Reg-29</v>
          </cell>
          <cell r="B4098">
            <v>-2.2000000000000002</v>
          </cell>
          <cell r="C4098">
            <v>0</v>
          </cell>
          <cell r="D4098">
            <v>1.4</v>
          </cell>
          <cell r="E4098">
            <v>0</v>
          </cell>
          <cell r="F4098">
            <v>0.25</v>
          </cell>
          <cell r="G4098">
            <v>0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0</v>
          </cell>
          <cell r="M4098">
            <v>3.5000000000000003E-2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 t="b">
            <v>0</v>
          </cell>
        </row>
        <row r="4099">
          <cell r="A4099" t="str">
            <v>Data split-13;Reg-30</v>
          </cell>
          <cell r="B4099">
            <v>-2.5</v>
          </cell>
          <cell r="C4099">
            <v>0</v>
          </cell>
          <cell r="D4099">
            <v>1.2</v>
          </cell>
          <cell r="E4099">
            <v>0</v>
          </cell>
          <cell r="F4099">
            <v>0.2</v>
          </cell>
          <cell r="G4099">
            <v>0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1.4E-2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 t="b">
            <v>0</v>
          </cell>
        </row>
        <row r="4100">
          <cell r="A4100" t="str">
            <v>Data split-13;Reg-31</v>
          </cell>
          <cell r="B4100">
            <v>-4.5999999999999996</v>
          </cell>
          <cell r="C4100">
            <v>0</v>
          </cell>
          <cell r="D4100">
            <v>1</v>
          </cell>
          <cell r="E4100">
            <v>0</v>
          </cell>
          <cell r="F4100">
            <v>0</v>
          </cell>
          <cell r="G4100">
            <v>2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-0.1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 t="b">
            <v>1</v>
          </cell>
        </row>
        <row r="4101">
          <cell r="A4101" t="str">
            <v>Data split-13;Reg-32</v>
          </cell>
          <cell r="B4101">
            <v>-4.8</v>
          </cell>
          <cell r="C4101">
            <v>0</v>
          </cell>
          <cell r="D4101">
            <v>1.1000000000000001</v>
          </cell>
          <cell r="E4101">
            <v>0</v>
          </cell>
          <cell r="F4101">
            <v>0</v>
          </cell>
          <cell r="G4101">
            <v>2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-1.9E-2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 t="b">
            <v>1</v>
          </cell>
        </row>
        <row r="4102">
          <cell r="A4102" t="str">
            <v>Data split-13;Reg-33</v>
          </cell>
          <cell r="B4102">
            <v>-3.6</v>
          </cell>
          <cell r="C4102">
            <v>0</v>
          </cell>
          <cell r="D4102">
            <v>0.41</v>
          </cell>
          <cell r="E4102">
            <v>0</v>
          </cell>
          <cell r="F4102">
            <v>0</v>
          </cell>
          <cell r="G4102">
            <v>0</v>
          </cell>
          <cell r="H4102">
            <v>3.9</v>
          </cell>
          <cell r="I4102">
            <v>0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-9.9000000000000005E-2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 t="b">
            <v>1</v>
          </cell>
        </row>
        <row r="4103">
          <cell r="A4103" t="str">
            <v>Data split-13;Reg-34</v>
          </cell>
          <cell r="B4103">
            <v>-3.7</v>
          </cell>
          <cell r="C4103">
            <v>0</v>
          </cell>
          <cell r="D4103">
            <v>0.5</v>
          </cell>
          <cell r="E4103">
            <v>0</v>
          </cell>
          <cell r="F4103">
            <v>0</v>
          </cell>
          <cell r="G4103">
            <v>0</v>
          </cell>
          <cell r="H4103">
            <v>3.7</v>
          </cell>
          <cell r="I4103">
            <v>0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-1.4999999999999999E-2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 t="b">
            <v>1</v>
          </cell>
        </row>
        <row r="4104">
          <cell r="A4104" t="str">
            <v>Data split-13;Reg-35</v>
          </cell>
          <cell r="B4104">
            <v>-7.1</v>
          </cell>
          <cell r="C4104">
            <v>1.5</v>
          </cell>
          <cell r="D4104">
            <v>0</v>
          </cell>
          <cell r="E4104">
            <v>0.73</v>
          </cell>
          <cell r="F4104">
            <v>0</v>
          </cell>
          <cell r="G4104">
            <v>1.1000000000000001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0</v>
          </cell>
          <cell r="M4104">
            <v>-0.1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 t="b">
            <v>1</v>
          </cell>
        </row>
        <row r="4105">
          <cell r="A4105" t="str">
            <v>Data split-13;Reg-36</v>
          </cell>
          <cell r="B4105">
            <v>-7.1</v>
          </cell>
          <cell r="C4105">
            <v>1.5</v>
          </cell>
          <cell r="D4105">
            <v>0</v>
          </cell>
          <cell r="E4105">
            <v>0.65</v>
          </cell>
          <cell r="F4105">
            <v>0</v>
          </cell>
          <cell r="G4105">
            <v>1.1000000000000001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-1.7000000000000001E-2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 t="b">
            <v>1</v>
          </cell>
        </row>
        <row r="4106">
          <cell r="A4106" t="str">
            <v>Data split-13;Reg-37</v>
          </cell>
          <cell r="B4106">
            <v>-6.3</v>
          </cell>
          <cell r="C4106">
            <v>1.2</v>
          </cell>
          <cell r="D4106">
            <v>0</v>
          </cell>
          <cell r="E4106">
            <v>-0.17</v>
          </cell>
          <cell r="F4106">
            <v>0</v>
          </cell>
          <cell r="G4106">
            <v>0</v>
          </cell>
          <cell r="H4106">
            <v>3.5</v>
          </cell>
          <cell r="I4106">
            <v>0</v>
          </cell>
          <cell r="J4106">
            <v>0</v>
          </cell>
          <cell r="K4106">
            <v>0</v>
          </cell>
          <cell r="L4106">
            <v>0</v>
          </cell>
          <cell r="M4106">
            <v>-0.12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 t="b">
            <v>0</v>
          </cell>
        </row>
        <row r="4107">
          <cell r="A4107" t="str">
            <v>Data split-13;Reg-38</v>
          </cell>
          <cell r="B4107">
            <v>-6.2</v>
          </cell>
          <cell r="C4107">
            <v>1.3</v>
          </cell>
          <cell r="D4107">
            <v>0</v>
          </cell>
          <cell r="E4107">
            <v>-0.19</v>
          </cell>
          <cell r="F4107">
            <v>0</v>
          </cell>
          <cell r="G4107">
            <v>0</v>
          </cell>
          <cell r="H4107">
            <v>3.2</v>
          </cell>
          <cell r="I4107">
            <v>0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-1.7999999999999999E-2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 t="b">
            <v>0</v>
          </cell>
        </row>
        <row r="4108">
          <cell r="A4108" t="str">
            <v>Data split-13;Reg-39</v>
          </cell>
          <cell r="B4108">
            <v>-7.3</v>
          </cell>
          <cell r="C4108">
            <v>1.8</v>
          </cell>
          <cell r="D4108">
            <v>0</v>
          </cell>
          <cell r="E4108">
            <v>0</v>
          </cell>
          <cell r="F4108">
            <v>0.14000000000000001</v>
          </cell>
          <cell r="G4108">
            <v>1.2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0</v>
          </cell>
          <cell r="M4108">
            <v>-9.0999999999999998E-2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 t="b">
            <v>1</v>
          </cell>
        </row>
        <row r="4109">
          <cell r="A4109" t="str">
            <v>Data split-13;Reg-40</v>
          </cell>
          <cell r="B4109">
            <v>-7.2</v>
          </cell>
          <cell r="C4109">
            <v>1.7</v>
          </cell>
          <cell r="D4109">
            <v>0</v>
          </cell>
          <cell r="E4109">
            <v>0</v>
          </cell>
          <cell r="F4109">
            <v>0.12</v>
          </cell>
          <cell r="G4109">
            <v>1.2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0</v>
          </cell>
          <cell r="M4109">
            <v>0</v>
          </cell>
          <cell r="N4109">
            <v>-1.4E-2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 t="b">
            <v>1</v>
          </cell>
        </row>
        <row r="4110">
          <cell r="A4110" t="str">
            <v>Data split-13;Reg-41</v>
          </cell>
          <cell r="B4110">
            <v>-6.1</v>
          </cell>
          <cell r="C4110">
            <v>1.2</v>
          </cell>
          <cell r="D4110">
            <v>0</v>
          </cell>
          <cell r="E4110">
            <v>0</v>
          </cell>
          <cell r="F4110">
            <v>0.05</v>
          </cell>
          <cell r="G4110">
            <v>0</v>
          </cell>
          <cell r="H4110">
            <v>3.2</v>
          </cell>
          <cell r="I4110">
            <v>0</v>
          </cell>
          <cell r="J4110">
            <v>0</v>
          </cell>
          <cell r="K4110">
            <v>0</v>
          </cell>
          <cell r="L4110">
            <v>0</v>
          </cell>
          <cell r="M4110">
            <v>-0.12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 t="b">
            <v>1</v>
          </cell>
        </row>
        <row r="4111">
          <cell r="A4111" t="str">
            <v>Data split-13;Reg-42</v>
          </cell>
          <cell r="B4111">
            <v>-6</v>
          </cell>
          <cell r="C4111">
            <v>1.3</v>
          </cell>
          <cell r="D4111">
            <v>0</v>
          </cell>
          <cell r="E4111">
            <v>0</v>
          </cell>
          <cell r="F4111">
            <v>3.7999999999999999E-2</v>
          </cell>
          <cell r="G4111">
            <v>0</v>
          </cell>
          <cell r="H4111">
            <v>2.9</v>
          </cell>
          <cell r="I4111">
            <v>0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-1.9E-2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 t="b">
            <v>1</v>
          </cell>
        </row>
        <row r="4112">
          <cell r="A4112" t="str">
            <v>Data split-13;Reg-43</v>
          </cell>
          <cell r="B4112">
            <v>-7</v>
          </cell>
          <cell r="C4112">
            <v>1.3</v>
          </cell>
          <cell r="D4112">
            <v>0</v>
          </cell>
          <cell r="E4112">
            <v>0.36</v>
          </cell>
          <cell r="F4112">
            <v>0</v>
          </cell>
          <cell r="G4112">
            <v>1.3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-6.6000000000000003E-2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 t="b">
            <v>1</v>
          </cell>
        </row>
        <row r="4113">
          <cell r="A4113" t="str">
            <v>Data split-13;Reg-44</v>
          </cell>
          <cell r="B4113">
            <v>-7.2</v>
          </cell>
          <cell r="C4113">
            <v>1.4</v>
          </cell>
          <cell r="D4113">
            <v>0</v>
          </cell>
          <cell r="E4113">
            <v>0.26</v>
          </cell>
          <cell r="F4113">
            <v>0</v>
          </cell>
          <cell r="G4113">
            <v>1.3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-9.7999999999999997E-3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 t="b">
            <v>1</v>
          </cell>
        </row>
        <row r="4114">
          <cell r="A4114" t="str">
            <v>Data split-13;Reg-45</v>
          </cell>
          <cell r="B4114">
            <v>-6.2</v>
          </cell>
          <cell r="C4114">
            <v>1.1000000000000001</v>
          </cell>
          <cell r="D4114">
            <v>0</v>
          </cell>
          <cell r="E4114">
            <v>-0.55000000000000004</v>
          </cell>
          <cell r="F4114">
            <v>0</v>
          </cell>
          <cell r="G4114">
            <v>0</v>
          </cell>
          <cell r="H4114">
            <v>3.3</v>
          </cell>
          <cell r="I4114">
            <v>0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-5.0999999999999997E-2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 t="b">
            <v>0</v>
          </cell>
        </row>
        <row r="4115">
          <cell r="A4115" t="str">
            <v>Data split-13;Reg-46</v>
          </cell>
          <cell r="B4115">
            <v>-6.4</v>
          </cell>
          <cell r="C4115">
            <v>1.3</v>
          </cell>
          <cell r="D4115">
            <v>0</v>
          </cell>
          <cell r="E4115">
            <v>-0.56999999999999995</v>
          </cell>
          <cell r="F4115">
            <v>0</v>
          </cell>
          <cell r="G4115">
            <v>0</v>
          </cell>
          <cell r="H4115">
            <v>2.9</v>
          </cell>
          <cell r="I4115">
            <v>0</v>
          </cell>
          <cell r="J4115">
            <v>0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-4.7999999999999996E-3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 t="b">
            <v>0</v>
          </cell>
        </row>
        <row r="4116">
          <cell r="A4116" t="str">
            <v>Data split-13;Reg-47</v>
          </cell>
          <cell r="B4116">
            <v>-6.9</v>
          </cell>
          <cell r="C4116">
            <v>1.4</v>
          </cell>
          <cell r="D4116">
            <v>0</v>
          </cell>
          <cell r="E4116">
            <v>0</v>
          </cell>
          <cell r="F4116">
            <v>0.13</v>
          </cell>
          <cell r="G4116">
            <v>1.4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-7.4999999999999997E-2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 t="b">
            <v>1</v>
          </cell>
        </row>
        <row r="4117">
          <cell r="A4117" t="str">
            <v>Data split-13;Reg-48</v>
          </cell>
          <cell r="B4117">
            <v>-7.1</v>
          </cell>
          <cell r="C4117">
            <v>1.5</v>
          </cell>
          <cell r="D4117">
            <v>0</v>
          </cell>
          <cell r="E4117">
            <v>0</v>
          </cell>
          <cell r="F4117">
            <v>0.11</v>
          </cell>
          <cell r="G4117">
            <v>1.3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-1.0999999999999999E-2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 t="b">
            <v>1</v>
          </cell>
        </row>
        <row r="4118">
          <cell r="A4118" t="str">
            <v>Data split-13;Reg-49</v>
          </cell>
          <cell r="B4118">
            <v>-5.7</v>
          </cell>
          <cell r="C4118">
            <v>1</v>
          </cell>
          <cell r="D4118">
            <v>0</v>
          </cell>
          <cell r="E4118">
            <v>0</v>
          </cell>
          <cell r="F4118">
            <v>5.0999999999999997E-2</v>
          </cell>
          <cell r="G4118">
            <v>0</v>
          </cell>
          <cell r="H4118">
            <v>2.6</v>
          </cell>
          <cell r="I4118">
            <v>0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-5.5E-2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 t="b">
            <v>1</v>
          </cell>
        </row>
        <row r="4119">
          <cell r="A4119" t="str">
            <v>Data split-13;Reg-50</v>
          </cell>
          <cell r="B4119">
            <v>-6</v>
          </cell>
          <cell r="C4119">
            <v>1.2</v>
          </cell>
          <cell r="D4119">
            <v>0</v>
          </cell>
          <cell r="E4119">
            <v>0</v>
          </cell>
          <cell r="F4119">
            <v>4.1000000000000002E-2</v>
          </cell>
          <cell r="G4119">
            <v>0</v>
          </cell>
          <cell r="H4119">
            <v>2.1</v>
          </cell>
          <cell r="I4119">
            <v>0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-5.3E-3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 t="b">
            <v>1</v>
          </cell>
        </row>
        <row r="4120">
          <cell r="A4120" t="str">
            <v>Data split-13;Reg-51</v>
          </cell>
          <cell r="B4120">
            <v>-3.5</v>
          </cell>
          <cell r="C4120">
            <v>0</v>
          </cell>
          <cell r="D4120">
            <v>0.83</v>
          </cell>
          <cell r="E4120">
            <v>1.6</v>
          </cell>
          <cell r="F4120">
            <v>0</v>
          </cell>
          <cell r="G4120">
            <v>1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-0.11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 t="b">
            <v>1</v>
          </cell>
        </row>
        <row r="4121">
          <cell r="A4121" t="str">
            <v>Data split-13;Reg-52</v>
          </cell>
          <cell r="B4121">
            <v>-3.4</v>
          </cell>
          <cell r="C4121">
            <v>0</v>
          </cell>
          <cell r="D4121">
            <v>0.86</v>
          </cell>
          <cell r="E4121">
            <v>1.5</v>
          </cell>
          <cell r="F4121">
            <v>0</v>
          </cell>
          <cell r="G4121">
            <v>0.99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0</v>
          </cell>
          <cell r="M4121">
            <v>0</v>
          </cell>
          <cell r="N4121">
            <v>-1.9E-2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 t="b">
            <v>1</v>
          </cell>
        </row>
        <row r="4122">
          <cell r="A4122" t="str">
            <v>Data split-13;Reg-53</v>
          </cell>
          <cell r="B4122">
            <v>-3.3</v>
          </cell>
          <cell r="C4122">
            <v>0</v>
          </cell>
          <cell r="D4122">
            <v>0.6</v>
          </cell>
          <cell r="E4122">
            <v>0.52</v>
          </cell>
          <cell r="F4122">
            <v>0</v>
          </cell>
          <cell r="G4122">
            <v>0</v>
          </cell>
          <cell r="H4122">
            <v>3.6</v>
          </cell>
          <cell r="I4122">
            <v>0</v>
          </cell>
          <cell r="J4122">
            <v>0</v>
          </cell>
          <cell r="K4122">
            <v>0</v>
          </cell>
          <cell r="L4122">
            <v>0</v>
          </cell>
          <cell r="M4122">
            <v>-0.14000000000000001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 t="b">
            <v>1</v>
          </cell>
        </row>
        <row r="4123">
          <cell r="A4123" t="str">
            <v>Data split-13;Reg-54</v>
          </cell>
          <cell r="B4123">
            <v>-3.1</v>
          </cell>
          <cell r="C4123">
            <v>0</v>
          </cell>
          <cell r="D4123">
            <v>0.64</v>
          </cell>
          <cell r="E4123">
            <v>0.54</v>
          </cell>
          <cell r="F4123">
            <v>0</v>
          </cell>
          <cell r="G4123">
            <v>0</v>
          </cell>
          <cell r="H4123">
            <v>3.3</v>
          </cell>
          <cell r="I4123">
            <v>0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-2.1999999999999999E-2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 t="b">
            <v>1</v>
          </cell>
        </row>
        <row r="4124">
          <cell r="A4124" t="str">
            <v>Data split-13;Reg-55</v>
          </cell>
          <cell r="B4124">
            <v>-3.4</v>
          </cell>
          <cell r="C4124">
            <v>0</v>
          </cell>
          <cell r="D4124">
            <v>1.2</v>
          </cell>
          <cell r="E4124">
            <v>0</v>
          </cell>
          <cell r="F4124">
            <v>0.16</v>
          </cell>
          <cell r="G4124">
            <v>1.3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0</v>
          </cell>
          <cell r="M4124">
            <v>-6.8000000000000005E-2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 t="b">
            <v>1</v>
          </cell>
        </row>
        <row r="4125">
          <cell r="A4125" t="str">
            <v>Data split-13;Reg-56</v>
          </cell>
          <cell r="B4125">
            <v>-3.4</v>
          </cell>
          <cell r="C4125">
            <v>0</v>
          </cell>
          <cell r="D4125">
            <v>1.2</v>
          </cell>
          <cell r="E4125">
            <v>0</v>
          </cell>
          <cell r="F4125">
            <v>0.14000000000000001</v>
          </cell>
          <cell r="G4125">
            <v>1.2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-7.4000000000000003E-3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 t="b">
            <v>1</v>
          </cell>
        </row>
        <row r="4126">
          <cell r="A4126" t="str">
            <v>Data split-13;Reg-57</v>
          </cell>
          <cell r="B4126">
            <v>-3.3</v>
          </cell>
          <cell r="C4126">
            <v>0</v>
          </cell>
          <cell r="D4126">
            <v>0.67</v>
          </cell>
          <cell r="E4126">
            <v>0</v>
          </cell>
          <cell r="F4126">
            <v>2.4E-2</v>
          </cell>
          <cell r="G4126">
            <v>0</v>
          </cell>
          <cell r="H4126">
            <v>4</v>
          </cell>
          <cell r="I4126">
            <v>0</v>
          </cell>
          <cell r="J4126">
            <v>0</v>
          </cell>
          <cell r="K4126">
            <v>0</v>
          </cell>
          <cell r="L4126">
            <v>0</v>
          </cell>
          <cell r="M4126">
            <v>-0.13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 t="b">
            <v>1</v>
          </cell>
        </row>
        <row r="4127">
          <cell r="A4127" t="str">
            <v>Data split-13;Reg-58</v>
          </cell>
          <cell r="B4127">
            <v>-3.2</v>
          </cell>
          <cell r="C4127">
            <v>0</v>
          </cell>
          <cell r="D4127">
            <v>0.7</v>
          </cell>
          <cell r="E4127">
            <v>0</v>
          </cell>
          <cell r="F4127">
            <v>1.2E-2</v>
          </cell>
          <cell r="G4127">
            <v>0</v>
          </cell>
          <cell r="H4127">
            <v>3.8</v>
          </cell>
          <cell r="I4127">
            <v>0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-0.02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 t="b">
            <v>1</v>
          </cell>
        </row>
        <row r="4128">
          <cell r="A4128" t="str">
            <v>Data split-13;Reg-59</v>
          </cell>
          <cell r="B4128">
            <v>-4.3</v>
          </cell>
          <cell r="C4128">
            <v>0</v>
          </cell>
          <cell r="D4128">
            <v>0.66</v>
          </cell>
          <cell r="E4128">
            <v>1.1000000000000001</v>
          </cell>
          <cell r="F4128">
            <v>0</v>
          </cell>
          <cell r="G4128">
            <v>1.5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-0.12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 t="b">
            <v>1</v>
          </cell>
        </row>
        <row r="4129">
          <cell r="A4129" t="str">
            <v>Data split-13;Reg-60</v>
          </cell>
          <cell r="B4129">
            <v>-4.4000000000000004</v>
          </cell>
          <cell r="C4129">
            <v>0</v>
          </cell>
          <cell r="D4129">
            <v>0.72</v>
          </cell>
          <cell r="E4129">
            <v>1.1000000000000001</v>
          </cell>
          <cell r="F4129">
            <v>0</v>
          </cell>
          <cell r="G4129">
            <v>1.6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-2.1000000000000001E-2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 t="b">
            <v>1</v>
          </cell>
        </row>
        <row r="4130">
          <cell r="A4130" t="str">
            <v>Data split-13;Reg-61</v>
          </cell>
          <cell r="B4130">
            <v>-3.6</v>
          </cell>
          <cell r="C4130">
            <v>0</v>
          </cell>
          <cell r="D4130">
            <v>0.42</v>
          </cell>
          <cell r="E4130">
            <v>-4.5999999999999999E-2</v>
          </cell>
          <cell r="F4130">
            <v>0</v>
          </cell>
          <cell r="G4130">
            <v>0</v>
          </cell>
          <cell r="H4130">
            <v>4</v>
          </cell>
          <cell r="I4130">
            <v>0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-9.9000000000000005E-2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 t="b">
            <v>0</v>
          </cell>
        </row>
        <row r="4131">
          <cell r="A4131" t="str">
            <v>Data split-13;Reg-62</v>
          </cell>
          <cell r="B4131">
            <v>-3.7</v>
          </cell>
          <cell r="C4131">
            <v>0</v>
          </cell>
          <cell r="D4131">
            <v>0.51</v>
          </cell>
          <cell r="E4131">
            <v>-1.2999999999999999E-2</v>
          </cell>
          <cell r="F4131">
            <v>0</v>
          </cell>
          <cell r="G4131">
            <v>0</v>
          </cell>
          <cell r="H4131">
            <v>3.7</v>
          </cell>
          <cell r="I4131">
            <v>0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-1.4999999999999999E-2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 t="b">
            <v>0</v>
          </cell>
        </row>
        <row r="4132">
          <cell r="A4132" t="str">
            <v>Data split-13;Reg-63</v>
          </cell>
          <cell r="B4132">
            <v>-4.0999999999999996</v>
          </cell>
          <cell r="C4132">
            <v>0</v>
          </cell>
          <cell r="D4132">
            <v>0.98</v>
          </cell>
          <cell r="E4132">
            <v>0</v>
          </cell>
          <cell r="F4132">
            <v>0.19</v>
          </cell>
          <cell r="G4132">
            <v>1.9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-0.13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 t="b">
            <v>1</v>
          </cell>
        </row>
        <row r="4133">
          <cell r="A4133" t="str">
            <v>Data split-13;Reg-64</v>
          </cell>
          <cell r="B4133">
            <v>-4.3</v>
          </cell>
          <cell r="C4133">
            <v>0</v>
          </cell>
          <cell r="D4133">
            <v>1</v>
          </cell>
          <cell r="E4133">
            <v>0</v>
          </cell>
          <cell r="F4133">
            <v>0.17</v>
          </cell>
          <cell r="G4133">
            <v>1.9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-2.1999999999999999E-2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 t="b">
            <v>1</v>
          </cell>
        </row>
        <row r="4134">
          <cell r="A4134" t="str">
            <v>Data split-13;Reg-65</v>
          </cell>
          <cell r="B4134">
            <v>-3.5</v>
          </cell>
          <cell r="C4134">
            <v>0</v>
          </cell>
          <cell r="D4134">
            <v>0.43</v>
          </cell>
          <cell r="E4134">
            <v>0</v>
          </cell>
          <cell r="F4134">
            <v>4.2999999999999997E-2</v>
          </cell>
          <cell r="G4134">
            <v>0</v>
          </cell>
          <cell r="H4134">
            <v>3.8</v>
          </cell>
          <cell r="I4134">
            <v>0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-0.1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 t="b">
            <v>1</v>
          </cell>
        </row>
        <row r="4135">
          <cell r="A4135" t="str">
            <v>Data split-13;Reg-66</v>
          </cell>
          <cell r="B4135">
            <v>-3.6</v>
          </cell>
          <cell r="C4135">
            <v>0</v>
          </cell>
          <cell r="D4135">
            <v>0.52</v>
          </cell>
          <cell r="E4135">
            <v>0</v>
          </cell>
          <cell r="F4135">
            <v>2.7E-2</v>
          </cell>
          <cell r="G4135">
            <v>0</v>
          </cell>
          <cell r="H4135">
            <v>3.6</v>
          </cell>
          <cell r="I4135">
            <v>0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-1.4999999999999999E-2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 t="b">
            <v>1</v>
          </cell>
        </row>
        <row r="4136">
          <cell r="A4136" t="str">
            <v>Data split-13;Reg-67</v>
          </cell>
          <cell r="B4136">
            <v>-7.3</v>
          </cell>
          <cell r="C4136">
            <v>1.6</v>
          </cell>
          <cell r="D4136">
            <v>0</v>
          </cell>
          <cell r="E4136">
            <v>0</v>
          </cell>
          <cell r="F4136">
            <v>0</v>
          </cell>
          <cell r="G4136">
            <v>0.92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 t="b">
            <v>1</v>
          </cell>
        </row>
        <row r="4137">
          <cell r="A4137" t="str">
            <v>Data split-13;Reg-68</v>
          </cell>
          <cell r="B4137">
            <v>-6.9</v>
          </cell>
          <cell r="C4137">
            <v>1.6</v>
          </cell>
          <cell r="D4137">
            <v>0</v>
          </cell>
          <cell r="E4137">
            <v>0</v>
          </cell>
          <cell r="F4137">
            <v>8.3000000000000004E-2</v>
          </cell>
          <cell r="G4137">
            <v>0.79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 t="b">
            <v>1</v>
          </cell>
        </row>
        <row r="4138">
          <cell r="A4138" t="str">
            <v>Data split-13;Reg-69</v>
          </cell>
          <cell r="B4138">
            <v>-6.3</v>
          </cell>
          <cell r="C4138">
            <v>1.6</v>
          </cell>
          <cell r="D4138">
            <v>0</v>
          </cell>
          <cell r="E4138">
            <v>0</v>
          </cell>
          <cell r="F4138">
            <v>0</v>
          </cell>
          <cell r="G4138">
            <v>1</v>
          </cell>
          <cell r="H4138">
            <v>0</v>
          </cell>
          <cell r="I4138">
            <v>0</v>
          </cell>
          <cell r="J4138">
            <v>-3.3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 t="b">
            <v>1</v>
          </cell>
        </row>
        <row r="4139">
          <cell r="A4139" t="str">
            <v>Data split-13;Reg-70</v>
          </cell>
          <cell r="B4139">
            <v>-6.5</v>
          </cell>
          <cell r="C4139">
            <v>1.7</v>
          </cell>
          <cell r="D4139">
            <v>0</v>
          </cell>
          <cell r="E4139">
            <v>0</v>
          </cell>
          <cell r="F4139">
            <v>0</v>
          </cell>
          <cell r="G4139">
            <v>1.4</v>
          </cell>
          <cell r="H4139">
            <v>0</v>
          </cell>
          <cell r="I4139">
            <v>0</v>
          </cell>
          <cell r="J4139">
            <v>-3.9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-5.7000000000000002E-2</v>
          </cell>
          <cell r="T4139">
            <v>0</v>
          </cell>
          <cell r="U4139" t="b">
            <v>1</v>
          </cell>
        </row>
        <row r="4140">
          <cell r="A4140" t="str">
            <v>Data split-13;Reg-71</v>
          </cell>
          <cell r="B4140">
            <v>-3.3</v>
          </cell>
          <cell r="C4140">
            <v>0.55000000000000004</v>
          </cell>
          <cell r="D4140">
            <v>0</v>
          </cell>
          <cell r="E4140">
            <v>0</v>
          </cell>
          <cell r="F4140">
            <v>4.3999999999999997E-2</v>
          </cell>
          <cell r="G4140">
            <v>0</v>
          </cell>
          <cell r="H4140">
            <v>4.7</v>
          </cell>
          <cell r="I4140">
            <v>0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-0.17</v>
          </cell>
          <cell r="T4140">
            <v>0</v>
          </cell>
          <cell r="U4140" t="b">
            <v>1</v>
          </cell>
        </row>
        <row r="4141">
          <cell r="A4141" t="str">
            <v>Data split-13;Reg-72</v>
          </cell>
          <cell r="B4141">
            <v>-6.1</v>
          </cell>
          <cell r="C4141">
            <v>1.4</v>
          </cell>
          <cell r="D4141">
            <v>0</v>
          </cell>
          <cell r="E4141">
            <v>1.1000000000000001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 t="b">
            <v>1</v>
          </cell>
        </row>
        <row r="4142">
          <cell r="A4142" t="str">
            <v>Data split-13;Reg-73</v>
          </cell>
          <cell r="B4142">
            <v>-6.5</v>
          </cell>
          <cell r="C4142">
            <v>1.9</v>
          </cell>
          <cell r="D4142">
            <v>0</v>
          </cell>
          <cell r="E4142">
            <v>0</v>
          </cell>
          <cell r="F4142">
            <v>0.22</v>
          </cell>
          <cell r="G4142">
            <v>0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 t="b">
            <v>1</v>
          </cell>
        </row>
        <row r="4143">
          <cell r="A4143" t="str">
            <v>Data split-13;Reg-74</v>
          </cell>
          <cell r="B4143">
            <v>-2.8</v>
          </cell>
          <cell r="C4143">
            <v>0</v>
          </cell>
          <cell r="D4143">
            <v>0.78</v>
          </cell>
          <cell r="E4143">
            <v>1.7</v>
          </cell>
          <cell r="F4143">
            <v>0</v>
          </cell>
          <cell r="G4143">
            <v>0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 t="b">
            <v>1</v>
          </cell>
        </row>
        <row r="4144">
          <cell r="A4144" t="str">
            <v>Data split-13;Reg-75</v>
          </cell>
          <cell r="B4144">
            <v>-2</v>
          </cell>
          <cell r="C4144">
            <v>0</v>
          </cell>
          <cell r="D4144">
            <v>1.5</v>
          </cell>
          <cell r="E4144">
            <v>0</v>
          </cell>
          <cell r="F4144">
            <v>0.3</v>
          </cell>
          <cell r="G4144">
            <v>0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 t="b">
            <v>1</v>
          </cell>
        </row>
        <row r="4145">
          <cell r="A4145" t="str">
            <v>Data split-13;Reg-76</v>
          </cell>
          <cell r="B4145">
            <v>-7.3</v>
          </cell>
          <cell r="C4145">
            <v>1.6</v>
          </cell>
          <cell r="D4145">
            <v>0</v>
          </cell>
          <cell r="E4145">
            <v>0</v>
          </cell>
          <cell r="F4145">
            <v>0</v>
          </cell>
          <cell r="G4145">
            <v>0.92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 t="b">
            <v>1</v>
          </cell>
        </row>
        <row r="4146">
          <cell r="A4146" t="str">
            <v>Data split-13;Reg-77</v>
          </cell>
          <cell r="B4146">
            <v>-6.3</v>
          </cell>
          <cell r="C4146">
            <v>1.3</v>
          </cell>
          <cell r="D4146">
            <v>0</v>
          </cell>
          <cell r="E4146">
            <v>0</v>
          </cell>
          <cell r="F4146">
            <v>0</v>
          </cell>
          <cell r="G4146">
            <v>0</v>
          </cell>
          <cell r="H4146">
            <v>1.8</v>
          </cell>
          <cell r="I4146">
            <v>0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 t="b">
            <v>1</v>
          </cell>
        </row>
        <row r="4147">
          <cell r="A4147" t="str">
            <v>Data split-13;Reg-78</v>
          </cell>
          <cell r="B4147">
            <v>-3.8</v>
          </cell>
          <cell r="C4147">
            <v>0</v>
          </cell>
          <cell r="D4147">
            <v>1.2</v>
          </cell>
          <cell r="E4147">
            <v>0</v>
          </cell>
          <cell r="F4147">
            <v>0</v>
          </cell>
          <cell r="G4147">
            <v>1.2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 t="b">
            <v>1</v>
          </cell>
        </row>
        <row r="4148">
          <cell r="A4148" t="str">
            <v>Data split-13;Reg-79</v>
          </cell>
          <cell r="B4148">
            <v>-3.3</v>
          </cell>
          <cell r="C4148">
            <v>0</v>
          </cell>
          <cell r="D4148">
            <v>0.73</v>
          </cell>
          <cell r="E4148">
            <v>0</v>
          </cell>
          <cell r="F4148">
            <v>0</v>
          </cell>
          <cell r="G4148">
            <v>0</v>
          </cell>
          <cell r="H4148">
            <v>2.5</v>
          </cell>
          <cell r="I4148">
            <v>0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 t="b">
            <v>1</v>
          </cell>
        </row>
        <row r="4149">
          <cell r="A4149" t="str">
            <v>Data split-13;Reg-80</v>
          </cell>
          <cell r="B4149">
            <v>-8.4</v>
          </cell>
          <cell r="C4149">
            <v>2</v>
          </cell>
          <cell r="D4149">
            <v>0</v>
          </cell>
          <cell r="E4149">
            <v>0</v>
          </cell>
          <cell r="F4149">
            <v>0</v>
          </cell>
          <cell r="G4149">
            <v>0</v>
          </cell>
          <cell r="H4149">
            <v>0</v>
          </cell>
          <cell r="I4149">
            <v>1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 t="b">
            <v>0</v>
          </cell>
        </row>
        <row r="4150">
          <cell r="A4150" t="str">
            <v>Data split-13;Reg-81</v>
          </cell>
          <cell r="B4150">
            <v>-10.1</v>
          </cell>
          <cell r="C4150">
            <v>2.1</v>
          </cell>
          <cell r="D4150">
            <v>0</v>
          </cell>
          <cell r="E4150">
            <v>0</v>
          </cell>
          <cell r="F4150">
            <v>0</v>
          </cell>
          <cell r="G4150">
            <v>0</v>
          </cell>
          <cell r="H4150">
            <v>0</v>
          </cell>
          <cell r="I4150">
            <v>0</v>
          </cell>
          <cell r="J4150">
            <v>8.5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 t="b">
            <v>0</v>
          </cell>
        </row>
        <row r="4151">
          <cell r="A4151" t="str">
            <v>Data split-13;Reg-82</v>
          </cell>
          <cell r="B4151">
            <v>-4.8</v>
          </cell>
          <cell r="C4151">
            <v>0</v>
          </cell>
          <cell r="D4151">
            <v>1.6</v>
          </cell>
          <cell r="E4151">
            <v>0</v>
          </cell>
          <cell r="F4151">
            <v>0</v>
          </cell>
          <cell r="G4151">
            <v>0</v>
          </cell>
          <cell r="H4151">
            <v>0</v>
          </cell>
          <cell r="I4151">
            <v>1.7</v>
          </cell>
          <cell r="J4151">
            <v>0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 t="b">
            <v>0</v>
          </cell>
        </row>
        <row r="4152">
          <cell r="A4152" t="str">
            <v>Data split-13;Reg-83</v>
          </cell>
          <cell r="B4152">
            <v>-9.6999999999999993</v>
          </cell>
          <cell r="C4152">
            <v>0</v>
          </cell>
          <cell r="D4152">
            <v>1.8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0</v>
          </cell>
          <cell r="J4152">
            <v>20.3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 t="b">
            <v>0</v>
          </cell>
        </row>
        <row r="4153">
          <cell r="A4153" t="str">
            <v>Data split-13;Reg-84</v>
          </cell>
          <cell r="B4153">
            <v>-8.4</v>
          </cell>
          <cell r="C4153">
            <v>2.2000000000000002</v>
          </cell>
          <cell r="D4153">
            <v>0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  <cell r="I4153">
            <v>0</v>
          </cell>
          <cell r="J4153">
            <v>0</v>
          </cell>
          <cell r="K4153">
            <v>0.22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 t="b">
            <v>0</v>
          </cell>
        </row>
        <row r="4154">
          <cell r="A4154" t="str">
            <v>Data split-13;Reg-85</v>
          </cell>
          <cell r="B4154">
            <v>-8</v>
          </cell>
          <cell r="C4154">
            <v>2.2000000000000002</v>
          </cell>
          <cell r="D4154">
            <v>0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0.44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 t="b">
            <v>0</v>
          </cell>
        </row>
        <row r="4155">
          <cell r="A4155" t="str">
            <v>Data split-13;Reg-86</v>
          </cell>
          <cell r="B4155">
            <v>-6</v>
          </cell>
          <cell r="C4155">
            <v>0</v>
          </cell>
          <cell r="D4155">
            <v>1.7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0</v>
          </cell>
          <cell r="K4155">
            <v>0.81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 t="b">
            <v>0</v>
          </cell>
        </row>
        <row r="4156">
          <cell r="A4156" t="str">
            <v>Data split-13;Reg-87</v>
          </cell>
          <cell r="B4156">
            <v>-8.1</v>
          </cell>
          <cell r="C4156">
            <v>0</v>
          </cell>
          <cell r="D4156">
            <v>1.9</v>
          </cell>
          <cell r="E4156">
            <v>0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5.7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 t="b">
            <v>0</v>
          </cell>
        </row>
        <row r="4157">
          <cell r="A4157" t="str">
            <v>Data split-13;Reg-88</v>
          </cell>
          <cell r="B4157">
            <v>-7.2</v>
          </cell>
          <cell r="C4157">
            <v>2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0</v>
          </cell>
          <cell r="M4157">
            <v>4.3999999999999997E-2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 t="b">
            <v>0</v>
          </cell>
        </row>
        <row r="4158">
          <cell r="A4158" t="str">
            <v>Data split-13;Reg-89</v>
          </cell>
          <cell r="B4158">
            <v>-7.1</v>
          </cell>
          <cell r="C4158">
            <v>1.8</v>
          </cell>
          <cell r="D4158">
            <v>0</v>
          </cell>
          <cell r="E4158">
            <v>0</v>
          </cell>
          <cell r="F4158">
            <v>0</v>
          </cell>
          <cell r="G4158">
            <v>0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1.2999999999999999E-2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 t="b">
            <v>0</v>
          </cell>
        </row>
        <row r="4159">
          <cell r="A4159" t="str">
            <v>Data split-13;Reg-90</v>
          </cell>
          <cell r="B4159">
            <v>-2.9</v>
          </cell>
          <cell r="C4159">
            <v>0</v>
          </cell>
          <cell r="D4159">
            <v>1.4</v>
          </cell>
          <cell r="E4159">
            <v>0</v>
          </cell>
          <cell r="F4159">
            <v>0</v>
          </cell>
          <cell r="G4159">
            <v>0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0</v>
          </cell>
          <cell r="M4159">
            <v>8.3000000000000004E-2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 t="b">
            <v>0</v>
          </cell>
        </row>
        <row r="4160">
          <cell r="A4160" t="str">
            <v>Data split-13;Reg-91</v>
          </cell>
          <cell r="B4160">
            <v>-3.1</v>
          </cell>
          <cell r="C4160">
            <v>0</v>
          </cell>
          <cell r="D4160">
            <v>1.2</v>
          </cell>
          <cell r="E4160">
            <v>0</v>
          </cell>
          <cell r="F4160">
            <v>0</v>
          </cell>
          <cell r="G4160">
            <v>0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2.1000000000000001E-2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 t="b">
            <v>0</v>
          </cell>
        </row>
        <row r="4161">
          <cell r="A4161" t="str">
            <v>Data split-13;Reg-92</v>
          </cell>
          <cell r="B4161">
            <v>-7.3</v>
          </cell>
          <cell r="C4161">
            <v>2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5.8999999999999997E-2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 t="b">
            <v>0</v>
          </cell>
        </row>
        <row r="4162">
          <cell r="A4162" t="str">
            <v>Data split-13;Reg-93</v>
          </cell>
          <cell r="B4162">
            <v>-7.1</v>
          </cell>
          <cell r="C4162">
            <v>1.9</v>
          </cell>
          <cell r="D4162">
            <v>0</v>
          </cell>
          <cell r="E4162">
            <v>0</v>
          </cell>
          <cell r="F4162">
            <v>0</v>
          </cell>
          <cell r="G4162">
            <v>0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1.2999999999999999E-2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 t="b">
            <v>0</v>
          </cell>
        </row>
        <row r="4163">
          <cell r="A4163" t="str">
            <v>Data split-13;Reg-94</v>
          </cell>
          <cell r="B4163">
            <v>-2.7</v>
          </cell>
          <cell r="C4163">
            <v>0</v>
          </cell>
          <cell r="D4163">
            <v>1.6</v>
          </cell>
          <cell r="E4163">
            <v>0</v>
          </cell>
          <cell r="F4163">
            <v>0</v>
          </cell>
          <cell r="G4163">
            <v>0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6.6000000000000003E-2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 t="b">
            <v>0</v>
          </cell>
        </row>
        <row r="4164">
          <cell r="A4164" t="str">
            <v>Data split-13;Reg-95</v>
          </cell>
          <cell r="B4164">
            <v>-2.6</v>
          </cell>
          <cell r="C4164">
            <v>0</v>
          </cell>
          <cell r="D4164">
            <v>1.5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1.4999999999999999E-2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 t="b">
            <v>0</v>
          </cell>
        </row>
        <row r="4165">
          <cell r="A4165" t="str">
            <v>Data split-13;Reg-96</v>
          </cell>
          <cell r="B4165">
            <v>-6.1</v>
          </cell>
          <cell r="C4165">
            <v>1.4</v>
          </cell>
          <cell r="D4165">
            <v>0</v>
          </cell>
          <cell r="E4165">
            <v>1.1000000000000001</v>
          </cell>
          <cell r="F4165">
            <v>0</v>
          </cell>
          <cell r="G4165">
            <v>0</v>
          </cell>
          <cell r="H4165">
            <v>0</v>
          </cell>
          <cell r="I4165">
            <v>3.5000000000000003E-2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 t="b">
            <v>0</v>
          </cell>
        </row>
        <row r="4166">
          <cell r="A4166" t="str">
            <v>Data split-13;Reg-97</v>
          </cell>
          <cell r="B4166">
            <v>-7</v>
          </cell>
          <cell r="C4166">
            <v>1.4</v>
          </cell>
          <cell r="D4166">
            <v>0</v>
          </cell>
          <cell r="E4166">
            <v>1</v>
          </cell>
          <cell r="F4166">
            <v>0</v>
          </cell>
          <cell r="G4166">
            <v>0</v>
          </cell>
          <cell r="H4166">
            <v>0</v>
          </cell>
          <cell r="I4166">
            <v>0</v>
          </cell>
          <cell r="J4166">
            <v>2.7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 t="b">
            <v>0</v>
          </cell>
        </row>
        <row r="4167">
          <cell r="A4167" t="str">
            <v>Data split-13;Reg-98</v>
          </cell>
          <cell r="B4167">
            <v>-7.1</v>
          </cell>
          <cell r="C4167">
            <v>1.9</v>
          </cell>
          <cell r="D4167">
            <v>0</v>
          </cell>
          <cell r="E4167">
            <v>0</v>
          </cell>
          <cell r="F4167">
            <v>0.18</v>
          </cell>
          <cell r="G4167">
            <v>0</v>
          </cell>
          <cell r="H4167">
            <v>0</v>
          </cell>
          <cell r="I4167">
            <v>0.6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 t="b">
            <v>0</v>
          </cell>
        </row>
        <row r="4168">
          <cell r="A4168" t="str">
            <v>Data split-13;Reg-99</v>
          </cell>
          <cell r="B4168">
            <v>-8.4</v>
          </cell>
          <cell r="C4168">
            <v>1.9</v>
          </cell>
          <cell r="D4168">
            <v>0</v>
          </cell>
          <cell r="E4168">
            <v>0</v>
          </cell>
          <cell r="F4168">
            <v>0.21</v>
          </cell>
          <cell r="G4168">
            <v>0</v>
          </cell>
          <cell r="H4168">
            <v>0</v>
          </cell>
          <cell r="I4168">
            <v>0</v>
          </cell>
          <cell r="J4168">
            <v>6.5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 t="b">
            <v>0</v>
          </cell>
        </row>
        <row r="4169">
          <cell r="A4169" t="str">
            <v>Data split-13;Reg-100</v>
          </cell>
          <cell r="B4169">
            <v>-2.6</v>
          </cell>
          <cell r="C4169">
            <v>0</v>
          </cell>
          <cell r="D4169">
            <v>0.74</v>
          </cell>
          <cell r="E4169">
            <v>1.8</v>
          </cell>
          <cell r="F4169">
            <v>0</v>
          </cell>
          <cell r="G4169">
            <v>0</v>
          </cell>
          <cell r="H4169">
            <v>0</v>
          </cell>
          <cell r="I4169">
            <v>-0.19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 t="b">
            <v>1</v>
          </cell>
        </row>
        <row r="4170">
          <cell r="A4170" t="str">
            <v>Data split-13;Reg-101</v>
          </cell>
          <cell r="B4170">
            <v>-5.6</v>
          </cell>
          <cell r="C4170">
            <v>0</v>
          </cell>
          <cell r="D4170">
            <v>0.97</v>
          </cell>
          <cell r="E4170">
            <v>1.3</v>
          </cell>
          <cell r="F4170">
            <v>0</v>
          </cell>
          <cell r="G4170">
            <v>0</v>
          </cell>
          <cell r="H4170">
            <v>0</v>
          </cell>
          <cell r="I4170">
            <v>0</v>
          </cell>
          <cell r="J4170">
            <v>8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 t="b">
            <v>0</v>
          </cell>
        </row>
        <row r="4171">
          <cell r="A4171" t="str">
            <v>Data split-13;Reg-102</v>
          </cell>
          <cell r="B4171">
            <v>-3.6</v>
          </cell>
          <cell r="C4171">
            <v>0</v>
          </cell>
          <cell r="D4171">
            <v>1.4</v>
          </cell>
          <cell r="E4171">
            <v>0</v>
          </cell>
          <cell r="F4171">
            <v>0.22</v>
          </cell>
          <cell r="G4171">
            <v>0</v>
          </cell>
          <cell r="H4171">
            <v>0</v>
          </cell>
          <cell r="I4171">
            <v>1.1000000000000001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 t="b">
            <v>0</v>
          </cell>
        </row>
        <row r="4172">
          <cell r="A4172" t="str">
            <v>Data split-13;Reg-103</v>
          </cell>
          <cell r="B4172">
            <v>-7.9</v>
          </cell>
          <cell r="C4172">
            <v>0</v>
          </cell>
          <cell r="D4172">
            <v>1.5</v>
          </cell>
          <cell r="E4172">
            <v>0</v>
          </cell>
          <cell r="F4172">
            <v>0.23</v>
          </cell>
          <cell r="G4172">
            <v>0</v>
          </cell>
          <cell r="H4172">
            <v>0</v>
          </cell>
          <cell r="I4172">
            <v>0</v>
          </cell>
          <cell r="J4172">
            <v>16.600000000000001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 t="b">
            <v>0</v>
          </cell>
        </row>
        <row r="4173">
          <cell r="A4173" t="str">
            <v>Data split-13;Reg-104</v>
          </cell>
          <cell r="B4173">
            <v>-5</v>
          </cell>
          <cell r="C4173">
            <v>1.4</v>
          </cell>
          <cell r="D4173">
            <v>0</v>
          </cell>
          <cell r="E4173">
            <v>1.2</v>
          </cell>
          <cell r="F4173">
            <v>0</v>
          </cell>
          <cell r="G4173">
            <v>0</v>
          </cell>
          <cell r="H4173">
            <v>0</v>
          </cell>
          <cell r="I4173">
            <v>0</v>
          </cell>
          <cell r="J4173">
            <v>0</v>
          </cell>
          <cell r="K4173">
            <v>-0.27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 t="b">
            <v>1</v>
          </cell>
        </row>
        <row r="4174">
          <cell r="A4174" t="str">
            <v>Data split-13;Reg-105</v>
          </cell>
          <cell r="B4174">
            <v>-6</v>
          </cell>
          <cell r="C4174">
            <v>1.4</v>
          </cell>
          <cell r="D4174">
            <v>0</v>
          </cell>
          <cell r="E4174">
            <v>1.1000000000000001</v>
          </cell>
          <cell r="F4174">
            <v>0</v>
          </cell>
          <cell r="G4174">
            <v>0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-0.11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 t="b">
            <v>1</v>
          </cell>
        </row>
        <row r="4175">
          <cell r="A4175" t="str">
            <v>Data split-13;Reg-106</v>
          </cell>
          <cell r="B4175">
            <v>-7</v>
          </cell>
          <cell r="C4175">
            <v>1.9</v>
          </cell>
          <cell r="D4175">
            <v>0</v>
          </cell>
          <cell r="E4175">
            <v>0</v>
          </cell>
          <cell r="F4175">
            <v>0.22</v>
          </cell>
          <cell r="G4175">
            <v>0</v>
          </cell>
          <cell r="H4175">
            <v>0</v>
          </cell>
          <cell r="I4175">
            <v>0</v>
          </cell>
          <cell r="J4175">
            <v>0</v>
          </cell>
          <cell r="K4175">
            <v>0.13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 t="b">
            <v>0</v>
          </cell>
        </row>
        <row r="4176">
          <cell r="A4176" t="str">
            <v>Data split-13;Reg-107</v>
          </cell>
          <cell r="B4176">
            <v>-7</v>
          </cell>
          <cell r="C4176">
            <v>1.9</v>
          </cell>
          <cell r="D4176">
            <v>0</v>
          </cell>
          <cell r="E4176">
            <v>0</v>
          </cell>
          <cell r="F4176">
            <v>0.22</v>
          </cell>
          <cell r="G4176">
            <v>0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0.64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 t="b">
            <v>0</v>
          </cell>
        </row>
        <row r="4177">
          <cell r="A4177" t="str">
            <v>Data split-13;Reg-108</v>
          </cell>
          <cell r="B4177">
            <v>-2</v>
          </cell>
          <cell r="C4177">
            <v>0</v>
          </cell>
          <cell r="D4177">
            <v>0.75</v>
          </cell>
          <cell r="E4177">
            <v>1.8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-0.21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 t="b">
            <v>1</v>
          </cell>
        </row>
        <row r="4178">
          <cell r="A4178" t="str">
            <v>Data split-13;Reg-109</v>
          </cell>
          <cell r="B4178">
            <v>-4.8</v>
          </cell>
          <cell r="C4178">
            <v>0</v>
          </cell>
          <cell r="D4178">
            <v>0.86</v>
          </cell>
          <cell r="E4178">
            <v>1.6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2.1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 t="b">
            <v>0</v>
          </cell>
        </row>
        <row r="4179">
          <cell r="A4179" t="str">
            <v>Data split-13;Reg-110</v>
          </cell>
          <cell r="B4179">
            <v>-4.5</v>
          </cell>
          <cell r="C4179">
            <v>0</v>
          </cell>
          <cell r="D4179">
            <v>1.5</v>
          </cell>
          <cell r="E4179">
            <v>0</v>
          </cell>
          <cell r="F4179">
            <v>0.28999999999999998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0.61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 t="b">
            <v>0</v>
          </cell>
        </row>
        <row r="4180">
          <cell r="A4180" t="str">
            <v>Data split-13;Reg-111</v>
          </cell>
          <cell r="B4180">
            <v>-6.8</v>
          </cell>
          <cell r="C4180">
            <v>0</v>
          </cell>
          <cell r="D4180">
            <v>1.6</v>
          </cell>
          <cell r="E4180">
            <v>0</v>
          </cell>
          <cell r="F4180">
            <v>0.28999999999999998</v>
          </cell>
          <cell r="G4180">
            <v>0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5.0999999999999996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 t="b">
            <v>0</v>
          </cell>
        </row>
        <row r="4181">
          <cell r="A4181" t="str">
            <v>Data split-13;Reg-112</v>
          </cell>
          <cell r="B4181">
            <v>-6.3</v>
          </cell>
          <cell r="C4181">
            <v>1.5</v>
          </cell>
          <cell r="D4181">
            <v>0</v>
          </cell>
          <cell r="E4181">
            <v>0</v>
          </cell>
          <cell r="F4181">
            <v>0</v>
          </cell>
          <cell r="G4181">
            <v>1.3</v>
          </cell>
          <cell r="H4181">
            <v>0</v>
          </cell>
          <cell r="I4181">
            <v>-1.1000000000000001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 t="b">
            <v>1</v>
          </cell>
        </row>
        <row r="4182">
          <cell r="A4182" t="str">
            <v>Data split-13;Reg-113</v>
          </cell>
          <cell r="B4182">
            <v>-6.3</v>
          </cell>
          <cell r="C4182">
            <v>1.6</v>
          </cell>
          <cell r="D4182">
            <v>0</v>
          </cell>
          <cell r="E4182">
            <v>0</v>
          </cell>
          <cell r="F4182">
            <v>0</v>
          </cell>
          <cell r="G4182">
            <v>1</v>
          </cell>
          <cell r="H4182">
            <v>0</v>
          </cell>
          <cell r="I4182">
            <v>0</v>
          </cell>
          <cell r="J4182">
            <v>-3.3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 t="b">
            <v>1</v>
          </cell>
        </row>
        <row r="4183">
          <cell r="A4183" t="str">
            <v>Data split-13;Reg-114</v>
          </cell>
          <cell r="B4183">
            <v>-4.8</v>
          </cell>
          <cell r="C4183">
            <v>1.1000000000000001</v>
          </cell>
          <cell r="D4183">
            <v>0</v>
          </cell>
          <cell r="E4183">
            <v>0</v>
          </cell>
          <cell r="F4183">
            <v>0</v>
          </cell>
          <cell r="G4183">
            <v>0</v>
          </cell>
          <cell r="H4183">
            <v>2.6</v>
          </cell>
          <cell r="I4183">
            <v>-1.1000000000000001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 t="b">
            <v>1</v>
          </cell>
        </row>
        <row r="4184">
          <cell r="A4184" t="str">
            <v>Data split-13;Reg-115</v>
          </cell>
          <cell r="B4184">
            <v>-6</v>
          </cell>
          <cell r="C4184">
            <v>1.3</v>
          </cell>
          <cell r="D4184">
            <v>0</v>
          </cell>
          <cell r="E4184">
            <v>0</v>
          </cell>
          <cell r="F4184">
            <v>0</v>
          </cell>
          <cell r="G4184">
            <v>0</v>
          </cell>
          <cell r="H4184">
            <v>1.8</v>
          </cell>
          <cell r="I4184">
            <v>0</v>
          </cell>
          <cell r="J4184">
            <v>-0.78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 t="b">
            <v>1</v>
          </cell>
        </row>
        <row r="4185">
          <cell r="A4185" t="str">
            <v>Data split-13;Reg-116</v>
          </cell>
          <cell r="B4185">
            <v>-3.1</v>
          </cell>
          <cell r="C4185">
            <v>0</v>
          </cell>
          <cell r="D4185">
            <v>1.1000000000000001</v>
          </cell>
          <cell r="E4185">
            <v>0</v>
          </cell>
          <cell r="F4185">
            <v>0</v>
          </cell>
          <cell r="G4185">
            <v>1.5</v>
          </cell>
          <cell r="H4185">
            <v>0</v>
          </cell>
          <cell r="I4185">
            <v>-0.83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 t="b">
            <v>1</v>
          </cell>
        </row>
        <row r="4186">
          <cell r="A4186" t="str">
            <v>Data split-13;Reg-117</v>
          </cell>
          <cell r="B4186">
            <v>-5.7</v>
          </cell>
          <cell r="C4186">
            <v>0</v>
          </cell>
          <cell r="D4186">
            <v>1.3</v>
          </cell>
          <cell r="E4186">
            <v>0</v>
          </cell>
          <cell r="F4186">
            <v>0</v>
          </cell>
          <cell r="G4186">
            <v>0.98</v>
          </cell>
          <cell r="H4186">
            <v>0</v>
          </cell>
          <cell r="I4186">
            <v>0</v>
          </cell>
          <cell r="J4186">
            <v>6.1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 t="b">
            <v>0</v>
          </cell>
        </row>
        <row r="4187">
          <cell r="A4187" t="str">
            <v>Data split-13;Reg-118</v>
          </cell>
          <cell r="B4187">
            <v>-1.4</v>
          </cell>
          <cell r="C4187">
            <v>0</v>
          </cell>
          <cell r="D4187">
            <v>0.35</v>
          </cell>
          <cell r="E4187">
            <v>0</v>
          </cell>
          <cell r="F4187">
            <v>0</v>
          </cell>
          <cell r="G4187">
            <v>0</v>
          </cell>
          <cell r="H4187">
            <v>3.8</v>
          </cell>
          <cell r="I4187">
            <v>-1.7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 t="b">
            <v>1</v>
          </cell>
        </row>
        <row r="4188">
          <cell r="A4188" t="str">
            <v>Data split-13;Reg-119</v>
          </cell>
          <cell r="B4188">
            <v>-4.4000000000000004</v>
          </cell>
          <cell r="C4188">
            <v>0</v>
          </cell>
          <cell r="D4188">
            <v>0.82</v>
          </cell>
          <cell r="E4188">
            <v>0</v>
          </cell>
          <cell r="F4188">
            <v>0</v>
          </cell>
          <cell r="G4188">
            <v>0</v>
          </cell>
          <cell r="H4188">
            <v>2.2000000000000002</v>
          </cell>
          <cell r="I4188">
            <v>0</v>
          </cell>
          <cell r="J4188">
            <v>3.5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 t="b">
            <v>0</v>
          </cell>
        </row>
        <row r="4189">
          <cell r="A4189" t="str">
            <v>Data split-13;Reg-120</v>
          </cell>
          <cell r="B4189">
            <v>-4.7</v>
          </cell>
          <cell r="C4189">
            <v>1.6</v>
          </cell>
          <cell r="D4189">
            <v>0</v>
          </cell>
          <cell r="E4189">
            <v>0</v>
          </cell>
          <cell r="F4189">
            <v>0</v>
          </cell>
          <cell r="G4189">
            <v>1.1000000000000001</v>
          </cell>
          <cell r="H4189">
            <v>0</v>
          </cell>
          <cell r="I4189">
            <v>0</v>
          </cell>
          <cell r="J4189">
            <v>0</v>
          </cell>
          <cell r="K4189">
            <v>-0.72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 t="b">
            <v>1</v>
          </cell>
        </row>
        <row r="4190">
          <cell r="A4190" t="str">
            <v>Data split-13;Reg-121</v>
          </cell>
          <cell r="B4190">
            <v>-6</v>
          </cell>
          <cell r="C4190">
            <v>1.6</v>
          </cell>
          <cell r="D4190">
            <v>0</v>
          </cell>
          <cell r="E4190">
            <v>0</v>
          </cell>
          <cell r="F4190">
            <v>0</v>
          </cell>
          <cell r="G4190">
            <v>0.95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-1.5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 t="b">
            <v>1</v>
          </cell>
        </row>
        <row r="4191">
          <cell r="A4191" t="str">
            <v>Data split-13;Reg-122</v>
          </cell>
          <cell r="B4191">
            <v>-4.4000000000000004</v>
          </cell>
          <cell r="C4191">
            <v>1.2</v>
          </cell>
          <cell r="D4191">
            <v>0</v>
          </cell>
          <cell r="E4191">
            <v>0</v>
          </cell>
          <cell r="F4191">
            <v>0</v>
          </cell>
          <cell r="G4191">
            <v>0</v>
          </cell>
          <cell r="H4191">
            <v>2</v>
          </cell>
          <cell r="I4191">
            <v>0</v>
          </cell>
          <cell r="J4191">
            <v>0</v>
          </cell>
          <cell r="K4191">
            <v>-0.49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 t="b">
            <v>1</v>
          </cell>
        </row>
        <row r="4192">
          <cell r="A4192" t="str">
            <v>Data split-13;Reg-123</v>
          </cell>
          <cell r="B4192">
            <v>-6</v>
          </cell>
          <cell r="C4192">
            <v>1.3</v>
          </cell>
          <cell r="D4192">
            <v>0</v>
          </cell>
          <cell r="E4192">
            <v>0</v>
          </cell>
          <cell r="F4192">
            <v>0</v>
          </cell>
          <cell r="G4192">
            <v>0</v>
          </cell>
          <cell r="H4192">
            <v>1.8</v>
          </cell>
          <cell r="I4192">
            <v>0</v>
          </cell>
          <cell r="J4192">
            <v>0</v>
          </cell>
          <cell r="K4192">
            <v>0</v>
          </cell>
          <cell r="L4192">
            <v>-0.31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 t="b">
            <v>1</v>
          </cell>
        </row>
        <row r="4193">
          <cell r="A4193" t="str">
            <v>Data split-13;Reg-124</v>
          </cell>
          <cell r="B4193">
            <v>-2.1</v>
          </cell>
          <cell r="C4193">
            <v>0</v>
          </cell>
          <cell r="D4193">
            <v>1.1000000000000001</v>
          </cell>
          <cell r="E4193">
            <v>0</v>
          </cell>
          <cell r="F4193">
            <v>0</v>
          </cell>
          <cell r="G4193">
            <v>1.3</v>
          </cell>
          <cell r="H4193">
            <v>0</v>
          </cell>
          <cell r="I4193">
            <v>0</v>
          </cell>
          <cell r="J4193">
            <v>0</v>
          </cell>
          <cell r="K4193">
            <v>-0.46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 t="b">
            <v>1</v>
          </cell>
        </row>
        <row r="4194">
          <cell r="A4194" t="str">
            <v>Data split-13;Reg-125</v>
          </cell>
          <cell r="B4194">
            <v>-5.3</v>
          </cell>
          <cell r="C4194">
            <v>0</v>
          </cell>
          <cell r="D4194">
            <v>1.2</v>
          </cell>
          <cell r="E4194">
            <v>0</v>
          </cell>
          <cell r="F4194">
            <v>0</v>
          </cell>
          <cell r="G4194">
            <v>1.1000000000000001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1.5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 t="b">
            <v>0</v>
          </cell>
        </row>
        <row r="4195">
          <cell r="A4195" t="str">
            <v>Data split-13;Reg-126</v>
          </cell>
          <cell r="B4195">
            <v>-1.6</v>
          </cell>
          <cell r="C4195">
            <v>0</v>
          </cell>
          <cell r="D4195">
            <v>0.66</v>
          </cell>
          <cell r="E4195">
            <v>0</v>
          </cell>
          <cell r="F4195">
            <v>0</v>
          </cell>
          <cell r="G4195">
            <v>0</v>
          </cell>
          <cell r="H4195">
            <v>2.7</v>
          </cell>
          <cell r="I4195">
            <v>0</v>
          </cell>
          <cell r="J4195">
            <v>0</v>
          </cell>
          <cell r="K4195">
            <v>-0.43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 t="b">
            <v>1</v>
          </cell>
        </row>
        <row r="4196">
          <cell r="A4196" t="str">
            <v>Data split-13;Reg-127</v>
          </cell>
          <cell r="B4196">
            <v>-4.9000000000000004</v>
          </cell>
          <cell r="C4196">
            <v>0</v>
          </cell>
          <cell r="D4196">
            <v>0.79</v>
          </cell>
          <cell r="E4196">
            <v>0</v>
          </cell>
          <cell r="F4196">
            <v>0</v>
          </cell>
          <cell r="G4196">
            <v>0</v>
          </cell>
          <cell r="H4196">
            <v>2.4</v>
          </cell>
          <cell r="I4196">
            <v>0</v>
          </cell>
          <cell r="J4196">
            <v>0</v>
          </cell>
          <cell r="K4196">
            <v>0</v>
          </cell>
          <cell r="L4196">
            <v>1.7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 t="b">
            <v>0</v>
          </cell>
        </row>
        <row r="4197">
          <cell r="A4197" t="str">
            <v>Data split-14;Reg-1</v>
          </cell>
          <cell r="B4197">
            <v>-8.4</v>
          </cell>
          <cell r="C4197">
            <v>1.8</v>
          </cell>
          <cell r="D4197">
            <v>0</v>
          </cell>
          <cell r="E4197">
            <v>0</v>
          </cell>
          <cell r="F4197">
            <v>0.15</v>
          </cell>
          <cell r="G4197">
            <v>0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3.1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 t="b">
            <v>0</v>
          </cell>
        </row>
        <row r="4198">
          <cell r="A4198" t="str">
            <v>Data split-14;Reg-2</v>
          </cell>
          <cell r="B4198">
            <v>-7.3</v>
          </cell>
          <cell r="C4198">
            <v>1.6</v>
          </cell>
          <cell r="D4198">
            <v>0</v>
          </cell>
          <cell r="E4198">
            <v>0</v>
          </cell>
          <cell r="F4198">
            <v>9.6000000000000002E-2</v>
          </cell>
          <cell r="G4198">
            <v>1.7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0</v>
          </cell>
          <cell r="M4198">
            <v>-0.13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 t="b">
            <v>1</v>
          </cell>
        </row>
        <row r="4199">
          <cell r="A4199" t="str">
            <v>Data split-14;Reg-3</v>
          </cell>
          <cell r="B4199">
            <v>-7.1</v>
          </cell>
          <cell r="C4199">
            <v>1.6</v>
          </cell>
          <cell r="D4199">
            <v>0</v>
          </cell>
          <cell r="E4199">
            <v>0</v>
          </cell>
          <cell r="F4199">
            <v>9.6000000000000002E-2</v>
          </cell>
          <cell r="G4199">
            <v>1.7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-2.3E-2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 t="b">
            <v>1</v>
          </cell>
        </row>
        <row r="4200">
          <cell r="A4200" t="str">
            <v>Data split-14;Reg-4</v>
          </cell>
          <cell r="B4200">
            <v>-5</v>
          </cell>
          <cell r="C4200">
            <v>0.79</v>
          </cell>
          <cell r="D4200">
            <v>0</v>
          </cell>
          <cell r="E4200">
            <v>0</v>
          </cell>
          <cell r="F4200">
            <v>3.6999999999999998E-2</v>
          </cell>
          <cell r="G4200">
            <v>0</v>
          </cell>
          <cell r="H4200">
            <v>4.2</v>
          </cell>
          <cell r="I4200">
            <v>0</v>
          </cell>
          <cell r="J4200">
            <v>0</v>
          </cell>
          <cell r="K4200">
            <v>0</v>
          </cell>
          <cell r="L4200">
            <v>0</v>
          </cell>
          <cell r="M4200">
            <v>-0.16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 t="b">
            <v>1</v>
          </cell>
        </row>
        <row r="4201">
          <cell r="A4201" t="str">
            <v>Data split-14;Reg-5</v>
          </cell>
          <cell r="B4201">
            <v>-2.8</v>
          </cell>
          <cell r="C4201">
            <v>0</v>
          </cell>
          <cell r="D4201">
            <v>0.31</v>
          </cell>
          <cell r="E4201">
            <v>0</v>
          </cell>
          <cell r="F4201">
            <v>4.2999999999999997E-2</v>
          </cell>
          <cell r="G4201">
            <v>0</v>
          </cell>
          <cell r="H4201">
            <v>4.9000000000000004</v>
          </cell>
          <cell r="I4201">
            <v>0</v>
          </cell>
          <cell r="J4201">
            <v>0</v>
          </cell>
          <cell r="K4201">
            <v>0</v>
          </cell>
          <cell r="L4201">
            <v>0</v>
          </cell>
          <cell r="M4201">
            <v>-0.17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 t="b">
            <v>1</v>
          </cell>
        </row>
        <row r="4202">
          <cell r="A4202" t="str">
            <v>Data split-14;Reg-6</v>
          </cell>
          <cell r="B4202">
            <v>-6</v>
          </cell>
          <cell r="C4202">
            <v>0.87</v>
          </cell>
          <cell r="D4202">
            <v>0</v>
          </cell>
          <cell r="E4202">
            <v>2.2999999999999998</v>
          </cell>
          <cell r="F4202">
            <v>0</v>
          </cell>
          <cell r="G4202">
            <v>0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1.6</v>
          </cell>
          <cell r="M4202">
            <v>-8.3000000000000004E-2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 t="b">
            <v>0</v>
          </cell>
        </row>
        <row r="4203">
          <cell r="A4203" t="str">
            <v>Data split-14;Reg-7</v>
          </cell>
          <cell r="B4203">
            <v>-8.1999999999999993</v>
          </cell>
          <cell r="C4203">
            <v>1.6</v>
          </cell>
          <cell r="D4203">
            <v>0</v>
          </cell>
          <cell r="E4203">
            <v>0</v>
          </cell>
          <cell r="F4203">
            <v>0.12</v>
          </cell>
          <cell r="G4203">
            <v>0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3.1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3.4000000000000002E-2</v>
          </cell>
          <cell r="T4203">
            <v>0</v>
          </cell>
          <cell r="U4203" t="b">
            <v>0</v>
          </cell>
        </row>
        <row r="4204">
          <cell r="A4204" t="str">
            <v>Data split-14;Reg-8</v>
          </cell>
          <cell r="B4204">
            <v>-8.9</v>
          </cell>
          <cell r="C4204">
            <v>1.5</v>
          </cell>
          <cell r="D4204">
            <v>0</v>
          </cell>
          <cell r="E4204">
            <v>0</v>
          </cell>
          <cell r="F4204">
            <v>0</v>
          </cell>
          <cell r="G4204">
            <v>1.6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1.4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-7.9000000000000001E-2</v>
          </cell>
          <cell r="T4204">
            <v>0</v>
          </cell>
          <cell r="U4204" t="b">
            <v>0</v>
          </cell>
        </row>
        <row r="4205">
          <cell r="A4205" t="str">
            <v>Data split-14;Reg-9</v>
          </cell>
          <cell r="B4205">
            <v>-6.3</v>
          </cell>
          <cell r="C4205">
            <v>0</v>
          </cell>
          <cell r="D4205">
            <v>0.2</v>
          </cell>
          <cell r="E4205">
            <v>0</v>
          </cell>
          <cell r="F4205">
            <v>0</v>
          </cell>
          <cell r="G4205">
            <v>0</v>
          </cell>
          <cell r="H4205">
            <v>6</v>
          </cell>
          <cell r="I4205">
            <v>0</v>
          </cell>
          <cell r="J4205">
            <v>0</v>
          </cell>
          <cell r="K4205">
            <v>0</v>
          </cell>
          <cell r="L4205">
            <v>2.5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-0.22</v>
          </cell>
          <cell r="T4205">
            <v>0</v>
          </cell>
          <cell r="U4205" t="b">
            <v>0</v>
          </cell>
        </row>
        <row r="4206">
          <cell r="A4206" t="str">
            <v>Data split-14;Reg-10</v>
          </cell>
          <cell r="B4206">
            <v>-6.3</v>
          </cell>
          <cell r="C4206">
            <v>0</v>
          </cell>
          <cell r="D4206">
            <v>0.2</v>
          </cell>
          <cell r="E4206">
            <v>0</v>
          </cell>
          <cell r="F4206">
            <v>0</v>
          </cell>
          <cell r="G4206">
            <v>0</v>
          </cell>
          <cell r="H4206">
            <v>6</v>
          </cell>
          <cell r="I4206">
            <v>0</v>
          </cell>
          <cell r="J4206">
            <v>0</v>
          </cell>
          <cell r="K4206">
            <v>0</v>
          </cell>
          <cell r="L4206">
            <v>2.5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-0.22</v>
          </cell>
          <cell r="T4206">
            <v>0</v>
          </cell>
          <cell r="U4206" t="b">
            <v>0</v>
          </cell>
        </row>
        <row r="4207">
          <cell r="A4207" t="str">
            <v>Data split-14;Reg-11</v>
          </cell>
          <cell r="B4207">
            <v>-5.8</v>
          </cell>
          <cell r="C4207">
            <v>1.2</v>
          </cell>
          <cell r="D4207">
            <v>0</v>
          </cell>
          <cell r="E4207">
            <v>0.3</v>
          </cell>
          <cell r="F4207">
            <v>0</v>
          </cell>
          <cell r="G4207">
            <v>0.9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 t="b">
            <v>1</v>
          </cell>
        </row>
        <row r="4208">
          <cell r="A4208" t="str">
            <v>Data split-14;Reg-12</v>
          </cell>
          <cell r="B4208">
            <v>-4.8</v>
          </cell>
          <cell r="C4208">
            <v>0.99</v>
          </cell>
          <cell r="D4208">
            <v>0</v>
          </cell>
          <cell r="E4208">
            <v>-0.37</v>
          </cell>
          <cell r="F4208">
            <v>0</v>
          </cell>
          <cell r="G4208">
            <v>0</v>
          </cell>
          <cell r="H4208">
            <v>2.5</v>
          </cell>
          <cell r="I4208">
            <v>0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 t="b">
            <v>0</v>
          </cell>
        </row>
        <row r="4209">
          <cell r="A4209" t="str">
            <v>Data split-14;Reg-13</v>
          </cell>
          <cell r="B4209">
            <v>-5.6</v>
          </cell>
          <cell r="C4209">
            <v>1.3</v>
          </cell>
          <cell r="D4209">
            <v>0</v>
          </cell>
          <cell r="E4209">
            <v>0</v>
          </cell>
          <cell r="F4209">
            <v>6.7000000000000004E-2</v>
          </cell>
          <cell r="G4209">
            <v>0.96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 t="b">
            <v>1</v>
          </cell>
        </row>
        <row r="4210">
          <cell r="A4210" t="str">
            <v>Data split-14;Reg-14</v>
          </cell>
          <cell r="B4210">
            <v>-4.3</v>
          </cell>
          <cell r="C4210">
            <v>0.91</v>
          </cell>
          <cell r="D4210">
            <v>0</v>
          </cell>
          <cell r="E4210">
            <v>0</v>
          </cell>
          <cell r="F4210">
            <v>3.7999999999999999E-2</v>
          </cell>
          <cell r="G4210">
            <v>0</v>
          </cell>
          <cell r="H4210">
            <v>2</v>
          </cell>
          <cell r="I4210">
            <v>0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 t="b">
            <v>1</v>
          </cell>
        </row>
        <row r="4211">
          <cell r="A4211" t="str">
            <v>Data split-14;Reg-15</v>
          </cell>
          <cell r="B4211">
            <v>-4</v>
          </cell>
          <cell r="C4211">
            <v>0.83</v>
          </cell>
          <cell r="D4211">
            <v>0</v>
          </cell>
          <cell r="E4211">
            <v>2.4</v>
          </cell>
          <cell r="F4211">
            <v>0</v>
          </cell>
          <cell r="G4211">
            <v>0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0</v>
          </cell>
          <cell r="M4211">
            <v>-8.5000000000000006E-2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 t="b">
            <v>1</v>
          </cell>
        </row>
        <row r="4212">
          <cell r="A4212" t="str">
            <v>Data split-14;Reg-16</v>
          </cell>
          <cell r="B4212">
            <v>-4</v>
          </cell>
          <cell r="C4212">
            <v>0.89</v>
          </cell>
          <cell r="D4212">
            <v>0</v>
          </cell>
          <cell r="E4212">
            <v>2.2000000000000002</v>
          </cell>
          <cell r="F4212">
            <v>0</v>
          </cell>
          <cell r="G4212">
            <v>0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-1.2999999999999999E-2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 t="b">
            <v>1</v>
          </cell>
        </row>
        <row r="4213">
          <cell r="A4213" t="str">
            <v>Data split-14;Reg-17</v>
          </cell>
          <cell r="B4213">
            <v>-4.7</v>
          </cell>
          <cell r="C4213">
            <v>1.7</v>
          </cell>
          <cell r="D4213">
            <v>0</v>
          </cell>
          <cell r="E4213">
            <v>0</v>
          </cell>
          <cell r="F4213">
            <v>0.15</v>
          </cell>
          <cell r="G4213">
            <v>0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0</v>
          </cell>
          <cell r="M4213">
            <v>1.0999999999999999E-2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 t="b">
            <v>0</v>
          </cell>
        </row>
        <row r="4214">
          <cell r="A4214" t="str">
            <v>Data split-14;Reg-18</v>
          </cell>
          <cell r="B4214">
            <v>-4.5999999999999996</v>
          </cell>
          <cell r="C4214">
            <v>1.6</v>
          </cell>
          <cell r="D4214">
            <v>0</v>
          </cell>
          <cell r="E4214">
            <v>0</v>
          </cell>
          <cell r="F4214">
            <v>0.13</v>
          </cell>
          <cell r="G4214">
            <v>0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7.0000000000000001E-3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 t="b">
            <v>0</v>
          </cell>
        </row>
        <row r="4215">
          <cell r="A4215" t="str">
            <v>Data split-14;Reg-19</v>
          </cell>
          <cell r="B4215">
            <v>-7.2</v>
          </cell>
          <cell r="C4215">
            <v>1.3</v>
          </cell>
          <cell r="D4215">
            <v>0</v>
          </cell>
          <cell r="E4215">
            <v>0</v>
          </cell>
          <cell r="F4215">
            <v>0</v>
          </cell>
          <cell r="G4215">
            <v>1.6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-6.7000000000000004E-2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 t="b">
            <v>1</v>
          </cell>
        </row>
        <row r="4216">
          <cell r="A4216" t="str">
            <v>Data split-14;Reg-20</v>
          </cell>
          <cell r="B4216">
            <v>-6.9</v>
          </cell>
          <cell r="C4216">
            <v>1.3</v>
          </cell>
          <cell r="D4216">
            <v>0</v>
          </cell>
          <cell r="E4216">
            <v>0</v>
          </cell>
          <cell r="F4216">
            <v>0</v>
          </cell>
          <cell r="G4216">
            <v>1.4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-7.7000000000000002E-3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 t="b">
            <v>1</v>
          </cell>
        </row>
        <row r="4217">
          <cell r="A4217" t="str">
            <v>Data split-14;Reg-21</v>
          </cell>
          <cell r="B4217">
            <v>-4.7</v>
          </cell>
          <cell r="C4217">
            <v>0.66</v>
          </cell>
          <cell r="D4217">
            <v>0</v>
          </cell>
          <cell r="E4217">
            <v>0</v>
          </cell>
          <cell r="F4217">
            <v>0</v>
          </cell>
          <cell r="G4217">
            <v>0</v>
          </cell>
          <cell r="H4217">
            <v>3.1</v>
          </cell>
          <cell r="I4217">
            <v>0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-6.0999999999999999E-2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 t="b">
            <v>1</v>
          </cell>
        </row>
        <row r="4218">
          <cell r="A4218" t="str">
            <v>Data split-14;Reg-22</v>
          </cell>
          <cell r="B4218">
            <v>-4.5999999999999996</v>
          </cell>
          <cell r="C4218">
            <v>0.82</v>
          </cell>
          <cell r="D4218">
            <v>0</v>
          </cell>
          <cell r="E4218">
            <v>0</v>
          </cell>
          <cell r="F4218">
            <v>0</v>
          </cell>
          <cell r="G4218">
            <v>0</v>
          </cell>
          <cell r="H4218">
            <v>2.5</v>
          </cell>
          <cell r="I4218">
            <v>0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-4.8999999999999998E-3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 t="b">
            <v>1</v>
          </cell>
        </row>
        <row r="4219">
          <cell r="A4219" t="str">
            <v>Data split-14;Reg-23</v>
          </cell>
          <cell r="B4219">
            <v>-2.1</v>
          </cell>
          <cell r="C4219">
            <v>0</v>
          </cell>
          <cell r="D4219">
            <v>0.45</v>
          </cell>
          <cell r="E4219">
            <v>1.3</v>
          </cell>
          <cell r="F4219">
            <v>0</v>
          </cell>
          <cell r="G4219">
            <v>0.65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 t="b">
            <v>1</v>
          </cell>
        </row>
        <row r="4220">
          <cell r="A4220" t="str">
            <v>Data split-14;Reg-24</v>
          </cell>
          <cell r="B4220">
            <v>-1.9</v>
          </cell>
          <cell r="C4220">
            <v>0</v>
          </cell>
          <cell r="D4220">
            <v>0.33</v>
          </cell>
          <cell r="E4220">
            <v>0.36</v>
          </cell>
          <cell r="F4220">
            <v>0</v>
          </cell>
          <cell r="G4220">
            <v>0</v>
          </cell>
          <cell r="H4220">
            <v>2.4</v>
          </cell>
          <cell r="I4220">
            <v>0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 t="b">
            <v>1</v>
          </cell>
        </row>
        <row r="4221">
          <cell r="A4221" t="str">
            <v>Data split-14;Reg-25</v>
          </cell>
          <cell r="B4221">
            <v>-1.9</v>
          </cell>
          <cell r="C4221">
            <v>0</v>
          </cell>
          <cell r="D4221">
            <v>0.83</v>
          </cell>
          <cell r="E4221">
            <v>0</v>
          </cell>
          <cell r="F4221">
            <v>0.11</v>
          </cell>
          <cell r="G4221">
            <v>1.2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 t="b">
            <v>1</v>
          </cell>
        </row>
        <row r="4222">
          <cell r="A4222" t="str">
            <v>Data split-14;Reg-26</v>
          </cell>
          <cell r="B4222">
            <v>-1.7</v>
          </cell>
          <cell r="C4222">
            <v>0</v>
          </cell>
          <cell r="D4222">
            <v>0.39</v>
          </cell>
          <cell r="E4222">
            <v>0</v>
          </cell>
          <cell r="F4222">
            <v>4.4999999999999998E-2</v>
          </cell>
          <cell r="G4222">
            <v>0</v>
          </cell>
          <cell r="H4222">
            <v>2.6</v>
          </cell>
          <cell r="I4222">
            <v>0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 t="b">
            <v>1</v>
          </cell>
        </row>
        <row r="4223">
          <cell r="A4223" t="str">
            <v>Data split-14;Reg-27</v>
          </cell>
          <cell r="B4223">
            <v>-1.7</v>
          </cell>
          <cell r="C4223">
            <v>0</v>
          </cell>
          <cell r="D4223">
            <v>0.3</v>
          </cell>
          <cell r="E4223">
            <v>3</v>
          </cell>
          <cell r="F4223">
            <v>0</v>
          </cell>
          <cell r="G4223">
            <v>0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0</v>
          </cell>
          <cell r="M4223">
            <v>-9.7000000000000003E-2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 t="b">
            <v>1</v>
          </cell>
        </row>
        <row r="4224">
          <cell r="A4224" t="str">
            <v>Data split-14;Reg-28</v>
          </cell>
          <cell r="B4224">
            <v>-1.5</v>
          </cell>
          <cell r="C4224">
            <v>0</v>
          </cell>
          <cell r="D4224">
            <v>0.34</v>
          </cell>
          <cell r="E4224">
            <v>2.8</v>
          </cell>
          <cell r="F4224">
            <v>0</v>
          </cell>
          <cell r="G4224">
            <v>0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-1.4999999999999999E-2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 t="b">
            <v>1</v>
          </cell>
        </row>
        <row r="4225">
          <cell r="A4225" t="str">
            <v>Data split-14;Reg-29</v>
          </cell>
          <cell r="B4225">
            <v>0.43</v>
          </cell>
          <cell r="C4225">
            <v>0</v>
          </cell>
          <cell r="D4225">
            <v>1.2</v>
          </cell>
          <cell r="E4225">
            <v>0</v>
          </cell>
          <cell r="F4225">
            <v>0.2</v>
          </cell>
          <cell r="G4225">
            <v>0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0</v>
          </cell>
          <cell r="M4225">
            <v>3.7999999999999999E-2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 t="b">
            <v>0</v>
          </cell>
        </row>
        <row r="4226">
          <cell r="A4226" t="str">
            <v>Data split-14;Reg-30</v>
          </cell>
          <cell r="B4226">
            <v>0.16</v>
          </cell>
          <cell r="C4226">
            <v>0</v>
          </cell>
          <cell r="D4226">
            <v>1</v>
          </cell>
          <cell r="E4226">
            <v>0</v>
          </cell>
          <cell r="F4226">
            <v>0.17</v>
          </cell>
          <cell r="G4226">
            <v>0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1.2999999999999999E-2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 t="b">
            <v>0</v>
          </cell>
        </row>
        <row r="4227">
          <cell r="A4227" t="str">
            <v>Data split-14;Reg-31</v>
          </cell>
          <cell r="B4227">
            <v>-4.0999999999999996</v>
          </cell>
          <cell r="C4227">
            <v>0</v>
          </cell>
          <cell r="D4227">
            <v>0.85</v>
          </cell>
          <cell r="E4227">
            <v>0</v>
          </cell>
          <cell r="F4227">
            <v>0</v>
          </cell>
          <cell r="G4227">
            <v>2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-8.6999999999999994E-2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 t="b">
            <v>1</v>
          </cell>
        </row>
        <row r="4228">
          <cell r="A4228" t="str">
            <v>Data split-14;Reg-32</v>
          </cell>
          <cell r="B4228">
            <v>-3.7</v>
          </cell>
          <cell r="C4228">
            <v>0</v>
          </cell>
          <cell r="D4228">
            <v>0.88</v>
          </cell>
          <cell r="E4228">
            <v>0</v>
          </cell>
          <cell r="F4228">
            <v>0</v>
          </cell>
          <cell r="G4228">
            <v>1.8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-1.2E-2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 t="b">
            <v>1</v>
          </cell>
        </row>
        <row r="4229">
          <cell r="A4229" t="str">
            <v>Data split-14;Reg-33</v>
          </cell>
          <cell r="B4229">
            <v>-3.1</v>
          </cell>
          <cell r="C4229">
            <v>0</v>
          </cell>
          <cell r="D4229">
            <v>0.16</v>
          </cell>
          <cell r="E4229">
            <v>0</v>
          </cell>
          <cell r="F4229">
            <v>0</v>
          </cell>
          <cell r="G4229">
            <v>0</v>
          </cell>
          <cell r="H4229">
            <v>4.0999999999999996</v>
          </cell>
          <cell r="I4229">
            <v>0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-8.7999999999999995E-2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 t="b">
            <v>1</v>
          </cell>
        </row>
        <row r="4230">
          <cell r="A4230" t="str">
            <v>Data split-14;Reg-34</v>
          </cell>
          <cell r="B4230">
            <v>-2.7</v>
          </cell>
          <cell r="C4230">
            <v>0</v>
          </cell>
          <cell r="D4230">
            <v>0.28000000000000003</v>
          </cell>
          <cell r="E4230">
            <v>0</v>
          </cell>
          <cell r="F4230">
            <v>0</v>
          </cell>
          <cell r="G4230">
            <v>0</v>
          </cell>
          <cell r="H4230">
            <v>3.5</v>
          </cell>
          <cell r="I4230">
            <v>0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-1.0999999999999999E-2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 t="b">
            <v>1</v>
          </cell>
        </row>
        <row r="4231">
          <cell r="A4231" t="str">
            <v>Data split-14;Reg-35</v>
          </cell>
          <cell r="B4231">
            <v>-6.7</v>
          </cell>
          <cell r="C4231">
            <v>1.2</v>
          </cell>
          <cell r="D4231">
            <v>0</v>
          </cell>
          <cell r="E4231">
            <v>1.2</v>
          </cell>
          <cell r="F4231">
            <v>0</v>
          </cell>
          <cell r="G4231">
            <v>1.4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0</v>
          </cell>
          <cell r="M4231">
            <v>-0.15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 t="b">
            <v>1</v>
          </cell>
        </row>
        <row r="4232">
          <cell r="A4232" t="str">
            <v>Data split-14;Reg-36</v>
          </cell>
          <cell r="B4232">
            <v>-6.6</v>
          </cell>
          <cell r="C4232">
            <v>1.2</v>
          </cell>
          <cell r="D4232">
            <v>0</v>
          </cell>
          <cell r="E4232">
            <v>1.2</v>
          </cell>
          <cell r="F4232">
            <v>0</v>
          </cell>
          <cell r="G4232">
            <v>1.5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0</v>
          </cell>
          <cell r="M4232">
            <v>0</v>
          </cell>
          <cell r="N4232">
            <v>-2.9000000000000001E-2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 t="b">
            <v>1</v>
          </cell>
        </row>
        <row r="4233">
          <cell r="A4233" t="str">
            <v>Data split-14;Reg-37</v>
          </cell>
          <cell r="B4233">
            <v>-5.2</v>
          </cell>
          <cell r="C4233">
            <v>0.78</v>
          </cell>
          <cell r="D4233">
            <v>0</v>
          </cell>
          <cell r="E4233">
            <v>0.06</v>
          </cell>
          <cell r="F4233">
            <v>0</v>
          </cell>
          <cell r="G4233">
            <v>0</v>
          </cell>
          <cell r="H4233">
            <v>4.3</v>
          </cell>
          <cell r="I4233">
            <v>0</v>
          </cell>
          <cell r="J4233">
            <v>0</v>
          </cell>
          <cell r="K4233">
            <v>0</v>
          </cell>
          <cell r="L4233">
            <v>0</v>
          </cell>
          <cell r="M4233">
            <v>-0.16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 t="b">
            <v>1</v>
          </cell>
        </row>
        <row r="4234">
          <cell r="A4234" t="str">
            <v>Data split-14;Reg-38</v>
          </cell>
          <cell r="B4234">
            <v>-5</v>
          </cell>
          <cell r="C4234">
            <v>0.85</v>
          </cell>
          <cell r="D4234">
            <v>0</v>
          </cell>
          <cell r="E4234">
            <v>0.19</v>
          </cell>
          <cell r="F4234">
            <v>0</v>
          </cell>
          <cell r="G4234">
            <v>0</v>
          </cell>
          <cell r="H4234">
            <v>4</v>
          </cell>
          <cell r="I4234">
            <v>0</v>
          </cell>
          <cell r="J4234">
            <v>0</v>
          </cell>
          <cell r="K4234">
            <v>0</v>
          </cell>
          <cell r="L4234">
            <v>0</v>
          </cell>
          <cell r="M4234">
            <v>0</v>
          </cell>
          <cell r="N4234">
            <v>-2.9000000000000001E-2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 t="b">
            <v>1</v>
          </cell>
        </row>
        <row r="4235">
          <cell r="A4235" t="str">
            <v>Data split-14;Reg-39</v>
          </cell>
          <cell r="B4235">
            <v>-7.3</v>
          </cell>
          <cell r="C4235">
            <v>1.6</v>
          </cell>
          <cell r="D4235">
            <v>0</v>
          </cell>
          <cell r="E4235">
            <v>0</v>
          </cell>
          <cell r="F4235">
            <v>9.6000000000000002E-2</v>
          </cell>
          <cell r="G4235">
            <v>1.7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0</v>
          </cell>
          <cell r="M4235">
            <v>-0.13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 t="b">
            <v>1</v>
          </cell>
        </row>
        <row r="4236">
          <cell r="A4236" t="str">
            <v>Data split-14;Reg-40</v>
          </cell>
          <cell r="B4236">
            <v>-7.1</v>
          </cell>
          <cell r="C4236">
            <v>1.6</v>
          </cell>
          <cell r="D4236">
            <v>0</v>
          </cell>
          <cell r="E4236">
            <v>0</v>
          </cell>
          <cell r="F4236">
            <v>9.6000000000000002E-2</v>
          </cell>
          <cell r="G4236">
            <v>1.7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0</v>
          </cell>
          <cell r="M4236">
            <v>0</v>
          </cell>
          <cell r="N4236">
            <v>-2.3E-2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 t="b">
            <v>1</v>
          </cell>
        </row>
        <row r="4237">
          <cell r="A4237" t="str">
            <v>Data split-14;Reg-41</v>
          </cell>
          <cell r="B4237">
            <v>-5</v>
          </cell>
          <cell r="C4237">
            <v>0.79</v>
          </cell>
          <cell r="D4237">
            <v>0</v>
          </cell>
          <cell r="E4237">
            <v>0</v>
          </cell>
          <cell r="F4237">
            <v>3.6999999999999998E-2</v>
          </cell>
          <cell r="G4237">
            <v>0</v>
          </cell>
          <cell r="H4237">
            <v>4.2</v>
          </cell>
          <cell r="I4237">
            <v>0</v>
          </cell>
          <cell r="J4237">
            <v>0</v>
          </cell>
          <cell r="K4237">
            <v>0</v>
          </cell>
          <cell r="L4237">
            <v>0</v>
          </cell>
          <cell r="M4237">
            <v>-0.16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 t="b">
            <v>1</v>
          </cell>
        </row>
        <row r="4238">
          <cell r="A4238" t="str">
            <v>Data split-14;Reg-42</v>
          </cell>
          <cell r="B4238">
            <v>-4.9000000000000004</v>
          </cell>
          <cell r="C4238">
            <v>0.89</v>
          </cell>
          <cell r="D4238">
            <v>0</v>
          </cell>
          <cell r="E4238">
            <v>0</v>
          </cell>
          <cell r="F4238">
            <v>4.2000000000000003E-2</v>
          </cell>
          <cell r="G4238">
            <v>0</v>
          </cell>
          <cell r="H4238">
            <v>4</v>
          </cell>
          <cell r="I4238">
            <v>0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-2.9000000000000001E-2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 t="b">
            <v>1</v>
          </cell>
        </row>
        <row r="4239">
          <cell r="A4239" t="str">
            <v>Data split-14;Reg-43</v>
          </cell>
          <cell r="B4239">
            <v>-6.6</v>
          </cell>
          <cell r="C4239">
            <v>1.1000000000000001</v>
          </cell>
          <cell r="D4239">
            <v>0</v>
          </cell>
          <cell r="E4239">
            <v>0.52</v>
          </cell>
          <cell r="F4239">
            <v>0</v>
          </cell>
          <cell r="G4239">
            <v>1.4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-7.3999999999999996E-2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 t="b">
            <v>1</v>
          </cell>
        </row>
        <row r="4240">
          <cell r="A4240" t="str">
            <v>Data split-14;Reg-44</v>
          </cell>
          <cell r="B4240">
            <v>-6.4</v>
          </cell>
          <cell r="C4240">
            <v>1.2</v>
          </cell>
          <cell r="D4240">
            <v>0</v>
          </cell>
          <cell r="E4240">
            <v>0.42</v>
          </cell>
          <cell r="F4240">
            <v>0</v>
          </cell>
          <cell r="G4240">
            <v>1.2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-8.8000000000000005E-3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 t="b">
            <v>1</v>
          </cell>
        </row>
        <row r="4241">
          <cell r="A4241" t="str">
            <v>Data split-14;Reg-45</v>
          </cell>
          <cell r="B4241">
            <v>-4.9000000000000004</v>
          </cell>
          <cell r="C4241">
            <v>0.73</v>
          </cell>
          <cell r="D4241">
            <v>0</v>
          </cell>
          <cell r="E4241">
            <v>-0.36</v>
          </cell>
          <cell r="F4241">
            <v>0</v>
          </cell>
          <cell r="G4241">
            <v>0</v>
          </cell>
          <cell r="H4241">
            <v>3.5</v>
          </cell>
          <cell r="I4241">
            <v>0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-6.0999999999999999E-2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 t="b">
            <v>0</v>
          </cell>
        </row>
        <row r="4242">
          <cell r="A4242" t="str">
            <v>Data split-14;Reg-46</v>
          </cell>
          <cell r="B4242">
            <v>-4.9000000000000004</v>
          </cell>
          <cell r="C4242">
            <v>0.9</v>
          </cell>
          <cell r="D4242">
            <v>0</v>
          </cell>
          <cell r="E4242">
            <v>-0.36</v>
          </cell>
          <cell r="F4242">
            <v>0</v>
          </cell>
          <cell r="G4242">
            <v>0</v>
          </cell>
          <cell r="H4242">
            <v>2.9</v>
          </cell>
          <cell r="I4242">
            <v>0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-4.7999999999999996E-3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 t="b">
            <v>0</v>
          </cell>
        </row>
        <row r="4243">
          <cell r="A4243" t="str">
            <v>Data split-14;Reg-47</v>
          </cell>
          <cell r="B4243">
            <v>-6.6</v>
          </cell>
          <cell r="C4243">
            <v>1.2</v>
          </cell>
          <cell r="D4243">
            <v>0</v>
          </cell>
          <cell r="E4243">
            <v>0</v>
          </cell>
          <cell r="F4243">
            <v>9.9000000000000005E-2</v>
          </cell>
          <cell r="G4243">
            <v>1.6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-0.08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 t="b">
            <v>1</v>
          </cell>
        </row>
        <row r="4244">
          <cell r="A4244" t="str">
            <v>Data split-14;Reg-48</v>
          </cell>
          <cell r="B4244">
            <v>-6.4</v>
          </cell>
          <cell r="C4244">
            <v>1.3</v>
          </cell>
          <cell r="D4244">
            <v>0</v>
          </cell>
          <cell r="E4244">
            <v>0</v>
          </cell>
          <cell r="F4244">
            <v>0.09</v>
          </cell>
          <cell r="G4244">
            <v>1.4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-1.0999999999999999E-2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 t="b">
            <v>1</v>
          </cell>
        </row>
        <row r="4245">
          <cell r="A4245" t="str">
            <v>Data split-14;Reg-49</v>
          </cell>
          <cell r="B4245">
            <v>-4.4000000000000004</v>
          </cell>
          <cell r="C4245">
            <v>0.65</v>
          </cell>
          <cell r="D4245">
            <v>0</v>
          </cell>
          <cell r="E4245">
            <v>0</v>
          </cell>
          <cell r="F4245">
            <v>5.0999999999999997E-2</v>
          </cell>
          <cell r="G4245">
            <v>0</v>
          </cell>
          <cell r="H4245">
            <v>3</v>
          </cell>
          <cell r="I4245">
            <v>0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-6.4000000000000001E-2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 t="b">
            <v>1</v>
          </cell>
        </row>
        <row r="4246">
          <cell r="A4246" t="str">
            <v>Data split-14;Reg-50</v>
          </cell>
          <cell r="B4246">
            <v>-4.4000000000000004</v>
          </cell>
          <cell r="C4246">
            <v>0.81</v>
          </cell>
          <cell r="D4246">
            <v>0</v>
          </cell>
          <cell r="E4246">
            <v>0</v>
          </cell>
          <cell r="F4246">
            <v>4.4999999999999998E-2</v>
          </cell>
          <cell r="G4246">
            <v>0</v>
          </cell>
          <cell r="H4246">
            <v>2.4</v>
          </cell>
          <cell r="I4246">
            <v>0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-5.5999999999999999E-3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 t="b">
            <v>1</v>
          </cell>
        </row>
        <row r="4247">
          <cell r="A4247" t="str">
            <v>Data split-14;Reg-51</v>
          </cell>
          <cell r="B4247">
            <v>-3.3</v>
          </cell>
          <cell r="C4247">
            <v>0</v>
          </cell>
          <cell r="D4247">
            <v>0.46</v>
          </cell>
          <cell r="E4247">
            <v>2.1</v>
          </cell>
          <cell r="F4247">
            <v>0</v>
          </cell>
          <cell r="G4247">
            <v>1.2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-0.15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 t="b">
            <v>1</v>
          </cell>
        </row>
        <row r="4248">
          <cell r="A4248" t="str">
            <v>Data split-14;Reg-52</v>
          </cell>
          <cell r="B4248">
            <v>-3.1</v>
          </cell>
          <cell r="C4248">
            <v>0</v>
          </cell>
          <cell r="D4248">
            <v>0.53</v>
          </cell>
          <cell r="E4248">
            <v>2.1</v>
          </cell>
          <cell r="F4248">
            <v>0</v>
          </cell>
          <cell r="G4248">
            <v>1.2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0</v>
          </cell>
          <cell r="M4248">
            <v>0</v>
          </cell>
          <cell r="N4248">
            <v>-0.03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 t="b">
            <v>1</v>
          </cell>
        </row>
        <row r="4249">
          <cell r="A4249" t="str">
            <v>Data split-14;Reg-53</v>
          </cell>
          <cell r="B4249">
            <v>-3</v>
          </cell>
          <cell r="C4249">
            <v>0</v>
          </cell>
          <cell r="D4249">
            <v>0.22</v>
          </cell>
          <cell r="E4249">
            <v>0.7</v>
          </cell>
          <cell r="F4249">
            <v>0</v>
          </cell>
          <cell r="G4249">
            <v>0</v>
          </cell>
          <cell r="H4249">
            <v>4.3</v>
          </cell>
          <cell r="I4249">
            <v>0</v>
          </cell>
          <cell r="J4249">
            <v>0</v>
          </cell>
          <cell r="K4249">
            <v>0</v>
          </cell>
          <cell r="L4249">
            <v>0</v>
          </cell>
          <cell r="M4249">
            <v>-0.17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 t="b">
            <v>1</v>
          </cell>
        </row>
        <row r="4250">
          <cell r="A4250" t="str">
            <v>Data split-14;Reg-54</v>
          </cell>
          <cell r="B4250">
            <v>-2.6</v>
          </cell>
          <cell r="C4250">
            <v>0</v>
          </cell>
          <cell r="D4250">
            <v>0.3</v>
          </cell>
          <cell r="E4250">
            <v>0.85</v>
          </cell>
          <cell r="F4250">
            <v>0</v>
          </cell>
          <cell r="G4250">
            <v>0</v>
          </cell>
          <cell r="H4250">
            <v>4</v>
          </cell>
          <cell r="I4250">
            <v>0</v>
          </cell>
          <cell r="J4250">
            <v>0</v>
          </cell>
          <cell r="K4250">
            <v>0</v>
          </cell>
          <cell r="L4250">
            <v>0</v>
          </cell>
          <cell r="M4250">
            <v>0</v>
          </cell>
          <cell r="N4250">
            <v>-3.2000000000000001E-2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 t="b">
            <v>1</v>
          </cell>
        </row>
        <row r="4251">
          <cell r="A4251" t="str">
            <v>Data split-14;Reg-55</v>
          </cell>
          <cell r="B4251">
            <v>-2.7</v>
          </cell>
          <cell r="C4251">
            <v>0</v>
          </cell>
          <cell r="D4251">
            <v>1</v>
          </cell>
          <cell r="E4251">
            <v>0</v>
          </cell>
          <cell r="F4251">
            <v>0.14000000000000001</v>
          </cell>
          <cell r="G4251">
            <v>1.8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0</v>
          </cell>
          <cell r="M4251">
            <v>-0.1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 t="b">
            <v>1</v>
          </cell>
        </row>
        <row r="4252">
          <cell r="A4252" t="str">
            <v>Data split-14;Reg-56</v>
          </cell>
          <cell r="B4252">
            <v>-2.4</v>
          </cell>
          <cell r="C4252">
            <v>0</v>
          </cell>
          <cell r="D4252">
            <v>1</v>
          </cell>
          <cell r="E4252">
            <v>0</v>
          </cell>
          <cell r="F4252">
            <v>0.14000000000000001</v>
          </cell>
          <cell r="G4252">
            <v>1.7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-1.7000000000000001E-2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 t="b">
            <v>1</v>
          </cell>
        </row>
        <row r="4253">
          <cell r="A4253" t="str">
            <v>Data split-14;Reg-57</v>
          </cell>
          <cell r="B4253">
            <v>-2.8</v>
          </cell>
          <cell r="C4253">
            <v>0</v>
          </cell>
          <cell r="D4253">
            <v>0.31</v>
          </cell>
          <cell r="E4253">
            <v>0</v>
          </cell>
          <cell r="F4253">
            <v>4.2999999999999997E-2</v>
          </cell>
          <cell r="G4253">
            <v>0</v>
          </cell>
          <cell r="H4253">
            <v>4.9000000000000004</v>
          </cell>
          <cell r="I4253">
            <v>0</v>
          </cell>
          <cell r="J4253">
            <v>0</v>
          </cell>
          <cell r="K4253">
            <v>0</v>
          </cell>
          <cell r="L4253">
            <v>0</v>
          </cell>
          <cell r="M4253">
            <v>-0.17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 t="b">
            <v>1</v>
          </cell>
        </row>
        <row r="4254">
          <cell r="A4254" t="str">
            <v>Data split-14;Reg-58</v>
          </cell>
          <cell r="B4254">
            <v>-2.4</v>
          </cell>
          <cell r="C4254">
            <v>0</v>
          </cell>
          <cell r="D4254">
            <v>0.41</v>
          </cell>
          <cell r="E4254">
            <v>0</v>
          </cell>
          <cell r="F4254">
            <v>0.05</v>
          </cell>
          <cell r="G4254">
            <v>0</v>
          </cell>
          <cell r="H4254">
            <v>4.5999999999999996</v>
          </cell>
          <cell r="I4254">
            <v>0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-0.03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 t="b">
            <v>1</v>
          </cell>
        </row>
        <row r="4255">
          <cell r="A4255" t="str">
            <v>Data split-14;Reg-59</v>
          </cell>
          <cell r="B4255">
            <v>-3.8</v>
          </cell>
          <cell r="C4255">
            <v>0</v>
          </cell>
          <cell r="D4255">
            <v>0.37</v>
          </cell>
          <cell r="E4255">
            <v>1.4</v>
          </cell>
          <cell r="F4255">
            <v>0</v>
          </cell>
          <cell r="G4255">
            <v>1.4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-9.6000000000000002E-2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 t="b">
            <v>1</v>
          </cell>
        </row>
        <row r="4256">
          <cell r="A4256" t="str">
            <v>Data split-14;Reg-60</v>
          </cell>
          <cell r="B4256">
            <v>-3.3</v>
          </cell>
          <cell r="C4256">
            <v>0</v>
          </cell>
          <cell r="D4256">
            <v>0.43</v>
          </cell>
          <cell r="E4256">
            <v>1.4</v>
          </cell>
          <cell r="F4256">
            <v>0</v>
          </cell>
          <cell r="G4256">
            <v>1.2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-1.2999999999999999E-2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 t="b">
            <v>1</v>
          </cell>
        </row>
        <row r="4257">
          <cell r="A4257" t="str">
            <v>Data split-14;Reg-61</v>
          </cell>
          <cell r="B4257">
            <v>-3</v>
          </cell>
          <cell r="C4257">
            <v>0</v>
          </cell>
          <cell r="D4257">
            <v>0.14000000000000001</v>
          </cell>
          <cell r="E4257">
            <v>0.17</v>
          </cell>
          <cell r="F4257">
            <v>0</v>
          </cell>
          <cell r="G4257">
            <v>0</v>
          </cell>
          <cell r="H4257">
            <v>3.8</v>
          </cell>
          <cell r="I4257">
            <v>0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-8.7999999999999995E-2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 t="b">
            <v>1</v>
          </cell>
        </row>
        <row r="4258">
          <cell r="A4258" t="str">
            <v>Data split-14;Reg-62</v>
          </cell>
          <cell r="B4258">
            <v>-2.6</v>
          </cell>
          <cell r="C4258">
            <v>0</v>
          </cell>
          <cell r="D4258">
            <v>0.24</v>
          </cell>
          <cell r="E4258">
            <v>0.28000000000000003</v>
          </cell>
          <cell r="F4258">
            <v>0</v>
          </cell>
          <cell r="G4258">
            <v>0</v>
          </cell>
          <cell r="H4258">
            <v>3.2</v>
          </cell>
          <cell r="I4258">
            <v>0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-0.01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 t="b">
            <v>1</v>
          </cell>
        </row>
        <row r="4259">
          <cell r="A4259" t="str">
            <v>Data split-14;Reg-63</v>
          </cell>
          <cell r="B4259">
            <v>-3.5</v>
          </cell>
          <cell r="C4259">
            <v>0</v>
          </cell>
          <cell r="D4259">
            <v>0.77</v>
          </cell>
          <cell r="E4259">
            <v>0</v>
          </cell>
          <cell r="F4259">
            <v>0.15</v>
          </cell>
          <cell r="G4259">
            <v>2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-0.1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 t="b">
            <v>1</v>
          </cell>
        </row>
        <row r="4260">
          <cell r="A4260" t="str">
            <v>Data split-14;Reg-64</v>
          </cell>
          <cell r="B4260">
            <v>-3.2</v>
          </cell>
          <cell r="C4260">
            <v>0</v>
          </cell>
          <cell r="D4260">
            <v>0.82</v>
          </cell>
          <cell r="E4260">
            <v>0</v>
          </cell>
          <cell r="F4260">
            <v>0.14000000000000001</v>
          </cell>
          <cell r="G4260">
            <v>1.8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-1.6E-2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 t="b">
            <v>1</v>
          </cell>
        </row>
        <row r="4261">
          <cell r="A4261" t="str">
            <v>Data split-14;Reg-65</v>
          </cell>
          <cell r="B4261">
            <v>-2.8</v>
          </cell>
          <cell r="C4261">
            <v>0</v>
          </cell>
          <cell r="D4261">
            <v>0.17</v>
          </cell>
          <cell r="E4261">
            <v>0</v>
          </cell>
          <cell r="F4261">
            <v>0.06</v>
          </cell>
          <cell r="G4261">
            <v>0</v>
          </cell>
          <cell r="H4261">
            <v>3.9</v>
          </cell>
          <cell r="I4261">
            <v>0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-9.0999999999999998E-2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 t="b">
            <v>1</v>
          </cell>
        </row>
        <row r="4262">
          <cell r="A4262" t="str">
            <v>Data split-14;Reg-66</v>
          </cell>
          <cell r="B4262">
            <v>-2.4</v>
          </cell>
          <cell r="C4262">
            <v>0</v>
          </cell>
          <cell r="D4262">
            <v>0.28000000000000003</v>
          </cell>
          <cell r="E4262">
            <v>0</v>
          </cell>
          <cell r="F4262">
            <v>5.8999999999999997E-2</v>
          </cell>
          <cell r="G4262">
            <v>0</v>
          </cell>
          <cell r="H4262">
            <v>3.4</v>
          </cell>
          <cell r="I4262">
            <v>0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-1.0999999999999999E-2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 t="b">
            <v>1</v>
          </cell>
        </row>
        <row r="4263">
          <cell r="A4263" t="str">
            <v>Data split-14;Reg-67</v>
          </cell>
          <cell r="B4263">
            <v>-6.2</v>
          </cell>
          <cell r="C4263">
            <v>1.4</v>
          </cell>
          <cell r="D4263">
            <v>0</v>
          </cell>
          <cell r="E4263">
            <v>0</v>
          </cell>
          <cell r="F4263">
            <v>0</v>
          </cell>
          <cell r="G4263">
            <v>1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 t="b">
            <v>1</v>
          </cell>
        </row>
        <row r="4264">
          <cell r="A4264" t="str">
            <v>Data split-14;Reg-68</v>
          </cell>
          <cell r="B4264">
            <v>-5.6</v>
          </cell>
          <cell r="C4264">
            <v>1.3</v>
          </cell>
          <cell r="D4264">
            <v>0</v>
          </cell>
          <cell r="E4264">
            <v>0</v>
          </cell>
          <cell r="F4264">
            <v>6.7000000000000004E-2</v>
          </cell>
          <cell r="G4264">
            <v>0.96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 t="b">
            <v>1</v>
          </cell>
        </row>
        <row r="4265">
          <cell r="A4265" t="str">
            <v>Data split-14;Reg-69</v>
          </cell>
          <cell r="B4265">
            <v>-7.3</v>
          </cell>
          <cell r="C4265">
            <v>1.4</v>
          </cell>
          <cell r="D4265">
            <v>0</v>
          </cell>
          <cell r="E4265">
            <v>0</v>
          </cell>
          <cell r="F4265">
            <v>0</v>
          </cell>
          <cell r="G4265">
            <v>0.98</v>
          </cell>
          <cell r="H4265">
            <v>0</v>
          </cell>
          <cell r="I4265">
            <v>0</v>
          </cell>
          <cell r="J4265">
            <v>2.7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 t="b">
            <v>0</v>
          </cell>
        </row>
        <row r="4266">
          <cell r="A4266" t="str">
            <v>Data split-14;Reg-70</v>
          </cell>
          <cell r="B4266">
            <v>-8.3000000000000007</v>
          </cell>
          <cell r="C4266">
            <v>1.5</v>
          </cell>
          <cell r="D4266">
            <v>0</v>
          </cell>
          <cell r="E4266">
            <v>0</v>
          </cell>
          <cell r="F4266">
            <v>0</v>
          </cell>
          <cell r="G4266">
            <v>1.6</v>
          </cell>
          <cell r="H4266">
            <v>0</v>
          </cell>
          <cell r="I4266">
            <v>0</v>
          </cell>
          <cell r="J4266">
            <v>2.2999999999999998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-8.1000000000000003E-2</v>
          </cell>
          <cell r="T4266">
            <v>0</v>
          </cell>
          <cell r="U4266" t="b">
            <v>0</v>
          </cell>
        </row>
        <row r="4267">
          <cell r="A4267" t="str">
            <v>Data split-14;Reg-71</v>
          </cell>
          <cell r="B4267">
            <v>-3.2</v>
          </cell>
          <cell r="C4267">
            <v>0.1</v>
          </cell>
          <cell r="D4267">
            <v>0</v>
          </cell>
          <cell r="E4267">
            <v>0</v>
          </cell>
          <cell r="F4267">
            <v>2.9000000000000001E-2</v>
          </cell>
          <cell r="G4267">
            <v>0</v>
          </cell>
          <cell r="H4267">
            <v>6.2</v>
          </cell>
          <cell r="I4267">
            <v>0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-0.23</v>
          </cell>
          <cell r="T4267">
            <v>0</v>
          </cell>
          <cell r="U4267" t="b">
            <v>1</v>
          </cell>
        </row>
        <row r="4268">
          <cell r="A4268" t="str">
            <v>Data split-14;Reg-72</v>
          </cell>
          <cell r="B4268">
            <v>-4.0999999999999996</v>
          </cell>
          <cell r="C4268">
            <v>0.95</v>
          </cell>
          <cell r="D4268">
            <v>0</v>
          </cell>
          <cell r="E4268">
            <v>1.5</v>
          </cell>
          <cell r="F4268">
            <v>0</v>
          </cell>
          <cell r="G4268">
            <v>0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 t="b">
            <v>1</v>
          </cell>
        </row>
        <row r="4269">
          <cell r="A4269" t="str">
            <v>Data split-14;Reg-73</v>
          </cell>
          <cell r="B4269">
            <v>-4.8</v>
          </cell>
          <cell r="C4269">
            <v>1.8</v>
          </cell>
          <cell r="D4269">
            <v>0</v>
          </cell>
          <cell r="E4269">
            <v>0</v>
          </cell>
          <cell r="F4269">
            <v>0.16</v>
          </cell>
          <cell r="G4269">
            <v>0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 t="b">
            <v>1</v>
          </cell>
        </row>
        <row r="4270">
          <cell r="A4270" t="str">
            <v>Data split-14;Reg-74</v>
          </cell>
          <cell r="B4270">
            <v>-1.4</v>
          </cell>
          <cell r="C4270">
            <v>0</v>
          </cell>
          <cell r="D4270">
            <v>0.35</v>
          </cell>
          <cell r="E4270">
            <v>2</v>
          </cell>
          <cell r="F4270">
            <v>0</v>
          </cell>
          <cell r="G4270">
            <v>0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 t="b">
            <v>1</v>
          </cell>
        </row>
        <row r="4271">
          <cell r="A4271" t="str">
            <v>Data split-14;Reg-75</v>
          </cell>
          <cell r="B4271">
            <v>0.63</v>
          </cell>
          <cell r="C4271">
            <v>0</v>
          </cell>
          <cell r="D4271">
            <v>1.3</v>
          </cell>
          <cell r="E4271">
            <v>0</v>
          </cell>
          <cell r="F4271">
            <v>0.23</v>
          </cell>
          <cell r="G4271">
            <v>0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 t="b">
            <v>0</v>
          </cell>
        </row>
        <row r="4272">
          <cell r="A4272" t="str">
            <v>Data split-14;Reg-76</v>
          </cell>
          <cell r="B4272">
            <v>-6.2</v>
          </cell>
          <cell r="C4272">
            <v>1.4</v>
          </cell>
          <cell r="D4272">
            <v>0</v>
          </cell>
          <cell r="E4272">
            <v>0</v>
          </cell>
          <cell r="F4272">
            <v>0</v>
          </cell>
          <cell r="G4272">
            <v>1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 t="b">
            <v>1</v>
          </cell>
        </row>
        <row r="4273">
          <cell r="A4273" t="str">
            <v>Data split-14;Reg-77</v>
          </cell>
          <cell r="B4273">
            <v>-4.5</v>
          </cell>
          <cell r="C4273">
            <v>0.91</v>
          </cell>
          <cell r="D4273">
            <v>0</v>
          </cell>
          <cell r="E4273">
            <v>0</v>
          </cell>
          <cell r="F4273">
            <v>0</v>
          </cell>
          <cell r="G4273">
            <v>0</v>
          </cell>
          <cell r="H4273">
            <v>2.1</v>
          </cell>
          <cell r="I4273">
            <v>0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 t="b">
            <v>1</v>
          </cell>
        </row>
        <row r="4274">
          <cell r="A4274" t="str">
            <v>Data split-14;Reg-78</v>
          </cell>
          <cell r="B4274">
            <v>-2.5</v>
          </cell>
          <cell r="C4274">
            <v>0</v>
          </cell>
          <cell r="D4274">
            <v>0.88</v>
          </cell>
          <cell r="E4274">
            <v>0</v>
          </cell>
          <cell r="F4274">
            <v>0</v>
          </cell>
          <cell r="G4274">
            <v>1.3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 t="b">
            <v>1</v>
          </cell>
        </row>
        <row r="4275">
          <cell r="A4275" t="str">
            <v>Data split-14;Reg-79</v>
          </cell>
          <cell r="B4275">
            <v>-1.9</v>
          </cell>
          <cell r="C4275">
            <v>0</v>
          </cell>
          <cell r="D4275">
            <v>0.38</v>
          </cell>
          <cell r="E4275">
            <v>0</v>
          </cell>
          <cell r="F4275">
            <v>0</v>
          </cell>
          <cell r="G4275">
            <v>0</v>
          </cell>
          <cell r="H4275">
            <v>2.8</v>
          </cell>
          <cell r="I4275">
            <v>0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 t="b">
            <v>1</v>
          </cell>
        </row>
        <row r="4276">
          <cell r="A4276" t="str">
            <v>Data split-14;Reg-80</v>
          </cell>
          <cell r="B4276">
            <v>-8</v>
          </cell>
          <cell r="C4276">
            <v>1.8</v>
          </cell>
          <cell r="D4276">
            <v>0</v>
          </cell>
          <cell r="E4276">
            <v>0</v>
          </cell>
          <cell r="F4276">
            <v>0</v>
          </cell>
          <cell r="G4276">
            <v>0</v>
          </cell>
          <cell r="H4276">
            <v>0</v>
          </cell>
          <cell r="I4276">
            <v>1.5</v>
          </cell>
          <cell r="J4276">
            <v>0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 t="b">
            <v>0</v>
          </cell>
        </row>
        <row r="4277">
          <cell r="A4277" t="str">
            <v>Data split-14;Reg-81</v>
          </cell>
          <cell r="B4277">
            <v>-11.9</v>
          </cell>
          <cell r="C4277">
            <v>2</v>
          </cell>
          <cell r="D4277">
            <v>0</v>
          </cell>
          <cell r="E4277">
            <v>0</v>
          </cell>
          <cell r="F4277">
            <v>0</v>
          </cell>
          <cell r="G4277">
            <v>0</v>
          </cell>
          <cell r="H4277">
            <v>0</v>
          </cell>
          <cell r="I4277">
            <v>0</v>
          </cell>
          <cell r="J4277">
            <v>13.9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 t="b">
            <v>0</v>
          </cell>
        </row>
        <row r="4278">
          <cell r="A4278" t="str">
            <v>Data split-14;Reg-82</v>
          </cell>
          <cell r="B4278">
            <v>-4.4000000000000004</v>
          </cell>
          <cell r="C4278">
            <v>0</v>
          </cell>
          <cell r="D4278">
            <v>1.3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2.2000000000000002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 t="b">
            <v>0</v>
          </cell>
        </row>
        <row r="4279">
          <cell r="A4279" t="str">
            <v>Data split-14;Reg-83</v>
          </cell>
          <cell r="B4279">
            <v>-12.7</v>
          </cell>
          <cell r="C4279">
            <v>0</v>
          </cell>
          <cell r="D4279">
            <v>1.6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0</v>
          </cell>
          <cell r="J4279">
            <v>26.9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 t="b">
            <v>0</v>
          </cell>
        </row>
        <row r="4280">
          <cell r="A4280" t="str">
            <v>Data split-14;Reg-84</v>
          </cell>
          <cell r="B4280">
            <v>-11</v>
          </cell>
          <cell r="C4280">
            <v>1.9</v>
          </cell>
          <cell r="D4280">
            <v>0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0</v>
          </cell>
          <cell r="J4280">
            <v>0</v>
          </cell>
          <cell r="K4280">
            <v>1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 t="b">
            <v>0</v>
          </cell>
        </row>
        <row r="4281">
          <cell r="A4281" t="str">
            <v>Data split-14;Reg-85</v>
          </cell>
          <cell r="B4281">
            <v>-10.1</v>
          </cell>
          <cell r="C4281">
            <v>2.1</v>
          </cell>
          <cell r="D4281">
            <v>0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3.5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 t="b">
            <v>0</v>
          </cell>
        </row>
        <row r="4282">
          <cell r="A4282" t="str">
            <v>Data split-14;Reg-86</v>
          </cell>
          <cell r="B4282">
            <v>-11.6</v>
          </cell>
          <cell r="C4282">
            <v>0</v>
          </cell>
          <cell r="D4282">
            <v>1.5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</v>
          </cell>
          <cell r="K4282">
            <v>2.1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 t="b">
            <v>0</v>
          </cell>
        </row>
        <row r="4283">
          <cell r="A4283" t="str">
            <v>Data split-14;Reg-87</v>
          </cell>
          <cell r="B4283">
            <v>-12.9</v>
          </cell>
          <cell r="C4283">
            <v>0</v>
          </cell>
          <cell r="D4283">
            <v>1.8</v>
          </cell>
          <cell r="E4283">
            <v>0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10.3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 t="b">
            <v>0</v>
          </cell>
        </row>
        <row r="4284">
          <cell r="A4284" t="str">
            <v>Data split-14;Reg-88</v>
          </cell>
          <cell r="B4284">
            <v>-5.7</v>
          </cell>
          <cell r="C4284">
            <v>1.9</v>
          </cell>
          <cell r="D4284">
            <v>0</v>
          </cell>
          <cell r="E4284">
            <v>0</v>
          </cell>
          <cell r="F4284">
            <v>0</v>
          </cell>
          <cell r="G4284">
            <v>0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0</v>
          </cell>
          <cell r="M4284">
            <v>0.03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 t="b">
            <v>0</v>
          </cell>
        </row>
        <row r="4285">
          <cell r="A4285" t="str">
            <v>Data split-14;Reg-89</v>
          </cell>
          <cell r="B4285">
            <v>-5.4</v>
          </cell>
          <cell r="C4285">
            <v>1.7</v>
          </cell>
          <cell r="D4285">
            <v>0</v>
          </cell>
          <cell r="E4285">
            <v>0</v>
          </cell>
          <cell r="F4285">
            <v>0</v>
          </cell>
          <cell r="G4285">
            <v>0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1.0999999999999999E-2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 t="b">
            <v>0</v>
          </cell>
        </row>
        <row r="4286">
          <cell r="A4286" t="str">
            <v>Data split-14;Reg-90</v>
          </cell>
          <cell r="B4286">
            <v>-0.39</v>
          </cell>
          <cell r="C4286">
            <v>0</v>
          </cell>
          <cell r="D4286">
            <v>1.2</v>
          </cell>
          <cell r="E4286">
            <v>0</v>
          </cell>
          <cell r="F4286">
            <v>0</v>
          </cell>
          <cell r="G4286">
            <v>0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0</v>
          </cell>
          <cell r="M4286">
            <v>6.9000000000000006E-2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 t="b">
            <v>0</v>
          </cell>
        </row>
        <row r="4287">
          <cell r="A4287" t="str">
            <v>Data split-14;Reg-91</v>
          </cell>
          <cell r="B4287">
            <v>-0.59</v>
          </cell>
          <cell r="C4287">
            <v>0</v>
          </cell>
          <cell r="D4287">
            <v>1</v>
          </cell>
          <cell r="E4287">
            <v>0</v>
          </cell>
          <cell r="F4287">
            <v>0</v>
          </cell>
          <cell r="G4287">
            <v>0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1.9E-2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 t="b">
            <v>0</v>
          </cell>
        </row>
        <row r="4288">
          <cell r="A4288" t="str">
            <v>Data split-14;Reg-92</v>
          </cell>
          <cell r="B4288">
            <v>-5.2</v>
          </cell>
          <cell r="C4288">
            <v>1.8</v>
          </cell>
          <cell r="D4288">
            <v>0</v>
          </cell>
          <cell r="E4288">
            <v>0</v>
          </cell>
          <cell r="F4288">
            <v>0</v>
          </cell>
          <cell r="G4288">
            <v>0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6.2E-2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 t="b">
            <v>0</v>
          </cell>
        </row>
        <row r="4289">
          <cell r="A4289" t="str">
            <v>Data split-14;Reg-93</v>
          </cell>
          <cell r="B4289">
            <v>-4.9000000000000004</v>
          </cell>
          <cell r="C4289">
            <v>1.6</v>
          </cell>
          <cell r="D4289">
            <v>0</v>
          </cell>
          <cell r="E4289">
            <v>0</v>
          </cell>
          <cell r="F4289">
            <v>0</v>
          </cell>
          <cell r="G4289">
            <v>0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1.4999999999999999E-2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 t="b">
            <v>0</v>
          </cell>
        </row>
        <row r="4290">
          <cell r="A4290" t="str">
            <v>Data split-14;Reg-94</v>
          </cell>
          <cell r="B4290">
            <v>3.5999999999999997E-2</v>
          </cell>
          <cell r="C4290">
            <v>0</v>
          </cell>
          <cell r="D4290">
            <v>1.3</v>
          </cell>
          <cell r="E4290">
            <v>0</v>
          </cell>
          <cell r="F4290">
            <v>0</v>
          </cell>
          <cell r="G4290">
            <v>0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7.9000000000000001E-2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 t="b">
            <v>0</v>
          </cell>
        </row>
        <row r="4291">
          <cell r="A4291" t="str">
            <v>Data split-14;Reg-95</v>
          </cell>
          <cell r="B4291">
            <v>0.14000000000000001</v>
          </cell>
          <cell r="C4291">
            <v>0</v>
          </cell>
          <cell r="D4291">
            <v>1.2</v>
          </cell>
          <cell r="E4291">
            <v>0</v>
          </cell>
          <cell r="F4291">
            <v>0</v>
          </cell>
          <cell r="G4291">
            <v>0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1.9E-2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 t="b">
            <v>0</v>
          </cell>
        </row>
        <row r="4292">
          <cell r="A4292" t="str">
            <v>Data split-14;Reg-96</v>
          </cell>
          <cell r="B4292">
            <v>-4.5999999999999996</v>
          </cell>
          <cell r="C4292">
            <v>1</v>
          </cell>
          <cell r="D4292">
            <v>0</v>
          </cell>
          <cell r="E4292">
            <v>1.3</v>
          </cell>
          <cell r="F4292">
            <v>0</v>
          </cell>
          <cell r="G4292">
            <v>0</v>
          </cell>
          <cell r="H4292">
            <v>0</v>
          </cell>
          <cell r="I4292">
            <v>0.25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 t="b">
            <v>0</v>
          </cell>
        </row>
        <row r="4293">
          <cell r="A4293" t="str">
            <v>Data split-14;Reg-97</v>
          </cell>
          <cell r="B4293">
            <v>-6.7</v>
          </cell>
          <cell r="C4293">
            <v>1.1000000000000001</v>
          </cell>
          <cell r="D4293">
            <v>0</v>
          </cell>
          <cell r="E4293">
            <v>1.3</v>
          </cell>
          <cell r="F4293">
            <v>0</v>
          </cell>
          <cell r="G4293">
            <v>0</v>
          </cell>
          <cell r="H4293">
            <v>0</v>
          </cell>
          <cell r="I4293">
            <v>0</v>
          </cell>
          <cell r="J4293">
            <v>5.7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 t="b">
            <v>0</v>
          </cell>
        </row>
        <row r="4294">
          <cell r="A4294" t="str">
            <v>Data split-14;Reg-98</v>
          </cell>
          <cell r="B4294">
            <v>-6.7</v>
          </cell>
          <cell r="C4294">
            <v>1.7</v>
          </cell>
          <cell r="D4294">
            <v>0</v>
          </cell>
          <cell r="E4294">
            <v>0</v>
          </cell>
          <cell r="F4294">
            <v>0.11</v>
          </cell>
          <cell r="G4294">
            <v>0</v>
          </cell>
          <cell r="H4294">
            <v>0</v>
          </cell>
          <cell r="I4294">
            <v>1.2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 t="b">
            <v>0</v>
          </cell>
        </row>
        <row r="4295">
          <cell r="A4295" t="str">
            <v>Data split-14;Reg-99</v>
          </cell>
          <cell r="B4295">
            <v>-9.9</v>
          </cell>
          <cell r="C4295">
            <v>1.8</v>
          </cell>
          <cell r="D4295">
            <v>0</v>
          </cell>
          <cell r="E4295">
            <v>0</v>
          </cell>
          <cell r="F4295">
            <v>0.13</v>
          </cell>
          <cell r="G4295">
            <v>0</v>
          </cell>
          <cell r="H4295">
            <v>0</v>
          </cell>
          <cell r="I4295">
            <v>0</v>
          </cell>
          <cell r="J4295">
            <v>11.7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 t="b">
            <v>0</v>
          </cell>
        </row>
        <row r="4296">
          <cell r="A4296" t="str">
            <v>Data split-14;Reg-100</v>
          </cell>
          <cell r="B4296">
            <v>-1.1000000000000001</v>
          </cell>
          <cell r="C4296">
            <v>0</v>
          </cell>
          <cell r="D4296">
            <v>0.32</v>
          </cell>
          <cell r="E4296">
            <v>2.1</v>
          </cell>
          <cell r="F4296">
            <v>0</v>
          </cell>
          <cell r="G4296">
            <v>0</v>
          </cell>
          <cell r="H4296">
            <v>0</v>
          </cell>
          <cell r="I4296">
            <v>-0.14000000000000001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 t="b">
            <v>1</v>
          </cell>
        </row>
        <row r="4297">
          <cell r="A4297" t="str">
            <v>Data split-14;Reg-101</v>
          </cell>
          <cell r="B4297">
            <v>-5</v>
          </cell>
          <cell r="C4297">
            <v>0</v>
          </cell>
          <cell r="D4297">
            <v>0.56000000000000005</v>
          </cell>
          <cell r="E4297">
            <v>1.7</v>
          </cell>
          <cell r="F4297">
            <v>0</v>
          </cell>
          <cell r="G4297">
            <v>0</v>
          </cell>
          <cell r="H4297">
            <v>0</v>
          </cell>
          <cell r="I4297">
            <v>0</v>
          </cell>
          <cell r="J4297">
            <v>8.3000000000000007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 t="b">
            <v>0</v>
          </cell>
        </row>
        <row r="4298">
          <cell r="A4298" t="str">
            <v>Data split-14;Reg-102</v>
          </cell>
          <cell r="B4298">
            <v>-2.9</v>
          </cell>
          <cell r="C4298">
            <v>0</v>
          </cell>
          <cell r="D4298">
            <v>1.2</v>
          </cell>
          <cell r="E4298">
            <v>0</v>
          </cell>
          <cell r="F4298">
            <v>0.15</v>
          </cell>
          <cell r="G4298">
            <v>0</v>
          </cell>
          <cell r="H4298">
            <v>0</v>
          </cell>
          <cell r="I4298">
            <v>1.8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 t="b">
            <v>0</v>
          </cell>
        </row>
        <row r="4299">
          <cell r="A4299" t="str">
            <v>Data split-14;Reg-103</v>
          </cell>
          <cell r="B4299">
            <v>-10.199999999999999</v>
          </cell>
          <cell r="C4299">
            <v>0</v>
          </cell>
          <cell r="D4299">
            <v>1.4</v>
          </cell>
          <cell r="E4299">
            <v>0</v>
          </cell>
          <cell r="F4299">
            <v>0.15</v>
          </cell>
          <cell r="G4299">
            <v>0</v>
          </cell>
          <cell r="H4299">
            <v>0</v>
          </cell>
          <cell r="I4299">
            <v>0</v>
          </cell>
          <cell r="J4299">
            <v>22.8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 t="b">
            <v>0</v>
          </cell>
        </row>
        <row r="4300">
          <cell r="A4300" t="str">
            <v>Data split-14;Reg-104</v>
          </cell>
          <cell r="B4300">
            <v>-5.4</v>
          </cell>
          <cell r="C4300">
            <v>1</v>
          </cell>
          <cell r="D4300">
            <v>0</v>
          </cell>
          <cell r="E4300">
            <v>1.4</v>
          </cell>
          <cell r="F4300">
            <v>0</v>
          </cell>
          <cell r="G4300">
            <v>0</v>
          </cell>
          <cell r="H4300">
            <v>0</v>
          </cell>
          <cell r="I4300">
            <v>0</v>
          </cell>
          <cell r="J4300">
            <v>0</v>
          </cell>
          <cell r="K4300">
            <v>0.24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 t="b">
            <v>0</v>
          </cell>
        </row>
        <row r="4301">
          <cell r="A4301" t="str">
            <v>Data split-14;Reg-105</v>
          </cell>
          <cell r="B4301">
            <v>-6.6</v>
          </cell>
          <cell r="C4301">
            <v>1</v>
          </cell>
          <cell r="D4301">
            <v>0</v>
          </cell>
          <cell r="E4301">
            <v>1.4</v>
          </cell>
          <cell r="F4301">
            <v>0</v>
          </cell>
          <cell r="G4301">
            <v>0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>
            <v>2.2000000000000002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 t="b">
            <v>0</v>
          </cell>
        </row>
        <row r="4302">
          <cell r="A4302" t="str">
            <v>Data split-14;Reg-106</v>
          </cell>
          <cell r="B4302">
            <v>-9.1999999999999993</v>
          </cell>
          <cell r="C4302">
            <v>1.7</v>
          </cell>
          <cell r="D4302">
            <v>0</v>
          </cell>
          <cell r="E4302">
            <v>0</v>
          </cell>
          <cell r="F4302">
            <v>0.14000000000000001</v>
          </cell>
          <cell r="G4302">
            <v>0</v>
          </cell>
          <cell r="H4302">
            <v>0</v>
          </cell>
          <cell r="I4302">
            <v>0</v>
          </cell>
          <cell r="J4302">
            <v>0</v>
          </cell>
          <cell r="K4302">
            <v>0.87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 t="b">
            <v>0</v>
          </cell>
        </row>
        <row r="4303">
          <cell r="A4303" t="str">
            <v>Data split-14;Reg-107</v>
          </cell>
          <cell r="B4303">
            <v>-8.4</v>
          </cell>
          <cell r="C4303">
            <v>1.8</v>
          </cell>
          <cell r="D4303">
            <v>0</v>
          </cell>
          <cell r="E4303">
            <v>0</v>
          </cell>
          <cell r="F4303">
            <v>0.15</v>
          </cell>
          <cell r="G4303">
            <v>0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3.1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 t="b">
            <v>0</v>
          </cell>
        </row>
        <row r="4304">
          <cell r="A4304" t="str">
            <v>Data split-14;Reg-108</v>
          </cell>
          <cell r="B4304">
            <v>-3.2</v>
          </cell>
          <cell r="C4304">
            <v>0</v>
          </cell>
          <cell r="D4304">
            <v>0.45</v>
          </cell>
          <cell r="E4304">
            <v>1.9</v>
          </cell>
          <cell r="F4304">
            <v>0</v>
          </cell>
          <cell r="G4304">
            <v>0</v>
          </cell>
          <cell r="H4304">
            <v>0</v>
          </cell>
          <cell r="I4304">
            <v>0</v>
          </cell>
          <cell r="J4304">
            <v>0</v>
          </cell>
          <cell r="K4304">
            <v>0.36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 t="b">
            <v>0</v>
          </cell>
        </row>
        <row r="4305">
          <cell r="A4305" t="str">
            <v>Data split-14;Reg-109</v>
          </cell>
          <cell r="B4305">
            <v>-5.9</v>
          </cell>
          <cell r="C4305">
            <v>0</v>
          </cell>
          <cell r="D4305">
            <v>0.54</v>
          </cell>
          <cell r="E4305">
            <v>1.8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3.8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 t="b">
            <v>0</v>
          </cell>
        </row>
        <row r="4306">
          <cell r="A4306" t="str">
            <v>Data split-14;Reg-110</v>
          </cell>
          <cell r="B4306">
            <v>-9.1999999999999993</v>
          </cell>
          <cell r="C4306">
            <v>0</v>
          </cell>
          <cell r="D4306">
            <v>1.3</v>
          </cell>
          <cell r="E4306">
            <v>0</v>
          </cell>
          <cell r="F4306">
            <v>0.17</v>
          </cell>
          <cell r="G4306">
            <v>0</v>
          </cell>
          <cell r="H4306">
            <v>0</v>
          </cell>
          <cell r="I4306">
            <v>0</v>
          </cell>
          <cell r="J4306">
            <v>0</v>
          </cell>
          <cell r="K4306">
            <v>1.7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 t="b">
            <v>0</v>
          </cell>
        </row>
        <row r="4307">
          <cell r="A4307" t="str">
            <v>Data split-14;Reg-111</v>
          </cell>
          <cell r="B4307">
            <v>-10.199999999999999</v>
          </cell>
          <cell r="C4307">
            <v>0</v>
          </cell>
          <cell r="D4307">
            <v>1.5</v>
          </cell>
          <cell r="E4307">
            <v>0</v>
          </cell>
          <cell r="F4307">
            <v>0.2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8.6999999999999993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 t="b">
            <v>0</v>
          </cell>
        </row>
        <row r="4308">
          <cell r="A4308" t="str">
            <v>Data split-14;Reg-112</v>
          </cell>
          <cell r="B4308">
            <v>-5.7</v>
          </cell>
          <cell r="C4308">
            <v>1.3</v>
          </cell>
          <cell r="D4308">
            <v>0</v>
          </cell>
          <cell r="E4308">
            <v>0</v>
          </cell>
          <cell r="F4308">
            <v>0</v>
          </cell>
          <cell r="G4308">
            <v>1.2</v>
          </cell>
          <cell r="H4308">
            <v>0</v>
          </cell>
          <cell r="I4308">
            <v>-0.44</v>
          </cell>
          <cell r="J4308">
            <v>0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 t="b">
            <v>1</v>
          </cell>
        </row>
        <row r="4309">
          <cell r="A4309" t="str">
            <v>Data split-14;Reg-113</v>
          </cell>
          <cell r="B4309">
            <v>-7.3</v>
          </cell>
          <cell r="C4309">
            <v>1.4</v>
          </cell>
          <cell r="D4309">
            <v>0</v>
          </cell>
          <cell r="E4309">
            <v>0</v>
          </cell>
          <cell r="F4309">
            <v>0</v>
          </cell>
          <cell r="G4309">
            <v>0.98</v>
          </cell>
          <cell r="H4309">
            <v>0</v>
          </cell>
          <cell r="I4309">
            <v>0</v>
          </cell>
          <cell r="J4309">
            <v>2.7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 t="b">
            <v>0</v>
          </cell>
        </row>
        <row r="4310">
          <cell r="A4310" t="str">
            <v>Data split-14;Reg-114</v>
          </cell>
          <cell r="B4310">
            <v>-3.3</v>
          </cell>
          <cell r="C4310">
            <v>0.78</v>
          </cell>
          <cell r="D4310">
            <v>0</v>
          </cell>
          <cell r="E4310">
            <v>0</v>
          </cell>
          <cell r="F4310">
            <v>0</v>
          </cell>
          <cell r="G4310">
            <v>0</v>
          </cell>
          <cell r="H4310">
            <v>2.6</v>
          </cell>
          <cell r="I4310">
            <v>-0.74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 t="b">
            <v>1</v>
          </cell>
        </row>
        <row r="4311">
          <cell r="A4311" t="str">
            <v>Data split-14;Reg-115</v>
          </cell>
          <cell r="B4311">
            <v>-6.1</v>
          </cell>
          <cell r="C4311">
            <v>0.96</v>
          </cell>
          <cell r="D4311">
            <v>0</v>
          </cell>
          <cell r="E4311">
            <v>0</v>
          </cell>
          <cell r="F4311">
            <v>0</v>
          </cell>
          <cell r="G4311">
            <v>0</v>
          </cell>
          <cell r="H4311">
            <v>2</v>
          </cell>
          <cell r="I4311">
            <v>0</v>
          </cell>
          <cell r="J4311">
            <v>3.5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 t="b">
            <v>0</v>
          </cell>
        </row>
        <row r="4312">
          <cell r="A4312" t="str">
            <v>Data split-14;Reg-116</v>
          </cell>
          <cell r="B4312">
            <v>-2.5</v>
          </cell>
          <cell r="C4312">
            <v>0</v>
          </cell>
          <cell r="D4312">
            <v>0.88</v>
          </cell>
          <cell r="E4312">
            <v>0</v>
          </cell>
          <cell r="F4312">
            <v>0</v>
          </cell>
          <cell r="G4312">
            <v>1.3</v>
          </cell>
          <cell r="H4312">
            <v>0</v>
          </cell>
          <cell r="I4312">
            <v>-4.4999999999999998E-2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 t="b">
            <v>1</v>
          </cell>
        </row>
        <row r="4313">
          <cell r="A4313" t="str">
            <v>Data split-14;Reg-117</v>
          </cell>
          <cell r="B4313">
            <v>-7.4</v>
          </cell>
          <cell r="C4313">
            <v>0</v>
          </cell>
          <cell r="D4313">
            <v>1</v>
          </cell>
          <cell r="E4313">
            <v>0</v>
          </cell>
          <cell r="F4313">
            <v>0</v>
          </cell>
          <cell r="G4313">
            <v>1</v>
          </cell>
          <cell r="H4313">
            <v>0</v>
          </cell>
          <cell r="I4313">
            <v>0</v>
          </cell>
          <cell r="J4313">
            <v>11.7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 t="b">
            <v>0</v>
          </cell>
        </row>
        <row r="4314">
          <cell r="A4314" t="str">
            <v>Data split-14;Reg-118</v>
          </cell>
          <cell r="B4314">
            <v>-2.5000000000000001E-2</v>
          </cell>
          <cell r="C4314">
            <v>0</v>
          </cell>
          <cell r="D4314">
            <v>0.12</v>
          </cell>
          <cell r="E4314">
            <v>0</v>
          </cell>
          <cell r="F4314">
            <v>0</v>
          </cell>
          <cell r="G4314">
            <v>0</v>
          </cell>
          <cell r="H4314">
            <v>3.7</v>
          </cell>
          <cell r="I4314">
            <v>-1.4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 t="b">
            <v>1</v>
          </cell>
        </row>
        <row r="4315">
          <cell r="A4315" t="str">
            <v>Data split-14;Reg-119</v>
          </cell>
          <cell r="B4315">
            <v>-4.5</v>
          </cell>
          <cell r="C4315">
            <v>0</v>
          </cell>
          <cell r="D4315">
            <v>0.51</v>
          </cell>
          <cell r="E4315">
            <v>0</v>
          </cell>
          <cell r="F4315">
            <v>0</v>
          </cell>
          <cell r="G4315">
            <v>0</v>
          </cell>
          <cell r="H4315">
            <v>2.4</v>
          </cell>
          <cell r="I4315">
            <v>0</v>
          </cell>
          <cell r="J4315">
            <v>6</v>
          </cell>
          <cell r="K4315">
            <v>0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0</v>
          </cell>
          <cell r="U4315" t="b">
            <v>0</v>
          </cell>
        </row>
        <row r="4316">
          <cell r="A4316" t="str">
            <v>Data split-14;Reg-120</v>
          </cell>
          <cell r="B4316">
            <v>-6.9</v>
          </cell>
          <cell r="C4316">
            <v>1.4</v>
          </cell>
          <cell r="D4316">
            <v>0</v>
          </cell>
          <cell r="E4316">
            <v>0</v>
          </cell>
          <cell r="F4316">
            <v>0</v>
          </cell>
          <cell r="G4316">
            <v>1</v>
          </cell>
          <cell r="H4316">
            <v>0</v>
          </cell>
          <cell r="I4316">
            <v>0</v>
          </cell>
          <cell r="J4316">
            <v>0</v>
          </cell>
          <cell r="K4316">
            <v>0.14000000000000001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 t="b">
            <v>0</v>
          </cell>
        </row>
        <row r="4317">
          <cell r="A4317" t="str">
            <v>Data split-14;Reg-121</v>
          </cell>
          <cell r="B4317">
            <v>-8.6</v>
          </cell>
          <cell r="C4317">
            <v>1.4</v>
          </cell>
          <cell r="D4317">
            <v>0</v>
          </cell>
          <cell r="E4317">
            <v>0</v>
          </cell>
          <cell r="F4317">
            <v>0</v>
          </cell>
          <cell r="G4317">
            <v>1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2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 t="b">
            <v>0</v>
          </cell>
        </row>
        <row r="4318">
          <cell r="A4318" t="str">
            <v>Data split-14;Reg-122</v>
          </cell>
          <cell r="B4318">
            <v>-5.3</v>
          </cell>
          <cell r="C4318">
            <v>0.93</v>
          </cell>
          <cell r="D4318">
            <v>0</v>
          </cell>
          <cell r="E4318">
            <v>0</v>
          </cell>
          <cell r="F4318">
            <v>0</v>
          </cell>
          <cell r="G4318">
            <v>0</v>
          </cell>
          <cell r="H4318">
            <v>2.1</v>
          </cell>
          <cell r="I4318">
            <v>0</v>
          </cell>
          <cell r="J4318">
            <v>0</v>
          </cell>
          <cell r="K4318">
            <v>0.14000000000000001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 t="b">
            <v>0</v>
          </cell>
        </row>
        <row r="4319">
          <cell r="A4319" t="str">
            <v>Data split-14;Reg-123</v>
          </cell>
          <cell r="B4319">
            <v>-7.7</v>
          </cell>
          <cell r="C4319">
            <v>0.94</v>
          </cell>
          <cell r="D4319">
            <v>0</v>
          </cell>
          <cell r="E4319">
            <v>0</v>
          </cell>
          <cell r="F4319">
            <v>0</v>
          </cell>
          <cell r="G4319">
            <v>0</v>
          </cell>
          <cell r="H4319">
            <v>2.1</v>
          </cell>
          <cell r="I4319">
            <v>0</v>
          </cell>
          <cell r="J4319">
            <v>0</v>
          </cell>
          <cell r="K4319">
            <v>0</v>
          </cell>
          <cell r="L4319">
            <v>2.7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 t="b">
            <v>0</v>
          </cell>
        </row>
        <row r="4320">
          <cell r="A4320" t="str">
            <v>Data split-14;Reg-124</v>
          </cell>
          <cell r="B4320">
            <v>-6.8</v>
          </cell>
          <cell r="C4320">
            <v>0</v>
          </cell>
          <cell r="D4320">
            <v>0.98</v>
          </cell>
          <cell r="E4320">
            <v>0</v>
          </cell>
          <cell r="F4320">
            <v>0</v>
          </cell>
          <cell r="G4320">
            <v>1.1000000000000001</v>
          </cell>
          <cell r="H4320">
            <v>0</v>
          </cell>
          <cell r="I4320">
            <v>0</v>
          </cell>
          <cell r="J4320">
            <v>0</v>
          </cell>
          <cell r="K4320">
            <v>0.84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 t="b">
            <v>0</v>
          </cell>
        </row>
        <row r="4321">
          <cell r="A4321" t="str">
            <v>Data split-14;Reg-125</v>
          </cell>
          <cell r="B4321">
            <v>-9.5</v>
          </cell>
          <cell r="C4321">
            <v>0</v>
          </cell>
          <cell r="D4321">
            <v>1.1000000000000001</v>
          </cell>
          <cell r="E4321">
            <v>0</v>
          </cell>
          <cell r="F4321">
            <v>0</v>
          </cell>
          <cell r="G4321">
            <v>1.1000000000000001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5.9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 t="b">
            <v>0</v>
          </cell>
        </row>
        <row r="4322">
          <cell r="A4322" t="str">
            <v>Data split-14;Reg-126</v>
          </cell>
          <cell r="B4322">
            <v>-3.7</v>
          </cell>
          <cell r="C4322">
            <v>0</v>
          </cell>
          <cell r="D4322">
            <v>0.45</v>
          </cell>
          <cell r="E4322">
            <v>0</v>
          </cell>
          <cell r="F4322">
            <v>0</v>
          </cell>
          <cell r="G4322">
            <v>0</v>
          </cell>
          <cell r="H4322">
            <v>2.6</v>
          </cell>
          <cell r="I4322">
            <v>0</v>
          </cell>
          <cell r="J4322">
            <v>0</v>
          </cell>
          <cell r="K4322">
            <v>0.33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 t="b">
            <v>0</v>
          </cell>
        </row>
        <row r="4323">
          <cell r="A4323" t="str">
            <v>Data split-14;Reg-127</v>
          </cell>
          <cell r="B4323">
            <v>-7.5</v>
          </cell>
          <cell r="C4323">
            <v>0</v>
          </cell>
          <cell r="D4323">
            <v>0.56000000000000005</v>
          </cell>
          <cell r="E4323">
            <v>0</v>
          </cell>
          <cell r="F4323">
            <v>0</v>
          </cell>
          <cell r="G4323">
            <v>0</v>
          </cell>
          <cell r="H4323">
            <v>2.5</v>
          </cell>
          <cell r="I4323">
            <v>0</v>
          </cell>
          <cell r="J4323">
            <v>0</v>
          </cell>
          <cell r="K4323">
            <v>0</v>
          </cell>
          <cell r="L4323">
            <v>4.7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 t="b">
            <v>0</v>
          </cell>
        </row>
        <row r="4324">
          <cell r="A4324" t="str">
            <v>Data split-15;Reg-1</v>
          </cell>
          <cell r="B4324">
            <v>-6.4</v>
          </cell>
          <cell r="C4324">
            <v>1.8</v>
          </cell>
          <cell r="D4324">
            <v>0</v>
          </cell>
          <cell r="E4324">
            <v>0</v>
          </cell>
          <cell r="F4324">
            <v>0.14000000000000001</v>
          </cell>
          <cell r="G4324">
            <v>0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1.1000000000000001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 t="b">
            <v>0</v>
          </cell>
        </row>
        <row r="4325">
          <cell r="A4325" t="str">
            <v>Data split-15;Reg-2</v>
          </cell>
          <cell r="B4325">
            <v>-6.3</v>
          </cell>
          <cell r="C4325">
            <v>1.6</v>
          </cell>
          <cell r="D4325">
            <v>0</v>
          </cell>
          <cell r="E4325">
            <v>0</v>
          </cell>
          <cell r="F4325">
            <v>6.0999999999999999E-2</v>
          </cell>
          <cell r="G4325">
            <v>1.5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-0.11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 t="b">
            <v>1</v>
          </cell>
        </row>
        <row r="4326">
          <cell r="A4326" t="str">
            <v>Data split-15;Reg-3</v>
          </cell>
          <cell r="B4326">
            <v>-6.2</v>
          </cell>
          <cell r="C4326">
            <v>1.6</v>
          </cell>
          <cell r="D4326">
            <v>0</v>
          </cell>
          <cell r="E4326">
            <v>0</v>
          </cell>
          <cell r="F4326">
            <v>6.2E-2</v>
          </cell>
          <cell r="G4326">
            <v>1.5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-1.7999999999999999E-2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 t="b">
            <v>1</v>
          </cell>
        </row>
        <row r="4327">
          <cell r="A4327" t="str">
            <v>Data split-15;Reg-4</v>
          </cell>
          <cell r="B4327">
            <v>-5.5</v>
          </cell>
          <cell r="C4327">
            <v>1</v>
          </cell>
          <cell r="D4327">
            <v>0</v>
          </cell>
          <cell r="E4327">
            <v>0</v>
          </cell>
          <cell r="F4327">
            <v>9.4999999999999998E-3</v>
          </cell>
          <cell r="G4327">
            <v>0</v>
          </cell>
          <cell r="H4327">
            <v>3.1</v>
          </cell>
          <cell r="I4327">
            <v>0</v>
          </cell>
          <cell r="J4327">
            <v>0</v>
          </cell>
          <cell r="K4327">
            <v>0</v>
          </cell>
          <cell r="L4327">
            <v>0</v>
          </cell>
          <cell r="M4327">
            <v>-0.11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 t="b">
            <v>1</v>
          </cell>
        </row>
        <row r="4328">
          <cell r="A4328" t="str">
            <v>Data split-15;Reg-5</v>
          </cell>
          <cell r="B4328">
            <v>-3.6</v>
          </cell>
          <cell r="C4328">
            <v>0</v>
          </cell>
          <cell r="D4328">
            <v>0.62</v>
          </cell>
          <cell r="E4328">
            <v>0</v>
          </cell>
          <cell r="F4328">
            <v>9.7999999999999997E-3</v>
          </cell>
          <cell r="G4328">
            <v>0</v>
          </cell>
          <cell r="H4328">
            <v>3.6</v>
          </cell>
          <cell r="I4328">
            <v>0</v>
          </cell>
          <cell r="J4328">
            <v>0</v>
          </cell>
          <cell r="K4328">
            <v>0</v>
          </cell>
          <cell r="L4328">
            <v>0</v>
          </cell>
          <cell r="M4328">
            <v>-0.11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 t="b">
            <v>1</v>
          </cell>
        </row>
        <row r="4329">
          <cell r="A4329" t="str">
            <v>Data split-15;Reg-6</v>
          </cell>
          <cell r="B4329">
            <v>-4.5</v>
          </cell>
          <cell r="C4329">
            <v>0.99</v>
          </cell>
          <cell r="D4329">
            <v>0</v>
          </cell>
          <cell r="E4329">
            <v>2.2000000000000002</v>
          </cell>
          <cell r="F4329">
            <v>0</v>
          </cell>
          <cell r="G4329">
            <v>0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-0.35</v>
          </cell>
          <cell r="M4329">
            <v>-8.7999999999999995E-2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 t="b">
            <v>1</v>
          </cell>
        </row>
        <row r="4330">
          <cell r="A4330" t="str">
            <v>Data split-15;Reg-7</v>
          </cell>
          <cell r="B4330">
            <v>-6.5</v>
          </cell>
          <cell r="C4330">
            <v>1.7</v>
          </cell>
          <cell r="D4330">
            <v>0</v>
          </cell>
          <cell r="E4330">
            <v>0</v>
          </cell>
          <cell r="F4330">
            <v>0.12</v>
          </cell>
          <cell r="G4330">
            <v>0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1.1000000000000001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0.02</v>
          </cell>
          <cell r="T4330">
            <v>0</v>
          </cell>
          <cell r="U4330" t="b">
            <v>0</v>
          </cell>
        </row>
        <row r="4331">
          <cell r="A4331" t="str">
            <v>Data split-15;Reg-8</v>
          </cell>
          <cell r="B4331">
            <v>-6.5</v>
          </cell>
          <cell r="C4331">
            <v>1.6</v>
          </cell>
          <cell r="D4331">
            <v>0</v>
          </cell>
          <cell r="E4331">
            <v>0</v>
          </cell>
          <cell r="F4331">
            <v>0</v>
          </cell>
          <cell r="G4331">
            <v>1.6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-7.5999999999999998E-2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-8.1000000000000003E-2</v>
          </cell>
          <cell r="T4331">
            <v>0</v>
          </cell>
          <cell r="U4331" t="b">
            <v>1</v>
          </cell>
        </row>
        <row r="4332">
          <cell r="A4332" t="str">
            <v>Data split-15;Reg-9</v>
          </cell>
          <cell r="B4332">
            <v>-4.3</v>
          </cell>
          <cell r="C4332">
            <v>0</v>
          </cell>
          <cell r="D4332">
            <v>0.51</v>
          </cell>
          <cell r="E4332">
            <v>0</v>
          </cell>
          <cell r="F4332">
            <v>0</v>
          </cell>
          <cell r="G4332">
            <v>0</v>
          </cell>
          <cell r="H4332">
            <v>4.5</v>
          </cell>
          <cell r="I4332">
            <v>0</v>
          </cell>
          <cell r="J4332">
            <v>0</v>
          </cell>
          <cell r="K4332">
            <v>0</v>
          </cell>
          <cell r="L4332">
            <v>1.8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-0.16</v>
          </cell>
          <cell r="T4332">
            <v>0</v>
          </cell>
          <cell r="U4332" t="b">
            <v>0</v>
          </cell>
        </row>
        <row r="4333">
          <cell r="A4333" t="str">
            <v>Data split-15;Reg-10</v>
          </cell>
          <cell r="B4333">
            <v>-4.3</v>
          </cell>
          <cell r="C4333">
            <v>0</v>
          </cell>
          <cell r="D4333">
            <v>0.51</v>
          </cell>
          <cell r="E4333">
            <v>0</v>
          </cell>
          <cell r="F4333">
            <v>0</v>
          </cell>
          <cell r="G4333">
            <v>0</v>
          </cell>
          <cell r="H4333">
            <v>4.5</v>
          </cell>
          <cell r="I4333">
            <v>0</v>
          </cell>
          <cell r="J4333">
            <v>0</v>
          </cell>
          <cell r="K4333">
            <v>0</v>
          </cell>
          <cell r="L4333">
            <v>1.8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-0.16</v>
          </cell>
          <cell r="T4333">
            <v>0</v>
          </cell>
          <cell r="U4333" t="b">
            <v>0</v>
          </cell>
        </row>
        <row r="4334">
          <cell r="A4334" t="str">
            <v>Data split-15;Reg-11</v>
          </cell>
          <cell r="B4334">
            <v>-5.4</v>
          </cell>
          <cell r="C4334">
            <v>1.1000000000000001</v>
          </cell>
          <cell r="D4334">
            <v>0</v>
          </cell>
          <cell r="E4334">
            <v>1.1000000000000001</v>
          </cell>
          <cell r="F4334">
            <v>0</v>
          </cell>
          <cell r="G4334">
            <v>0.28999999999999998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 t="b">
            <v>1</v>
          </cell>
        </row>
        <row r="4335">
          <cell r="A4335" t="str">
            <v>Data split-15;Reg-12</v>
          </cell>
          <cell r="B4335">
            <v>-5.6</v>
          </cell>
          <cell r="C4335">
            <v>0.96</v>
          </cell>
          <cell r="D4335">
            <v>0</v>
          </cell>
          <cell r="E4335">
            <v>0.12</v>
          </cell>
          <cell r="F4335">
            <v>0</v>
          </cell>
          <cell r="G4335">
            <v>0</v>
          </cell>
          <cell r="H4335">
            <v>1.9</v>
          </cell>
          <cell r="I4335">
            <v>0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 t="b">
            <v>1</v>
          </cell>
        </row>
        <row r="4336">
          <cell r="A4336" t="str">
            <v>Data split-15;Reg-13</v>
          </cell>
          <cell r="B4336">
            <v>-6.1</v>
          </cell>
          <cell r="C4336">
            <v>1.4</v>
          </cell>
          <cell r="D4336">
            <v>0</v>
          </cell>
          <cell r="E4336">
            <v>0</v>
          </cell>
          <cell r="F4336">
            <v>4.7E-2</v>
          </cell>
          <cell r="G4336">
            <v>0.91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 t="b">
            <v>1</v>
          </cell>
        </row>
        <row r="4337">
          <cell r="A4337" t="str">
            <v>Data split-15;Reg-14</v>
          </cell>
          <cell r="B4337">
            <v>-5.6</v>
          </cell>
          <cell r="C4337">
            <v>0.98</v>
          </cell>
          <cell r="D4337">
            <v>0</v>
          </cell>
          <cell r="E4337">
            <v>0</v>
          </cell>
          <cell r="F4337">
            <v>3.8999999999999998E-3</v>
          </cell>
          <cell r="G4337">
            <v>0</v>
          </cell>
          <cell r="H4337">
            <v>2.1</v>
          </cell>
          <cell r="I4337">
            <v>0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 t="b">
            <v>1</v>
          </cell>
        </row>
        <row r="4338">
          <cell r="A4338" t="str">
            <v>Data split-15;Reg-15</v>
          </cell>
          <cell r="B4338">
            <v>-4.7</v>
          </cell>
          <cell r="C4338">
            <v>0.99</v>
          </cell>
          <cell r="D4338">
            <v>0</v>
          </cell>
          <cell r="E4338">
            <v>2.2000000000000002</v>
          </cell>
          <cell r="F4338">
            <v>0</v>
          </cell>
          <cell r="G4338">
            <v>0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0</v>
          </cell>
          <cell r="M4338">
            <v>-8.6999999999999994E-2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 t="b">
            <v>1</v>
          </cell>
        </row>
        <row r="4339">
          <cell r="A4339" t="str">
            <v>Data split-15;Reg-16</v>
          </cell>
          <cell r="B4339">
            <v>-4.7</v>
          </cell>
          <cell r="C4339">
            <v>0.97</v>
          </cell>
          <cell r="D4339">
            <v>0</v>
          </cell>
          <cell r="E4339">
            <v>2.2000000000000002</v>
          </cell>
          <cell r="F4339">
            <v>0</v>
          </cell>
          <cell r="G4339">
            <v>0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-1.4999999999999999E-2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 t="b">
            <v>1</v>
          </cell>
        </row>
        <row r="4340">
          <cell r="A4340" t="str">
            <v>Data split-15;Reg-17</v>
          </cell>
          <cell r="B4340">
            <v>-5.8</v>
          </cell>
          <cell r="C4340">
            <v>1.8</v>
          </cell>
          <cell r="D4340">
            <v>0</v>
          </cell>
          <cell r="E4340">
            <v>0</v>
          </cell>
          <cell r="F4340">
            <v>0.14000000000000001</v>
          </cell>
          <cell r="G4340">
            <v>0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0</v>
          </cell>
          <cell r="M4340">
            <v>3.0999999999999999E-3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 t="b">
            <v>0</v>
          </cell>
        </row>
        <row r="4341">
          <cell r="A4341" t="str">
            <v>Data split-15;Reg-18</v>
          </cell>
          <cell r="B4341">
            <v>-5.8</v>
          </cell>
          <cell r="C4341">
            <v>1.7</v>
          </cell>
          <cell r="D4341">
            <v>0</v>
          </cell>
          <cell r="E4341">
            <v>0</v>
          </cell>
          <cell r="F4341">
            <v>0.11</v>
          </cell>
          <cell r="G4341">
            <v>0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6.7999999999999996E-3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 t="b">
            <v>0</v>
          </cell>
        </row>
        <row r="4342">
          <cell r="A4342" t="str">
            <v>Data split-15;Reg-19</v>
          </cell>
          <cell r="B4342">
            <v>-7</v>
          </cell>
          <cell r="C4342">
            <v>1.4</v>
          </cell>
          <cell r="D4342">
            <v>0</v>
          </cell>
          <cell r="E4342">
            <v>0</v>
          </cell>
          <cell r="F4342">
            <v>0</v>
          </cell>
          <cell r="G4342">
            <v>1.4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-4.3999999999999997E-2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 t="b">
            <v>1</v>
          </cell>
        </row>
        <row r="4343">
          <cell r="A4343" t="str">
            <v>Data split-15;Reg-20</v>
          </cell>
          <cell r="B4343">
            <v>-6.7</v>
          </cell>
          <cell r="C4343">
            <v>1.4</v>
          </cell>
          <cell r="D4343">
            <v>0</v>
          </cell>
          <cell r="E4343">
            <v>0</v>
          </cell>
          <cell r="F4343">
            <v>0</v>
          </cell>
          <cell r="G4343">
            <v>1.1000000000000001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-2.8E-3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 t="b">
            <v>1</v>
          </cell>
        </row>
        <row r="4344">
          <cell r="A4344" t="str">
            <v>Data split-15;Reg-21</v>
          </cell>
          <cell r="B4344">
            <v>-5.9</v>
          </cell>
          <cell r="C4344">
            <v>0.8</v>
          </cell>
          <cell r="D4344">
            <v>0</v>
          </cell>
          <cell r="E4344">
            <v>0</v>
          </cell>
          <cell r="F4344">
            <v>0</v>
          </cell>
          <cell r="G4344">
            <v>0</v>
          </cell>
          <cell r="H4344">
            <v>2.9</v>
          </cell>
          <cell r="I4344">
            <v>0</v>
          </cell>
          <cell r="J4344">
            <v>0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-5.3999999999999999E-2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 t="b">
            <v>1</v>
          </cell>
        </row>
        <row r="4345">
          <cell r="A4345" t="str">
            <v>Data split-15;Reg-22</v>
          </cell>
          <cell r="B4345">
            <v>-5.8</v>
          </cell>
          <cell r="C4345">
            <v>0.89</v>
          </cell>
          <cell r="D4345">
            <v>0</v>
          </cell>
          <cell r="E4345">
            <v>0</v>
          </cell>
          <cell r="F4345">
            <v>0</v>
          </cell>
          <cell r="G4345">
            <v>0</v>
          </cell>
          <cell r="H4345">
            <v>2.5</v>
          </cell>
          <cell r="I4345">
            <v>0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-5.4000000000000003E-3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 t="b">
            <v>1</v>
          </cell>
        </row>
        <row r="4346">
          <cell r="A4346" t="str">
            <v>Data split-15;Reg-23</v>
          </cell>
          <cell r="B4346">
            <v>-3.1</v>
          </cell>
          <cell r="C4346">
            <v>0</v>
          </cell>
          <cell r="D4346">
            <v>0.54</v>
          </cell>
          <cell r="E4346">
            <v>2</v>
          </cell>
          <cell r="F4346">
            <v>0</v>
          </cell>
          <cell r="G4346">
            <v>-7.0999999999999994E-2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 t="b">
            <v>0</v>
          </cell>
        </row>
        <row r="4347">
          <cell r="A4347" t="str">
            <v>Data split-15;Reg-24</v>
          </cell>
          <cell r="B4347">
            <v>-3.5</v>
          </cell>
          <cell r="C4347">
            <v>0</v>
          </cell>
          <cell r="D4347">
            <v>0.52</v>
          </cell>
          <cell r="E4347">
            <v>0.56000000000000005</v>
          </cell>
          <cell r="F4347">
            <v>0</v>
          </cell>
          <cell r="G4347">
            <v>0</v>
          </cell>
          <cell r="H4347">
            <v>1.9</v>
          </cell>
          <cell r="I4347">
            <v>0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 t="b">
            <v>1</v>
          </cell>
        </row>
        <row r="4348">
          <cell r="A4348" t="str">
            <v>Data split-15;Reg-25</v>
          </cell>
          <cell r="B4348">
            <v>-3.4</v>
          </cell>
          <cell r="C4348">
            <v>0</v>
          </cell>
          <cell r="D4348">
            <v>1.1000000000000001</v>
          </cell>
          <cell r="E4348">
            <v>0</v>
          </cell>
          <cell r="F4348">
            <v>7.9000000000000001E-2</v>
          </cell>
          <cell r="G4348">
            <v>1.1000000000000001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 t="b">
            <v>1</v>
          </cell>
        </row>
        <row r="4349">
          <cell r="A4349" t="str">
            <v>Data split-15;Reg-26</v>
          </cell>
          <cell r="B4349">
            <v>-3.7</v>
          </cell>
          <cell r="C4349">
            <v>0</v>
          </cell>
          <cell r="D4349">
            <v>0.56000000000000005</v>
          </cell>
          <cell r="E4349">
            <v>0</v>
          </cell>
          <cell r="F4349">
            <v>2.8E-3</v>
          </cell>
          <cell r="G4349">
            <v>0</v>
          </cell>
          <cell r="H4349">
            <v>2.6</v>
          </cell>
          <cell r="I4349">
            <v>0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 t="b">
            <v>1</v>
          </cell>
        </row>
        <row r="4350">
          <cell r="A4350" t="str">
            <v>Data split-15;Reg-27</v>
          </cell>
          <cell r="B4350">
            <v>-2.8</v>
          </cell>
          <cell r="C4350">
            <v>0</v>
          </cell>
          <cell r="D4350">
            <v>0.59</v>
          </cell>
          <cell r="E4350">
            <v>2.6</v>
          </cell>
          <cell r="F4350">
            <v>0</v>
          </cell>
          <cell r="G4350">
            <v>0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0</v>
          </cell>
          <cell r="M4350">
            <v>-9.0999999999999998E-2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 t="b">
            <v>1</v>
          </cell>
        </row>
        <row r="4351">
          <cell r="A4351" t="str">
            <v>Data split-15;Reg-28</v>
          </cell>
          <cell r="B4351">
            <v>-2.8</v>
          </cell>
          <cell r="C4351">
            <v>0</v>
          </cell>
          <cell r="D4351">
            <v>0.57999999999999996</v>
          </cell>
          <cell r="E4351">
            <v>2.6</v>
          </cell>
          <cell r="F4351">
            <v>0</v>
          </cell>
          <cell r="G4351">
            <v>0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-1.7000000000000001E-2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 t="b">
            <v>1</v>
          </cell>
        </row>
        <row r="4352">
          <cell r="A4352" t="str">
            <v>Data split-15;Reg-29</v>
          </cell>
          <cell r="B4352">
            <v>-2.5</v>
          </cell>
          <cell r="C4352">
            <v>0</v>
          </cell>
          <cell r="D4352">
            <v>1.4</v>
          </cell>
          <cell r="E4352">
            <v>0</v>
          </cell>
          <cell r="F4352">
            <v>0.17</v>
          </cell>
          <cell r="G4352">
            <v>0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0</v>
          </cell>
          <cell r="M4352">
            <v>2.1999999999999999E-2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 t="b">
            <v>0</v>
          </cell>
        </row>
        <row r="4353">
          <cell r="A4353" t="str">
            <v>Data split-15;Reg-30</v>
          </cell>
          <cell r="B4353">
            <v>-2.8</v>
          </cell>
          <cell r="C4353">
            <v>0</v>
          </cell>
          <cell r="D4353">
            <v>1.3</v>
          </cell>
          <cell r="E4353">
            <v>0</v>
          </cell>
          <cell r="F4353">
            <v>0.14000000000000001</v>
          </cell>
          <cell r="G4353">
            <v>0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1.0999999999999999E-2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 t="b">
            <v>0</v>
          </cell>
        </row>
        <row r="4354">
          <cell r="A4354" t="str">
            <v>Data split-15;Reg-31</v>
          </cell>
          <cell r="B4354">
            <v>-4.7</v>
          </cell>
          <cell r="C4354">
            <v>0</v>
          </cell>
          <cell r="D4354">
            <v>1.1000000000000001</v>
          </cell>
          <cell r="E4354">
            <v>0</v>
          </cell>
          <cell r="F4354">
            <v>0</v>
          </cell>
          <cell r="G4354">
            <v>1.7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-6.2E-2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 t="b">
            <v>1</v>
          </cell>
        </row>
        <row r="4355">
          <cell r="A4355" t="str">
            <v>Data split-15;Reg-32</v>
          </cell>
          <cell r="B4355">
            <v>-4.4000000000000004</v>
          </cell>
          <cell r="C4355">
            <v>0</v>
          </cell>
          <cell r="D4355">
            <v>1.1000000000000001</v>
          </cell>
          <cell r="E4355">
            <v>0</v>
          </cell>
          <cell r="F4355">
            <v>0</v>
          </cell>
          <cell r="G4355">
            <v>1.5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-6.4999999999999997E-3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 t="b">
            <v>1</v>
          </cell>
        </row>
        <row r="4356">
          <cell r="A4356" t="str">
            <v>Data split-15;Reg-33</v>
          </cell>
          <cell r="B4356">
            <v>-4.5999999999999996</v>
          </cell>
          <cell r="C4356">
            <v>0</v>
          </cell>
          <cell r="D4356">
            <v>0.42</v>
          </cell>
          <cell r="E4356">
            <v>0</v>
          </cell>
          <cell r="F4356">
            <v>0</v>
          </cell>
          <cell r="G4356">
            <v>0</v>
          </cell>
          <cell r="H4356">
            <v>3.6</v>
          </cell>
          <cell r="I4356">
            <v>0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-7.3999999999999996E-2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 t="b">
            <v>1</v>
          </cell>
        </row>
        <row r="4357">
          <cell r="A4357" t="str">
            <v>Data split-15;Reg-34</v>
          </cell>
          <cell r="B4357">
            <v>-4.4000000000000004</v>
          </cell>
          <cell r="C4357">
            <v>0</v>
          </cell>
          <cell r="D4357">
            <v>0.47</v>
          </cell>
          <cell r="E4357">
            <v>0</v>
          </cell>
          <cell r="F4357">
            <v>0</v>
          </cell>
          <cell r="G4357">
            <v>0</v>
          </cell>
          <cell r="H4357">
            <v>3.3</v>
          </cell>
          <cell r="I4357">
            <v>0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-0.01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 t="b">
            <v>1</v>
          </cell>
        </row>
        <row r="4358">
          <cell r="A4358" t="str">
            <v>Data split-15;Reg-35</v>
          </cell>
          <cell r="B4358">
            <v>-5.5</v>
          </cell>
          <cell r="C4358">
            <v>1.2</v>
          </cell>
          <cell r="D4358">
            <v>0</v>
          </cell>
          <cell r="E4358">
            <v>1.3</v>
          </cell>
          <cell r="F4358">
            <v>0</v>
          </cell>
          <cell r="G4358">
            <v>0.83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0</v>
          </cell>
          <cell r="M4358">
            <v>-0.11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 t="b">
            <v>1</v>
          </cell>
        </row>
        <row r="4359">
          <cell r="A4359" t="str">
            <v>Data split-15;Reg-36</v>
          </cell>
          <cell r="B4359">
            <v>-5.4</v>
          </cell>
          <cell r="C4359">
            <v>1.2</v>
          </cell>
          <cell r="D4359">
            <v>0</v>
          </cell>
          <cell r="E4359">
            <v>1.5</v>
          </cell>
          <cell r="F4359">
            <v>0</v>
          </cell>
          <cell r="G4359">
            <v>0.8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-2.1000000000000001E-2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 t="b">
            <v>1</v>
          </cell>
        </row>
        <row r="4360">
          <cell r="A4360" t="str">
            <v>Data split-15;Reg-37</v>
          </cell>
          <cell r="B4360">
            <v>-5.3</v>
          </cell>
          <cell r="C4360">
            <v>0.97</v>
          </cell>
          <cell r="D4360">
            <v>0</v>
          </cell>
          <cell r="E4360">
            <v>0.4</v>
          </cell>
          <cell r="F4360">
            <v>0</v>
          </cell>
          <cell r="G4360">
            <v>0</v>
          </cell>
          <cell r="H4360">
            <v>2.7</v>
          </cell>
          <cell r="I4360">
            <v>0</v>
          </cell>
          <cell r="J4360">
            <v>0</v>
          </cell>
          <cell r="K4360">
            <v>0</v>
          </cell>
          <cell r="L4360">
            <v>0</v>
          </cell>
          <cell r="M4360">
            <v>-0.11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 t="b">
            <v>1</v>
          </cell>
        </row>
        <row r="4361">
          <cell r="A4361" t="str">
            <v>Data split-15;Reg-38</v>
          </cell>
          <cell r="B4361">
            <v>-5.2</v>
          </cell>
          <cell r="C4361">
            <v>0.95</v>
          </cell>
          <cell r="D4361">
            <v>0</v>
          </cell>
          <cell r="E4361">
            <v>0.61</v>
          </cell>
          <cell r="F4361">
            <v>0</v>
          </cell>
          <cell r="G4361">
            <v>0</v>
          </cell>
          <cell r="H4361">
            <v>2.4</v>
          </cell>
          <cell r="I4361">
            <v>0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-1.7999999999999999E-2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 t="b">
            <v>1</v>
          </cell>
        </row>
        <row r="4362">
          <cell r="A4362" t="str">
            <v>Data split-15;Reg-39</v>
          </cell>
          <cell r="B4362">
            <v>-6.3</v>
          </cell>
          <cell r="C4362">
            <v>1.6</v>
          </cell>
          <cell r="D4362">
            <v>0</v>
          </cell>
          <cell r="E4362">
            <v>0</v>
          </cell>
          <cell r="F4362">
            <v>6.0999999999999999E-2</v>
          </cell>
          <cell r="G4362">
            <v>1.5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0</v>
          </cell>
          <cell r="M4362">
            <v>-0.11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 t="b">
            <v>1</v>
          </cell>
        </row>
        <row r="4363">
          <cell r="A4363" t="str">
            <v>Data split-15;Reg-40</v>
          </cell>
          <cell r="B4363">
            <v>-6.2</v>
          </cell>
          <cell r="C4363">
            <v>1.6</v>
          </cell>
          <cell r="D4363">
            <v>0</v>
          </cell>
          <cell r="E4363">
            <v>0</v>
          </cell>
          <cell r="F4363">
            <v>6.2E-2</v>
          </cell>
          <cell r="G4363">
            <v>1.5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0</v>
          </cell>
          <cell r="M4363">
            <v>0</v>
          </cell>
          <cell r="N4363">
            <v>-1.7999999999999999E-2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 t="b">
            <v>1</v>
          </cell>
        </row>
        <row r="4364">
          <cell r="A4364" t="str">
            <v>Data split-15;Reg-41</v>
          </cell>
          <cell r="B4364">
            <v>-5.5</v>
          </cell>
          <cell r="C4364">
            <v>1</v>
          </cell>
          <cell r="D4364">
            <v>0</v>
          </cell>
          <cell r="E4364">
            <v>0</v>
          </cell>
          <cell r="F4364">
            <v>9.4999999999999998E-3</v>
          </cell>
          <cell r="G4364">
            <v>0</v>
          </cell>
          <cell r="H4364">
            <v>3.1</v>
          </cell>
          <cell r="I4364">
            <v>0</v>
          </cell>
          <cell r="J4364">
            <v>0</v>
          </cell>
          <cell r="K4364">
            <v>0</v>
          </cell>
          <cell r="L4364">
            <v>0</v>
          </cell>
          <cell r="M4364">
            <v>-0.11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 t="b">
            <v>1</v>
          </cell>
        </row>
        <row r="4365">
          <cell r="A4365" t="str">
            <v>Data split-15;Reg-42</v>
          </cell>
          <cell r="B4365">
            <v>-5.4</v>
          </cell>
          <cell r="C4365">
            <v>1</v>
          </cell>
          <cell r="D4365">
            <v>0</v>
          </cell>
          <cell r="E4365">
            <v>0</v>
          </cell>
          <cell r="F4365">
            <v>1.0999999999999999E-2</v>
          </cell>
          <cell r="G4365">
            <v>0</v>
          </cell>
          <cell r="H4365">
            <v>3</v>
          </cell>
          <cell r="I4365">
            <v>0</v>
          </cell>
          <cell r="J4365">
            <v>0</v>
          </cell>
          <cell r="K4365">
            <v>0</v>
          </cell>
          <cell r="L4365">
            <v>0</v>
          </cell>
          <cell r="M4365">
            <v>0</v>
          </cell>
          <cell r="N4365">
            <v>-1.7000000000000001E-2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 t="b">
            <v>1</v>
          </cell>
        </row>
        <row r="4366">
          <cell r="A4366" t="str">
            <v>Data split-15;Reg-43</v>
          </cell>
          <cell r="B4366">
            <v>-5.9</v>
          </cell>
          <cell r="C4366">
            <v>1</v>
          </cell>
          <cell r="D4366">
            <v>0</v>
          </cell>
          <cell r="E4366">
            <v>1.2</v>
          </cell>
          <cell r="F4366">
            <v>0</v>
          </cell>
          <cell r="G4366">
            <v>0.68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-4.5999999999999999E-2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 t="b">
            <v>1</v>
          </cell>
        </row>
        <row r="4367">
          <cell r="A4367" t="str">
            <v>Data split-15;Reg-44</v>
          </cell>
          <cell r="B4367">
            <v>-5.6</v>
          </cell>
          <cell r="C4367">
            <v>1</v>
          </cell>
          <cell r="D4367">
            <v>0</v>
          </cell>
          <cell r="E4367">
            <v>1.2</v>
          </cell>
          <cell r="F4367">
            <v>0</v>
          </cell>
          <cell r="G4367">
            <v>0.46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-3.8999999999999998E-3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 t="b">
            <v>1</v>
          </cell>
        </row>
        <row r="4368">
          <cell r="A4368" t="str">
            <v>Data split-15;Reg-45</v>
          </cell>
          <cell r="B4368">
            <v>-5.9</v>
          </cell>
          <cell r="C4368">
            <v>0.79</v>
          </cell>
          <cell r="D4368">
            <v>0</v>
          </cell>
          <cell r="E4368">
            <v>9.2999999999999999E-2</v>
          </cell>
          <cell r="F4368">
            <v>0</v>
          </cell>
          <cell r="G4368">
            <v>0</v>
          </cell>
          <cell r="H4368">
            <v>2.8</v>
          </cell>
          <cell r="I4368">
            <v>0</v>
          </cell>
          <cell r="J4368">
            <v>0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-5.3999999999999999E-2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 t="b">
            <v>1</v>
          </cell>
        </row>
        <row r="4369">
          <cell r="A4369" t="str">
            <v>Data split-15;Reg-46</v>
          </cell>
          <cell r="B4369">
            <v>-5.8</v>
          </cell>
          <cell r="C4369">
            <v>0.87</v>
          </cell>
          <cell r="D4369">
            <v>0</v>
          </cell>
          <cell r="E4369">
            <v>0.16</v>
          </cell>
          <cell r="F4369">
            <v>0</v>
          </cell>
          <cell r="G4369">
            <v>0</v>
          </cell>
          <cell r="H4369">
            <v>2.2999999999999998</v>
          </cell>
          <cell r="I4369">
            <v>0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-5.4999999999999997E-3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 t="b">
            <v>1</v>
          </cell>
        </row>
        <row r="4370">
          <cell r="A4370" t="str">
            <v>Data split-15;Reg-47</v>
          </cell>
          <cell r="B4370">
            <v>-6.5</v>
          </cell>
          <cell r="C4370">
            <v>1.4</v>
          </cell>
          <cell r="D4370">
            <v>0</v>
          </cell>
          <cell r="E4370">
            <v>0</v>
          </cell>
          <cell r="F4370">
            <v>6.5000000000000002E-2</v>
          </cell>
          <cell r="G4370">
            <v>1.3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-5.1999999999999998E-2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 t="b">
            <v>1</v>
          </cell>
        </row>
        <row r="4371">
          <cell r="A4371" t="str">
            <v>Data split-15;Reg-48</v>
          </cell>
          <cell r="B4371">
            <v>-6.4</v>
          </cell>
          <cell r="C4371">
            <v>1.4</v>
          </cell>
          <cell r="D4371">
            <v>0</v>
          </cell>
          <cell r="E4371">
            <v>0</v>
          </cell>
          <cell r="F4371">
            <v>5.6000000000000001E-2</v>
          </cell>
          <cell r="G4371">
            <v>1.1000000000000001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-4.4000000000000003E-3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 t="b">
            <v>1</v>
          </cell>
        </row>
        <row r="4372">
          <cell r="A4372" t="str">
            <v>Data split-15;Reg-49</v>
          </cell>
          <cell r="B4372">
            <v>-5.8</v>
          </cell>
          <cell r="C4372">
            <v>0.8</v>
          </cell>
          <cell r="D4372">
            <v>0</v>
          </cell>
          <cell r="E4372">
            <v>0</v>
          </cell>
          <cell r="F4372">
            <v>1.6E-2</v>
          </cell>
          <cell r="G4372">
            <v>0</v>
          </cell>
          <cell r="H4372">
            <v>2.8</v>
          </cell>
          <cell r="I4372">
            <v>0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-5.5E-2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 t="b">
            <v>1</v>
          </cell>
        </row>
        <row r="4373">
          <cell r="A4373" t="str">
            <v>Data split-15;Reg-50</v>
          </cell>
          <cell r="B4373">
            <v>-5.8</v>
          </cell>
          <cell r="C4373">
            <v>0.89</v>
          </cell>
          <cell r="D4373">
            <v>0</v>
          </cell>
          <cell r="E4373">
            <v>0</v>
          </cell>
          <cell r="F4373">
            <v>1.2E-2</v>
          </cell>
          <cell r="G4373">
            <v>0</v>
          </cell>
          <cell r="H4373">
            <v>2.5</v>
          </cell>
          <cell r="I4373">
            <v>0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-5.5999999999999999E-3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 t="b">
            <v>1</v>
          </cell>
        </row>
        <row r="4374">
          <cell r="A4374" t="str">
            <v>Data split-15;Reg-51</v>
          </cell>
          <cell r="B4374">
            <v>-3</v>
          </cell>
          <cell r="C4374">
            <v>0</v>
          </cell>
          <cell r="D4374">
            <v>0.65</v>
          </cell>
          <cell r="E4374">
            <v>2.2000000000000002</v>
          </cell>
          <cell r="F4374">
            <v>0</v>
          </cell>
          <cell r="G4374">
            <v>0.4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-0.1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 t="b">
            <v>1</v>
          </cell>
        </row>
        <row r="4375">
          <cell r="A4375" t="str">
            <v>Data split-15;Reg-52</v>
          </cell>
          <cell r="B4375">
            <v>-2.9</v>
          </cell>
          <cell r="C4375">
            <v>0</v>
          </cell>
          <cell r="D4375">
            <v>0.64</v>
          </cell>
          <cell r="E4375">
            <v>2.2999999999999998</v>
          </cell>
          <cell r="F4375">
            <v>0</v>
          </cell>
          <cell r="G4375">
            <v>0.38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-0.02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 t="b">
            <v>1</v>
          </cell>
        </row>
        <row r="4376">
          <cell r="A4376" t="str">
            <v>Data split-15;Reg-53</v>
          </cell>
          <cell r="B4376">
            <v>-3.4</v>
          </cell>
          <cell r="C4376">
            <v>0</v>
          </cell>
          <cell r="D4376">
            <v>0.56000000000000005</v>
          </cell>
          <cell r="E4376">
            <v>0.82</v>
          </cell>
          <cell r="F4376">
            <v>0</v>
          </cell>
          <cell r="G4376">
            <v>0</v>
          </cell>
          <cell r="H4376">
            <v>2.7</v>
          </cell>
          <cell r="I4376">
            <v>0</v>
          </cell>
          <cell r="J4376">
            <v>0</v>
          </cell>
          <cell r="K4376">
            <v>0</v>
          </cell>
          <cell r="L4376">
            <v>0</v>
          </cell>
          <cell r="M4376">
            <v>-0.11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 t="b">
            <v>1</v>
          </cell>
        </row>
        <row r="4377">
          <cell r="A4377" t="str">
            <v>Data split-15;Reg-54</v>
          </cell>
          <cell r="B4377">
            <v>-3.3</v>
          </cell>
          <cell r="C4377">
            <v>0</v>
          </cell>
          <cell r="D4377">
            <v>0.55000000000000004</v>
          </cell>
          <cell r="E4377">
            <v>1.1000000000000001</v>
          </cell>
          <cell r="F4377">
            <v>0</v>
          </cell>
          <cell r="G4377">
            <v>0</v>
          </cell>
          <cell r="H4377">
            <v>2.4</v>
          </cell>
          <cell r="I4377">
            <v>0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-0.02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 t="b">
            <v>1</v>
          </cell>
        </row>
        <row r="4378">
          <cell r="A4378" t="str">
            <v>Data split-15;Reg-55</v>
          </cell>
          <cell r="B4378">
            <v>-3.3</v>
          </cell>
          <cell r="C4378">
            <v>0</v>
          </cell>
          <cell r="D4378">
            <v>1.2</v>
          </cell>
          <cell r="E4378">
            <v>0</v>
          </cell>
          <cell r="F4378">
            <v>9.4E-2</v>
          </cell>
          <cell r="G4378">
            <v>1.6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0</v>
          </cell>
          <cell r="M4378">
            <v>-8.6999999999999994E-2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 t="b">
            <v>1</v>
          </cell>
        </row>
        <row r="4379">
          <cell r="A4379" t="str">
            <v>Data split-15;Reg-56</v>
          </cell>
          <cell r="B4379">
            <v>-3.3</v>
          </cell>
          <cell r="C4379">
            <v>0</v>
          </cell>
          <cell r="D4379">
            <v>1.2</v>
          </cell>
          <cell r="E4379">
            <v>0</v>
          </cell>
          <cell r="F4379">
            <v>9.1999999999999998E-2</v>
          </cell>
          <cell r="G4379">
            <v>1.5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-1.2999999999999999E-2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 t="b">
            <v>1</v>
          </cell>
        </row>
        <row r="4380">
          <cell r="A4380" t="str">
            <v>Data split-15;Reg-57</v>
          </cell>
          <cell r="B4380">
            <v>-3.6</v>
          </cell>
          <cell r="C4380">
            <v>0</v>
          </cell>
          <cell r="D4380">
            <v>0.62</v>
          </cell>
          <cell r="E4380">
            <v>0</v>
          </cell>
          <cell r="F4380">
            <v>9.7999999999999997E-3</v>
          </cell>
          <cell r="G4380">
            <v>0</v>
          </cell>
          <cell r="H4380">
            <v>3.6</v>
          </cell>
          <cell r="I4380">
            <v>0</v>
          </cell>
          <cell r="J4380">
            <v>0</v>
          </cell>
          <cell r="K4380">
            <v>0</v>
          </cell>
          <cell r="L4380">
            <v>0</v>
          </cell>
          <cell r="M4380">
            <v>-0.11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 t="b">
            <v>1</v>
          </cell>
        </row>
        <row r="4381">
          <cell r="A4381" t="str">
            <v>Data split-15;Reg-58</v>
          </cell>
          <cell r="B4381">
            <v>-3.6</v>
          </cell>
          <cell r="C4381">
            <v>0</v>
          </cell>
          <cell r="D4381">
            <v>0.62</v>
          </cell>
          <cell r="E4381">
            <v>0</v>
          </cell>
          <cell r="F4381">
            <v>1.0999999999999999E-2</v>
          </cell>
          <cell r="G4381">
            <v>0</v>
          </cell>
          <cell r="H4381">
            <v>3.5</v>
          </cell>
          <cell r="I4381">
            <v>0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-1.7000000000000001E-2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 t="b">
            <v>1</v>
          </cell>
        </row>
        <row r="4382">
          <cell r="A4382" t="str">
            <v>Data split-15;Reg-59</v>
          </cell>
          <cell r="B4382">
            <v>-3.8</v>
          </cell>
          <cell r="C4382">
            <v>0</v>
          </cell>
          <cell r="D4382">
            <v>0.52</v>
          </cell>
          <cell r="E4382">
            <v>1.9</v>
          </cell>
          <cell r="F4382">
            <v>0</v>
          </cell>
          <cell r="G4382">
            <v>0.43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-5.7000000000000002E-2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 t="b">
            <v>1</v>
          </cell>
        </row>
        <row r="4383">
          <cell r="A4383" t="str">
            <v>Data split-15;Reg-60</v>
          </cell>
          <cell r="B4383">
            <v>-3.6</v>
          </cell>
          <cell r="C4383">
            <v>0</v>
          </cell>
          <cell r="D4383">
            <v>0.53</v>
          </cell>
          <cell r="E4383">
            <v>2</v>
          </cell>
          <cell r="F4383">
            <v>0</v>
          </cell>
          <cell r="G4383">
            <v>0.24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-6.6E-3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 t="b">
            <v>1</v>
          </cell>
        </row>
        <row r="4384">
          <cell r="A4384" t="str">
            <v>Data split-15;Reg-61</v>
          </cell>
          <cell r="B4384">
            <v>-4.4000000000000004</v>
          </cell>
          <cell r="C4384">
            <v>0</v>
          </cell>
          <cell r="D4384">
            <v>0.39</v>
          </cell>
          <cell r="E4384">
            <v>0.42</v>
          </cell>
          <cell r="F4384">
            <v>0</v>
          </cell>
          <cell r="G4384">
            <v>0</v>
          </cell>
          <cell r="H4384">
            <v>3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-7.2999999999999995E-2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 t="b">
            <v>1</v>
          </cell>
        </row>
        <row r="4385">
          <cell r="A4385" t="str">
            <v>Data split-15;Reg-62</v>
          </cell>
          <cell r="B4385">
            <v>-4.2</v>
          </cell>
          <cell r="C4385">
            <v>0</v>
          </cell>
          <cell r="D4385">
            <v>0.43</v>
          </cell>
          <cell r="E4385">
            <v>0.55000000000000004</v>
          </cell>
          <cell r="F4385">
            <v>0</v>
          </cell>
          <cell r="G4385">
            <v>0</v>
          </cell>
          <cell r="H4385">
            <v>2.6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-0.01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 t="b">
            <v>1</v>
          </cell>
        </row>
        <row r="4386">
          <cell r="A4386" t="str">
            <v>Data split-15;Reg-63</v>
          </cell>
          <cell r="B4386">
            <v>-4.0999999999999996</v>
          </cell>
          <cell r="C4386">
            <v>0</v>
          </cell>
          <cell r="D4386">
            <v>1</v>
          </cell>
          <cell r="E4386">
            <v>0</v>
          </cell>
          <cell r="F4386">
            <v>0.1</v>
          </cell>
          <cell r="G4386">
            <v>1.6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-7.1999999999999995E-2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 t="b">
            <v>1</v>
          </cell>
        </row>
        <row r="4387">
          <cell r="A4387" t="str">
            <v>Data split-15;Reg-64</v>
          </cell>
          <cell r="B4387">
            <v>-3.9</v>
          </cell>
          <cell r="C4387">
            <v>0</v>
          </cell>
          <cell r="D4387">
            <v>1</v>
          </cell>
          <cell r="E4387">
            <v>0</v>
          </cell>
          <cell r="F4387">
            <v>9.5000000000000001E-2</v>
          </cell>
          <cell r="G4387">
            <v>1.4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-8.9999999999999993E-3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 t="b">
            <v>1</v>
          </cell>
        </row>
        <row r="4388">
          <cell r="A4388" t="str">
            <v>Data split-15;Reg-65</v>
          </cell>
          <cell r="B4388">
            <v>-4.5</v>
          </cell>
          <cell r="C4388">
            <v>0</v>
          </cell>
          <cell r="D4388">
            <v>0.43</v>
          </cell>
          <cell r="E4388">
            <v>0</v>
          </cell>
          <cell r="F4388">
            <v>0.02</v>
          </cell>
          <cell r="G4388">
            <v>0</v>
          </cell>
          <cell r="H4388">
            <v>3.5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-7.4999999999999997E-2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 t="b">
            <v>1</v>
          </cell>
        </row>
        <row r="4389">
          <cell r="A4389" t="str">
            <v>Data split-15;Reg-66</v>
          </cell>
          <cell r="B4389">
            <v>-4.3</v>
          </cell>
          <cell r="C4389">
            <v>0</v>
          </cell>
          <cell r="D4389">
            <v>0.47</v>
          </cell>
          <cell r="E4389">
            <v>0</v>
          </cell>
          <cell r="F4389">
            <v>1.7000000000000001E-2</v>
          </cell>
          <cell r="G4389">
            <v>0</v>
          </cell>
          <cell r="H4389">
            <v>3.3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-0.01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 t="b">
            <v>1</v>
          </cell>
        </row>
        <row r="4390">
          <cell r="A4390" t="str">
            <v>Data split-15;Reg-67</v>
          </cell>
          <cell r="B4390">
            <v>-6.5</v>
          </cell>
          <cell r="C4390">
            <v>1.4</v>
          </cell>
          <cell r="D4390">
            <v>0</v>
          </cell>
          <cell r="E4390">
            <v>0</v>
          </cell>
          <cell r="F4390">
            <v>0</v>
          </cell>
          <cell r="G4390">
            <v>1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 t="b">
            <v>1</v>
          </cell>
        </row>
        <row r="4391">
          <cell r="A4391" t="str">
            <v>Data split-15;Reg-68</v>
          </cell>
          <cell r="B4391">
            <v>-6.1</v>
          </cell>
          <cell r="C4391">
            <v>1.4</v>
          </cell>
          <cell r="D4391">
            <v>0</v>
          </cell>
          <cell r="E4391">
            <v>0</v>
          </cell>
          <cell r="F4391">
            <v>4.7E-2</v>
          </cell>
          <cell r="G4391">
            <v>0.91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 t="b">
            <v>1</v>
          </cell>
        </row>
        <row r="4392">
          <cell r="A4392" t="str">
            <v>Data split-15;Reg-69</v>
          </cell>
          <cell r="B4392">
            <v>-7</v>
          </cell>
          <cell r="C4392">
            <v>1.4</v>
          </cell>
          <cell r="D4392">
            <v>0</v>
          </cell>
          <cell r="E4392">
            <v>0</v>
          </cell>
          <cell r="F4392">
            <v>0</v>
          </cell>
          <cell r="G4392">
            <v>0.96</v>
          </cell>
          <cell r="H4392">
            <v>0</v>
          </cell>
          <cell r="I4392">
            <v>0</v>
          </cell>
          <cell r="J4392">
            <v>2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 t="b">
            <v>0</v>
          </cell>
        </row>
        <row r="4393">
          <cell r="A4393" t="str">
            <v>Data split-15;Reg-70</v>
          </cell>
          <cell r="B4393">
            <v>-6.7</v>
          </cell>
          <cell r="C4393">
            <v>1.6</v>
          </cell>
          <cell r="D4393">
            <v>0</v>
          </cell>
          <cell r="E4393">
            <v>0</v>
          </cell>
          <cell r="F4393">
            <v>0</v>
          </cell>
          <cell r="G4393">
            <v>1.5</v>
          </cell>
          <cell r="H4393">
            <v>0</v>
          </cell>
          <cell r="I4393">
            <v>0</v>
          </cell>
          <cell r="J4393">
            <v>0.81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-0.08</v>
          </cell>
          <cell r="T4393">
            <v>0</v>
          </cell>
          <cell r="U4393" t="b">
            <v>0</v>
          </cell>
        </row>
        <row r="4394">
          <cell r="A4394" t="str">
            <v>Data split-15;Reg-71</v>
          </cell>
          <cell r="B4394">
            <v>-3.1</v>
          </cell>
          <cell r="C4394">
            <v>0.49</v>
          </cell>
          <cell r="D4394">
            <v>0</v>
          </cell>
          <cell r="E4394">
            <v>0</v>
          </cell>
          <cell r="F4394">
            <v>9.4999999999999998E-3</v>
          </cell>
          <cell r="G4394">
            <v>0</v>
          </cell>
          <cell r="H4394">
            <v>4.5999999999999996</v>
          </cell>
          <cell r="I4394">
            <v>0</v>
          </cell>
          <cell r="J4394">
            <v>0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-0.16</v>
          </cell>
          <cell r="T4394">
            <v>0</v>
          </cell>
          <cell r="U4394" t="b">
            <v>1</v>
          </cell>
        </row>
        <row r="4395">
          <cell r="A4395" t="str">
            <v>Data split-15;Reg-72</v>
          </cell>
          <cell r="B4395">
            <v>-5.0999999999999996</v>
          </cell>
          <cell r="C4395">
            <v>0.98</v>
          </cell>
          <cell r="D4395">
            <v>0</v>
          </cell>
          <cell r="E4395">
            <v>1.5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 t="b">
            <v>1</v>
          </cell>
        </row>
        <row r="4396">
          <cell r="A4396" t="str">
            <v>Data split-15;Reg-73</v>
          </cell>
          <cell r="B4396">
            <v>-5.8</v>
          </cell>
          <cell r="C4396">
            <v>1.8</v>
          </cell>
          <cell r="D4396">
            <v>0</v>
          </cell>
          <cell r="E4396">
            <v>0</v>
          </cell>
          <cell r="F4396">
            <v>0.14000000000000001</v>
          </cell>
          <cell r="G4396">
            <v>0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 t="b">
            <v>1</v>
          </cell>
        </row>
        <row r="4397">
          <cell r="A4397" t="str">
            <v>Data split-15;Reg-74</v>
          </cell>
          <cell r="B4397">
            <v>-3.1</v>
          </cell>
          <cell r="C4397">
            <v>0</v>
          </cell>
          <cell r="D4397">
            <v>0.55000000000000004</v>
          </cell>
          <cell r="E4397">
            <v>1.9</v>
          </cell>
          <cell r="F4397">
            <v>0</v>
          </cell>
          <cell r="G4397">
            <v>0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 t="b">
            <v>1</v>
          </cell>
        </row>
        <row r="4398">
          <cell r="A4398" t="str">
            <v>Data split-15;Reg-75</v>
          </cell>
          <cell r="B4398">
            <v>-2.4</v>
          </cell>
          <cell r="C4398">
            <v>0</v>
          </cell>
          <cell r="D4398">
            <v>1.5</v>
          </cell>
          <cell r="E4398">
            <v>0</v>
          </cell>
          <cell r="F4398">
            <v>0.19</v>
          </cell>
          <cell r="G4398">
            <v>0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 t="b">
            <v>1</v>
          </cell>
        </row>
        <row r="4399">
          <cell r="A4399" t="str">
            <v>Data split-15;Reg-76</v>
          </cell>
          <cell r="B4399">
            <v>-6.5</v>
          </cell>
          <cell r="C4399">
            <v>1.4</v>
          </cell>
          <cell r="D4399">
            <v>0</v>
          </cell>
          <cell r="E4399">
            <v>0</v>
          </cell>
          <cell r="F4399">
            <v>0</v>
          </cell>
          <cell r="G4399">
            <v>1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 t="b">
            <v>1</v>
          </cell>
        </row>
        <row r="4400">
          <cell r="A4400" t="str">
            <v>Data split-15;Reg-77</v>
          </cell>
          <cell r="B4400">
            <v>-5.6</v>
          </cell>
          <cell r="C4400">
            <v>0.98</v>
          </cell>
          <cell r="D4400">
            <v>0</v>
          </cell>
          <cell r="E4400">
            <v>0</v>
          </cell>
          <cell r="F4400">
            <v>0</v>
          </cell>
          <cell r="G4400">
            <v>0</v>
          </cell>
          <cell r="H4400">
            <v>2.1</v>
          </cell>
          <cell r="I4400">
            <v>0</v>
          </cell>
          <cell r="J4400">
            <v>0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 t="b">
            <v>1</v>
          </cell>
        </row>
        <row r="4401">
          <cell r="A4401" t="str">
            <v>Data split-15;Reg-78</v>
          </cell>
          <cell r="B4401">
            <v>-3.9</v>
          </cell>
          <cell r="C4401">
            <v>0</v>
          </cell>
          <cell r="D4401">
            <v>1.1000000000000001</v>
          </cell>
          <cell r="E4401">
            <v>0</v>
          </cell>
          <cell r="F4401">
            <v>0</v>
          </cell>
          <cell r="G4401">
            <v>1.2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 t="b">
            <v>1</v>
          </cell>
        </row>
        <row r="4402">
          <cell r="A4402" t="str">
            <v>Data split-15;Reg-79</v>
          </cell>
          <cell r="B4402">
            <v>-3.7</v>
          </cell>
          <cell r="C4402">
            <v>0</v>
          </cell>
          <cell r="D4402">
            <v>0.56000000000000005</v>
          </cell>
          <cell r="E4402">
            <v>0</v>
          </cell>
          <cell r="F4402">
            <v>0</v>
          </cell>
          <cell r="G4402">
            <v>0</v>
          </cell>
          <cell r="H4402">
            <v>2.6</v>
          </cell>
          <cell r="I4402">
            <v>0</v>
          </cell>
          <cell r="J4402">
            <v>0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 t="b">
            <v>1</v>
          </cell>
        </row>
        <row r="4403">
          <cell r="A4403" t="str">
            <v>Data split-15;Reg-80</v>
          </cell>
          <cell r="B4403">
            <v>-8.3000000000000007</v>
          </cell>
          <cell r="C4403">
            <v>1.8</v>
          </cell>
          <cell r="D4403">
            <v>0</v>
          </cell>
          <cell r="E4403">
            <v>0</v>
          </cell>
          <cell r="F4403">
            <v>0</v>
          </cell>
          <cell r="G4403">
            <v>0</v>
          </cell>
          <cell r="H4403">
            <v>0</v>
          </cell>
          <cell r="I4403">
            <v>2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 t="b">
            <v>0</v>
          </cell>
        </row>
        <row r="4404">
          <cell r="A4404" t="str">
            <v>Data split-15;Reg-81</v>
          </cell>
          <cell r="B4404">
            <v>-9.8000000000000007</v>
          </cell>
          <cell r="C4404">
            <v>1.9</v>
          </cell>
          <cell r="D4404">
            <v>0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0</v>
          </cell>
          <cell r="J4404">
            <v>13.3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 t="b">
            <v>0</v>
          </cell>
        </row>
        <row r="4405">
          <cell r="A4405" t="str">
            <v>Data split-15;Reg-82</v>
          </cell>
          <cell r="B4405">
            <v>-6.2</v>
          </cell>
          <cell r="C4405">
            <v>0</v>
          </cell>
          <cell r="D4405">
            <v>1.4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  <cell r="I4405">
            <v>2.7</v>
          </cell>
          <cell r="J4405">
            <v>0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 t="b">
            <v>0</v>
          </cell>
        </row>
        <row r="4406">
          <cell r="A4406" t="str">
            <v>Data split-15;Reg-83</v>
          </cell>
          <cell r="B4406">
            <v>-9.4</v>
          </cell>
          <cell r="C4406">
            <v>0</v>
          </cell>
          <cell r="D4406">
            <v>1.6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  <cell r="I4406">
            <v>0</v>
          </cell>
          <cell r="J4406">
            <v>23.5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 t="b">
            <v>0</v>
          </cell>
        </row>
        <row r="4407">
          <cell r="A4407" t="str">
            <v>Data split-15;Reg-84</v>
          </cell>
          <cell r="B4407">
            <v>-8.5</v>
          </cell>
          <cell r="C4407">
            <v>2</v>
          </cell>
          <cell r="D4407">
            <v>0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0</v>
          </cell>
          <cell r="K4407">
            <v>0.59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 t="b">
            <v>0</v>
          </cell>
        </row>
        <row r="4408">
          <cell r="A4408" t="str">
            <v>Data split-15;Reg-85</v>
          </cell>
          <cell r="B4408">
            <v>-7.5</v>
          </cell>
          <cell r="C4408">
            <v>2.1</v>
          </cell>
          <cell r="D4408">
            <v>0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0.87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 t="b">
            <v>0</v>
          </cell>
        </row>
        <row r="4409">
          <cell r="A4409" t="str">
            <v>Data split-15;Reg-86</v>
          </cell>
          <cell r="B4409">
            <v>-7.7</v>
          </cell>
          <cell r="C4409">
            <v>0</v>
          </cell>
          <cell r="D4409">
            <v>1.6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0</v>
          </cell>
          <cell r="K4409">
            <v>1.4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 t="b">
            <v>0</v>
          </cell>
        </row>
        <row r="4410">
          <cell r="A4410" t="str">
            <v>Data split-15;Reg-87</v>
          </cell>
          <cell r="B4410">
            <v>-7.6</v>
          </cell>
          <cell r="C4410">
            <v>0</v>
          </cell>
          <cell r="D4410">
            <v>1.8</v>
          </cell>
          <cell r="E4410">
            <v>0</v>
          </cell>
          <cell r="F4410">
            <v>0</v>
          </cell>
          <cell r="G4410">
            <v>0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6.1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 t="b">
            <v>0</v>
          </cell>
        </row>
        <row r="4411">
          <cell r="A4411" t="str">
            <v>Data split-15;Reg-88</v>
          </cell>
          <cell r="B4411">
            <v>-6.9</v>
          </cell>
          <cell r="C4411">
            <v>1.9</v>
          </cell>
          <cell r="D4411">
            <v>0</v>
          </cell>
          <cell r="E4411">
            <v>0</v>
          </cell>
          <cell r="F4411">
            <v>0</v>
          </cell>
          <cell r="G4411">
            <v>0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0</v>
          </cell>
          <cell r="M4411">
            <v>2.7E-2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 t="b">
            <v>0</v>
          </cell>
        </row>
        <row r="4412">
          <cell r="A4412" t="str">
            <v>Data split-15;Reg-89</v>
          </cell>
          <cell r="B4412">
            <v>-6.7</v>
          </cell>
          <cell r="C4412">
            <v>1.7</v>
          </cell>
          <cell r="D4412">
            <v>0</v>
          </cell>
          <cell r="E4412">
            <v>0</v>
          </cell>
          <cell r="F4412">
            <v>0</v>
          </cell>
          <cell r="G4412">
            <v>0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>
            <v>0</v>
          </cell>
          <cell r="M4412">
            <v>0</v>
          </cell>
          <cell r="N4412">
            <v>1.0999999999999999E-2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 t="b">
            <v>0</v>
          </cell>
        </row>
        <row r="4413">
          <cell r="A4413" t="str">
            <v>Data split-15;Reg-90</v>
          </cell>
          <cell r="B4413">
            <v>-3.7</v>
          </cell>
          <cell r="C4413">
            <v>0</v>
          </cell>
          <cell r="D4413">
            <v>1.5</v>
          </cell>
          <cell r="E4413">
            <v>0</v>
          </cell>
          <cell r="F4413">
            <v>0</v>
          </cell>
          <cell r="G4413">
            <v>0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0</v>
          </cell>
          <cell r="M4413">
            <v>5.6000000000000001E-2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 t="b">
            <v>0</v>
          </cell>
        </row>
        <row r="4414">
          <cell r="A4414" t="str">
            <v>Data split-15;Reg-91</v>
          </cell>
          <cell r="B4414">
            <v>-3.8</v>
          </cell>
          <cell r="C4414">
            <v>0</v>
          </cell>
          <cell r="D4414">
            <v>1.3</v>
          </cell>
          <cell r="E4414">
            <v>0</v>
          </cell>
          <cell r="F4414">
            <v>0</v>
          </cell>
          <cell r="G4414">
            <v>0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>
            <v>0</v>
          </cell>
          <cell r="M4414">
            <v>0</v>
          </cell>
          <cell r="N4414">
            <v>1.7000000000000001E-2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 t="b">
            <v>0</v>
          </cell>
        </row>
        <row r="4415">
          <cell r="A4415" t="str">
            <v>Data split-15;Reg-92</v>
          </cell>
          <cell r="B4415">
            <v>-6.2</v>
          </cell>
          <cell r="C4415">
            <v>1.8</v>
          </cell>
          <cell r="D4415">
            <v>0</v>
          </cell>
          <cell r="E4415">
            <v>0</v>
          </cell>
          <cell r="F4415">
            <v>0</v>
          </cell>
          <cell r="G4415">
            <v>0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5.5E-2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 t="b">
            <v>0</v>
          </cell>
        </row>
        <row r="4416">
          <cell r="A4416" t="str">
            <v>Data split-15;Reg-93</v>
          </cell>
          <cell r="B4416">
            <v>-5.8</v>
          </cell>
          <cell r="C4416">
            <v>1.7</v>
          </cell>
          <cell r="D4416">
            <v>0</v>
          </cell>
          <cell r="E4416">
            <v>0</v>
          </cell>
          <cell r="F4416">
            <v>0</v>
          </cell>
          <cell r="G4416">
            <v>0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1.4E-2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 t="b">
            <v>0</v>
          </cell>
        </row>
        <row r="4417">
          <cell r="A4417" t="str">
            <v>Data split-15;Reg-94</v>
          </cell>
          <cell r="B4417">
            <v>-2.9</v>
          </cell>
          <cell r="C4417">
            <v>0</v>
          </cell>
          <cell r="D4417">
            <v>1.5</v>
          </cell>
          <cell r="E4417">
            <v>0</v>
          </cell>
          <cell r="F4417">
            <v>0</v>
          </cell>
          <cell r="G4417">
            <v>0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6.3E-2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 t="b">
            <v>0</v>
          </cell>
        </row>
        <row r="4418">
          <cell r="A4418" t="str">
            <v>Data split-15;Reg-95</v>
          </cell>
          <cell r="B4418">
            <v>-2.6</v>
          </cell>
          <cell r="C4418">
            <v>0</v>
          </cell>
          <cell r="D4418">
            <v>1.4</v>
          </cell>
          <cell r="E4418">
            <v>0</v>
          </cell>
          <cell r="F4418">
            <v>0</v>
          </cell>
          <cell r="G4418">
            <v>0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1.6E-2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 t="b">
            <v>0</v>
          </cell>
        </row>
        <row r="4419">
          <cell r="A4419" t="str">
            <v>Data split-15;Reg-96</v>
          </cell>
          <cell r="B4419">
            <v>-5.2</v>
          </cell>
          <cell r="C4419">
            <v>0.99</v>
          </cell>
          <cell r="D4419">
            <v>0</v>
          </cell>
          <cell r="E4419">
            <v>1.5</v>
          </cell>
          <cell r="F4419">
            <v>0</v>
          </cell>
          <cell r="G4419">
            <v>0</v>
          </cell>
          <cell r="H4419">
            <v>0</v>
          </cell>
          <cell r="I4419">
            <v>9.0999999999999998E-2</v>
          </cell>
          <cell r="J4419">
            <v>0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 t="b">
            <v>0</v>
          </cell>
        </row>
        <row r="4420">
          <cell r="A4420" t="str">
            <v>Data split-15;Reg-97</v>
          </cell>
          <cell r="B4420">
            <v>-5.7</v>
          </cell>
          <cell r="C4420">
            <v>1</v>
          </cell>
          <cell r="D4420">
            <v>0</v>
          </cell>
          <cell r="E4420">
            <v>1.4</v>
          </cell>
          <cell r="F4420">
            <v>0</v>
          </cell>
          <cell r="G4420">
            <v>0</v>
          </cell>
          <cell r="H4420">
            <v>0</v>
          </cell>
          <cell r="I4420">
            <v>0</v>
          </cell>
          <cell r="J4420">
            <v>2.7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 t="b">
            <v>0</v>
          </cell>
        </row>
        <row r="4421">
          <cell r="A4421" t="str">
            <v>Data split-15;Reg-98</v>
          </cell>
          <cell r="B4421">
            <v>-7.3</v>
          </cell>
          <cell r="C4421">
            <v>1.7</v>
          </cell>
          <cell r="D4421">
            <v>0</v>
          </cell>
          <cell r="E4421">
            <v>0</v>
          </cell>
          <cell r="F4421">
            <v>7.4999999999999997E-2</v>
          </cell>
          <cell r="G4421">
            <v>0</v>
          </cell>
          <cell r="H4421">
            <v>0</v>
          </cell>
          <cell r="I4421">
            <v>1.6</v>
          </cell>
          <cell r="J4421">
            <v>0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 t="b">
            <v>0</v>
          </cell>
        </row>
        <row r="4422">
          <cell r="A4422" t="str">
            <v>Data split-15;Reg-99</v>
          </cell>
          <cell r="B4422">
            <v>-8.3000000000000007</v>
          </cell>
          <cell r="C4422">
            <v>1.7</v>
          </cell>
          <cell r="D4422">
            <v>0</v>
          </cell>
          <cell r="E4422">
            <v>0</v>
          </cell>
          <cell r="F4422">
            <v>0.12</v>
          </cell>
          <cell r="G4422">
            <v>0</v>
          </cell>
          <cell r="H4422">
            <v>0</v>
          </cell>
          <cell r="I4422">
            <v>0</v>
          </cell>
          <cell r="J4422">
            <v>11.5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 t="b">
            <v>0</v>
          </cell>
        </row>
        <row r="4423">
          <cell r="A4423" t="str">
            <v>Data split-15;Reg-100</v>
          </cell>
          <cell r="B4423">
            <v>-3</v>
          </cell>
          <cell r="C4423">
            <v>0</v>
          </cell>
          <cell r="D4423">
            <v>0.54</v>
          </cell>
          <cell r="E4423">
            <v>1.9</v>
          </cell>
          <cell r="F4423">
            <v>0</v>
          </cell>
          <cell r="G4423">
            <v>0</v>
          </cell>
          <cell r="H4423">
            <v>0</v>
          </cell>
          <cell r="I4423">
            <v>-7.0000000000000007E-2</v>
          </cell>
          <cell r="J4423">
            <v>0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 t="b">
            <v>1</v>
          </cell>
        </row>
        <row r="4424">
          <cell r="A4424" t="str">
            <v>Data split-15;Reg-101</v>
          </cell>
          <cell r="B4424">
            <v>-4.5</v>
          </cell>
          <cell r="C4424">
            <v>0</v>
          </cell>
          <cell r="D4424">
            <v>0.63</v>
          </cell>
          <cell r="E4424">
            <v>1.7</v>
          </cell>
          <cell r="F4424">
            <v>0</v>
          </cell>
          <cell r="G4424">
            <v>0</v>
          </cell>
          <cell r="H4424">
            <v>0</v>
          </cell>
          <cell r="I4424">
            <v>0</v>
          </cell>
          <cell r="J4424">
            <v>5.6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 t="b">
            <v>0</v>
          </cell>
        </row>
        <row r="4425">
          <cell r="A4425" t="str">
            <v>Data split-15;Reg-102</v>
          </cell>
          <cell r="B4425">
            <v>-5.2</v>
          </cell>
          <cell r="C4425">
            <v>0</v>
          </cell>
          <cell r="D4425">
            <v>1.4</v>
          </cell>
          <cell r="E4425">
            <v>0</v>
          </cell>
          <cell r="F4425">
            <v>9.2999999999999999E-2</v>
          </cell>
          <cell r="G4425">
            <v>0</v>
          </cell>
          <cell r="H4425">
            <v>0</v>
          </cell>
          <cell r="I4425">
            <v>2.2000000000000002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 t="b">
            <v>0</v>
          </cell>
        </row>
        <row r="4426">
          <cell r="A4426" t="str">
            <v>Data split-15;Reg-103</v>
          </cell>
          <cell r="B4426">
            <v>-7.7</v>
          </cell>
          <cell r="C4426">
            <v>0</v>
          </cell>
          <cell r="D4426">
            <v>1.4</v>
          </cell>
          <cell r="E4426">
            <v>0</v>
          </cell>
          <cell r="F4426">
            <v>0.14000000000000001</v>
          </cell>
          <cell r="G4426">
            <v>0</v>
          </cell>
          <cell r="H4426">
            <v>0</v>
          </cell>
          <cell r="I4426">
            <v>0</v>
          </cell>
          <cell r="J4426">
            <v>20.3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 t="b">
            <v>0</v>
          </cell>
        </row>
        <row r="4427">
          <cell r="A4427" t="str">
            <v>Data split-15;Reg-104</v>
          </cell>
          <cell r="B4427">
            <v>-4.8</v>
          </cell>
          <cell r="C4427">
            <v>0.98</v>
          </cell>
          <cell r="D4427">
            <v>0</v>
          </cell>
          <cell r="E4427">
            <v>1.5</v>
          </cell>
          <cell r="F4427">
            <v>0</v>
          </cell>
          <cell r="G4427">
            <v>0</v>
          </cell>
          <cell r="H4427">
            <v>0</v>
          </cell>
          <cell r="I4427">
            <v>0</v>
          </cell>
          <cell r="J4427">
            <v>0</v>
          </cell>
          <cell r="K4427">
            <v>-0.11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 t="b">
            <v>1</v>
          </cell>
        </row>
        <row r="4428">
          <cell r="A4428" t="str">
            <v>Data split-15;Reg-105</v>
          </cell>
          <cell r="B4428">
            <v>-5.4</v>
          </cell>
          <cell r="C4428">
            <v>0.98</v>
          </cell>
          <cell r="D4428">
            <v>0</v>
          </cell>
          <cell r="E4428">
            <v>1.5</v>
          </cell>
          <cell r="F4428">
            <v>0</v>
          </cell>
          <cell r="G4428">
            <v>0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0.47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 t="b">
            <v>0</v>
          </cell>
        </row>
        <row r="4429">
          <cell r="A4429" t="str">
            <v>Data split-15;Reg-106</v>
          </cell>
          <cell r="B4429">
            <v>-7</v>
          </cell>
          <cell r="C4429">
            <v>1.8</v>
          </cell>
          <cell r="D4429">
            <v>0</v>
          </cell>
          <cell r="E4429">
            <v>0</v>
          </cell>
          <cell r="F4429">
            <v>0.13</v>
          </cell>
          <cell r="G4429">
            <v>0</v>
          </cell>
          <cell r="H4429">
            <v>0</v>
          </cell>
          <cell r="I4429">
            <v>0</v>
          </cell>
          <cell r="J4429">
            <v>0</v>
          </cell>
          <cell r="K4429">
            <v>0.47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 t="b">
            <v>0</v>
          </cell>
        </row>
        <row r="4430">
          <cell r="A4430" t="str">
            <v>Data split-15;Reg-107</v>
          </cell>
          <cell r="B4430">
            <v>-6.4</v>
          </cell>
          <cell r="C4430">
            <v>1.8</v>
          </cell>
          <cell r="D4430">
            <v>0</v>
          </cell>
          <cell r="E4430">
            <v>0</v>
          </cell>
          <cell r="F4430">
            <v>0.14000000000000001</v>
          </cell>
          <cell r="G4430">
            <v>0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1.1000000000000001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 t="b">
            <v>0</v>
          </cell>
        </row>
        <row r="4431">
          <cell r="A4431" t="str">
            <v>Data split-15;Reg-108</v>
          </cell>
          <cell r="B4431">
            <v>-3.4</v>
          </cell>
          <cell r="C4431">
            <v>0</v>
          </cell>
          <cell r="D4431">
            <v>0.56000000000000005</v>
          </cell>
          <cell r="E4431">
            <v>1.9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8.7999999999999995E-2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 t="b">
            <v>0</v>
          </cell>
        </row>
        <row r="4432">
          <cell r="A4432" t="str">
            <v>Data split-15;Reg-109</v>
          </cell>
          <cell r="B4432">
            <v>-4.5999999999999996</v>
          </cell>
          <cell r="C4432">
            <v>0</v>
          </cell>
          <cell r="D4432">
            <v>0.59</v>
          </cell>
          <cell r="E4432">
            <v>1.8</v>
          </cell>
          <cell r="F4432">
            <v>0</v>
          </cell>
          <cell r="G4432">
            <v>0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2.2999999999999998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 t="b">
            <v>0</v>
          </cell>
        </row>
        <row r="4433">
          <cell r="A4433" t="str">
            <v>Data split-15;Reg-110</v>
          </cell>
          <cell r="B4433">
            <v>-5.9</v>
          </cell>
          <cell r="C4433">
            <v>0</v>
          </cell>
          <cell r="D4433">
            <v>1.4</v>
          </cell>
          <cell r="E4433">
            <v>0</v>
          </cell>
          <cell r="F4433">
            <v>0.16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1.1000000000000001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 t="b">
            <v>0</v>
          </cell>
        </row>
        <row r="4434">
          <cell r="A4434" t="str">
            <v>Data split-15;Reg-111</v>
          </cell>
          <cell r="B4434">
            <v>-6.1</v>
          </cell>
          <cell r="C4434">
            <v>0</v>
          </cell>
          <cell r="D4434">
            <v>1.5</v>
          </cell>
          <cell r="E4434">
            <v>0</v>
          </cell>
          <cell r="F4434">
            <v>0.18</v>
          </cell>
          <cell r="G4434">
            <v>0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5.6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 t="b">
            <v>0</v>
          </cell>
        </row>
        <row r="4435">
          <cell r="A4435" t="str">
            <v>Data split-15;Reg-112</v>
          </cell>
          <cell r="B4435">
            <v>-6.6</v>
          </cell>
          <cell r="C4435">
            <v>1.4</v>
          </cell>
          <cell r="D4435">
            <v>0</v>
          </cell>
          <cell r="E4435">
            <v>0</v>
          </cell>
          <cell r="F4435">
            <v>0</v>
          </cell>
          <cell r="G4435">
            <v>0.98</v>
          </cell>
          <cell r="H4435">
            <v>0</v>
          </cell>
          <cell r="I4435">
            <v>9.4E-2</v>
          </cell>
          <cell r="J4435">
            <v>0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 t="b">
            <v>0</v>
          </cell>
        </row>
        <row r="4436">
          <cell r="A4436" t="str">
            <v>Data split-15;Reg-113</v>
          </cell>
          <cell r="B4436">
            <v>-7</v>
          </cell>
          <cell r="C4436">
            <v>1.4</v>
          </cell>
          <cell r="D4436">
            <v>0</v>
          </cell>
          <cell r="E4436">
            <v>0</v>
          </cell>
          <cell r="F4436">
            <v>0</v>
          </cell>
          <cell r="G4436">
            <v>0.96</v>
          </cell>
          <cell r="H4436">
            <v>0</v>
          </cell>
          <cell r="I4436">
            <v>0</v>
          </cell>
          <cell r="J4436">
            <v>2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 t="b">
            <v>0</v>
          </cell>
        </row>
        <row r="4437">
          <cell r="A4437" t="str">
            <v>Data split-15;Reg-114</v>
          </cell>
          <cell r="B4437">
            <v>-5</v>
          </cell>
          <cell r="C4437">
            <v>0.9</v>
          </cell>
          <cell r="D4437">
            <v>0</v>
          </cell>
          <cell r="E4437">
            <v>0</v>
          </cell>
          <cell r="F4437">
            <v>0</v>
          </cell>
          <cell r="G4437">
            <v>0</v>
          </cell>
          <cell r="H4437">
            <v>2.4</v>
          </cell>
          <cell r="I4437">
            <v>-0.65</v>
          </cell>
          <cell r="J4437">
            <v>0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 t="b">
            <v>1</v>
          </cell>
        </row>
        <row r="4438">
          <cell r="A4438" t="str">
            <v>Data split-15;Reg-115</v>
          </cell>
          <cell r="B4438">
            <v>-5.8</v>
          </cell>
          <cell r="C4438">
            <v>0.98</v>
          </cell>
          <cell r="D4438">
            <v>0</v>
          </cell>
          <cell r="E4438">
            <v>0</v>
          </cell>
          <cell r="F4438">
            <v>0</v>
          </cell>
          <cell r="G4438">
            <v>0</v>
          </cell>
          <cell r="H4438">
            <v>2</v>
          </cell>
          <cell r="I4438">
            <v>0</v>
          </cell>
          <cell r="J4438">
            <v>0.85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 t="b">
            <v>0</v>
          </cell>
        </row>
        <row r="4439">
          <cell r="A4439" t="str">
            <v>Data split-15;Reg-116</v>
          </cell>
          <cell r="B4439">
            <v>-4.7</v>
          </cell>
          <cell r="C4439">
            <v>0</v>
          </cell>
          <cell r="D4439">
            <v>1.1000000000000001</v>
          </cell>
          <cell r="E4439">
            <v>0</v>
          </cell>
          <cell r="F4439">
            <v>0</v>
          </cell>
          <cell r="G4439">
            <v>0.92</v>
          </cell>
          <cell r="H4439">
            <v>0</v>
          </cell>
          <cell r="I4439">
            <v>0.91</v>
          </cell>
          <cell r="J4439">
            <v>0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 t="b">
            <v>0</v>
          </cell>
        </row>
        <row r="4440">
          <cell r="A4440" t="str">
            <v>Data split-15;Reg-117</v>
          </cell>
          <cell r="B4440">
            <v>-6.5</v>
          </cell>
          <cell r="C4440">
            <v>0</v>
          </cell>
          <cell r="D4440">
            <v>1.2</v>
          </cell>
          <cell r="E4440">
            <v>0</v>
          </cell>
          <cell r="F4440">
            <v>0</v>
          </cell>
          <cell r="G4440">
            <v>0.94</v>
          </cell>
          <cell r="H4440">
            <v>0</v>
          </cell>
          <cell r="I4440">
            <v>0</v>
          </cell>
          <cell r="J4440">
            <v>10.7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 t="b">
            <v>0</v>
          </cell>
        </row>
        <row r="4441">
          <cell r="A4441" t="str">
            <v>Data split-15;Reg-118</v>
          </cell>
          <cell r="B4441">
            <v>-2.8</v>
          </cell>
          <cell r="C4441">
            <v>0</v>
          </cell>
          <cell r="D4441">
            <v>0.43</v>
          </cell>
          <cell r="E4441">
            <v>0</v>
          </cell>
          <cell r="F4441">
            <v>0</v>
          </cell>
          <cell r="G4441">
            <v>0</v>
          </cell>
          <cell r="H4441">
            <v>3.2</v>
          </cell>
          <cell r="I4441">
            <v>-0.98</v>
          </cell>
          <cell r="J4441">
            <v>0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 t="b">
            <v>1</v>
          </cell>
        </row>
        <row r="4442">
          <cell r="A4442" t="str">
            <v>Data split-15;Reg-119</v>
          </cell>
          <cell r="B4442">
            <v>-4.5999999999999996</v>
          </cell>
          <cell r="C4442">
            <v>0</v>
          </cell>
          <cell r="D4442">
            <v>0.62</v>
          </cell>
          <cell r="E4442">
            <v>0</v>
          </cell>
          <cell r="F4442">
            <v>0</v>
          </cell>
          <cell r="G4442">
            <v>0</v>
          </cell>
          <cell r="H4442">
            <v>2.4</v>
          </cell>
          <cell r="I4442">
            <v>0</v>
          </cell>
          <cell r="J4442">
            <v>3.7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 t="b">
            <v>0</v>
          </cell>
        </row>
        <row r="4443">
          <cell r="A4443" t="str">
            <v>Data split-15;Reg-120</v>
          </cell>
          <cell r="B4443">
            <v>-6.4</v>
          </cell>
          <cell r="C4443">
            <v>1.4</v>
          </cell>
          <cell r="D4443">
            <v>0</v>
          </cell>
          <cell r="E4443">
            <v>0</v>
          </cell>
          <cell r="F4443">
            <v>0</v>
          </cell>
          <cell r="G4443">
            <v>1</v>
          </cell>
          <cell r="H4443">
            <v>0</v>
          </cell>
          <cell r="I4443">
            <v>0</v>
          </cell>
          <cell r="J4443">
            <v>0</v>
          </cell>
          <cell r="K4443">
            <v>-6.6000000000000003E-2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 t="b">
            <v>1</v>
          </cell>
        </row>
        <row r="4444">
          <cell r="A4444" t="str">
            <v>Data split-15;Reg-121</v>
          </cell>
          <cell r="B4444">
            <v>-6.7</v>
          </cell>
          <cell r="C4444">
            <v>1.4</v>
          </cell>
          <cell r="D4444">
            <v>0</v>
          </cell>
          <cell r="E4444">
            <v>0</v>
          </cell>
          <cell r="F4444">
            <v>0</v>
          </cell>
          <cell r="G4444">
            <v>1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0.33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 t="b">
            <v>0</v>
          </cell>
        </row>
        <row r="4445">
          <cell r="A4445" t="str">
            <v>Data split-15;Reg-122</v>
          </cell>
          <cell r="B4445">
            <v>-5.2</v>
          </cell>
          <cell r="C4445">
            <v>0.97</v>
          </cell>
          <cell r="D4445">
            <v>0</v>
          </cell>
          <cell r="E4445">
            <v>0</v>
          </cell>
          <cell r="F4445">
            <v>0</v>
          </cell>
          <cell r="G4445">
            <v>0</v>
          </cell>
          <cell r="H4445">
            <v>2.1</v>
          </cell>
          <cell r="I4445">
            <v>0</v>
          </cell>
          <cell r="J4445">
            <v>0</v>
          </cell>
          <cell r="K4445">
            <v>-0.16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 t="b">
            <v>1</v>
          </cell>
        </row>
        <row r="4446">
          <cell r="A4446" t="str">
            <v>Data split-15;Reg-123</v>
          </cell>
          <cell r="B4446">
            <v>-6</v>
          </cell>
          <cell r="C4446">
            <v>0.97</v>
          </cell>
          <cell r="D4446">
            <v>0</v>
          </cell>
          <cell r="E4446">
            <v>0</v>
          </cell>
          <cell r="F4446">
            <v>0</v>
          </cell>
          <cell r="G4446">
            <v>0</v>
          </cell>
          <cell r="H4446">
            <v>2.1</v>
          </cell>
          <cell r="I4446">
            <v>0</v>
          </cell>
          <cell r="J4446">
            <v>0</v>
          </cell>
          <cell r="K4446">
            <v>0</v>
          </cell>
          <cell r="L4446">
            <v>0.63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 t="b">
            <v>0</v>
          </cell>
        </row>
        <row r="4447">
          <cell r="A4447" t="str">
            <v>Data split-15;Reg-124</v>
          </cell>
          <cell r="B4447">
            <v>-5.3</v>
          </cell>
          <cell r="C4447">
            <v>0</v>
          </cell>
          <cell r="D4447">
            <v>1.1000000000000001</v>
          </cell>
          <cell r="E4447">
            <v>0</v>
          </cell>
          <cell r="F4447">
            <v>0</v>
          </cell>
          <cell r="G4447">
            <v>1.1000000000000001</v>
          </cell>
          <cell r="H4447">
            <v>0</v>
          </cell>
          <cell r="I4447">
            <v>0</v>
          </cell>
          <cell r="J4447">
            <v>0</v>
          </cell>
          <cell r="K4447">
            <v>0.49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 t="b">
            <v>0</v>
          </cell>
        </row>
        <row r="4448">
          <cell r="A4448" t="str">
            <v>Data split-15;Reg-125</v>
          </cell>
          <cell r="B4448">
            <v>-6.3</v>
          </cell>
          <cell r="C4448">
            <v>0</v>
          </cell>
          <cell r="D4448">
            <v>1.1000000000000001</v>
          </cell>
          <cell r="E4448">
            <v>0</v>
          </cell>
          <cell r="F4448">
            <v>0</v>
          </cell>
          <cell r="G4448">
            <v>1.2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3.7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 t="b">
            <v>0</v>
          </cell>
        </row>
        <row r="4449">
          <cell r="A4449" t="str">
            <v>Data split-15;Reg-126</v>
          </cell>
          <cell r="B4449">
            <v>-3.9</v>
          </cell>
          <cell r="C4449">
            <v>0</v>
          </cell>
          <cell r="D4449">
            <v>0.56999999999999995</v>
          </cell>
          <cell r="E4449">
            <v>0</v>
          </cell>
          <cell r="F4449">
            <v>0</v>
          </cell>
          <cell r="G4449">
            <v>0</v>
          </cell>
          <cell r="H4449">
            <v>2.6</v>
          </cell>
          <cell r="I4449">
            <v>0</v>
          </cell>
          <cell r="J4449">
            <v>0</v>
          </cell>
          <cell r="K4449">
            <v>5.8999999999999997E-2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 t="b">
            <v>0</v>
          </cell>
        </row>
        <row r="4450">
          <cell r="A4450" t="str">
            <v>Data split-15;Reg-127</v>
          </cell>
          <cell r="B4450">
            <v>-5.3</v>
          </cell>
          <cell r="C4450">
            <v>0</v>
          </cell>
          <cell r="D4450">
            <v>0.6</v>
          </cell>
          <cell r="E4450">
            <v>0</v>
          </cell>
          <cell r="F4450">
            <v>0</v>
          </cell>
          <cell r="G4450">
            <v>0</v>
          </cell>
          <cell r="H4450">
            <v>2.5</v>
          </cell>
          <cell r="I4450">
            <v>0</v>
          </cell>
          <cell r="J4450">
            <v>0</v>
          </cell>
          <cell r="K4450">
            <v>0</v>
          </cell>
          <cell r="L4450">
            <v>2.5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 t="b">
            <v>0</v>
          </cell>
        </row>
        <row r="4451">
          <cell r="A4451" t="str">
            <v>Data split-16;Reg-1</v>
          </cell>
          <cell r="B4451">
            <v>-9</v>
          </cell>
          <cell r="C4451">
            <v>2</v>
          </cell>
          <cell r="D4451">
            <v>0</v>
          </cell>
          <cell r="E4451">
            <v>0</v>
          </cell>
          <cell r="F4451">
            <v>0.2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2.8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 t="b">
            <v>0</v>
          </cell>
        </row>
        <row r="4452">
          <cell r="A4452" t="str">
            <v>Data split-16;Reg-2</v>
          </cell>
          <cell r="B4452">
            <v>-7.2</v>
          </cell>
          <cell r="C4452">
            <v>1.8</v>
          </cell>
          <cell r="D4452">
            <v>0</v>
          </cell>
          <cell r="E4452">
            <v>0</v>
          </cell>
          <cell r="F4452">
            <v>0.11</v>
          </cell>
          <cell r="G4452">
            <v>1.2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0</v>
          </cell>
          <cell r="M4452">
            <v>-6.5000000000000002E-2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 t="b">
            <v>1</v>
          </cell>
        </row>
        <row r="4453">
          <cell r="A4453" t="str">
            <v>Data split-16;Reg-3</v>
          </cell>
          <cell r="B4453">
            <v>-7.2</v>
          </cell>
          <cell r="C4453">
            <v>1.8</v>
          </cell>
          <cell r="D4453">
            <v>0</v>
          </cell>
          <cell r="E4453">
            <v>0</v>
          </cell>
          <cell r="F4453">
            <v>9.4E-2</v>
          </cell>
          <cell r="G4453">
            <v>1.1000000000000001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0</v>
          </cell>
          <cell r="M4453">
            <v>0</v>
          </cell>
          <cell r="N4453">
            <v>-7.4999999999999997E-3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 t="b">
            <v>1</v>
          </cell>
        </row>
        <row r="4454">
          <cell r="A4454" t="str">
            <v>Data split-16;Reg-4</v>
          </cell>
          <cell r="B4454">
            <v>-5.8</v>
          </cell>
          <cell r="C4454">
            <v>1.4</v>
          </cell>
          <cell r="D4454">
            <v>0</v>
          </cell>
          <cell r="E4454">
            <v>0</v>
          </cell>
          <cell r="F4454">
            <v>0.08</v>
          </cell>
          <cell r="G4454">
            <v>0</v>
          </cell>
          <cell r="H4454">
            <v>2.2999999999999998</v>
          </cell>
          <cell r="I4454">
            <v>0</v>
          </cell>
          <cell r="J4454">
            <v>0</v>
          </cell>
          <cell r="K4454">
            <v>0</v>
          </cell>
          <cell r="L4454">
            <v>0</v>
          </cell>
          <cell r="M4454">
            <v>-6.7000000000000004E-2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 t="b">
            <v>1</v>
          </cell>
        </row>
        <row r="4455">
          <cell r="A4455" t="str">
            <v>Data split-16;Reg-5</v>
          </cell>
          <cell r="B4455">
            <v>-3.3</v>
          </cell>
          <cell r="C4455">
            <v>0</v>
          </cell>
          <cell r="D4455">
            <v>1.1000000000000001</v>
          </cell>
          <cell r="E4455">
            <v>0</v>
          </cell>
          <cell r="F4455">
            <v>7.4999999999999997E-2</v>
          </cell>
          <cell r="G4455">
            <v>0</v>
          </cell>
          <cell r="H4455">
            <v>2.6</v>
          </cell>
          <cell r="I4455">
            <v>0</v>
          </cell>
          <cell r="J4455">
            <v>0</v>
          </cell>
          <cell r="K4455">
            <v>0</v>
          </cell>
          <cell r="L4455">
            <v>0</v>
          </cell>
          <cell r="M4455">
            <v>-6.8000000000000005E-2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 t="b">
            <v>1</v>
          </cell>
        </row>
        <row r="4456">
          <cell r="A4456" t="str">
            <v>Data split-16;Reg-6</v>
          </cell>
          <cell r="B4456">
            <v>-7.3</v>
          </cell>
          <cell r="C4456">
            <v>1.4</v>
          </cell>
          <cell r="D4456">
            <v>0</v>
          </cell>
          <cell r="E4456">
            <v>1.5</v>
          </cell>
          <cell r="F4456">
            <v>0</v>
          </cell>
          <cell r="G4456">
            <v>0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2.1</v>
          </cell>
          <cell r="M4456">
            <v>-4.2000000000000003E-2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 t="b">
            <v>0</v>
          </cell>
        </row>
        <row r="4457">
          <cell r="A4457" t="str">
            <v>Data split-16;Reg-7</v>
          </cell>
          <cell r="B4457">
            <v>-8.9</v>
          </cell>
          <cell r="C4457">
            <v>1.9</v>
          </cell>
          <cell r="D4457">
            <v>0</v>
          </cell>
          <cell r="E4457">
            <v>0</v>
          </cell>
          <cell r="F4457">
            <v>0.18</v>
          </cell>
          <cell r="G4457">
            <v>0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2.7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2.5000000000000001E-2</v>
          </cell>
          <cell r="T4457">
            <v>0</v>
          </cell>
          <cell r="U4457" t="b">
            <v>0</v>
          </cell>
        </row>
        <row r="4458">
          <cell r="A4458" t="str">
            <v>Data split-16;Reg-8</v>
          </cell>
          <cell r="B4458">
            <v>-8</v>
          </cell>
          <cell r="C4458">
            <v>1.8</v>
          </cell>
          <cell r="D4458">
            <v>0</v>
          </cell>
          <cell r="E4458">
            <v>0</v>
          </cell>
          <cell r="F4458">
            <v>0</v>
          </cell>
          <cell r="G4458">
            <v>1.2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0.15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-4.7E-2</v>
          </cell>
          <cell r="T4458">
            <v>0</v>
          </cell>
          <cell r="U4458" t="b">
            <v>0</v>
          </cell>
        </row>
        <row r="4459">
          <cell r="A4459" t="str">
            <v>Data split-16;Reg-9</v>
          </cell>
          <cell r="B4459">
            <v>-7.1</v>
          </cell>
          <cell r="C4459">
            <v>0</v>
          </cell>
          <cell r="D4459">
            <v>1.2</v>
          </cell>
          <cell r="E4459">
            <v>0</v>
          </cell>
          <cell r="F4459">
            <v>0</v>
          </cell>
          <cell r="G4459">
            <v>0</v>
          </cell>
          <cell r="H4459">
            <v>3.2</v>
          </cell>
          <cell r="I4459">
            <v>0</v>
          </cell>
          <cell r="J4459">
            <v>0</v>
          </cell>
          <cell r="K4459">
            <v>0</v>
          </cell>
          <cell r="L4459">
            <v>3.7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-0.11</v>
          </cell>
          <cell r="T4459">
            <v>0</v>
          </cell>
          <cell r="U4459" t="b">
            <v>0</v>
          </cell>
        </row>
        <row r="4460">
          <cell r="A4460" t="str">
            <v>Data split-16;Reg-10</v>
          </cell>
          <cell r="B4460">
            <v>-7.1</v>
          </cell>
          <cell r="C4460">
            <v>0</v>
          </cell>
          <cell r="D4460">
            <v>1.2</v>
          </cell>
          <cell r="E4460">
            <v>0</v>
          </cell>
          <cell r="F4460">
            <v>0</v>
          </cell>
          <cell r="G4460">
            <v>0</v>
          </cell>
          <cell r="H4460">
            <v>3.2</v>
          </cell>
          <cell r="I4460">
            <v>0</v>
          </cell>
          <cell r="J4460">
            <v>0</v>
          </cell>
          <cell r="K4460">
            <v>0</v>
          </cell>
          <cell r="L4460">
            <v>3.7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-0.11</v>
          </cell>
          <cell r="T4460">
            <v>0</v>
          </cell>
          <cell r="U4460" t="b">
            <v>0</v>
          </cell>
        </row>
        <row r="4461">
          <cell r="A4461" t="str">
            <v>Data split-16;Reg-11</v>
          </cell>
          <cell r="B4461">
            <v>-7.4</v>
          </cell>
          <cell r="C4461">
            <v>1.7</v>
          </cell>
          <cell r="D4461">
            <v>0</v>
          </cell>
          <cell r="E4461">
            <v>0.19</v>
          </cell>
          <cell r="F4461">
            <v>0</v>
          </cell>
          <cell r="G4461">
            <v>0.87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 t="b">
            <v>1</v>
          </cell>
        </row>
        <row r="4462">
          <cell r="A4462" t="str">
            <v>Data split-16;Reg-12</v>
          </cell>
          <cell r="B4462">
            <v>-6.8</v>
          </cell>
          <cell r="C4462">
            <v>1.4</v>
          </cell>
          <cell r="D4462">
            <v>0</v>
          </cell>
          <cell r="E4462">
            <v>-0.37</v>
          </cell>
          <cell r="F4462">
            <v>0</v>
          </cell>
          <cell r="G4462">
            <v>0</v>
          </cell>
          <cell r="H4462">
            <v>2.2999999999999998</v>
          </cell>
          <cell r="I4462">
            <v>0</v>
          </cell>
          <cell r="J4462">
            <v>0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 t="b">
            <v>0</v>
          </cell>
        </row>
        <row r="4463">
          <cell r="A4463" t="str">
            <v>Data split-16;Reg-13</v>
          </cell>
          <cell r="B4463">
            <v>-7.1</v>
          </cell>
          <cell r="C4463">
            <v>1.7</v>
          </cell>
          <cell r="D4463">
            <v>0</v>
          </cell>
          <cell r="E4463">
            <v>0</v>
          </cell>
          <cell r="F4463">
            <v>8.1000000000000003E-2</v>
          </cell>
          <cell r="G4463">
            <v>0.85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 t="b">
            <v>1</v>
          </cell>
        </row>
        <row r="4464">
          <cell r="A4464" t="str">
            <v>Data split-16;Reg-14</v>
          </cell>
          <cell r="B4464">
            <v>-6.1</v>
          </cell>
          <cell r="C4464">
            <v>1.4</v>
          </cell>
          <cell r="D4464">
            <v>0</v>
          </cell>
          <cell r="E4464">
            <v>0</v>
          </cell>
          <cell r="F4464">
            <v>5.8000000000000003E-2</v>
          </cell>
          <cell r="G4464">
            <v>0</v>
          </cell>
          <cell r="H4464">
            <v>1.7</v>
          </cell>
          <cell r="I4464">
            <v>0</v>
          </cell>
          <cell r="J4464">
            <v>0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 t="b">
            <v>1</v>
          </cell>
        </row>
        <row r="4465">
          <cell r="A4465" t="str">
            <v>Data split-16;Reg-15</v>
          </cell>
          <cell r="B4465">
            <v>-5.3</v>
          </cell>
          <cell r="C4465">
            <v>1.4</v>
          </cell>
          <cell r="D4465">
            <v>0</v>
          </cell>
          <cell r="E4465">
            <v>1.5</v>
          </cell>
          <cell r="F4465">
            <v>0</v>
          </cell>
          <cell r="G4465">
            <v>0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>
            <v>0</v>
          </cell>
          <cell r="M4465">
            <v>-4.2000000000000003E-2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 t="b">
            <v>1</v>
          </cell>
        </row>
        <row r="4466">
          <cell r="A4466" t="str">
            <v>Data split-16;Reg-16</v>
          </cell>
          <cell r="B4466">
            <v>-5.6</v>
          </cell>
          <cell r="C4466">
            <v>1.4</v>
          </cell>
          <cell r="D4466">
            <v>0</v>
          </cell>
          <cell r="E4466">
            <v>1.3</v>
          </cell>
          <cell r="F4466">
            <v>0</v>
          </cell>
          <cell r="G4466">
            <v>0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0</v>
          </cell>
          <cell r="M4466">
            <v>0</v>
          </cell>
          <cell r="N4466">
            <v>-2.3E-3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 t="b">
            <v>1</v>
          </cell>
        </row>
        <row r="4467">
          <cell r="A4467" t="str">
            <v>Data split-16;Reg-17</v>
          </cell>
          <cell r="B4467">
            <v>-6.5</v>
          </cell>
          <cell r="C4467">
            <v>1.9</v>
          </cell>
          <cell r="D4467">
            <v>0</v>
          </cell>
          <cell r="E4467">
            <v>0</v>
          </cell>
          <cell r="F4467">
            <v>0.18</v>
          </cell>
          <cell r="G4467">
            <v>0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>
            <v>0</v>
          </cell>
          <cell r="M4467">
            <v>1.9E-2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 t="b">
            <v>0</v>
          </cell>
        </row>
        <row r="4468">
          <cell r="A4468" t="str">
            <v>Data split-16;Reg-18</v>
          </cell>
          <cell r="B4468">
            <v>-6.4</v>
          </cell>
          <cell r="C4468">
            <v>1.8</v>
          </cell>
          <cell r="D4468">
            <v>0</v>
          </cell>
          <cell r="E4468">
            <v>0</v>
          </cell>
          <cell r="F4468">
            <v>0.14000000000000001</v>
          </cell>
          <cell r="G4468">
            <v>0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>
            <v>0</v>
          </cell>
          <cell r="M4468">
            <v>0</v>
          </cell>
          <cell r="N4468">
            <v>9.4999999999999998E-3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 t="b">
            <v>0</v>
          </cell>
        </row>
        <row r="4469">
          <cell r="A4469" t="str">
            <v>Data split-16;Reg-19</v>
          </cell>
          <cell r="B4469">
            <v>-7.6</v>
          </cell>
          <cell r="C4469">
            <v>2</v>
          </cell>
          <cell r="D4469">
            <v>0</v>
          </cell>
          <cell r="E4469">
            <v>0</v>
          </cell>
          <cell r="F4469">
            <v>0</v>
          </cell>
          <cell r="G4469">
            <v>9.6000000000000002E-2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0.12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 t="b">
            <v>0</v>
          </cell>
        </row>
        <row r="4470">
          <cell r="A4470" t="str">
            <v>Data split-16;Reg-20</v>
          </cell>
          <cell r="B4470">
            <v>-6.9</v>
          </cell>
          <cell r="C4470">
            <v>2</v>
          </cell>
          <cell r="D4470">
            <v>0</v>
          </cell>
          <cell r="E4470">
            <v>0</v>
          </cell>
          <cell r="F4470">
            <v>0</v>
          </cell>
          <cell r="G4470">
            <v>-0.22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2.7E-2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 t="b">
            <v>0</v>
          </cell>
        </row>
        <row r="4471">
          <cell r="A4471" t="str">
            <v>Data split-16;Reg-21</v>
          </cell>
          <cell r="B4471">
            <v>-7.1</v>
          </cell>
          <cell r="C4471">
            <v>1.7</v>
          </cell>
          <cell r="D4471">
            <v>0</v>
          </cell>
          <cell r="E4471">
            <v>0</v>
          </cell>
          <cell r="F4471">
            <v>0</v>
          </cell>
          <cell r="G4471">
            <v>0</v>
          </cell>
          <cell r="H4471">
            <v>0.73</v>
          </cell>
          <cell r="I4471">
            <v>0</v>
          </cell>
          <cell r="J4471">
            <v>0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8.6999999999999994E-2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 t="b">
            <v>0</v>
          </cell>
        </row>
        <row r="4472">
          <cell r="A4472" t="str">
            <v>Data split-16;Reg-22</v>
          </cell>
          <cell r="B4472">
            <v>-6.8</v>
          </cell>
          <cell r="C4472">
            <v>1.7</v>
          </cell>
          <cell r="D4472">
            <v>0</v>
          </cell>
          <cell r="E4472">
            <v>0</v>
          </cell>
          <cell r="F4472">
            <v>0</v>
          </cell>
          <cell r="G4472">
            <v>0</v>
          </cell>
          <cell r="H4472">
            <v>0.45</v>
          </cell>
          <cell r="I4472">
            <v>0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1.9E-2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 t="b">
            <v>0</v>
          </cell>
        </row>
        <row r="4473">
          <cell r="A4473" t="str">
            <v>Data split-16;Reg-23</v>
          </cell>
          <cell r="B4473">
            <v>-4.4000000000000004</v>
          </cell>
          <cell r="C4473">
            <v>0</v>
          </cell>
          <cell r="D4473">
            <v>1.4</v>
          </cell>
          <cell r="E4473">
            <v>0.27</v>
          </cell>
          <cell r="F4473">
            <v>0</v>
          </cell>
          <cell r="G4473">
            <v>0.95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 t="b">
            <v>1</v>
          </cell>
        </row>
        <row r="4474">
          <cell r="A4474" t="str">
            <v>Data split-16;Reg-24</v>
          </cell>
          <cell r="B4474">
            <v>-4.3</v>
          </cell>
          <cell r="C4474">
            <v>0</v>
          </cell>
          <cell r="D4474">
            <v>1.2</v>
          </cell>
          <cell r="E4474">
            <v>-0.54</v>
          </cell>
          <cell r="F4474">
            <v>0</v>
          </cell>
          <cell r="G4474">
            <v>0</v>
          </cell>
          <cell r="H4474">
            <v>2.8</v>
          </cell>
          <cell r="I4474">
            <v>0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 t="b">
            <v>0</v>
          </cell>
        </row>
        <row r="4475">
          <cell r="A4475" t="str">
            <v>Data split-16;Reg-25</v>
          </cell>
          <cell r="B4475">
            <v>-4.0999999999999996</v>
          </cell>
          <cell r="C4475">
            <v>0</v>
          </cell>
          <cell r="D4475">
            <v>1.5</v>
          </cell>
          <cell r="E4475">
            <v>0</v>
          </cell>
          <cell r="F4475">
            <v>8.5000000000000006E-2</v>
          </cell>
          <cell r="G4475">
            <v>0.96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 t="b">
            <v>1</v>
          </cell>
        </row>
        <row r="4476">
          <cell r="A4476" t="str">
            <v>Data split-16;Reg-26</v>
          </cell>
          <cell r="B4476">
            <v>-3.5</v>
          </cell>
          <cell r="C4476">
            <v>0</v>
          </cell>
          <cell r="D4476">
            <v>1.1000000000000001</v>
          </cell>
          <cell r="E4476">
            <v>0</v>
          </cell>
          <cell r="F4476">
            <v>5.1999999999999998E-2</v>
          </cell>
          <cell r="G4476">
            <v>0</v>
          </cell>
          <cell r="H4476">
            <v>2</v>
          </cell>
          <cell r="I4476">
            <v>0</v>
          </cell>
          <cell r="J4476">
            <v>0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 t="b">
            <v>1</v>
          </cell>
        </row>
        <row r="4477">
          <cell r="A4477" t="str">
            <v>Data split-16;Reg-27</v>
          </cell>
          <cell r="B4477">
            <v>-2.4</v>
          </cell>
          <cell r="C4477">
            <v>0</v>
          </cell>
          <cell r="D4477">
            <v>1.1000000000000001</v>
          </cell>
          <cell r="E4477">
            <v>1.7</v>
          </cell>
          <cell r="F4477">
            <v>0</v>
          </cell>
          <cell r="G4477">
            <v>0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0</v>
          </cell>
          <cell r="M4477">
            <v>-0.04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 t="b">
            <v>1</v>
          </cell>
        </row>
        <row r="4478">
          <cell r="A4478" t="str">
            <v>Data split-16;Reg-28</v>
          </cell>
          <cell r="B4478">
            <v>-2.6</v>
          </cell>
          <cell r="C4478">
            <v>0</v>
          </cell>
          <cell r="D4478">
            <v>1.1000000000000001</v>
          </cell>
          <cell r="E4478">
            <v>1.5</v>
          </cell>
          <cell r="F4478">
            <v>0</v>
          </cell>
          <cell r="G4478">
            <v>0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0</v>
          </cell>
          <cell r="M4478">
            <v>0</v>
          </cell>
          <cell r="N4478">
            <v>-2.8E-3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 t="b">
            <v>1</v>
          </cell>
        </row>
        <row r="4479">
          <cell r="A4479" t="str">
            <v>Data split-16;Reg-29</v>
          </cell>
          <cell r="B4479">
            <v>-2.9</v>
          </cell>
          <cell r="C4479">
            <v>0</v>
          </cell>
          <cell r="D4479">
            <v>1.7</v>
          </cell>
          <cell r="E4479">
            <v>0</v>
          </cell>
          <cell r="F4479">
            <v>0.19</v>
          </cell>
          <cell r="G4479">
            <v>0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0</v>
          </cell>
          <cell r="M4479">
            <v>3.2000000000000001E-2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 t="b">
            <v>0</v>
          </cell>
        </row>
        <row r="4480">
          <cell r="A4480" t="str">
            <v>Data split-16;Reg-30</v>
          </cell>
          <cell r="B4480">
            <v>-3.1</v>
          </cell>
          <cell r="C4480">
            <v>0</v>
          </cell>
          <cell r="D4480">
            <v>1.6</v>
          </cell>
          <cell r="E4480">
            <v>0</v>
          </cell>
          <cell r="F4480">
            <v>0.16</v>
          </cell>
          <cell r="G4480">
            <v>0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>
            <v>0</v>
          </cell>
          <cell r="M4480">
            <v>0</v>
          </cell>
          <cell r="N4480">
            <v>1.2E-2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 t="b">
            <v>0</v>
          </cell>
        </row>
        <row r="4481">
          <cell r="A4481" t="str">
            <v>Data split-16;Reg-31</v>
          </cell>
          <cell r="B4481">
            <v>-4.3</v>
          </cell>
          <cell r="C4481">
            <v>0</v>
          </cell>
          <cell r="D4481">
            <v>1.7</v>
          </cell>
          <cell r="E4481">
            <v>0</v>
          </cell>
          <cell r="F4481">
            <v>0</v>
          </cell>
          <cell r="G4481">
            <v>0.35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9.9000000000000005E-2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 t="b">
            <v>0</v>
          </cell>
        </row>
        <row r="4482">
          <cell r="A4482" t="str">
            <v>Data split-16;Reg-32</v>
          </cell>
          <cell r="B4482">
            <v>-3.6</v>
          </cell>
          <cell r="C4482">
            <v>0</v>
          </cell>
          <cell r="D4482">
            <v>1.7</v>
          </cell>
          <cell r="E4482">
            <v>0</v>
          </cell>
          <cell r="F4482">
            <v>0</v>
          </cell>
          <cell r="G4482">
            <v>1.7000000000000001E-2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2.5000000000000001E-2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 t="b">
            <v>0</v>
          </cell>
        </row>
        <row r="4483">
          <cell r="A4483" t="str">
            <v>Data split-16;Reg-33</v>
          </cell>
          <cell r="B4483">
            <v>-3.9</v>
          </cell>
          <cell r="C4483">
            <v>0</v>
          </cell>
          <cell r="D4483">
            <v>1.4</v>
          </cell>
          <cell r="E4483">
            <v>0</v>
          </cell>
          <cell r="F4483">
            <v>0</v>
          </cell>
          <cell r="G4483">
            <v>0</v>
          </cell>
          <cell r="H4483">
            <v>1.3</v>
          </cell>
          <cell r="I4483">
            <v>0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6.8000000000000005E-2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 t="b">
            <v>0</v>
          </cell>
        </row>
        <row r="4484">
          <cell r="A4484" t="str">
            <v>Data split-16;Reg-34</v>
          </cell>
          <cell r="B4484">
            <v>-3.7</v>
          </cell>
          <cell r="C4484">
            <v>0</v>
          </cell>
          <cell r="D4484">
            <v>1.4</v>
          </cell>
          <cell r="E4484">
            <v>0</v>
          </cell>
          <cell r="F4484">
            <v>0</v>
          </cell>
          <cell r="G4484">
            <v>0</v>
          </cell>
          <cell r="H4484">
            <v>0.95</v>
          </cell>
          <cell r="I4484">
            <v>0</v>
          </cell>
          <cell r="J4484">
            <v>0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1.6E-2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 t="b">
            <v>0</v>
          </cell>
        </row>
        <row r="4485">
          <cell r="A4485" t="str">
            <v>Data split-16;Reg-35</v>
          </cell>
          <cell r="B4485">
            <v>-7</v>
          </cell>
          <cell r="C4485">
            <v>1.6</v>
          </cell>
          <cell r="D4485">
            <v>0</v>
          </cell>
          <cell r="E4485">
            <v>0.54</v>
          </cell>
          <cell r="F4485">
            <v>0</v>
          </cell>
          <cell r="G4485">
            <v>1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>
            <v>0</v>
          </cell>
          <cell r="M4485">
            <v>-6.7000000000000004E-2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 t="b">
            <v>1</v>
          </cell>
        </row>
        <row r="4486">
          <cell r="A4486" t="str">
            <v>Data split-16;Reg-36</v>
          </cell>
          <cell r="B4486">
            <v>-7.2</v>
          </cell>
          <cell r="C4486">
            <v>1.6</v>
          </cell>
          <cell r="D4486">
            <v>0</v>
          </cell>
          <cell r="E4486">
            <v>0.46</v>
          </cell>
          <cell r="F4486">
            <v>0</v>
          </cell>
          <cell r="G4486">
            <v>0.98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-8.6E-3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 t="b">
            <v>1</v>
          </cell>
        </row>
        <row r="4487">
          <cell r="A4487" t="str">
            <v>Data split-16;Reg-37</v>
          </cell>
          <cell r="B4487">
            <v>-6.3</v>
          </cell>
          <cell r="C4487">
            <v>1.4</v>
          </cell>
          <cell r="D4487">
            <v>0</v>
          </cell>
          <cell r="E4487">
            <v>-0.05</v>
          </cell>
          <cell r="F4487">
            <v>0</v>
          </cell>
          <cell r="G4487">
            <v>0</v>
          </cell>
          <cell r="H4487">
            <v>2.5</v>
          </cell>
          <cell r="I4487">
            <v>0</v>
          </cell>
          <cell r="J4487">
            <v>0</v>
          </cell>
          <cell r="K4487">
            <v>0</v>
          </cell>
          <cell r="L4487">
            <v>0</v>
          </cell>
          <cell r="M4487">
            <v>-5.8999999999999997E-2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 t="b">
            <v>0</v>
          </cell>
        </row>
        <row r="4488">
          <cell r="A4488" t="str">
            <v>Data split-16;Reg-38</v>
          </cell>
          <cell r="B4488">
            <v>-6.5</v>
          </cell>
          <cell r="C4488">
            <v>1.4</v>
          </cell>
          <cell r="D4488">
            <v>0</v>
          </cell>
          <cell r="E4488">
            <v>-0.18</v>
          </cell>
          <cell r="F4488">
            <v>0</v>
          </cell>
          <cell r="G4488">
            <v>0</v>
          </cell>
          <cell r="H4488">
            <v>2.4</v>
          </cell>
          <cell r="I4488">
            <v>0</v>
          </cell>
          <cell r="J4488">
            <v>0</v>
          </cell>
          <cell r="K4488">
            <v>0</v>
          </cell>
          <cell r="L4488">
            <v>0</v>
          </cell>
          <cell r="M4488">
            <v>0</v>
          </cell>
          <cell r="N4488">
            <v>-5.3E-3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 t="b">
            <v>0</v>
          </cell>
        </row>
        <row r="4489">
          <cell r="A4489" t="str">
            <v>Data split-16;Reg-39</v>
          </cell>
          <cell r="B4489">
            <v>-7.2</v>
          </cell>
          <cell r="C4489">
            <v>1.8</v>
          </cell>
          <cell r="D4489">
            <v>0</v>
          </cell>
          <cell r="E4489">
            <v>0</v>
          </cell>
          <cell r="F4489">
            <v>0.11</v>
          </cell>
          <cell r="G4489">
            <v>1.2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>
            <v>0</v>
          </cell>
          <cell r="M4489">
            <v>-6.5000000000000002E-2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 t="b">
            <v>1</v>
          </cell>
        </row>
        <row r="4490">
          <cell r="A4490" t="str">
            <v>Data split-16;Reg-40</v>
          </cell>
          <cell r="B4490">
            <v>-7.2</v>
          </cell>
          <cell r="C4490">
            <v>1.8</v>
          </cell>
          <cell r="D4490">
            <v>0</v>
          </cell>
          <cell r="E4490">
            <v>0</v>
          </cell>
          <cell r="F4490">
            <v>9.4E-2</v>
          </cell>
          <cell r="G4490">
            <v>1.1000000000000001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0</v>
          </cell>
          <cell r="M4490">
            <v>0</v>
          </cell>
          <cell r="N4490">
            <v>-7.4999999999999997E-3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 t="b">
            <v>1</v>
          </cell>
        </row>
        <row r="4491">
          <cell r="A4491" t="str">
            <v>Data split-16;Reg-41</v>
          </cell>
          <cell r="B4491">
            <v>-5.8</v>
          </cell>
          <cell r="C4491">
            <v>1.4</v>
          </cell>
          <cell r="D4491">
            <v>0</v>
          </cell>
          <cell r="E4491">
            <v>0</v>
          </cell>
          <cell r="F4491">
            <v>0.08</v>
          </cell>
          <cell r="G4491">
            <v>0</v>
          </cell>
          <cell r="H4491">
            <v>2.2999999999999998</v>
          </cell>
          <cell r="I4491">
            <v>0</v>
          </cell>
          <cell r="J4491">
            <v>0</v>
          </cell>
          <cell r="K4491">
            <v>0</v>
          </cell>
          <cell r="L4491">
            <v>0</v>
          </cell>
          <cell r="M4491">
            <v>-6.7000000000000004E-2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 t="b">
            <v>1</v>
          </cell>
        </row>
        <row r="4492">
          <cell r="A4492" t="str">
            <v>Data split-16;Reg-42</v>
          </cell>
          <cell r="B4492">
            <v>-6</v>
          </cell>
          <cell r="C4492">
            <v>1.4</v>
          </cell>
          <cell r="D4492">
            <v>0</v>
          </cell>
          <cell r="E4492">
            <v>0</v>
          </cell>
          <cell r="F4492">
            <v>6.8000000000000005E-2</v>
          </cell>
          <cell r="G4492">
            <v>0</v>
          </cell>
          <cell r="H4492">
            <v>2</v>
          </cell>
          <cell r="I4492">
            <v>0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-7.1999999999999998E-3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 t="b">
            <v>1</v>
          </cell>
        </row>
        <row r="4493">
          <cell r="A4493" t="str">
            <v>Data split-16;Reg-43</v>
          </cell>
          <cell r="B4493">
            <v>-7.5</v>
          </cell>
          <cell r="C4493">
            <v>1.9</v>
          </cell>
          <cell r="D4493">
            <v>0</v>
          </cell>
          <cell r="E4493">
            <v>4.3999999999999997E-2</v>
          </cell>
          <cell r="F4493">
            <v>0</v>
          </cell>
          <cell r="G4493">
            <v>7.4999999999999997E-2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0.11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 t="b">
            <v>0</v>
          </cell>
        </row>
        <row r="4494">
          <cell r="A4494" t="str">
            <v>Data split-16;Reg-44</v>
          </cell>
          <cell r="B4494">
            <v>-6.9</v>
          </cell>
          <cell r="C4494">
            <v>2</v>
          </cell>
          <cell r="D4494">
            <v>0</v>
          </cell>
          <cell r="E4494">
            <v>4.7000000000000002E-3</v>
          </cell>
          <cell r="F4494">
            <v>0</v>
          </cell>
          <cell r="G4494">
            <v>-0.22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2.7E-2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 t="b">
            <v>0</v>
          </cell>
        </row>
        <row r="4495">
          <cell r="A4495" t="str">
            <v>Data split-16;Reg-45</v>
          </cell>
          <cell r="B4495">
            <v>-7.6</v>
          </cell>
          <cell r="C4495">
            <v>1.8</v>
          </cell>
          <cell r="D4495">
            <v>0</v>
          </cell>
          <cell r="E4495">
            <v>-0.55000000000000004</v>
          </cell>
          <cell r="F4495">
            <v>0</v>
          </cell>
          <cell r="G4495">
            <v>0</v>
          </cell>
          <cell r="H4495">
            <v>1.3</v>
          </cell>
          <cell r="I4495">
            <v>0</v>
          </cell>
          <cell r="J4495">
            <v>0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9.1999999999999998E-2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 t="b">
            <v>0</v>
          </cell>
        </row>
        <row r="4496">
          <cell r="A4496" t="str">
            <v>Data split-16;Reg-46</v>
          </cell>
          <cell r="B4496">
            <v>-7.4</v>
          </cell>
          <cell r="C4496">
            <v>1.9</v>
          </cell>
          <cell r="D4496">
            <v>0</v>
          </cell>
          <cell r="E4496">
            <v>-0.64</v>
          </cell>
          <cell r="F4496">
            <v>0</v>
          </cell>
          <cell r="G4496">
            <v>0</v>
          </cell>
          <cell r="H4496">
            <v>1.1000000000000001</v>
          </cell>
          <cell r="I4496">
            <v>0</v>
          </cell>
          <cell r="J4496">
            <v>0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0.02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 t="b">
            <v>0</v>
          </cell>
        </row>
        <row r="4497">
          <cell r="A4497" t="str">
            <v>Data split-16;Reg-47</v>
          </cell>
          <cell r="B4497">
            <v>-7.6</v>
          </cell>
          <cell r="C4497">
            <v>2</v>
          </cell>
          <cell r="D4497">
            <v>0</v>
          </cell>
          <cell r="E4497">
            <v>0</v>
          </cell>
          <cell r="F4497">
            <v>-1E-3</v>
          </cell>
          <cell r="G4497">
            <v>9.4E-2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0.12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 t="b">
            <v>0</v>
          </cell>
        </row>
        <row r="4498">
          <cell r="A4498" t="str">
            <v>Data split-16;Reg-48</v>
          </cell>
          <cell r="B4498">
            <v>-7</v>
          </cell>
          <cell r="C4498">
            <v>2</v>
          </cell>
          <cell r="D4498">
            <v>0</v>
          </cell>
          <cell r="E4498">
            <v>0</v>
          </cell>
          <cell r="F4498">
            <v>-1.4999999999999999E-2</v>
          </cell>
          <cell r="G4498">
            <v>-0.24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2.8000000000000001E-2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 t="b">
            <v>0</v>
          </cell>
        </row>
        <row r="4499">
          <cell r="A4499" t="str">
            <v>Data split-16;Reg-49</v>
          </cell>
          <cell r="B4499">
            <v>-7.1</v>
          </cell>
          <cell r="C4499">
            <v>1.7</v>
          </cell>
          <cell r="D4499">
            <v>0</v>
          </cell>
          <cell r="E4499">
            <v>0</v>
          </cell>
          <cell r="F4499">
            <v>-6.3E-3</v>
          </cell>
          <cell r="G4499">
            <v>0</v>
          </cell>
          <cell r="H4499">
            <v>0.74</v>
          </cell>
          <cell r="I4499">
            <v>0</v>
          </cell>
          <cell r="J4499">
            <v>0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8.7999999999999995E-2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 t="b">
            <v>0</v>
          </cell>
        </row>
        <row r="4500">
          <cell r="A4500" t="str">
            <v>Data split-16;Reg-50</v>
          </cell>
          <cell r="B4500">
            <v>-6.9</v>
          </cell>
          <cell r="C4500">
            <v>1.8</v>
          </cell>
          <cell r="D4500">
            <v>0</v>
          </cell>
          <cell r="E4500">
            <v>0</v>
          </cell>
          <cell r="F4500">
            <v>-1.2E-2</v>
          </cell>
          <cell r="G4500">
            <v>0</v>
          </cell>
          <cell r="H4500">
            <v>0.46</v>
          </cell>
          <cell r="I4500">
            <v>0</v>
          </cell>
          <cell r="J4500">
            <v>0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0.02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 t="b">
            <v>0</v>
          </cell>
        </row>
        <row r="4501">
          <cell r="A4501" t="str">
            <v>Data split-16;Reg-51</v>
          </cell>
          <cell r="B4501">
            <v>-4</v>
          </cell>
          <cell r="C4501">
            <v>0</v>
          </cell>
          <cell r="D4501">
            <v>1.4</v>
          </cell>
          <cell r="E4501">
            <v>0.62</v>
          </cell>
          <cell r="F4501">
            <v>0</v>
          </cell>
          <cell r="G4501">
            <v>1.1000000000000001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-6.4000000000000001E-2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 t="b">
            <v>1</v>
          </cell>
        </row>
        <row r="4502">
          <cell r="A4502" t="str">
            <v>Data split-16;Reg-52</v>
          </cell>
          <cell r="B4502">
            <v>-4.2</v>
          </cell>
          <cell r="C4502">
            <v>0</v>
          </cell>
          <cell r="D4502">
            <v>1.4</v>
          </cell>
          <cell r="E4502">
            <v>0.56000000000000005</v>
          </cell>
          <cell r="F4502">
            <v>0</v>
          </cell>
          <cell r="G4502">
            <v>1.1000000000000001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0</v>
          </cell>
          <cell r="M4502">
            <v>0</v>
          </cell>
          <cell r="N4502">
            <v>-9.2999999999999992E-3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 t="b">
            <v>1</v>
          </cell>
        </row>
        <row r="4503">
          <cell r="A4503" t="str">
            <v>Data split-16;Reg-53</v>
          </cell>
          <cell r="B4503">
            <v>-3.9</v>
          </cell>
          <cell r="C4503">
            <v>0</v>
          </cell>
          <cell r="D4503">
            <v>1.1000000000000001</v>
          </cell>
          <cell r="E4503">
            <v>-0.2</v>
          </cell>
          <cell r="F4503">
            <v>0</v>
          </cell>
          <cell r="G4503">
            <v>0</v>
          </cell>
          <cell r="H4503">
            <v>3</v>
          </cell>
          <cell r="I4503">
            <v>0</v>
          </cell>
          <cell r="J4503">
            <v>0</v>
          </cell>
          <cell r="K4503">
            <v>0</v>
          </cell>
          <cell r="L4503">
            <v>0</v>
          </cell>
          <cell r="M4503">
            <v>-5.8000000000000003E-2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 t="b">
            <v>0</v>
          </cell>
        </row>
        <row r="4504">
          <cell r="A4504" t="str">
            <v>Data split-16;Reg-54</v>
          </cell>
          <cell r="B4504">
            <v>-4.0999999999999996</v>
          </cell>
          <cell r="C4504">
            <v>0</v>
          </cell>
          <cell r="D4504">
            <v>1.2</v>
          </cell>
          <cell r="E4504">
            <v>-0.32</v>
          </cell>
          <cell r="F4504">
            <v>0</v>
          </cell>
          <cell r="G4504">
            <v>0</v>
          </cell>
          <cell r="H4504">
            <v>2.9</v>
          </cell>
          <cell r="I4504">
            <v>0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-5.8999999999999999E-3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 t="b">
            <v>0</v>
          </cell>
        </row>
        <row r="4505">
          <cell r="A4505" t="str">
            <v>Data split-16;Reg-55</v>
          </cell>
          <cell r="B4505">
            <v>-4</v>
          </cell>
          <cell r="C4505">
            <v>0</v>
          </cell>
          <cell r="D4505">
            <v>1.6</v>
          </cell>
          <cell r="E4505">
            <v>0</v>
          </cell>
          <cell r="F4505">
            <v>0.11</v>
          </cell>
          <cell r="G4505">
            <v>1.2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0</v>
          </cell>
          <cell r="M4505">
            <v>-6.0999999999999999E-2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 t="b">
            <v>1</v>
          </cell>
        </row>
        <row r="4506">
          <cell r="A4506" t="str">
            <v>Data split-16;Reg-56</v>
          </cell>
          <cell r="B4506">
            <v>-4.0999999999999996</v>
          </cell>
          <cell r="C4506">
            <v>0</v>
          </cell>
          <cell r="D4506">
            <v>1.6</v>
          </cell>
          <cell r="E4506">
            <v>0</v>
          </cell>
          <cell r="F4506">
            <v>9.9000000000000005E-2</v>
          </cell>
          <cell r="G4506">
            <v>1.2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-7.9000000000000008E-3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 t="b">
            <v>1</v>
          </cell>
        </row>
        <row r="4507">
          <cell r="A4507" t="str">
            <v>Data split-16;Reg-57</v>
          </cell>
          <cell r="B4507">
            <v>-3.3</v>
          </cell>
          <cell r="C4507">
            <v>0</v>
          </cell>
          <cell r="D4507">
            <v>1.1000000000000001</v>
          </cell>
          <cell r="E4507">
            <v>0</v>
          </cell>
          <cell r="F4507">
            <v>7.4999999999999997E-2</v>
          </cell>
          <cell r="G4507">
            <v>0</v>
          </cell>
          <cell r="H4507">
            <v>2.6</v>
          </cell>
          <cell r="I4507">
            <v>0</v>
          </cell>
          <cell r="J4507">
            <v>0</v>
          </cell>
          <cell r="K4507">
            <v>0</v>
          </cell>
          <cell r="L4507">
            <v>0</v>
          </cell>
          <cell r="M4507">
            <v>-6.8000000000000005E-2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 t="b">
            <v>1</v>
          </cell>
        </row>
        <row r="4508">
          <cell r="A4508" t="str">
            <v>Data split-16;Reg-58</v>
          </cell>
          <cell r="B4508">
            <v>-3.4</v>
          </cell>
          <cell r="C4508">
            <v>0</v>
          </cell>
          <cell r="D4508">
            <v>1.1000000000000001</v>
          </cell>
          <cell r="E4508">
            <v>0</v>
          </cell>
          <cell r="F4508">
            <v>6.4000000000000001E-2</v>
          </cell>
          <cell r="G4508">
            <v>0</v>
          </cell>
          <cell r="H4508">
            <v>2.4</v>
          </cell>
          <cell r="I4508">
            <v>0</v>
          </cell>
          <cell r="J4508">
            <v>0</v>
          </cell>
          <cell r="K4508">
            <v>0</v>
          </cell>
          <cell r="L4508">
            <v>0</v>
          </cell>
          <cell r="M4508">
            <v>0</v>
          </cell>
          <cell r="N4508">
            <v>-8.5000000000000006E-3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 t="b">
            <v>1</v>
          </cell>
        </row>
        <row r="4509">
          <cell r="A4509" t="str">
            <v>Data split-16;Reg-59</v>
          </cell>
          <cell r="B4509">
            <v>-4.0999999999999996</v>
          </cell>
          <cell r="C4509">
            <v>0</v>
          </cell>
          <cell r="D4509">
            <v>1.7</v>
          </cell>
          <cell r="E4509">
            <v>8.8999999999999996E-2</v>
          </cell>
          <cell r="F4509">
            <v>0</v>
          </cell>
          <cell r="G4509">
            <v>0.31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9.7000000000000003E-2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 t="b">
            <v>0</v>
          </cell>
        </row>
        <row r="4510">
          <cell r="A4510" t="str">
            <v>Data split-16;Reg-60</v>
          </cell>
          <cell r="B4510">
            <v>-3.6</v>
          </cell>
          <cell r="C4510">
            <v>0</v>
          </cell>
          <cell r="D4510">
            <v>1.7</v>
          </cell>
          <cell r="E4510">
            <v>3.9E-2</v>
          </cell>
          <cell r="F4510">
            <v>0</v>
          </cell>
          <cell r="G4510">
            <v>-8.0999999999999996E-4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2.5000000000000001E-2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 t="b">
            <v>0</v>
          </cell>
        </row>
        <row r="4511">
          <cell r="A4511" t="str">
            <v>Data split-16;Reg-61</v>
          </cell>
          <cell r="B4511">
            <v>-4.5999999999999996</v>
          </cell>
          <cell r="C4511">
            <v>0</v>
          </cell>
          <cell r="D4511">
            <v>1.5</v>
          </cell>
          <cell r="E4511">
            <v>-0.8</v>
          </cell>
          <cell r="F4511">
            <v>0</v>
          </cell>
          <cell r="G4511">
            <v>0</v>
          </cell>
          <cell r="H4511">
            <v>2.1</v>
          </cell>
          <cell r="I4511">
            <v>0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7.9000000000000001E-2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 t="b">
            <v>0</v>
          </cell>
        </row>
        <row r="4512">
          <cell r="A4512" t="str">
            <v>Data split-16;Reg-62</v>
          </cell>
          <cell r="B4512">
            <v>-4.4000000000000004</v>
          </cell>
          <cell r="C4512">
            <v>0</v>
          </cell>
          <cell r="D4512">
            <v>1.6</v>
          </cell>
          <cell r="E4512">
            <v>-0.91</v>
          </cell>
          <cell r="F4512">
            <v>0</v>
          </cell>
          <cell r="G4512">
            <v>0</v>
          </cell>
          <cell r="H4512">
            <v>1.8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1.9E-2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 t="b">
            <v>0</v>
          </cell>
        </row>
        <row r="4513">
          <cell r="A4513" t="str">
            <v>Data split-16;Reg-63</v>
          </cell>
          <cell r="B4513">
            <v>-4.0999999999999996</v>
          </cell>
          <cell r="C4513">
            <v>0</v>
          </cell>
          <cell r="D4513">
            <v>1.7</v>
          </cell>
          <cell r="E4513">
            <v>0</v>
          </cell>
          <cell r="F4513">
            <v>2.1999999999999999E-2</v>
          </cell>
          <cell r="G4513">
            <v>0.39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8.8999999999999996E-2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 t="b">
            <v>0</v>
          </cell>
        </row>
        <row r="4514">
          <cell r="A4514" t="str">
            <v>Data split-16;Reg-64</v>
          </cell>
          <cell r="B4514">
            <v>-3.6</v>
          </cell>
          <cell r="C4514">
            <v>0</v>
          </cell>
          <cell r="D4514">
            <v>1.7</v>
          </cell>
          <cell r="E4514">
            <v>0</v>
          </cell>
          <cell r="F4514">
            <v>4.6000000000000001E-4</v>
          </cell>
          <cell r="G4514">
            <v>1.7999999999999999E-2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2.5000000000000001E-2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 t="b">
            <v>0</v>
          </cell>
        </row>
        <row r="4515">
          <cell r="A4515" t="str">
            <v>Data split-16;Reg-65</v>
          </cell>
          <cell r="B4515">
            <v>-3.9</v>
          </cell>
          <cell r="C4515">
            <v>0</v>
          </cell>
          <cell r="D4515">
            <v>1.4</v>
          </cell>
          <cell r="E4515">
            <v>0</v>
          </cell>
          <cell r="F4515">
            <v>2.8E-3</v>
          </cell>
          <cell r="G4515">
            <v>0</v>
          </cell>
          <cell r="H4515">
            <v>1.3</v>
          </cell>
          <cell r="I4515">
            <v>0</v>
          </cell>
          <cell r="J4515">
            <v>0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6.7000000000000004E-2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 t="b">
            <v>0</v>
          </cell>
        </row>
        <row r="4516">
          <cell r="A4516" t="str">
            <v>Data split-16;Reg-66</v>
          </cell>
          <cell r="B4516">
            <v>-3.7</v>
          </cell>
          <cell r="C4516">
            <v>0</v>
          </cell>
          <cell r="D4516">
            <v>1.4</v>
          </cell>
          <cell r="E4516">
            <v>0</v>
          </cell>
          <cell r="F4516">
            <v>-8.2000000000000007E-3</v>
          </cell>
          <cell r="G4516">
            <v>0</v>
          </cell>
          <cell r="H4516">
            <v>0.95</v>
          </cell>
          <cell r="I4516">
            <v>0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1.7000000000000001E-2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 t="b">
            <v>0</v>
          </cell>
        </row>
        <row r="4517">
          <cell r="A4517" t="str">
            <v>Data split-16;Reg-67</v>
          </cell>
          <cell r="B4517">
            <v>-7.7</v>
          </cell>
          <cell r="C4517">
            <v>1.7</v>
          </cell>
          <cell r="D4517">
            <v>0</v>
          </cell>
          <cell r="E4517">
            <v>0</v>
          </cell>
          <cell r="F4517">
            <v>0</v>
          </cell>
          <cell r="G4517">
            <v>0.99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 t="b">
            <v>1</v>
          </cell>
        </row>
        <row r="4518">
          <cell r="A4518" t="str">
            <v>Data split-16;Reg-68</v>
          </cell>
          <cell r="B4518">
            <v>-7.1</v>
          </cell>
          <cell r="C4518">
            <v>1.7</v>
          </cell>
          <cell r="D4518">
            <v>0</v>
          </cell>
          <cell r="E4518">
            <v>0</v>
          </cell>
          <cell r="F4518">
            <v>8.1000000000000003E-2</v>
          </cell>
          <cell r="G4518">
            <v>0.85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 t="b">
            <v>1</v>
          </cell>
        </row>
        <row r="4519">
          <cell r="A4519" t="str">
            <v>Data split-16;Reg-69</v>
          </cell>
          <cell r="B4519">
            <v>-7.2</v>
          </cell>
          <cell r="C4519">
            <v>1.7</v>
          </cell>
          <cell r="D4519">
            <v>0</v>
          </cell>
          <cell r="E4519">
            <v>0</v>
          </cell>
          <cell r="F4519">
            <v>0</v>
          </cell>
          <cell r="G4519">
            <v>1</v>
          </cell>
          <cell r="H4519">
            <v>0</v>
          </cell>
          <cell r="I4519">
            <v>0</v>
          </cell>
          <cell r="J4519">
            <v>-1.7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 t="b">
            <v>1</v>
          </cell>
        </row>
        <row r="4520">
          <cell r="A4520" t="str">
            <v>Data split-16;Reg-70</v>
          </cell>
          <cell r="B4520">
            <v>-7.4</v>
          </cell>
          <cell r="C4520">
            <v>1.8</v>
          </cell>
          <cell r="D4520">
            <v>0</v>
          </cell>
          <cell r="E4520">
            <v>0</v>
          </cell>
          <cell r="F4520">
            <v>0</v>
          </cell>
          <cell r="G4520">
            <v>1.3</v>
          </cell>
          <cell r="H4520">
            <v>0</v>
          </cell>
          <cell r="I4520">
            <v>0</v>
          </cell>
          <cell r="J4520">
            <v>-1.7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-4.7E-2</v>
          </cell>
          <cell r="T4520">
            <v>0</v>
          </cell>
          <cell r="U4520" t="b">
            <v>1</v>
          </cell>
        </row>
        <row r="4521">
          <cell r="A4521" t="str">
            <v>Data split-16;Reg-71</v>
          </cell>
          <cell r="B4521">
            <v>-3</v>
          </cell>
          <cell r="C4521">
            <v>1</v>
          </cell>
          <cell r="D4521">
            <v>0</v>
          </cell>
          <cell r="E4521">
            <v>0</v>
          </cell>
          <cell r="F4521">
            <v>7.0999999999999994E-2</v>
          </cell>
          <cell r="G4521">
            <v>0</v>
          </cell>
          <cell r="H4521">
            <v>3.3</v>
          </cell>
          <cell r="I4521">
            <v>0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-0.12</v>
          </cell>
          <cell r="T4521">
            <v>0</v>
          </cell>
          <cell r="U4521" t="b">
            <v>1</v>
          </cell>
        </row>
        <row r="4522">
          <cell r="A4522" t="str">
            <v>Data split-16;Reg-72</v>
          </cell>
          <cell r="B4522">
            <v>-5.7</v>
          </cell>
          <cell r="C4522">
            <v>1.4</v>
          </cell>
          <cell r="D4522">
            <v>0</v>
          </cell>
          <cell r="E4522">
            <v>1.2</v>
          </cell>
          <cell r="F4522">
            <v>0</v>
          </cell>
          <cell r="G4522">
            <v>0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 t="b">
            <v>1</v>
          </cell>
        </row>
        <row r="4523">
          <cell r="A4523" t="str">
            <v>Data split-16;Reg-73</v>
          </cell>
          <cell r="B4523">
            <v>-6.4</v>
          </cell>
          <cell r="C4523">
            <v>2</v>
          </cell>
          <cell r="D4523">
            <v>0</v>
          </cell>
          <cell r="E4523">
            <v>0</v>
          </cell>
          <cell r="F4523">
            <v>0.2</v>
          </cell>
          <cell r="G4523">
            <v>0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 t="b">
            <v>1</v>
          </cell>
        </row>
        <row r="4524">
          <cell r="A4524" t="str">
            <v>Data split-16;Reg-74</v>
          </cell>
          <cell r="B4524">
            <v>-2.7</v>
          </cell>
          <cell r="C4524">
            <v>0</v>
          </cell>
          <cell r="D4524">
            <v>1.1000000000000001</v>
          </cell>
          <cell r="E4524">
            <v>1.4</v>
          </cell>
          <cell r="F4524">
            <v>0</v>
          </cell>
          <cell r="G4524">
            <v>0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 t="b">
            <v>1</v>
          </cell>
        </row>
        <row r="4525">
          <cell r="A4525" t="str">
            <v>Data split-16;Reg-75</v>
          </cell>
          <cell r="B4525">
            <v>-2.7</v>
          </cell>
          <cell r="C4525">
            <v>0</v>
          </cell>
          <cell r="D4525">
            <v>1.8</v>
          </cell>
          <cell r="E4525">
            <v>0</v>
          </cell>
          <cell r="F4525">
            <v>0.22</v>
          </cell>
          <cell r="G4525">
            <v>0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 t="b">
            <v>1</v>
          </cell>
        </row>
        <row r="4526">
          <cell r="A4526" t="str">
            <v>Data split-16;Reg-76</v>
          </cell>
          <cell r="B4526">
            <v>-7.7</v>
          </cell>
          <cell r="C4526">
            <v>1.7</v>
          </cell>
          <cell r="D4526">
            <v>0</v>
          </cell>
          <cell r="E4526">
            <v>0</v>
          </cell>
          <cell r="F4526">
            <v>0</v>
          </cell>
          <cell r="G4526">
            <v>0.99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 t="b">
            <v>1</v>
          </cell>
        </row>
        <row r="4527">
          <cell r="A4527" t="str">
            <v>Data split-16;Reg-77</v>
          </cell>
          <cell r="B4527">
            <v>-6.4</v>
          </cell>
          <cell r="C4527">
            <v>1.4</v>
          </cell>
          <cell r="D4527">
            <v>0</v>
          </cell>
          <cell r="E4527">
            <v>0</v>
          </cell>
          <cell r="F4527">
            <v>0</v>
          </cell>
          <cell r="G4527">
            <v>0</v>
          </cell>
          <cell r="H4527">
            <v>1.9</v>
          </cell>
          <cell r="I4527">
            <v>0</v>
          </cell>
          <cell r="J4527">
            <v>0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 t="b">
            <v>1</v>
          </cell>
        </row>
        <row r="4528">
          <cell r="A4528" t="str">
            <v>Data split-16;Reg-78</v>
          </cell>
          <cell r="B4528">
            <v>-4.7</v>
          </cell>
          <cell r="C4528">
            <v>0</v>
          </cell>
          <cell r="D4528">
            <v>1.5</v>
          </cell>
          <cell r="E4528">
            <v>0</v>
          </cell>
          <cell r="F4528">
            <v>0</v>
          </cell>
          <cell r="G4528">
            <v>1.1000000000000001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 t="b">
            <v>1</v>
          </cell>
        </row>
        <row r="4529">
          <cell r="A4529" t="str">
            <v>Data split-16;Reg-79</v>
          </cell>
          <cell r="B4529">
            <v>-3.9</v>
          </cell>
          <cell r="C4529">
            <v>0</v>
          </cell>
          <cell r="D4529">
            <v>1.1000000000000001</v>
          </cell>
          <cell r="E4529">
            <v>0</v>
          </cell>
          <cell r="F4529">
            <v>0</v>
          </cell>
          <cell r="G4529">
            <v>0</v>
          </cell>
          <cell r="H4529">
            <v>2.2000000000000002</v>
          </cell>
          <cell r="I4529">
            <v>0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 t="b">
            <v>1</v>
          </cell>
        </row>
        <row r="4530">
          <cell r="A4530" t="str">
            <v>Data split-16;Reg-80</v>
          </cell>
          <cell r="B4530">
            <v>-8.9</v>
          </cell>
          <cell r="C4530">
            <v>2.1</v>
          </cell>
          <cell r="D4530">
            <v>0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  <cell r="I4530">
            <v>1.1000000000000001</v>
          </cell>
          <cell r="J4530">
            <v>0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 t="b">
            <v>0</v>
          </cell>
        </row>
        <row r="4531">
          <cell r="A4531" t="str">
            <v>Data split-16;Reg-81</v>
          </cell>
          <cell r="B4531">
            <v>-11.2</v>
          </cell>
          <cell r="C4531">
            <v>2.2000000000000002</v>
          </cell>
          <cell r="D4531">
            <v>0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  <cell r="I4531">
            <v>0</v>
          </cell>
          <cell r="J4531">
            <v>10.7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 t="b">
            <v>0</v>
          </cell>
        </row>
        <row r="4532">
          <cell r="A4532" t="str">
            <v>Data split-16;Reg-82</v>
          </cell>
          <cell r="B4532">
            <v>-5.4</v>
          </cell>
          <cell r="C4532">
            <v>0</v>
          </cell>
          <cell r="D4532">
            <v>1.9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  <cell r="I4532">
            <v>1.4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 t="b">
            <v>0</v>
          </cell>
        </row>
        <row r="4533">
          <cell r="A4533" t="str">
            <v>Data split-16;Reg-83</v>
          </cell>
          <cell r="B4533">
            <v>-9.5</v>
          </cell>
          <cell r="C4533">
            <v>0</v>
          </cell>
          <cell r="D4533">
            <v>2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16.899999999999999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 t="b">
            <v>0</v>
          </cell>
        </row>
        <row r="4534">
          <cell r="A4534" t="str">
            <v>Data split-16;Reg-84</v>
          </cell>
          <cell r="B4534">
            <v>-11</v>
          </cell>
          <cell r="C4534">
            <v>2.2999999999999998</v>
          </cell>
          <cell r="D4534">
            <v>0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0</v>
          </cell>
          <cell r="K4534">
            <v>0.69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 t="b">
            <v>0</v>
          </cell>
        </row>
        <row r="4535">
          <cell r="A4535" t="str">
            <v>Data split-16;Reg-85</v>
          </cell>
          <cell r="B4535">
            <v>-10.6</v>
          </cell>
          <cell r="C4535">
            <v>2.4</v>
          </cell>
          <cell r="D4535">
            <v>0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2.6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 t="b">
            <v>0</v>
          </cell>
        </row>
        <row r="4536">
          <cell r="A4536" t="str">
            <v>Data split-16;Reg-86</v>
          </cell>
          <cell r="B4536">
            <v>-10.199999999999999</v>
          </cell>
          <cell r="C4536">
            <v>0</v>
          </cell>
          <cell r="D4536">
            <v>2.1</v>
          </cell>
          <cell r="E4536">
            <v>0</v>
          </cell>
          <cell r="F4536">
            <v>0</v>
          </cell>
          <cell r="G4536">
            <v>0</v>
          </cell>
          <cell r="H4536">
            <v>0</v>
          </cell>
          <cell r="I4536">
            <v>0</v>
          </cell>
          <cell r="J4536">
            <v>0</v>
          </cell>
          <cell r="K4536">
            <v>1.4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 t="b">
            <v>0</v>
          </cell>
        </row>
        <row r="4537">
          <cell r="A4537" t="str">
            <v>Data split-16;Reg-87</v>
          </cell>
          <cell r="B4537">
            <v>-11.5</v>
          </cell>
          <cell r="C4537">
            <v>0</v>
          </cell>
          <cell r="D4537">
            <v>2.2000000000000002</v>
          </cell>
          <cell r="E4537">
            <v>0</v>
          </cell>
          <cell r="F4537">
            <v>0</v>
          </cell>
          <cell r="G4537">
            <v>0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7.4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 t="b">
            <v>0</v>
          </cell>
        </row>
        <row r="4538">
          <cell r="A4538" t="str">
            <v>Data split-16;Reg-88</v>
          </cell>
          <cell r="B4538">
            <v>-7.8</v>
          </cell>
          <cell r="C4538">
            <v>2</v>
          </cell>
          <cell r="D4538">
            <v>0</v>
          </cell>
          <cell r="E4538">
            <v>0</v>
          </cell>
          <cell r="F4538">
            <v>0</v>
          </cell>
          <cell r="G4538">
            <v>0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0</v>
          </cell>
          <cell r="M4538">
            <v>5.8000000000000003E-2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 t="b">
            <v>0</v>
          </cell>
        </row>
        <row r="4539">
          <cell r="A4539" t="str">
            <v>Data split-16;Reg-89</v>
          </cell>
          <cell r="B4539">
            <v>-7.5</v>
          </cell>
          <cell r="C4539">
            <v>1.9</v>
          </cell>
          <cell r="D4539">
            <v>0</v>
          </cell>
          <cell r="E4539">
            <v>0</v>
          </cell>
          <cell r="F4539">
            <v>0</v>
          </cell>
          <cell r="G4539">
            <v>0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>
            <v>0</v>
          </cell>
          <cell r="M4539">
            <v>0</v>
          </cell>
          <cell r="N4539">
            <v>1.6E-2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 t="b">
            <v>0</v>
          </cell>
        </row>
        <row r="4540">
          <cell r="A4540" t="str">
            <v>Data split-16;Reg-90</v>
          </cell>
          <cell r="B4540">
            <v>-4.2</v>
          </cell>
          <cell r="C4540">
            <v>0</v>
          </cell>
          <cell r="D4540">
            <v>1.8</v>
          </cell>
          <cell r="E4540">
            <v>0</v>
          </cell>
          <cell r="F4540">
            <v>0</v>
          </cell>
          <cell r="G4540">
            <v>0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0</v>
          </cell>
          <cell r="M4540">
            <v>7.3999999999999996E-2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 t="b">
            <v>0</v>
          </cell>
        </row>
        <row r="4541">
          <cell r="A4541" t="str">
            <v>Data split-16;Reg-91</v>
          </cell>
          <cell r="B4541">
            <v>-4.0999999999999996</v>
          </cell>
          <cell r="C4541">
            <v>0</v>
          </cell>
          <cell r="D4541">
            <v>1.6</v>
          </cell>
          <cell r="E4541">
            <v>0</v>
          </cell>
          <cell r="F4541">
            <v>0</v>
          </cell>
          <cell r="G4541">
            <v>0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1.7999999999999999E-2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 t="b">
            <v>0</v>
          </cell>
        </row>
        <row r="4542">
          <cell r="A4542" t="str">
            <v>Data split-16;Reg-92</v>
          </cell>
          <cell r="B4542">
            <v>-7.6</v>
          </cell>
          <cell r="C4542">
            <v>2</v>
          </cell>
          <cell r="D4542">
            <v>0</v>
          </cell>
          <cell r="E4542">
            <v>0</v>
          </cell>
          <cell r="F4542">
            <v>0</v>
          </cell>
          <cell r="G4542">
            <v>0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0.13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 t="b">
            <v>0</v>
          </cell>
        </row>
        <row r="4543">
          <cell r="A4543" t="str">
            <v>Data split-16;Reg-93</v>
          </cell>
          <cell r="B4543">
            <v>-7</v>
          </cell>
          <cell r="C4543">
            <v>1.9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2.3E-2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 t="b">
            <v>0</v>
          </cell>
        </row>
        <row r="4544">
          <cell r="A4544" t="str">
            <v>Data split-16;Reg-94</v>
          </cell>
          <cell r="B4544">
            <v>-4.0999999999999996</v>
          </cell>
          <cell r="C4544">
            <v>0</v>
          </cell>
          <cell r="D4544">
            <v>1.8</v>
          </cell>
          <cell r="E4544">
            <v>0</v>
          </cell>
          <cell r="F4544">
            <v>0</v>
          </cell>
          <cell r="G4544">
            <v>0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0.14000000000000001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 t="b">
            <v>0</v>
          </cell>
        </row>
        <row r="4545">
          <cell r="A4545" t="str">
            <v>Data split-16;Reg-95</v>
          </cell>
          <cell r="B4545">
            <v>-3.6</v>
          </cell>
          <cell r="C4545">
            <v>0</v>
          </cell>
          <cell r="D4545">
            <v>1.7</v>
          </cell>
          <cell r="E4545">
            <v>0</v>
          </cell>
          <cell r="F4545">
            <v>0</v>
          </cell>
          <cell r="G4545">
            <v>0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2.5000000000000001E-2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 t="b">
            <v>0</v>
          </cell>
        </row>
        <row r="4546">
          <cell r="A4546" t="str">
            <v>Data split-16;Reg-96</v>
          </cell>
          <cell r="B4546">
            <v>-5.6</v>
          </cell>
          <cell r="C4546">
            <v>1.4</v>
          </cell>
          <cell r="D4546">
            <v>0</v>
          </cell>
          <cell r="E4546">
            <v>1.2</v>
          </cell>
          <cell r="F4546">
            <v>0</v>
          </cell>
          <cell r="G4546">
            <v>0</v>
          </cell>
          <cell r="H4546">
            <v>0</v>
          </cell>
          <cell r="I4546">
            <v>-5.0999999999999997E-2</v>
          </cell>
          <cell r="J4546">
            <v>0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 t="b">
            <v>1</v>
          </cell>
        </row>
        <row r="4547">
          <cell r="A4547" t="str">
            <v>Data split-16;Reg-97</v>
          </cell>
          <cell r="B4547">
            <v>-7.2</v>
          </cell>
          <cell r="C4547">
            <v>1.5</v>
          </cell>
          <cell r="D4547">
            <v>0</v>
          </cell>
          <cell r="E4547">
            <v>1</v>
          </cell>
          <cell r="F4547">
            <v>0</v>
          </cell>
          <cell r="G4547">
            <v>0</v>
          </cell>
          <cell r="H4547">
            <v>0</v>
          </cell>
          <cell r="I4547">
            <v>0</v>
          </cell>
          <cell r="J4547">
            <v>4.3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 t="b">
            <v>0</v>
          </cell>
        </row>
        <row r="4548">
          <cell r="A4548" t="str">
            <v>Data split-16;Reg-98</v>
          </cell>
          <cell r="B4548">
            <v>-7.2</v>
          </cell>
          <cell r="C4548">
            <v>1.9</v>
          </cell>
          <cell r="D4548">
            <v>0</v>
          </cell>
          <cell r="E4548">
            <v>0</v>
          </cell>
          <cell r="F4548">
            <v>0.17</v>
          </cell>
          <cell r="G4548">
            <v>0</v>
          </cell>
          <cell r="H4548">
            <v>0</v>
          </cell>
          <cell r="I4548">
            <v>0.76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 t="b">
            <v>0</v>
          </cell>
        </row>
        <row r="4549">
          <cell r="A4549" t="str">
            <v>Data split-16;Reg-99</v>
          </cell>
          <cell r="B4549">
            <v>-9.1999999999999993</v>
          </cell>
          <cell r="C4549">
            <v>1.9</v>
          </cell>
          <cell r="D4549">
            <v>0</v>
          </cell>
          <cell r="E4549">
            <v>0</v>
          </cell>
          <cell r="F4549">
            <v>0.19</v>
          </cell>
          <cell r="G4549">
            <v>0</v>
          </cell>
          <cell r="H4549">
            <v>0</v>
          </cell>
          <cell r="I4549">
            <v>0</v>
          </cell>
          <cell r="J4549">
            <v>9.6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 t="b">
            <v>0</v>
          </cell>
        </row>
        <row r="4550">
          <cell r="A4550" t="str">
            <v>Data split-16;Reg-100</v>
          </cell>
          <cell r="B4550">
            <v>-2.7</v>
          </cell>
          <cell r="C4550">
            <v>0</v>
          </cell>
          <cell r="D4550">
            <v>1.1000000000000001</v>
          </cell>
          <cell r="E4550">
            <v>1.4</v>
          </cell>
          <cell r="F4550">
            <v>0</v>
          </cell>
          <cell r="G4550">
            <v>0</v>
          </cell>
          <cell r="H4550">
            <v>0</v>
          </cell>
          <cell r="I4550">
            <v>-6.6E-3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 t="b">
            <v>1</v>
          </cell>
        </row>
        <row r="4551">
          <cell r="A4551" t="str">
            <v>Data split-16;Reg-101</v>
          </cell>
          <cell r="B4551">
            <v>-6</v>
          </cell>
          <cell r="C4551">
            <v>0</v>
          </cell>
          <cell r="D4551">
            <v>1.4</v>
          </cell>
          <cell r="E4551">
            <v>1</v>
          </cell>
          <cell r="F4551">
            <v>0</v>
          </cell>
          <cell r="G4551">
            <v>0</v>
          </cell>
          <cell r="H4551">
            <v>0</v>
          </cell>
          <cell r="I4551">
            <v>0</v>
          </cell>
          <cell r="J4551">
            <v>9.1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 t="b">
            <v>0</v>
          </cell>
        </row>
        <row r="4552">
          <cell r="A4552" t="str">
            <v>Data split-16;Reg-102</v>
          </cell>
          <cell r="B4552">
            <v>-3.9</v>
          </cell>
          <cell r="C4552">
            <v>0</v>
          </cell>
          <cell r="D4552">
            <v>1.7</v>
          </cell>
          <cell r="E4552">
            <v>0</v>
          </cell>
          <cell r="F4552">
            <v>0.18</v>
          </cell>
          <cell r="G4552">
            <v>0</v>
          </cell>
          <cell r="H4552">
            <v>0</v>
          </cell>
          <cell r="I4552">
            <v>1</v>
          </cell>
          <cell r="J4552">
            <v>0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 t="b">
            <v>0</v>
          </cell>
        </row>
        <row r="4553">
          <cell r="A4553" t="str">
            <v>Data split-16;Reg-103</v>
          </cell>
          <cell r="B4553">
            <v>-7.7</v>
          </cell>
          <cell r="C4553">
            <v>0</v>
          </cell>
          <cell r="D4553">
            <v>1.7</v>
          </cell>
          <cell r="E4553">
            <v>0</v>
          </cell>
          <cell r="F4553">
            <v>0.19</v>
          </cell>
          <cell r="G4553">
            <v>0</v>
          </cell>
          <cell r="H4553">
            <v>0</v>
          </cell>
          <cell r="I4553">
            <v>0</v>
          </cell>
          <cell r="J4553">
            <v>15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 t="b">
            <v>0</v>
          </cell>
        </row>
        <row r="4554">
          <cell r="A4554" t="str">
            <v>Data split-16;Reg-104</v>
          </cell>
          <cell r="B4554">
            <v>-6.3</v>
          </cell>
          <cell r="C4554">
            <v>1.4</v>
          </cell>
          <cell r="D4554">
            <v>0</v>
          </cell>
          <cell r="E4554">
            <v>1.1000000000000001</v>
          </cell>
          <cell r="F4554">
            <v>0</v>
          </cell>
          <cell r="G4554">
            <v>0</v>
          </cell>
          <cell r="H4554">
            <v>0</v>
          </cell>
          <cell r="I4554">
            <v>0</v>
          </cell>
          <cell r="J4554">
            <v>0</v>
          </cell>
          <cell r="K4554">
            <v>0.13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 t="b">
            <v>0</v>
          </cell>
        </row>
        <row r="4555">
          <cell r="A4555" t="str">
            <v>Data split-16;Reg-105</v>
          </cell>
          <cell r="B4555">
            <v>-7.6</v>
          </cell>
          <cell r="C4555">
            <v>1.5</v>
          </cell>
          <cell r="D4555">
            <v>0</v>
          </cell>
          <cell r="E4555">
            <v>1.2</v>
          </cell>
          <cell r="F4555">
            <v>0</v>
          </cell>
          <cell r="G4555">
            <v>0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2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 t="b">
            <v>0</v>
          </cell>
        </row>
        <row r="4556">
          <cell r="A4556" t="str">
            <v>Data split-16;Reg-106</v>
          </cell>
          <cell r="B4556">
            <v>-8.8000000000000007</v>
          </cell>
          <cell r="C4556">
            <v>2</v>
          </cell>
          <cell r="D4556">
            <v>0</v>
          </cell>
          <cell r="E4556">
            <v>0</v>
          </cell>
          <cell r="F4556">
            <v>0.19</v>
          </cell>
          <cell r="G4556">
            <v>0</v>
          </cell>
          <cell r="H4556">
            <v>0</v>
          </cell>
          <cell r="I4556">
            <v>0</v>
          </cell>
          <cell r="J4556">
            <v>0</v>
          </cell>
          <cell r="K4556">
            <v>0.59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 t="b">
            <v>0</v>
          </cell>
        </row>
        <row r="4557">
          <cell r="A4557" t="str">
            <v>Data split-16;Reg-107</v>
          </cell>
          <cell r="B4557">
            <v>-9</v>
          </cell>
          <cell r="C4557">
            <v>2</v>
          </cell>
          <cell r="D4557">
            <v>0</v>
          </cell>
          <cell r="E4557">
            <v>0</v>
          </cell>
          <cell r="F4557">
            <v>0.2</v>
          </cell>
          <cell r="G4557">
            <v>0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2.8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 t="b">
            <v>0</v>
          </cell>
        </row>
        <row r="4558">
          <cell r="A4558" t="str">
            <v>Data split-16;Reg-108</v>
          </cell>
          <cell r="B4558">
            <v>-5.6</v>
          </cell>
          <cell r="C4558">
            <v>0</v>
          </cell>
          <cell r="D4558">
            <v>1.3</v>
          </cell>
          <cell r="E4558">
            <v>1.1000000000000001</v>
          </cell>
          <cell r="F4558">
            <v>0</v>
          </cell>
          <cell r="G4558">
            <v>0</v>
          </cell>
          <cell r="H4558">
            <v>0</v>
          </cell>
          <cell r="I4558">
            <v>0</v>
          </cell>
          <cell r="J4558">
            <v>0</v>
          </cell>
          <cell r="K4558">
            <v>0.59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 t="b">
            <v>0</v>
          </cell>
        </row>
        <row r="4559">
          <cell r="A4559" t="str">
            <v>Data split-16;Reg-109</v>
          </cell>
          <cell r="B4559">
            <v>-7.8</v>
          </cell>
          <cell r="C4559">
            <v>0</v>
          </cell>
          <cell r="D4559">
            <v>1.3</v>
          </cell>
          <cell r="E4559">
            <v>1.2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4.9000000000000004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 t="b">
            <v>0</v>
          </cell>
        </row>
        <row r="4560">
          <cell r="A4560" t="str">
            <v>Data split-16;Reg-110</v>
          </cell>
          <cell r="B4560">
            <v>-8.1</v>
          </cell>
          <cell r="C4560">
            <v>0</v>
          </cell>
          <cell r="D4560">
            <v>1.8</v>
          </cell>
          <cell r="E4560">
            <v>0</v>
          </cell>
          <cell r="F4560">
            <v>0.19</v>
          </cell>
          <cell r="G4560">
            <v>0</v>
          </cell>
          <cell r="H4560">
            <v>0</v>
          </cell>
          <cell r="I4560">
            <v>0</v>
          </cell>
          <cell r="J4560">
            <v>0</v>
          </cell>
          <cell r="K4560">
            <v>1.2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 t="b">
            <v>0</v>
          </cell>
        </row>
        <row r="4561">
          <cell r="A4561" t="str">
            <v>Data split-16;Reg-111</v>
          </cell>
          <cell r="B4561">
            <v>-9.6</v>
          </cell>
          <cell r="C4561">
            <v>0</v>
          </cell>
          <cell r="D4561">
            <v>1.9</v>
          </cell>
          <cell r="E4561">
            <v>0</v>
          </cell>
          <cell r="F4561">
            <v>0.21</v>
          </cell>
          <cell r="G4561">
            <v>0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7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 t="b">
            <v>0</v>
          </cell>
        </row>
        <row r="4562">
          <cell r="A4562" t="str">
            <v>Data split-16;Reg-112</v>
          </cell>
          <cell r="B4562">
            <v>-6.6</v>
          </cell>
          <cell r="C4562">
            <v>1.6</v>
          </cell>
          <cell r="D4562">
            <v>0</v>
          </cell>
          <cell r="E4562">
            <v>0</v>
          </cell>
          <cell r="F4562">
            <v>0</v>
          </cell>
          <cell r="G4562">
            <v>1.6</v>
          </cell>
          <cell r="H4562">
            <v>0</v>
          </cell>
          <cell r="I4562">
            <v>-1.5</v>
          </cell>
          <cell r="J4562">
            <v>0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 t="b">
            <v>1</v>
          </cell>
        </row>
        <row r="4563">
          <cell r="A4563" t="str">
            <v>Data split-16;Reg-113</v>
          </cell>
          <cell r="B4563">
            <v>-7.2</v>
          </cell>
          <cell r="C4563">
            <v>1.7</v>
          </cell>
          <cell r="D4563">
            <v>0</v>
          </cell>
          <cell r="E4563">
            <v>0</v>
          </cell>
          <cell r="F4563">
            <v>0</v>
          </cell>
          <cell r="G4563">
            <v>1</v>
          </cell>
          <cell r="H4563">
            <v>0</v>
          </cell>
          <cell r="I4563">
            <v>0</v>
          </cell>
          <cell r="J4563">
            <v>-1.7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 t="b">
            <v>1</v>
          </cell>
        </row>
        <row r="4564">
          <cell r="A4564" t="str">
            <v>Data split-16;Reg-114</v>
          </cell>
          <cell r="B4564">
            <v>-4.4000000000000004</v>
          </cell>
          <cell r="C4564">
            <v>1</v>
          </cell>
          <cell r="D4564">
            <v>0</v>
          </cell>
          <cell r="E4564">
            <v>0</v>
          </cell>
          <cell r="F4564">
            <v>0</v>
          </cell>
          <cell r="G4564">
            <v>0</v>
          </cell>
          <cell r="H4564">
            <v>3</v>
          </cell>
          <cell r="I4564">
            <v>-1.5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 t="b">
            <v>1</v>
          </cell>
        </row>
        <row r="4565">
          <cell r="A4565" t="str">
            <v>Data split-16;Reg-115</v>
          </cell>
          <cell r="B4565">
            <v>-6.5</v>
          </cell>
          <cell r="C4565">
            <v>1.4</v>
          </cell>
          <cell r="D4565">
            <v>0</v>
          </cell>
          <cell r="E4565">
            <v>0</v>
          </cell>
          <cell r="F4565">
            <v>0</v>
          </cell>
          <cell r="G4565">
            <v>0</v>
          </cell>
          <cell r="H4565">
            <v>1.9</v>
          </cell>
          <cell r="I4565">
            <v>0</v>
          </cell>
          <cell r="J4565">
            <v>0.4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 t="b">
            <v>0</v>
          </cell>
        </row>
        <row r="4566">
          <cell r="A4566" t="str">
            <v>Data split-16;Reg-116</v>
          </cell>
          <cell r="B4566">
            <v>-3.7</v>
          </cell>
          <cell r="C4566">
            <v>0</v>
          </cell>
          <cell r="D4566">
            <v>1.4</v>
          </cell>
          <cell r="E4566">
            <v>0</v>
          </cell>
          <cell r="F4566">
            <v>0</v>
          </cell>
          <cell r="G4566">
            <v>1.7</v>
          </cell>
          <cell r="H4566">
            <v>0</v>
          </cell>
          <cell r="I4566">
            <v>-1.3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 t="b">
            <v>1</v>
          </cell>
        </row>
        <row r="4567">
          <cell r="A4567" t="str">
            <v>Data split-16;Reg-117</v>
          </cell>
          <cell r="B4567">
            <v>-6.1</v>
          </cell>
          <cell r="C4567">
            <v>0</v>
          </cell>
          <cell r="D4567">
            <v>1.6</v>
          </cell>
          <cell r="E4567">
            <v>0</v>
          </cell>
          <cell r="F4567">
            <v>0</v>
          </cell>
          <cell r="G4567">
            <v>0.94</v>
          </cell>
          <cell r="H4567">
            <v>0</v>
          </cell>
          <cell r="I4567">
            <v>0</v>
          </cell>
          <cell r="J4567">
            <v>4.7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 t="b">
            <v>0</v>
          </cell>
        </row>
        <row r="4568">
          <cell r="A4568" t="str">
            <v>Data split-16;Reg-118</v>
          </cell>
          <cell r="B4568">
            <v>-2.1</v>
          </cell>
          <cell r="C4568">
            <v>0</v>
          </cell>
          <cell r="D4568">
            <v>0.75</v>
          </cell>
          <cell r="E4568">
            <v>0</v>
          </cell>
          <cell r="F4568">
            <v>0</v>
          </cell>
          <cell r="G4568">
            <v>0</v>
          </cell>
          <cell r="H4568">
            <v>3.5</v>
          </cell>
          <cell r="I4568">
            <v>-1.7</v>
          </cell>
          <cell r="J4568">
            <v>0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 t="b">
            <v>1</v>
          </cell>
        </row>
        <row r="4569">
          <cell r="A4569" t="str">
            <v>Data split-16;Reg-119</v>
          </cell>
          <cell r="B4569">
            <v>-5.3</v>
          </cell>
          <cell r="C4569">
            <v>0</v>
          </cell>
          <cell r="D4569">
            <v>1.2</v>
          </cell>
          <cell r="E4569">
            <v>0</v>
          </cell>
          <cell r="F4569">
            <v>0</v>
          </cell>
          <cell r="G4569">
            <v>0</v>
          </cell>
          <cell r="H4569">
            <v>1.9</v>
          </cell>
          <cell r="I4569">
            <v>0</v>
          </cell>
          <cell r="J4569">
            <v>4.3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 t="b">
            <v>0</v>
          </cell>
        </row>
        <row r="4570">
          <cell r="A4570" t="str">
            <v>Data split-16;Reg-120</v>
          </cell>
          <cell r="B4570">
            <v>-6.7</v>
          </cell>
          <cell r="C4570">
            <v>1.7</v>
          </cell>
          <cell r="D4570">
            <v>0</v>
          </cell>
          <cell r="E4570">
            <v>0</v>
          </cell>
          <cell r="F4570">
            <v>0</v>
          </cell>
          <cell r="G4570">
            <v>1.1000000000000001</v>
          </cell>
          <cell r="H4570">
            <v>0</v>
          </cell>
          <cell r="I4570">
            <v>0</v>
          </cell>
          <cell r="J4570">
            <v>0</v>
          </cell>
          <cell r="K4570">
            <v>-0.26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 t="b">
            <v>1</v>
          </cell>
        </row>
        <row r="4571">
          <cell r="A4571" t="str">
            <v>Data split-16;Reg-121</v>
          </cell>
          <cell r="B4571">
            <v>-8.1999999999999993</v>
          </cell>
          <cell r="C4571">
            <v>1.7</v>
          </cell>
          <cell r="D4571">
            <v>0</v>
          </cell>
          <cell r="E4571">
            <v>0</v>
          </cell>
          <cell r="F4571">
            <v>0</v>
          </cell>
          <cell r="G4571">
            <v>0.98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>
            <v>0.48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 t="b">
            <v>0</v>
          </cell>
        </row>
        <row r="4572">
          <cell r="A4572" t="str">
            <v>Data split-16;Reg-122</v>
          </cell>
          <cell r="B4572">
            <v>-5.6</v>
          </cell>
          <cell r="C4572">
            <v>1.3</v>
          </cell>
          <cell r="D4572">
            <v>0</v>
          </cell>
          <cell r="E4572">
            <v>0</v>
          </cell>
          <cell r="F4572">
            <v>0</v>
          </cell>
          <cell r="G4572">
            <v>0</v>
          </cell>
          <cell r="H4572">
            <v>2</v>
          </cell>
          <cell r="I4572">
            <v>0</v>
          </cell>
          <cell r="J4572">
            <v>0</v>
          </cell>
          <cell r="K4572">
            <v>-0.18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 t="b">
            <v>1</v>
          </cell>
        </row>
        <row r="4573">
          <cell r="A4573" t="str">
            <v>Data split-16;Reg-123</v>
          </cell>
          <cell r="B4573">
            <v>-7.8</v>
          </cell>
          <cell r="C4573">
            <v>1.4</v>
          </cell>
          <cell r="D4573">
            <v>0</v>
          </cell>
          <cell r="E4573">
            <v>0</v>
          </cell>
          <cell r="F4573">
            <v>0</v>
          </cell>
          <cell r="G4573">
            <v>0</v>
          </cell>
          <cell r="H4573">
            <v>1.8</v>
          </cell>
          <cell r="I4573">
            <v>0</v>
          </cell>
          <cell r="J4573">
            <v>0</v>
          </cell>
          <cell r="K4573">
            <v>0</v>
          </cell>
          <cell r="L4573">
            <v>1.4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 t="b">
            <v>0</v>
          </cell>
        </row>
        <row r="4574">
          <cell r="A4574" t="str">
            <v>Data split-16;Reg-124</v>
          </cell>
          <cell r="B4574">
            <v>-6.2</v>
          </cell>
          <cell r="C4574">
            <v>0</v>
          </cell>
          <cell r="D4574">
            <v>1.6</v>
          </cell>
          <cell r="E4574">
            <v>0</v>
          </cell>
          <cell r="F4574">
            <v>0</v>
          </cell>
          <cell r="G4574">
            <v>1</v>
          </cell>
          <cell r="H4574">
            <v>0</v>
          </cell>
          <cell r="I4574">
            <v>0</v>
          </cell>
          <cell r="J4574">
            <v>0</v>
          </cell>
          <cell r="K4574">
            <v>0.35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 t="b">
            <v>0</v>
          </cell>
        </row>
        <row r="4575">
          <cell r="A4575" t="str">
            <v>Data split-16;Reg-125</v>
          </cell>
          <cell r="B4575">
            <v>-8.6</v>
          </cell>
          <cell r="C4575">
            <v>0</v>
          </cell>
          <cell r="D4575">
            <v>1.6</v>
          </cell>
          <cell r="E4575">
            <v>0</v>
          </cell>
          <cell r="F4575">
            <v>0</v>
          </cell>
          <cell r="G4575">
            <v>0.97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4.0999999999999996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 t="b">
            <v>0</v>
          </cell>
        </row>
        <row r="4576">
          <cell r="A4576" t="str">
            <v>Data split-16;Reg-126</v>
          </cell>
          <cell r="B4576">
            <v>-4.8</v>
          </cell>
          <cell r="C4576">
            <v>0</v>
          </cell>
          <cell r="D4576">
            <v>1.2</v>
          </cell>
          <cell r="E4576">
            <v>0</v>
          </cell>
          <cell r="F4576">
            <v>0</v>
          </cell>
          <cell r="G4576">
            <v>0</v>
          </cell>
          <cell r="H4576">
            <v>2</v>
          </cell>
          <cell r="I4576">
            <v>0</v>
          </cell>
          <cell r="J4576">
            <v>0</v>
          </cell>
          <cell r="K4576">
            <v>0.22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 t="b">
            <v>0</v>
          </cell>
        </row>
        <row r="4577">
          <cell r="A4577" t="str">
            <v>Data split-16;Reg-127</v>
          </cell>
          <cell r="B4577">
            <v>-8</v>
          </cell>
          <cell r="C4577">
            <v>0</v>
          </cell>
          <cell r="D4577">
            <v>1.3</v>
          </cell>
          <cell r="E4577">
            <v>0</v>
          </cell>
          <cell r="F4577">
            <v>0</v>
          </cell>
          <cell r="G4577">
            <v>0</v>
          </cell>
          <cell r="H4577">
            <v>1.9</v>
          </cell>
          <cell r="I4577">
            <v>0</v>
          </cell>
          <cell r="J4577">
            <v>0</v>
          </cell>
          <cell r="K4577">
            <v>0</v>
          </cell>
          <cell r="L4577">
            <v>4.0999999999999996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 t="b">
            <v>0</v>
          </cell>
        </row>
        <row r="4578">
          <cell r="A4578" t="str">
            <v>Data split-17;Reg-1</v>
          </cell>
          <cell r="B4578">
            <v>-4.2</v>
          </cell>
          <cell r="C4578">
            <v>1.6</v>
          </cell>
          <cell r="D4578">
            <v>0</v>
          </cell>
          <cell r="E4578">
            <v>0</v>
          </cell>
          <cell r="F4578">
            <v>0.15</v>
          </cell>
          <cell r="G4578">
            <v>0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>
            <v>0.87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 t="b">
            <v>0</v>
          </cell>
        </row>
        <row r="4579">
          <cell r="A4579" t="str">
            <v>Data split-17;Reg-2</v>
          </cell>
          <cell r="B4579">
            <v>-4.4000000000000004</v>
          </cell>
          <cell r="C4579">
            <v>1.4</v>
          </cell>
          <cell r="D4579">
            <v>0</v>
          </cell>
          <cell r="E4579">
            <v>0</v>
          </cell>
          <cell r="F4579">
            <v>6.7000000000000004E-2</v>
          </cell>
          <cell r="G4579">
            <v>1.4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>
            <v>0</v>
          </cell>
          <cell r="M4579">
            <v>-9.4E-2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 t="b">
            <v>1</v>
          </cell>
        </row>
        <row r="4580">
          <cell r="A4580" t="str">
            <v>Data split-17;Reg-3</v>
          </cell>
          <cell r="B4580">
            <v>-4.3</v>
          </cell>
          <cell r="C4580">
            <v>1.4</v>
          </cell>
          <cell r="D4580">
            <v>0</v>
          </cell>
          <cell r="E4580">
            <v>0</v>
          </cell>
          <cell r="F4580">
            <v>7.0999999999999994E-2</v>
          </cell>
          <cell r="G4580">
            <v>1.4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0</v>
          </cell>
          <cell r="M4580">
            <v>0</v>
          </cell>
          <cell r="N4580">
            <v>-1.7999999999999999E-2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 t="b">
            <v>1</v>
          </cell>
        </row>
        <row r="4581">
          <cell r="A4581" t="str">
            <v>Data split-17;Reg-4</v>
          </cell>
          <cell r="B4581">
            <v>-3.4</v>
          </cell>
          <cell r="C4581">
            <v>0.89</v>
          </cell>
          <cell r="D4581">
            <v>0</v>
          </cell>
          <cell r="E4581">
            <v>0</v>
          </cell>
          <cell r="F4581">
            <v>2.5999999999999999E-2</v>
          </cell>
          <cell r="G4581">
            <v>0</v>
          </cell>
          <cell r="H4581">
            <v>2.9</v>
          </cell>
          <cell r="I4581">
            <v>0</v>
          </cell>
          <cell r="J4581">
            <v>0</v>
          </cell>
          <cell r="K4581">
            <v>0</v>
          </cell>
          <cell r="L4581">
            <v>0</v>
          </cell>
          <cell r="M4581">
            <v>-0.1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 t="b">
            <v>1</v>
          </cell>
        </row>
        <row r="4582">
          <cell r="A4582" t="str">
            <v>Data split-17;Reg-5</v>
          </cell>
          <cell r="B4582">
            <v>-1.2</v>
          </cell>
          <cell r="C4582">
            <v>0</v>
          </cell>
          <cell r="D4582">
            <v>0.49</v>
          </cell>
          <cell r="E4582">
            <v>0</v>
          </cell>
          <cell r="F4582">
            <v>3.3000000000000002E-2</v>
          </cell>
          <cell r="G4582">
            <v>0</v>
          </cell>
          <cell r="H4582">
            <v>3.3</v>
          </cell>
          <cell r="I4582">
            <v>0</v>
          </cell>
          <cell r="J4582">
            <v>0</v>
          </cell>
          <cell r="K4582">
            <v>0</v>
          </cell>
          <cell r="L4582">
            <v>0</v>
          </cell>
          <cell r="M4582">
            <v>-0.1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 t="b">
            <v>1</v>
          </cell>
        </row>
        <row r="4583">
          <cell r="A4583" t="str">
            <v>Data split-17;Reg-6</v>
          </cell>
          <cell r="B4583">
            <v>-1.9</v>
          </cell>
          <cell r="C4583">
            <v>0.7</v>
          </cell>
          <cell r="D4583">
            <v>0</v>
          </cell>
          <cell r="E4583">
            <v>2</v>
          </cell>
          <cell r="F4583">
            <v>0</v>
          </cell>
          <cell r="G4583">
            <v>0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-0.74</v>
          </cell>
          <cell r="M4583">
            <v>-7.3999999999999996E-2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 t="b">
            <v>1</v>
          </cell>
        </row>
        <row r="4584">
          <cell r="A4584" t="str">
            <v>Data split-17;Reg-7</v>
          </cell>
          <cell r="B4584">
            <v>-4.2</v>
          </cell>
          <cell r="C4584">
            <v>1.3</v>
          </cell>
          <cell r="D4584">
            <v>0</v>
          </cell>
          <cell r="E4584">
            <v>0</v>
          </cell>
          <cell r="F4584">
            <v>0.11</v>
          </cell>
          <cell r="G4584">
            <v>0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1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4.7E-2</v>
          </cell>
          <cell r="T4584">
            <v>0</v>
          </cell>
          <cell r="U4584" t="b">
            <v>0</v>
          </cell>
        </row>
        <row r="4585">
          <cell r="A4585" t="str">
            <v>Data split-17;Reg-8</v>
          </cell>
          <cell r="B4585">
            <v>-4</v>
          </cell>
          <cell r="C4585">
            <v>1.3</v>
          </cell>
          <cell r="D4585">
            <v>0</v>
          </cell>
          <cell r="E4585">
            <v>0</v>
          </cell>
          <cell r="F4585">
            <v>0</v>
          </cell>
          <cell r="G4585">
            <v>1.2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-0.6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-3.5000000000000003E-2</v>
          </cell>
          <cell r="T4585">
            <v>0</v>
          </cell>
          <cell r="U4585" t="b">
            <v>1</v>
          </cell>
        </row>
        <row r="4586">
          <cell r="A4586" t="str">
            <v>Data split-17;Reg-9</v>
          </cell>
          <cell r="B4586">
            <v>-1.8</v>
          </cell>
          <cell r="C4586">
            <v>0</v>
          </cell>
          <cell r="D4586">
            <v>0.4</v>
          </cell>
          <cell r="E4586">
            <v>0</v>
          </cell>
          <cell r="F4586">
            <v>0</v>
          </cell>
          <cell r="G4586">
            <v>0</v>
          </cell>
          <cell r="H4586">
            <v>3.6</v>
          </cell>
          <cell r="I4586">
            <v>0</v>
          </cell>
          <cell r="J4586">
            <v>0</v>
          </cell>
          <cell r="K4586">
            <v>0</v>
          </cell>
          <cell r="L4586">
            <v>0.43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-9.6000000000000002E-2</v>
          </cell>
          <cell r="T4586">
            <v>0</v>
          </cell>
          <cell r="U4586" t="b">
            <v>0</v>
          </cell>
        </row>
        <row r="4587">
          <cell r="A4587" t="str">
            <v>Data split-17;Reg-10</v>
          </cell>
          <cell r="B4587">
            <v>-1.8</v>
          </cell>
          <cell r="C4587">
            <v>0</v>
          </cell>
          <cell r="D4587">
            <v>0.4</v>
          </cell>
          <cell r="E4587">
            <v>0</v>
          </cell>
          <cell r="F4587">
            <v>0</v>
          </cell>
          <cell r="G4587">
            <v>0</v>
          </cell>
          <cell r="H4587">
            <v>3.6</v>
          </cell>
          <cell r="I4587">
            <v>0</v>
          </cell>
          <cell r="J4587">
            <v>0</v>
          </cell>
          <cell r="K4587">
            <v>0</v>
          </cell>
          <cell r="L4587">
            <v>0.43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-9.6000000000000002E-2</v>
          </cell>
          <cell r="T4587">
            <v>0</v>
          </cell>
          <cell r="U4587" t="b">
            <v>0</v>
          </cell>
        </row>
        <row r="4588">
          <cell r="A4588" t="str">
            <v>Data split-17;Reg-11</v>
          </cell>
          <cell r="B4588">
            <v>-2.6</v>
          </cell>
          <cell r="C4588">
            <v>0.68</v>
          </cell>
          <cell r="D4588">
            <v>0</v>
          </cell>
          <cell r="E4588">
            <v>1.4</v>
          </cell>
          <cell r="F4588">
            <v>0</v>
          </cell>
          <cell r="G4588">
            <v>0.11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 t="b">
            <v>1</v>
          </cell>
        </row>
        <row r="4589">
          <cell r="A4589" t="str">
            <v>Data split-17;Reg-12</v>
          </cell>
          <cell r="B4589">
            <v>-2.7</v>
          </cell>
          <cell r="C4589">
            <v>0.66</v>
          </cell>
          <cell r="D4589">
            <v>0</v>
          </cell>
          <cell r="E4589">
            <v>0.93</v>
          </cell>
          <cell r="F4589">
            <v>0</v>
          </cell>
          <cell r="G4589">
            <v>0</v>
          </cell>
          <cell r="H4589">
            <v>0.88</v>
          </cell>
          <cell r="I4589">
            <v>0</v>
          </cell>
          <cell r="J4589">
            <v>0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 t="b">
            <v>1</v>
          </cell>
        </row>
        <row r="4590">
          <cell r="A4590" t="str">
            <v>Data split-17;Reg-13</v>
          </cell>
          <cell r="B4590">
            <v>-3.8</v>
          </cell>
          <cell r="C4590">
            <v>1.2</v>
          </cell>
          <cell r="D4590">
            <v>0</v>
          </cell>
          <cell r="E4590">
            <v>0</v>
          </cell>
          <cell r="F4590">
            <v>0.06</v>
          </cell>
          <cell r="G4590">
            <v>0.89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 t="b">
            <v>1</v>
          </cell>
        </row>
        <row r="4591">
          <cell r="A4591" t="str">
            <v>Data split-17;Reg-14</v>
          </cell>
          <cell r="B4591">
            <v>-3.1</v>
          </cell>
          <cell r="C4591">
            <v>0.79</v>
          </cell>
          <cell r="D4591">
            <v>0</v>
          </cell>
          <cell r="E4591">
            <v>0</v>
          </cell>
          <cell r="F4591">
            <v>2.7E-2</v>
          </cell>
          <cell r="G4591">
            <v>0</v>
          </cell>
          <cell r="H4591">
            <v>1.9</v>
          </cell>
          <cell r="I4591">
            <v>0</v>
          </cell>
          <cell r="J4591">
            <v>0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 t="b">
            <v>1</v>
          </cell>
        </row>
        <row r="4592">
          <cell r="A4592" t="str">
            <v>Data split-17;Reg-15</v>
          </cell>
          <cell r="B4592">
            <v>-2.5</v>
          </cell>
          <cell r="C4592">
            <v>0.71</v>
          </cell>
          <cell r="D4592">
            <v>0</v>
          </cell>
          <cell r="E4592">
            <v>2</v>
          </cell>
          <cell r="F4592">
            <v>0</v>
          </cell>
          <cell r="G4592">
            <v>0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0</v>
          </cell>
          <cell r="M4592">
            <v>-7.1999999999999995E-2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 t="b">
            <v>1</v>
          </cell>
        </row>
        <row r="4593">
          <cell r="A4593" t="str">
            <v>Data split-17;Reg-16</v>
          </cell>
          <cell r="B4593">
            <v>-2.2999999999999998</v>
          </cell>
          <cell r="C4593">
            <v>0.7</v>
          </cell>
          <cell r="D4593">
            <v>0</v>
          </cell>
          <cell r="E4593">
            <v>2.1</v>
          </cell>
          <cell r="F4593">
            <v>0</v>
          </cell>
          <cell r="G4593">
            <v>0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-1.4999999999999999E-2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 t="b">
            <v>1</v>
          </cell>
        </row>
        <row r="4594">
          <cell r="A4594" t="str">
            <v>Data split-17;Reg-17</v>
          </cell>
          <cell r="B4594">
            <v>-3.4</v>
          </cell>
          <cell r="C4594">
            <v>1.5</v>
          </cell>
          <cell r="D4594">
            <v>0</v>
          </cell>
          <cell r="E4594">
            <v>0</v>
          </cell>
          <cell r="F4594">
            <v>0.14000000000000001</v>
          </cell>
          <cell r="G4594">
            <v>0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>
            <v>0</v>
          </cell>
          <cell r="M4594">
            <v>1.6E-2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 t="b">
            <v>0</v>
          </cell>
        </row>
        <row r="4595">
          <cell r="A4595" t="str">
            <v>Data split-17;Reg-18</v>
          </cell>
          <cell r="B4595">
            <v>-3.3</v>
          </cell>
          <cell r="C4595">
            <v>1.3</v>
          </cell>
          <cell r="D4595">
            <v>0</v>
          </cell>
          <cell r="E4595">
            <v>0</v>
          </cell>
          <cell r="F4595">
            <v>0.12</v>
          </cell>
          <cell r="G4595">
            <v>0</v>
          </cell>
          <cell r="H4595">
            <v>0</v>
          </cell>
          <cell r="I4595">
            <v>0</v>
          </cell>
          <cell r="J4595">
            <v>0</v>
          </cell>
          <cell r="K4595">
            <v>0</v>
          </cell>
          <cell r="L4595">
            <v>0</v>
          </cell>
          <cell r="M4595">
            <v>0</v>
          </cell>
          <cell r="N4595">
            <v>8.2000000000000007E-3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 t="b">
            <v>0</v>
          </cell>
        </row>
        <row r="4596">
          <cell r="A4596" t="str">
            <v>Data split-17;Reg-19</v>
          </cell>
          <cell r="B4596">
            <v>-4.7</v>
          </cell>
          <cell r="C4596">
            <v>1.1000000000000001</v>
          </cell>
          <cell r="D4596">
            <v>0</v>
          </cell>
          <cell r="E4596">
            <v>0</v>
          </cell>
          <cell r="F4596">
            <v>0</v>
          </cell>
          <cell r="G4596">
            <v>1.5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-6.0999999999999999E-2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 t="b">
            <v>1</v>
          </cell>
        </row>
        <row r="4597">
          <cell r="A4597" t="str">
            <v>Data split-17;Reg-20</v>
          </cell>
          <cell r="B4597">
            <v>-4.7</v>
          </cell>
          <cell r="C4597">
            <v>1.2</v>
          </cell>
          <cell r="D4597">
            <v>0</v>
          </cell>
          <cell r="E4597">
            <v>0</v>
          </cell>
          <cell r="F4597">
            <v>0</v>
          </cell>
          <cell r="G4597">
            <v>1.5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-9.9000000000000008E-3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 t="b">
            <v>1</v>
          </cell>
        </row>
        <row r="4598">
          <cell r="A4598" t="str">
            <v>Data split-17;Reg-21</v>
          </cell>
          <cell r="B4598">
            <v>-3.3</v>
          </cell>
          <cell r="C4598">
            <v>0.54</v>
          </cell>
          <cell r="D4598">
            <v>0</v>
          </cell>
          <cell r="E4598">
            <v>0</v>
          </cell>
          <cell r="F4598">
            <v>0</v>
          </cell>
          <cell r="G4598">
            <v>0</v>
          </cell>
          <cell r="H4598">
            <v>3</v>
          </cell>
          <cell r="I4598">
            <v>0</v>
          </cell>
          <cell r="J4598">
            <v>0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-7.0999999999999994E-2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 t="b">
            <v>1</v>
          </cell>
        </row>
        <row r="4599">
          <cell r="A4599" t="str">
            <v>Data split-17;Reg-22</v>
          </cell>
          <cell r="B4599">
            <v>-3.3</v>
          </cell>
          <cell r="C4599">
            <v>0.57999999999999996</v>
          </cell>
          <cell r="D4599">
            <v>0</v>
          </cell>
          <cell r="E4599">
            <v>0</v>
          </cell>
          <cell r="F4599">
            <v>0</v>
          </cell>
          <cell r="G4599">
            <v>0</v>
          </cell>
          <cell r="H4599">
            <v>2.9</v>
          </cell>
          <cell r="I4599">
            <v>0</v>
          </cell>
          <cell r="J4599">
            <v>0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-1.0999999999999999E-2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 t="b">
            <v>1</v>
          </cell>
        </row>
        <row r="4600">
          <cell r="A4600" t="str">
            <v>Data split-17;Reg-23</v>
          </cell>
          <cell r="B4600">
            <v>-0.65</v>
          </cell>
          <cell r="C4600">
            <v>0</v>
          </cell>
          <cell r="D4600">
            <v>0.26</v>
          </cell>
          <cell r="E4600">
            <v>2.1</v>
          </cell>
          <cell r="F4600">
            <v>0</v>
          </cell>
          <cell r="G4600">
            <v>-0.2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 t="b">
            <v>0</v>
          </cell>
        </row>
        <row r="4601">
          <cell r="A4601" t="str">
            <v>Data split-17;Reg-24</v>
          </cell>
          <cell r="B4601">
            <v>-0.87</v>
          </cell>
          <cell r="C4601">
            <v>0</v>
          </cell>
          <cell r="D4601">
            <v>0.28000000000000003</v>
          </cell>
          <cell r="E4601">
            <v>1.4</v>
          </cell>
          <cell r="F4601">
            <v>0</v>
          </cell>
          <cell r="G4601">
            <v>0</v>
          </cell>
          <cell r="H4601">
            <v>0.64</v>
          </cell>
          <cell r="I4601">
            <v>0</v>
          </cell>
          <cell r="J4601">
            <v>0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 t="b">
            <v>1</v>
          </cell>
        </row>
        <row r="4602">
          <cell r="A4602" t="str">
            <v>Data split-17;Reg-25</v>
          </cell>
          <cell r="B4602">
            <v>-0.76</v>
          </cell>
          <cell r="C4602">
            <v>0</v>
          </cell>
          <cell r="D4602">
            <v>0.78</v>
          </cell>
          <cell r="E4602">
            <v>0</v>
          </cell>
          <cell r="F4602">
            <v>9.7000000000000003E-2</v>
          </cell>
          <cell r="G4602">
            <v>1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 t="b">
            <v>1</v>
          </cell>
        </row>
        <row r="4603">
          <cell r="A4603" t="str">
            <v>Data split-17;Reg-26</v>
          </cell>
          <cell r="B4603">
            <v>-1</v>
          </cell>
          <cell r="C4603">
            <v>0</v>
          </cell>
          <cell r="D4603">
            <v>0.4</v>
          </cell>
          <cell r="E4603">
            <v>0</v>
          </cell>
          <cell r="F4603">
            <v>3.1E-2</v>
          </cell>
          <cell r="G4603">
            <v>0</v>
          </cell>
          <cell r="H4603">
            <v>2.2999999999999998</v>
          </cell>
          <cell r="I4603">
            <v>0</v>
          </cell>
          <cell r="J4603">
            <v>0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 t="b">
            <v>1</v>
          </cell>
        </row>
        <row r="4604">
          <cell r="A4604" t="str">
            <v>Data split-17;Reg-27</v>
          </cell>
          <cell r="B4604">
            <v>-0.76</v>
          </cell>
          <cell r="C4604">
            <v>0</v>
          </cell>
          <cell r="D4604">
            <v>0.36</v>
          </cell>
          <cell r="E4604">
            <v>2.2999999999999998</v>
          </cell>
          <cell r="F4604">
            <v>0</v>
          </cell>
          <cell r="G4604">
            <v>0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>
            <v>0</v>
          </cell>
          <cell r="M4604">
            <v>-7.2999999999999995E-2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 t="b">
            <v>1</v>
          </cell>
        </row>
        <row r="4605">
          <cell r="A4605" t="str">
            <v>Data split-17;Reg-28</v>
          </cell>
          <cell r="B4605">
            <v>-0.66</v>
          </cell>
          <cell r="C4605">
            <v>0</v>
          </cell>
          <cell r="D4605">
            <v>0.37</v>
          </cell>
          <cell r="E4605">
            <v>2.4</v>
          </cell>
          <cell r="F4605">
            <v>0</v>
          </cell>
          <cell r="G4605">
            <v>0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>
            <v>0</v>
          </cell>
          <cell r="M4605">
            <v>0</v>
          </cell>
          <cell r="N4605">
            <v>-1.6E-2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 t="b">
            <v>1</v>
          </cell>
        </row>
        <row r="4606">
          <cell r="A4606" t="str">
            <v>Data split-17;Reg-29</v>
          </cell>
          <cell r="B4606">
            <v>0.26</v>
          </cell>
          <cell r="C4606">
            <v>0</v>
          </cell>
          <cell r="D4606">
            <v>0.99</v>
          </cell>
          <cell r="E4606">
            <v>0</v>
          </cell>
          <cell r="F4606">
            <v>0.19</v>
          </cell>
          <cell r="G4606">
            <v>0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>
            <v>0</v>
          </cell>
          <cell r="M4606">
            <v>4.2000000000000003E-2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 t="b">
            <v>0</v>
          </cell>
        </row>
        <row r="4607">
          <cell r="A4607" t="str">
            <v>Data split-17;Reg-30</v>
          </cell>
          <cell r="B4607">
            <v>3.1E-2</v>
          </cell>
          <cell r="C4607">
            <v>0</v>
          </cell>
          <cell r="D4607">
            <v>0.85</v>
          </cell>
          <cell r="E4607">
            <v>0</v>
          </cell>
          <cell r="F4607">
            <v>0.16</v>
          </cell>
          <cell r="G4607">
            <v>0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>
            <v>0</v>
          </cell>
          <cell r="M4607">
            <v>0</v>
          </cell>
          <cell r="N4607">
            <v>1.4E-2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 t="b">
            <v>0</v>
          </cell>
        </row>
        <row r="4608">
          <cell r="A4608" t="str">
            <v>Data split-17;Reg-31</v>
          </cell>
          <cell r="B4608">
            <v>-2.2999999999999998</v>
          </cell>
          <cell r="C4608">
            <v>0</v>
          </cell>
          <cell r="D4608">
            <v>0.75</v>
          </cell>
          <cell r="E4608">
            <v>0</v>
          </cell>
          <cell r="F4608">
            <v>0</v>
          </cell>
          <cell r="G4608">
            <v>1.9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-8.5999999999999993E-2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 t="b">
            <v>1</v>
          </cell>
        </row>
        <row r="4609">
          <cell r="A4609" t="str">
            <v>Data split-17;Reg-32</v>
          </cell>
          <cell r="B4609">
            <v>-2.4</v>
          </cell>
          <cell r="C4609">
            <v>0</v>
          </cell>
          <cell r="D4609">
            <v>0.77</v>
          </cell>
          <cell r="E4609">
            <v>0</v>
          </cell>
          <cell r="F4609">
            <v>0</v>
          </cell>
          <cell r="G4609">
            <v>1.9</v>
          </cell>
          <cell r="H4609">
            <v>0</v>
          </cell>
          <cell r="I4609">
            <v>0</v>
          </cell>
          <cell r="J4609">
            <v>0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-1.6E-2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 t="b">
            <v>1</v>
          </cell>
        </row>
        <row r="4610">
          <cell r="A4610" t="str">
            <v>Data split-17;Reg-33</v>
          </cell>
          <cell r="B4610">
            <v>-2.1</v>
          </cell>
          <cell r="C4610">
            <v>0</v>
          </cell>
          <cell r="D4610">
            <v>0.21</v>
          </cell>
          <cell r="E4610">
            <v>0</v>
          </cell>
          <cell r="F4610">
            <v>0</v>
          </cell>
          <cell r="G4610">
            <v>0</v>
          </cell>
          <cell r="H4610">
            <v>3.6</v>
          </cell>
          <cell r="I4610">
            <v>0</v>
          </cell>
          <cell r="J4610">
            <v>0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-9.2999999999999999E-2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 t="b">
            <v>1</v>
          </cell>
        </row>
        <row r="4611">
          <cell r="A4611" t="str">
            <v>Data split-17;Reg-34</v>
          </cell>
          <cell r="B4611">
            <v>-2.1</v>
          </cell>
          <cell r="C4611">
            <v>0</v>
          </cell>
          <cell r="D4611">
            <v>0.24</v>
          </cell>
          <cell r="E4611">
            <v>0</v>
          </cell>
          <cell r="F4611">
            <v>0</v>
          </cell>
          <cell r="G4611">
            <v>0</v>
          </cell>
          <cell r="H4611">
            <v>3.6</v>
          </cell>
          <cell r="I4611">
            <v>0</v>
          </cell>
          <cell r="J4611">
            <v>0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-1.6E-2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 t="b">
            <v>1</v>
          </cell>
        </row>
        <row r="4612">
          <cell r="A4612" t="str">
            <v>Data split-17;Reg-35</v>
          </cell>
          <cell r="B4612">
            <v>-3.3</v>
          </cell>
          <cell r="C4612">
            <v>0.91</v>
          </cell>
          <cell r="D4612">
            <v>0</v>
          </cell>
          <cell r="E4612">
            <v>1.4</v>
          </cell>
          <cell r="F4612">
            <v>0</v>
          </cell>
          <cell r="G4612">
            <v>0.59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0</v>
          </cell>
          <cell r="M4612">
            <v>-9.2999999999999999E-2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 t="b">
            <v>1</v>
          </cell>
        </row>
        <row r="4613">
          <cell r="A4613" t="str">
            <v>Data split-17;Reg-36</v>
          </cell>
          <cell r="B4613">
            <v>-3.1</v>
          </cell>
          <cell r="C4613">
            <v>0.9</v>
          </cell>
          <cell r="D4613">
            <v>0</v>
          </cell>
          <cell r="E4613">
            <v>1.6</v>
          </cell>
          <cell r="F4613">
            <v>0</v>
          </cell>
          <cell r="G4613">
            <v>0.61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>
            <v>0</v>
          </cell>
          <cell r="M4613">
            <v>0</v>
          </cell>
          <cell r="N4613">
            <v>-0.02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 t="b">
            <v>1</v>
          </cell>
        </row>
        <row r="4614">
          <cell r="A4614" t="str">
            <v>Data split-17;Reg-37</v>
          </cell>
          <cell r="B4614">
            <v>-3.1</v>
          </cell>
          <cell r="C4614">
            <v>0.78</v>
          </cell>
          <cell r="D4614">
            <v>0</v>
          </cell>
          <cell r="E4614">
            <v>0.76</v>
          </cell>
          <cell r="F4614">
            <v>0</v>
          </cell>
          <cell r="G4614">
            <v>0</v>
          </cell>
          <cell r="H4614">
            <v>2</v>
          </cell>
          <cell r="I4614">
            <v>0</v>
          </cell>
          <cell r="J4614">
            <v>0</v>
          </cell>
          <cell r="K4614">
            <v>0</v>
          </cell>
          <cell r="L4614">
            <v>0</v>
          </cell>
          <cell r="M4614">
            <v>-0.1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 t="b">
            <v>1</v>
          </cell>
        </row>
        <row r="4615">
          <cell r="A4615" t="str">
            <v>Data split-17;Reg-38</v>
          </cell>
          <cell r="B4615">
            <v>-2.8</v>
          </cell>
          <cell r="C4615">
            <v>0.75</v>
          </cell>
          <cell r="D4615">
            <v>0</v>
          </cell>
          <cell r="E4615">
            <v>1.1000000000000001</v>
          </cell>
          <cell r="F4615">
            <v>0</v>
          </cell>
          <cell r="G4615">
            <v>0</v>
          </cell>
          <cell r="H4615">
            <v>1.7</v>
          </cell>
          <cell r="I4615">
            <v>0</v>
          </cell>
          <cell r="J4615">
            <v>0</v>
          </cell>
          <cell r="K4615">
            <v>0</v>
          </cell>
          <cell r="L4615">
            <v>0</v>
          </cell>
          <cell r="M4615">
            <v>0</v>
          </cell>
          <cell r="N4615">
            <v>-0.02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 t="b">
            <v>1</v>
          </cell>
        </row>
        <row r="4616">
          <cell r="A4616" t="str">
            <v>Data split-17;Reg-39</v>
          </cell>
          <cell r="B4616">
            <v>-4.4000000000000004</v>
          </cell>
          <cell r="C4616">
            <v>1.4</v>
          </cell>
          <cell r="D4616">
            <v>0</v>
          </cell>
          <cell r="E4616">
            <v>0</v>
          </cell>
          <cell r="F4616">
            <v>6.7000000000000004E-2</v>
          </cell>
          <cell r="G4616">
            <v>1.4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0</v>
          </cell>
          <cell r="M4616">
            <v>-9.4E-2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 t="b">
            <v>1</v>
          </cell>
        </row>
        <row r="4617">
          <cell r="A4617" t="str">
            <v>Data split-17;Reg-40</v>
          </cell>
          <cell r="B4617">
            <v>-4.3</v>
          </cell>
          <cell r="C4617">
            <v>1.4</v>
          </cell>
          <cell r="D4617">
            <v>0</v>
          </cell>
          <cell r="E4617">
            <v>0</v>
          </cell>
          <cell r="F4617">
            <v>7.0999999999999994E-2</v>
          </cell>
          <cell r="G4617">
            <v>1.4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-1.7999999999999999E-2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 t="b">
            <v>1</v>
          </cell>
        </row>
        <row r="4618">
          <cell r="A4618" t="str">
            <v>Data split-17;Reg-41</v>
          </cell>
          <cell r="B4618">
            <v>-3.4</v>
          </cell>
          <cell r="C4618">
            <v>0.89</v>
          </cell>
          <cell r="D4618">
            <v>0</v>
          </cell>
          <cell r="E4618">
            <v>0</v>
          </cell>
          <cell r="F4618">
            <v>2.5999999999999999E-2</v>
          </cell>
          <cell r="G4618">
            <v>0</v>
          </cell>
          <cell r="H4618">
            <v>2.9</v>
          </cell>
          <cell r="I4618">
            <v>0</v>
          </cell>
          <cell r="J4618">
            <v>0</v>
          </cell>
          <cell r="K4618">
            <v>0</v>
          </cell>
          <cell r="L4618">
            <v>0</v>
          </cell>
          <cell r="M4618">
            <v>-0.1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 t="b">
            <v>1</v>
          </cell>
        </row>
        <row r="4619">
          <cell r="A4619" t="str">
            <v>Data split-17;Reg-42</v>
          </cell>
          <cell r="B4619">
            <v>-3.2</v>
          </cell>
          <cell r="C4619">
            <v>0.9</v>
          </cell>
          <cell r="D4619">
            <v>0</v>
          </cell>
          <cell r="E4619">
            <v>0</v>
          </cell>
          <cell r="F4619">
            <v>0.03</v>
          </cell>
          <cell r="G4619">
            <v>0</v>
          </cell>
          <cell r="H4619">
            <v>2.9</v>
          </cell>
          <cell r="I4619">
            <v>0</v>
          </cell>
          <cell r="J4619">
            <v>0</v>
          </cell>
          <cell r="K4619">
            <v>0</v>
          </cell>
          <cell r="L4619">
            <v>0</v>
          </cell>
          <cell r="M4619">
            <v>0</v>
          </cell>
          <cell r="N4619">
            <v>-1.9E-2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 t="b">
            <v>1</v>
          </cell>
        </row>
        <row r="4620">
          <cell r="A4620" t="str">
            <v>Data split-17;Reg-43</v>
          </cell>
          <cell r="B4620">
            <v>-3</v>
          </cell>
          <cell r="C4620">
            <v>0.56999999999999995</v>
          </cell>
          <cell r="D4620">
            <v>0</v>
          </cell>
          <cell r="E4620">
            <v>1.5</v>
          </cell>
          <cell r="F4620">
            <v>0</v>
          </cell>
          <cell r="G4620">
            <v>0.62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-6.8000000000000005E-2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 t="b">
            <v>1</v>
          </cell>
        </row>
        <row r="4621">
          <cell r="A4621" t="str">
            <v>Data split-17;Reg-44</v>
          </cell>
          <cell r="B4621">
            <v>-3</v>
          </cell>
          <cell r="C4621">
            <v>0.55000000000000004</v>
          </cell>
          <cell r="D4621">
            <v>0</v>
          </cell>
          <cell r="E4621">
            <v>1.6</v>
          </cell>
          <cell r="F4621">
            <v>0</v>
          </cell>
          <cell r="G4621">
            <v>0.61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-1.2999999999999999E-2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 t="b">
            <v>1</v>
          </cell>
        </row>
        <row r="4622">
          <cell r="A4622" t="str">
            <v>Data split-17;Reg-45</v>
          </cell>
          <cell r="B4622">
            <v>-2.7</v>
          </cell>
          <cell r="C4622">
            <v>0.41</v>
          </cell>
          <cell r="D4622">
            <v>0</v>
          </cell>
          <cell r="E4622">
            <v>0.92</v>
          </cell>
          <cell r="F4622">
            <v>0</v>
          </cell>
          <cell r="G4622">
            <v>0</v>
          </cell>
          <cell r="H4622">
            <v>1.9</v>
          </cell>
          <cell r="I4622">
            <v>0</v>
          </cell>
          <cell r="J4622">
            <v>0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-7.0999999999999994E-2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 t="b">
            <v>1</v>
          </cell>
        </row>
        <row r="4623">
          <cell r="A4623" t="str">
            <v>Data split-17;Reg-46</v>
          </cell>
          <cell r="B4623">
            <v>-2.7</v>
          </cell>
          <cell r="C4623">
            <v>0.42</v>
          </cell>
          <cell r="D4623">
            <v>0</v>
          </cell>
          <cell r="E4623">
            <v>1.1000000000000001</v>
          </cell>
          <cell r="F4623">
            <v>0</v>
          </cell>
          <cell r="G4623">
            <v>0</v>
          </cell>
          <cell r="H4623">
            <v>1.7</v>
          </cell>
          <cell r="I4623">
            <v>0</v>
          </cell>
          <cell r="J4623">
            <v>0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-1.2E-2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 t="b">
            <v>1</v>
          </cell>
        </row>
        <row r="4624">
          <cell r="A4624" t="str">
            <v>Data split-17;Reg-47</v>
          </cell>
          <cell r="B4624">
            <v>-4.0999999999999996</v>
          </cell>
          <cell r="C4624">
            <v>1.1000000000000001</v>
          </cell>
          <cell r="D4624">
            <v>0</v>
          </cell>
          <cell r="E4624">
            <v>0</v>
          </cell>
          <cell r="F4624">
            <v>8.8999999999999996E-2</v>
          </cell>
          <cell r="G4624">
            <v>1.5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-7.5999999999999998E-2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 t="b">
            <v>1</v>
          </cell>
        </row>
        <row r="4625">
          <cell r="A4625" t="str">
            <v>Data split-17;Reg-48</v>
          </cell>
          <cell r="B4625">
            <v>-4.2</v>
          </cell>
          <cell r="C4625">
            <v>1.1000000000000001</v>
          </cell>
          <cell r="D4625">
            <v>0</v>
          </cell>
          <cell r="E4625">
            <v>0</v>
          </cell>
          <cell r="F4625">
            <v>0.09</v>
          </cell>
          <cell r="G4625">
            <v>1.5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-1.4E-2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 t="b">
            <v>1</v>
          </cell>
        </row>
        <row r="4626">
          <cell r="A4626" t="str">
            <v>Data split-17;Reg-49</v>
          </cell>
          <cell r="B4626">
            <v>-3</v>
          </cell>
          <cell r="C4626">
            <v>0.53</v>
          </cell>
          <cell r="D4626">
            <v>0</v>
          </cell>
          <cell r="E4626">
            <v>0</v>
          </cell>
          <cell r="F4626">
            <v>4.8000000000000001E-2</v>
          </cell>
          <cell r="G4626">
            <v>0</v>
          </cell>
          <cell r="H4626">
            <v>2.9</v>
          </cell>
          <cell r="I4626">
            <v>0</v>
          </cell>
          <cell r="J4626">
            <v>0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-7.4999999999999997E-2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 t="b">
            <v>1</v>
          </cell>
        </row>
        <row r="4627">
          <cell r="A4627" t="str">
            <v>Data split-17;Reg-50</v>
          </cell>
          <cell r="B4627">
            <v>-3.1</v>
          </cell>
          <cell r="C4627">
            <v>0.56999999999999995</v>
          </cell>
          <cell r="D4627">
            <v>0</v>
          </cell>
          <cell r="E4627">
            <v>0</v>
          </cell>
          <cell r="F4627">
            <v>4.8000000000000001E-2</v>
          </cell>
          <cell r="G4627">
            <v>0</v>
          </cell>
          <cell r="H4627">
            <v>2.8</v>
          </cell>
          <cell r="I4627">
            <v>0</v>
          </cell>
          <cell r="J4627">
            <v>0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-1.2E-2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 t="b">
            <v>1</v>
          </cell>
        </row>
        <row r="4628">
          <cell r="A4628" t="str">
            <v>Data split-17;Reg-51</v>
          </cell>
          <cell r="B4628">
            <v>-0.84</v>
          </cell>
          <cell r="C4628">
            <v>0</v>
          </cell>
          <cell r="D4628">
            <v>0.39</v>
          </cell>
          <cell r="E4628">
            <v>2.2000000000000002</v>
          </cell>
          <cell r="F4628">
            <v>0</v>
          </cell>
          <cell r="G4628">
            <v>0.15</v>
          </cell>
          <cell r="H4628">
            <v>0</v>
          </cell>
          <cell r="I4628">
            <v>0</v>
          </cell>
          <cell r="J4628">
            <v>0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-7.8E-2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 t="b">
            <v>1</v>
          </cell>
        </row>
        <row r="4629">
          <cell r="A4629" t="str">
            <v>Data split-17;Reg-52</v>
          </cell>
          <cell r="B4629">
            <v>-0.76</v>
          </cell>
          <cell r="C4629">
            <v>0</v>
          </cell>
          <cell r="D4629">
            <v>0.41</v>
          </cell>
          <cell r="E4629">
            <v>2.2999999999999998</v>
          </cell>
          <cell r="F4629">
            <v>0</v>
          </cell>
          <cell r="G4629">
            <v>0.2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>
            <v>0</v>
          </cell>
          <cell r="M4629">
            <v>0</v>
          </cell>
          <cell r="N4629">
            <v>-1.7999999999999999E-2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 t="b">
            <v>1</v>
          </cell>
        </row>
        <row r="4630">
          <cell r="A4630" t="str">
            <v>Data split-17;Reg-53</v>
          </cell>
          <cell r="B4630">
            <v>-1.1000000000000001</v>
          </cell>
          <cell r="C4630">
            <v>0</v>
          </cell>
          <cell r="D4630">
            <v>0.38</v>
          </cell>
          <cell r="E4630">
            <v>1.3</v>
          </cell>
          <cell r="F4630">
            <v>0</v>
          </cell>
          <cell r="G4630">
            <v>0</v>
          </cell>
          <cell r="H4630">
            <v>1.7</v>
          </cell>
          <cell r="I4630">
            <v>0</v>
          </cell>
          <cell r="J4630">
            <v>0</v>
          </cell>
          <cell r="K4630">
            <v>0</v>
          </cell>
          <cell r="L4630">
            <v>0</v>
          </cell>
          <cell r="M4630">
            <v>-9.6000000000000002E-2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 t="b">
            <v>1</v>
          </cell>
        </row>
        <row r="4631">
          <cell r="A4631" t="str">
            <v>Data split-17;Reg-54</v>
          </cell>
          <cell r="B4631">
            <v>-0.93</v>
          </cell>
          <cell r="C4631">
            <v>0</v>
          </cell>
          <cell r="D4631">
            <v>0.39</v>
          </cell>
          <cell r="E4631">
            <v>1.6</v>
          </cell>
          <cell r="F4631">
            <v>0</v>
          </cell>
          <cell r="G4631">
            <v>0</v>
          </cell>
          <cell r="H4631">
            <v>1.5</v>
          </cell>
          <cell r="I4631">
            <v>0</v>
          </cell>
          <cell r="J4631">
            <v>0</v>
          </cell>
          <cell r="K4631">
            <v>0</v>
          </cell>
          <cell r="L4631">
            <v>0</v>
          </cell>
          <cell r="M4631">
            <v>0</v>
          </cell>
          <cell r="N4631">
            <v>-0.02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 t="b">
            <v>1</v>
          </cell>
        </row>
        <row r="4632">
          <cell r="A4632" t="str">
            <v>Data split-17;Reg-55</v>
          </cell>
          <cell r="B4632">
            <v>-0.9</v>
          </cell>
          <cell r="C4632">
            <v>0</v>
          </cell>
          <cell r="D4632">
            <v>0.91</v>
          </cell>
          <cell r="E4632">
            <v>0</v>
          </cell>
          <cell r="F4632">
            <v>0.11</v>
          </cell>
          <cell r="G4632">
            <v>1.4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>
            <v>0</v>
          </cell>
          <cell r="M4632">
            <v>-6.8000000000000005E-2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 t="b">
            <v>1</v>
          </cell>
        </row>
        <row r="4633">
          <cell r="A4633" t="str">
            <v>Data split-17;Reg-56</v>
          </cell>
          <cell r="B4633">
            <v>-0.81</v>
          </cell>
          <cell r="C4633">
            <v>0</v>
          </cell>
          <cell r="D4633">
            <v>0.92</v>
          </cell>
          <cell r="E4633">
            <v>0</v>
          </cell>
          <cell r="F4633">
            <v>0.11</v>
          </cell>
          <cell r="G4633">
            <v>1.4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0</v>
          </cell>
          <cell r="M4633">
            <v>0</v>
          </cell>
          <cell r="N4633">
            <v>-1.2E-2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 t="b">
            <v>1</v>
          </cell>
        </row>
        <row r="4634">
          <cell r="A4634" t="str">
            <v>Data split-17;Reg-57</v>
          </cell>
          <cell r="B4634">
            <v>-1.2</v>
          </cell>
          <cell r="C4634">
            <v>0</v>
          </cell>
          <cell r="D4634">
            <v>0.49</v>
          </cell>
          <cell r="E4634">
            <v>0</v>
          </cell>
          <cell r="F4634">
            <v>3.3000000000000002E-2</v>
          </cell>
          <cell r="G4634">
            <v>0</v>
          </cell>
          <cell r="H4634">
            <v>3.3</v>
          </cell>
          <cell r="I4634">
            <v>0</v>
          </cell>
          <cell r="J4634">
            <v>0</v>
          </cell>
          <cell r="K4634">
            <v>0</v>
          </cell>
          <cell r="L4634">
            <v>0</v>
          </cell>
          <cell r="M4634">
            <v>-0.1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 t="b">
            <v>1</v>
          </cell>
        </row>
        <row r="4635">
          <cell r="A4635" t="str">
            <v>Data split-17;Reg-58</v>
          </cell>
          <cell r="B4635">
            <v>-1.1000000000000001</v>
          </cell>
          <cell r="C4635">
            <v>0</v>
          </cell>
          <cell r="D4635">
            <v>0.51</v>
          </cell>
          <cell r="E4635">
            <v>0</v>
          </cell>
          <cell r="F4635">
            <v>3.7999999999999999E-2</v>
          </cell>
          <cell r="G4635">
            <v>0</v>
          </cell>
          <cell r="H4635">
            <v>3.3</v>
          </cell>
          <cell r="I4635">
            <v>0</v>
          </cell>
          <cell r="J4635">
            <v>0</v>
          </cell>
          <cell r="K4635">
            <v>0</v>
          </cell>
          <cell r="L4635">
            <v>0</v>
          </cell>
          <cell r="M4635">
            <v>0</v>
          </cell>
          <cell r="N4635">
            <v>-1.9E-2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 t="b">
            <v>1</v>
          </cell>
        </row>
        <row r="4636">
          <cell r="A4636" t="str">
            <v>Data split-17;Reg-59</v>
          </cell>
          <cell r="B4636">
            <v>-1.5</v>
          </cell>
          <cell r="C4636">
            <v>0</v>
          </cell>
          <cell r="D4636">
            <v>0.22</v>
          </cell>
          <cell r="E4636">
            <v>2</v>
          </cell>
          <cell r="F4636">
            <v>0</v>
          </cell>
          <cell r="G4636">
            <v>0.46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-7.9000000000000001E-2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 t="b">
            <v>1</v>
          </cell>
        </row>
        <row r="4637">
          <cell r="A4637" t="str">
            <v>Data split-17;Reg-60</v>
          </cell>
          <cell r="B4637">
            <v>-1.7</v>
          </cell>
          <cell r="C4637">
            <v>0</v>
          </cell>
          <cell r="D4637">
            <v>0.22</v>
          </cell>
          <cell r="E4637">
            <v>2.1</v>
          </cell>
          <cell r="F4637">
            <v>0</v>
          </cell>
          <cell r="G4637">
            <v>0.49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-1.6E-2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 t="b">
            <v>1</v>
          </cell>
        </row>
        <row r="4638">
          <cell r="A4638" t="str">
            <v>Data split-17;Reg-61</v>
          </cell>
          <cell r="B4638">
            <v>-1.7</v>
          </cell>
          <cell r="C4638">
            <v>0</v>
          </cell>
          <cell r="D4638">
            <v>0.14000000000000001</v>
          </cell>
          <cell r="E4638">
            <v>1.2</v>
          </cell>
          <cell r="F4638">
            <v>0</v>
          </cell>
          <cell r="G4638">
            <v>0</v>
          </cell>
          <cell r="H4638">
            <v>2</v>
          </cell>
          <cell r="I4638">
            <v>0</v>
          </cell>
          <cell r="J4638">
            <v>0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-8.5999999999999993E-2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 t="b">
            <v>1</v>
          </cell>
        </row>
        <row r="4639">
          <cell r="A4639" t="str">
            <v>Data split-17;Reg-62</v>
          </cell>
          <cell r="B4639">
            <v>-1.8</v>
          </cell>
          <cell r="C4639">
            <v>0</v>
          </cell>
          <cell r="D4639">
            <v>0.14000000000000001</v>
          </cell>
          <cell r="E4639">
            <v>1.4</v>
          </cell>
          <cell r="F4639">
            <v>0</v>
          </cell>
          <cell r="G4639">
            <v>0</v>
          </cell>
          <cell r="H4639">
            <v>1.8</v>
          </cell>
          <cell r="I4639">
            <v>0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-1.6E-2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 t="b">
            <v>1</v>
          </cell>
        </row>
        <row r="4640">
          <cell r="A4640" t="str">
            <v>Data split-17;Reg-63</v>
          </cell>
          <cell r="B4640">
            <v>-1.7</v>
          </cell>
          <cell r="C4640">
            <v>0</v>
          </cell>
          <cell r="D4640">
            <v>0.7</v>
          </cell>
          <cell r="E4640">
            <v>0</v>
          </cell>
          <cell r="F4640">
            <v>0.13</v>
          </cell>
          <cell r="G4640">
            <v>1.8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-0.11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 t="b">
            <v>1</v>
          </cell>
        </row>
        <row r="4641">
          <cell r="A4641" t="str">
            <v>Data split-17;Reg-64</v>
          </cell>
          <cell r="B4641">
            <v>-1.8</v>
          </cell>
          <cell r="C4641">
            <v>0</v>
          </cell>
          <cell r="D4641">
            <v>0.72</v>
          </cell>
          <cell r="E4641">
            <v>0</v>
          </cell>
          <cell r="F4641">
            <v>0.14000000000000001</v>
          </cell>
          <cell r="G4641">
            <v>1.8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-0.02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 t="b">
            <v>1</v>
          </cell>
        </row>
        <row r="4642">
          <cell r="A4642" t="str">
            <v>Data split-17;Reg-65</v>
          </cell>
          <cell r="B4642">
            <v>-1.8</v>
          </cell>
          <cell r="C4642">
            <v>0</v>
          </cell>
          <cell r="D4642">
            <v>0.22</v>
          </cell>
          <cell r="E4642">
            <v>0</v>
          </cell>
          <cell r="F4642">
            <v>5.7000000000000002E-2</v>
          </cell>
          <cell r="G4642">
            <v>0</v>
          </cell>
          <cell r="H4642">
            <v>3.5</v>
          </cell>
          <cell r="I4642">
            <v>0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-9.7000000000000003E-2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 t="b">
            <v>1</v>
          </cell>
        </row>
        <row r="4643">
          <cell r="A4643" t="str">
            <v>Data split-17;Reg-66</v>
          </cell>
          <cell r="B4643">
            <v>-1.8</v>
          </cell>
          <cell r="C4643">
            <v>0</v>
          </cell>
          <cell r="D4643">
            <v>0.25</v>
          </cell>
          <cell r="E4643">
            <v>0</v>
          </cell>
          <cell r="F4643">
            <v>0.06</v>
          </cell>
          <cell r="G4643">
            <v>0</v>
          </cell>
          <cell r="H4643">
            <v>3.4</v>
          </cell>
          <cell r="I4643">
            <v>0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-1.7000000000000001E-2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 t="b">
            <v>1</v>
          </cell>
        </row>
        <row r="4644">
          <cell r="A4644" t="str">
            <v>Data split-17;Reg-67</v>
          </cell>
          <cell r="B4644">
            <v>-4.3</v>
          </cell>
          <cell r="C4644">
            <v>1.2</v>
          </cell>
          <cell r="D4644">
            <v>0</v>
          </cell>
          <cell r="E4644">
            <v>0</v>
          </cell>
          <cell r="F4644">
            <v>0</v>
          </cell>
          <cell r="G4644">
            <v>1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 t="b">
            <v>1</v>
          </cell>
        </row>
        <row r="4645">
          <cell r="A4645" t="str">
            <v>Data split-17;Reg-68</v>
          </cell>
          <cell r="B4645">
            <v>-3.8</v>
          </cell>
          <cell r="C4645">
            <v>1.2</v>
          </cell>
          <cell r="D4645">
            <v>0</v>
          </cell>
          <cell r="E4645">
            <v>0</v>
          </cell>
          <cell r="F4645">
            <v>0.06</v>
          </cell>
          <cell r="G4645">
            <v>0.89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 t="b">
            <v>1</v>
          </cell>
        </row>
        <row r="4646">
          <cell r="A4646" t="str">
            <v>Data split-17;Reg-69</v>
          </cell>
          <cell r="B4646">
            <v>-5</v>
          </cell>
          <cell r="C4646">
            <v>1.2</v>
          </cell>
          <cell r="D4646">
            <v>0</v>
          </cell>
          <cell r="E4646">
            <v>0</v>
          </cell>
          <cell r="F4646">
            <v>0</v>
          </cell>
          <cell r="G4646">
            <v>0.93</v>
          </cell>
          <cell r="H4646">
            <v>0</v>
          </cell>
          <cell r="I4646">
            <v>0</v>
          </cell>
          <cell r="J4646">
            <v>2.6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 t="b">
            <v>0</v>
          </cell>
        </row>
        <row r="4647">
          <cell r="A4647" t="str">
            <v>Data split-17;Reg-70</v>
          </cell>
          <cell r="B4647">
            <v>-4.9000000000000004</v>
          </cell>
          <cell r="C4647">
            <v>1.3</v>
          </cell>
          <cell r="D4647">
            <v>0</v>
          </cell>
          <cell r="E4647">
            <v>0</v>
          </cell>
          <cell r="F4647">
            <v>0</v>
          </cell>
          <cell r="G4647">
            <v>1.1000000000000001</v>
          </cell>
          <cell r="H4647">
            <v>0</v>
          </cell>
          <cell r="I4647">
            <v>0</v>
          </cell>
          <cell r="J4647">
            <v>1.8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-0.03</v>
          </cell>
          <cell r="T4647">
            <v>0</v>
          </cell>
          <cell r="U4647" t="b">
            <v>0</v>
          </cell>
        </row>
        <row r="4648">
          <cell r="A4648" t="str">
            <v>Data split-17;Reg-71</v>
          </cell>
          <cell r="B4648">
            <v>-1.2</v>
          </cell>
          <cell r="C4648">
            <v>0.4</v>
          </cell>
          <cell r="D4648">
            <v>0</v>
          </cell>
          <cell r="E4648">
            <v>0</v>
          </cell>
          <cell r="F4648">
            <v>3.5999999999999997E-2</v>
          </cell>
          <cell r="G4648">
            <v>0</v>
          </cell>
          <cell r="H4648">
            <v>3.5</v>
          </cell>
          <cell r="I4648">
            <v>0</v>
          </cell>
          <cell r="J4648">
            <v>0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-9.8000000000000004E-2</v>
          </cell>
          <cell r="T4648">
            <v>0</v>
          </cell>
          <cell r="U4648" t="b">
            <v>1</v>
          </cell>
        </row>
        <row r="4649">
          <cell r="A4649" t="str">
            <v>Data split-17;Reg-72</v>
          </cell>
          <cell r="B4649">
            <v>-2.4</v>
          </cell>
          <cell r="C4649">
            <v>0.64</v>
          </cell>
          <cell r="D4649">
            <v>0</v>
          </cell>
          <cell r="E4649">
            <v>1.6</v>
          </cell>
          <cell r="F4649">
            <v>0</v>
          </cell>
          <cell r="G4649">
            <v>0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 t="b">
            <v>1</v>
          </cell>
        </row>
        <row r="4650">
          <cell r="A4650" t="str">
            <v>Data split-17;Reg-73</v>
          </cell>
          <cell r="B4650">
            <v>-3.5</v>
          </cell>
          <cell r="C4650">
            <v>1.6</v>
          </cell>
          <cell r="D4650">
            <v>0</v>
          </cell>
          <cell r="E4650">
            <v>0</v>
          </cell>
          <cell r="F4650">
            <v>0.15</v>
          </cell>
          <cell r="G4650">
            <v>0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 t="b">
            <v>1</v>
          </cell>
        </row>
        <row r="4651">
          <cell r="A4651" t="str">
            <v>Data split-17;Reg-74</v>
          </cell>
          <cell r="B4651">
            <v>-0.75</v>
          </cell>
          <cell r="C4651">
            <v>0</v>
          </cell>
          <cell r="D4651">
            <v>0.28000000000000003</v>
          </cell>
          <cell r="E4651">
            <v>1.9</v>
          </cell>
          <cell r="F4651">
            <v>0</v>
          </cell>
          <cell r="G4651">
            <v>0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 t="b">
            <v>1</v>
          </cell>
        </row>
        <row r="4652">
          <cell r="A4652" t="str">
            <v>Data split-17;Reg-75</v>
          </cell>
          <cell r="B4652">
            <v>0.42</v>
          </cell>
          <cell r="C4652">
            <v>0</v>
          </cell>
          <cell r="D4652">
            <v>1.2</v>
          </cell>
          <cell r="E4652">
            <v>0</v>
          </cell>
          <cell r="F4652">
            <v>0.22</v>
          </cell>
          <cell r="G4652">
            <v>0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 t="b">
            <v>0</v>
          </cell>
        </row>
        <row r="4653">
          <cell r="A4653" t="str">
            <v>Data split-17;Reg-76</v>
          </cell>
          <cell r="B4653">
            <v>-4.3</v>
          </cell>
          <cell r="C4653">
            <v>1.2</v>
          </cell>
          <cell r="D4653">
            <v>0</v>
          </cell>
          <cell r="E4653">
            <v>0</v>
          </cell>
          <cell r="F4653">
            <v>0</v>
          </cell>
          <cell r="G4653">
            <v>1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 t="b">
            <v>1</v>
          </cell>
        </row>
        <row r="4654">
          <cell r="A4654" t="str">
            <v>Data split-17;Reg-77</v>
          </cell>
          <cell r="B4654">
            <v>-3.2</v>
          </cell>
          <cell r="C4654">
            <v>0.79</v>
          </cell>
          <cell r="D4654">
            <v>0</v>
          </cell>
          <cell r="E4654">
            <v>0</v>
          </cell>
          <cell r="F4654">
            <v>0</v>
          </cell>
          <cell r="G4654">
            <v>0</v>
          </cell>
          <cell r="H4654">
            <v>2</v>
          </cell>
          <cell r="I4654">
            <v>0</v>
          </cell>
          <cell r="J4654">
            <v>0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 t="b">
            <v>1</v>
          </cell>
        </row>
        <row r="4655">
          <cell r="A4655" t="str">
            <v>Data split-17;Reg-78</v>
          </cell>
          <cell r="B4655">
            <v>-1.4</v>
          </cell>
          <cell r="C4655">
            <v>0</v>
          </cell>
          <cell r="D4655">
            <v>0.8</v>
          </cell>
          <cell r="E4655">
            <v>0</v>
          </cell>
          <cell r="F4655">
            <v>0</v>
          </cell>
          <cell r="G4655">
            <v>1.2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 t="b">
            <v>1</v>
          </cell>
        </row>
        <row r="4656">
          <cell r="A4656" t="str">
            <v>Data split-17;Reg-79</v>
          </cell>
          <cell r="B4656">
            <v>-1.2</v>
          </cell>
          <cell r="C4656">
            <v>0</v>
          </cell>
          <cell r="D4656">
            <v>0.39</v>
          </cell>
          <cell r="E4656">
            <v>0</v>
          </cell>
          <cell r="F4656">
            <v>0</v>
          </cell>
          <cell r="G4656">
            <v>0</v>
          </cell>
          <cell r="H4656">
            <v>2.5</v>
          </cell>
          <cell r="I4656">
            <v>0</v>
          </cell>
          <cell r="J4656">
            <v>0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 t="b">
            <v>1</v>
          </cell>
        </row>
        <row r="4657">
          <cell r="A4657" t="str">
            <v>Data split-17;Reg-80</v>
          </cell>
          <cell r="B4657">
            <v>-5.6</v>
          </cell>
          <cell r="C4657">
            <v>1.5</v>
          </cell>
          <cell r="D4657">
            <v>0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  <cell r="I4657">
            <v>1.5</v>
          </cell>
          <cell r="J4657">
            <v>0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 t="b">
            <v>0</v>
          </cell>
        </row>
        <row r="4658">
          <cell r="A4658" t="str">
            <v>Data split-17;Reg-81</v>
          </cell>
          <cell r="B4658">
            <v>-7.7</v>
          </cell>
          <cell r="C4658">
            <v>1.7</v>
          </cell>
          <cell r="D4658">
            <v>0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  <cell r="I4658">
            <v>0</v>
          </cell>
          <cell r="J4658">
            <v>10.8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 t="b">
            <v>0</v>
          </cell>
        </row>
        <row r="4659">
          <cell r="A4659" t="str">
            <v>Data split-17;Reg-82</v>
          </cell>
          <cell r="B4659">
            <v>-2.9</v>
          </cell>
          <cell r="C4659">
            <v>0</v>
          </cell>
          <cell r="D4659">
            <v>1.2</v>
          </cell>
          <cell r="E4659">
            <v>0</v>
          </cell>
          <cell r="F4659">
            <v>0</v>
          </cell>
          <cell r="G4659">
            <v>0</v>
          </cell>
          <cell r="H4659">
            <v>0</v>
          </cell>
          <cell r="I4659">
            <v>2.1</v>
          </cell>
          <cell r="J4659">
            <v>0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 t="b">
            <v>0</v>
          </cell>
        </row>
        <row r="4660">
          <cell r="A4660" t="str">
            <v>Data split-17;Reg-83</v>
          </cell>
          <cell r="B4660">
            <v>-7.1</v>
          </cell>
          <cell r="C4660">
            <v>0</v>
          </cell>
          <cell r="D4660">
            <v>1.4</v>
          </cell>
          <cell r="E4660">
            <v>0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  <cell r="J4660">
            <v>20.2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 t="b">
            <v>0</v>
          </cell>
        </row>
        <row r="4661">
          <cell r="A4661" t="str">
            <v>Data split-17;Reg-84</v>
          </cell>
          <cell r="B4661">
            <v>-6.5</v>
          </cell>
          <cell r="C4661">
            <v>1.8</v>
          </cell>
          <cell r="D4661">
            <v>0</v>
          </cell>
          <cell r="E4661">
            <v>0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</v>
          </cell>
          <cell r="K4661">
            <v>0.47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 t="b">
            <v>0</v>
          </cell>
        </row>
        <row r="4662">
          <cell r="A4662" t="str">
            <v>Data split-17;Reg-85</v>
          </cell>
          <cell r="B4662">
            <v>-5.6</v>
          </cell>
          <cell r="C4662">
            <v>1.8</v>
          </cell>
          <cell r="D4662">
            <v>0</v>
          </cell>
          <cell r="E4662">
            <v>0</v>
          </cell>
          <cell r="F4662">
            <v>0</v>
          </cell>
          <cell r="G4662">
            <v>0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0.92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 t="b">
            <v>0</v>
          </cell>
        </row>
        <row r="4663">
          <cell r="A4663" t="str">
            <v>Data split-17;Reg-86</v>
          </cell>
          <cell r="B4663">
            <v>-5.6</v>
          </cell>
          <cell r="C4663">
            <v>0</v>
          </cell>
          <cell r="D4663">
            <v>1.4</v>
          </cell>
          <cell r="E4663">
            <v>0</v>
          </cell>
          <cell r="F4663">
            <v>0</v>
          </cell>
          <cell r="G4663">
            <v>0</v>
          </cell>
          <cell r="H4663">
            <v>0</v>
          </cell>
          <cell r="I4663">
            <v>0</v>
          </cell>
          <cell r="J4663">
            <v>0</v>
          </cell>
          <cell r="K4663">
            <v>1.2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 t="b">
            <v>0</v>
          </cell>
        </row>
        <row r="4664">
          <cell r="A4664" t="str">
            <v>Data split-17;Reg-87</v>
          </cell>
          <cell r="B4664">
            <v>-5.5</v>
          </cell>
          <cell r="C4664">
            <v>0</v>
          </cell>
          <cell r="D4664">
            <v>1.5</v>
          </cell>
          <cell r="E4664">
            <v>0</v>
          </cell>
          <cell r="F4664">
            <v>0</v>
          </cell>
          <cell r="G4664">
            <v>0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5.3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 t="b">
            <v>0</v>
          </cell>
        </row>
        <row r="4665">
          <cell r="A4665" t="str">
            <v>Data split-17;Reg-88</v>
          </cell>
          <cell r="B4665">
            <v>-4.4000000000000004</v>
          </cell>
          <cell r="C4665">
            <v>1.6</v>
          </cell>
          <cell r="D4665">
            <v>0</v>
          </cell>
          <cell r="E4665">
            <v>0</v>
          </cell>
          <cell r="F4665">
            <v>0</v>
          </cell>
          <cell r="G4665">
            <v>0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>
            <v>0</v>
          </cell>
          <cell r="M4665">
            <v>4.2999999999999997E-2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 t="b">
            <v>0</v>
          </cell>
        </row>
        <row r="4666">
          <cell r="A4666" t="str">
            <v>Data split-17;Reg-89</v>
          </cell>
          <cell r="B4666">
            <v>-4.2</v>
          </cell>
          <cell r="C4666">
            <v>1.4</v>
          </cell>
          <cell r="D4666">
            <v>0</v>
          </cell>
          <cell r="E4666">
            <v>0</v>
          </cell>
          <cell r="F4666">
            <v>0</v>
          </cell>
          <cell r="G4666">
            <v>0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0</v>
          </cell>
          <cell r="M4666">
            <v>0</v>
          </cell>
          <cell r="N4666">
            <v>1.4E-2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 t="b">
            <v>0</v>
          </cell>
        </row>
        <row r="4667">
          <cell r="A4667" t="str">
            <v>Data split-17;Reg-90</v>
          </cell>
          <cell r="B4667">
            <v>-0.66</v>
          </cell>
          <cell r="C4667">
            <v>0</v>
          </cell>
          <cell r="D4667">
            <v>1</v>
          </cell>
          <cell r="E4667">
            <v>0</v>
          </cell>
          <cell r="F4667">
            <v>0</v>
          </cell>
          <cell r="G4667">
            <v>0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>
            <v>0</v>
          </cell>
          <cell r="M4667">
            <v>8.3000000000000004E-2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 t="b">
            <v>0</v>
          </cell>
        </row>
        <row r="4668">
          <cell r="A4668" t="str">
            <v>Data split-17;Reg-91</v>
          </cell>
          <cell r="B4668">
            <v>-0.81</v>
          </cell>
          <cell r="C4668">
            <v>0</v>
          </cell>
          <cell r="D4668">
            <v>0.84</v>
          </cell>
          <cell r="E4668">
            <v>0</v>
          </cell>
          <cell r="F4668">
            <v>0</v>
          </cell>
          <cell r="G4668">
            <v>0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0</v>
          </cell>
          <cell r="M4668">
            <v>0</v>
          </cell>
          <cell r="N4668">
            <v>2.1999999999999999E-2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 t="b">
            <v>0</v>
          </cell>
        </row>
        <row r="4669">
          <cell r="A4669" t="str">
            <v>Data split-17;Reg-92</v>
          </cell>
          <cell r="B4669">
            <v>-4.0999999999999996</v>
          </cell>
          <cell r="C4669">
            <v>1.6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6.2E-2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 t="b">
            <v>0</v>
          </cell>
        </row>
        <row r="4670">
          <cell r="A4670" t="str">
            <v>Data split-17;Reg-93</v>
          </cell>
          <cell r="B4670">
            <v>-3.9</v>
          </cell>
          <cell r="C4670">
            <v>1.5</v>
          </cell>
          <cell r="D4670">
            <v>0</v>
          </cell>
          <cell r="E4670">
            <v>0</v>
          </cell>
          <cell r="F4670">
            <v>0</v>
          </cell>
          <cell r="G4670">
            <v>0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1.2999999999999999E-2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 t="b">
            <v>0</v>
          </cell>
        </row>
        <row r="4671">
          <cell r="A4671" t="str">
            <v>Data split-17;Reg-94</v>
          </cell>
          <cell r="B4671">
            <v>-0.17</v>
          </cell>
          <cell r="C4671">
            <v>0</v>
          </cell>
          <cell r="D4671">
            <v>1.2</v>
          </cell>
          <cell r="E4671">
            <v>0</v>
          </cell>
          <cell r="F4671">
            <v>0</v>
          </cell>
          <cell r="G4671">
            <v>0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7.3999999999999996E-2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 t="b">
            <v>0</v>
          </cell>
        </row>
        <row r="4672">
          <cell r="A4672" t="str">
            <v>Data split-17;Reg-95</v>
          </cell>
          <cell r="B4672">
            <v>-2.3E-2</v>
          </cell>
          <cell r="C4672">
            <v>0</v>
          </cell>
          <cell r="D4672">
            <v>1.1000000000000001</v>
          </cell>
          <cell r="E4672">
            <v>0</v>
          </cell>
          <cell r="F4672">
            <v>0</v>
          </cell>
          <cell r="G4672">
            <v>0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1.6E-2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 t="b">
            <v>0</v>
          </cell>
        </row>
        <row r="4673">
          <cell r="A4673" t="str">
            <v>Data split-17;Reg-96</v>
          </cell>
          <cell r="B4673">
            <v>-2.4</v>
          </cell>
          <cell r="C4673">
            <v>0.64</v>
          </cell>
          <cell r="D4673">
            <v>0</v>
          </cell>
          <cell r="E4673">
            <v>1.6</v>
          </cell>
          <cell r="F4673">
            <v>0</v>
          </cell>
          <cell r="G4673">
            <v>0</v>
          </cell>
          <cell r="H4673">
            <v>0</v>
          </cell>
          <cell r="I4673">
            <v>-0.03</v>
          </cell>
          <cell r="J4673">
            <v>0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 t="b">
            <v>1</v>
          </cell>
        </row>
        <row r="4674">
          <cell r="A4674" t="str">
            <v>Data split-17;Reg-97</v>
          </cell>
          <cell r="B4674">
            <v>-3.1</v>
          </cell>
          <cell r="C4674">
            <v>0.68</v>
          </cell>
          <cell r="D4674">
            <v>0</v>
          </cell>
          <cell r="E4674">
            <v>1.5</v>
          </cell>
          <cell r="F4674">
            <v>0</v>
          </cell>
          <cell r="G4674">
            <v>0</v>
          </cell>
          <cell r="H4674">
            <v>0</v>
          </cell>
          <cell r="I4674">
            <v>0</v>
          </cell>
          <cell r="J4674">
            <v>2.2000000000000002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 t="b">
            <v>0</v>
          </cell>
        </row>
        <row r="4675">
          <cell r="A4675" t="str">
            <v>Data split-17;Reg-98</v>
          </cell>
          <cell r="B4675">
            <v>-4.5</v>
          </cell>
          <cell r="C4675">
            <v>1.4</v>
          </cell>
          <cell r="D4675">
            <v>0</v>
          </cell>
          <cell r="E4675">
            <v>0</v>
          </cell>
          <cell r="F4675">
            <v>0.1</v>
          </cell>
          <cell r="G4675">
            <v>0</v>
          </cell>
          <cell r="H4675">
            <v>0</v>
          </cell>
          <cell r="I4675">
            <v>1.2</v>
          </cell>
          <cell r="J4675">
            <v>0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 t="b">
            <v>0</v>
          </cell>
        </row>
        <row r="4676">
          <cell r="A4676" t="str">
            <v>Data split-17;Reg-99</v>
          </cell>
          <cell r="B4676">
            <v>-6</v>
          </cell>
          <cell r="C4676">
            <v>1.5</v>
          </cell>
          <cell r="D4676">
            <v>0</v>
          </cell>
          <cell r="E4676">
            <v>0</v>
          </cell>
          <cell r="F4676">
            <v>0.14000000000000001</v>
          </cell>
          <cell r="G4676">
            <v>0</v>
          </cell>
          <cell r="H4676">
            <v>0</v>
          </cell>
          <cell r="I4676">
            <v>0</v>
          </cell>
          <cell r="J4676">
            <v>9.3000000000000007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 t="b">
            <v>0</v>
          </cell>
        </row>
        <row r="4677">
          <cell r="A4677" t="str">
            <v>Data split-17;Reg-100</v>
          </cell>
          <cell r="B4677">
            <v>-0.56999999999999995</v>
          </cell>
          <cell r="C4677">
            <v>0</v>
          </cell>
          <cell r="D4677">
            <v>0.25</v>
          </cell>
          <cell r="E4677">
            <v>2</v>
          </cell>
          <cell r="F4677">
            <v>0</v>
          </cell>
          <cell r="G4677">
            <v>0</v>
          </cell>
          <cell r="H4677">
            <v>0</v>
          </cell>
          <cell r="I4677">
            <v>-0.18</v>
          </cell>
          <cell r="J4677">
            <v>0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 t="b">
            <v>1</v>
          </cell>
        </row>
        <row r="4678">
          <cell r="A4678" t="str">
            <v>Data split-17;Reg-101</v>
          </cell>
          <cell r="B4678">
            <v>-2</v>
          </cell>
          <cell r="C4678">
            <v>0</v>
          </cell>
          <cell r="D4678">
            <v>0.38</v>
          </cell>
          <cell r="E4678">
            <v>1.7</v>
          </cell>
          <cell r="F4678">
            <v>0</v>
          </cell>
          <cell r="G4678">
            <v>0</v>
          </cell>
          <cell r="H4678">
            <v>0</v>
          </cell>
          <cell r="I4678">
            <v>0</v>
          </cell>
          <cell r="J4678">
            <v>4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 t="b">
            <v>0</v>
          </cell>
        </row>
        <row r="4679">
          <cell r="A4679" t="str">
            <v>Data split-17;Reg-102</v>
          </cell>
          <cell r="B4679">
            <v>-1.8</v>
          </cell>
          <cell r="C4679">
            <v>0</v>
          </cell>
          <cell r="D4679">
            <v>1.1000000000000001</v>
          </cell>
          <cell r="E4679">
            <v>0</v>
          </cell>
          <cell r="F4679">
            <v>0.13</v>
          </cell>
          <cell r="G4679">
            <v>0</v>
          </cell>
          <cell r="H4679">
            <v>0</v>
          </cell>
          <cell r="I4679">
            <v>1.7</v>
          </cell>
          <cell r="J4679">
            <v>0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 t="b">
            <v>0</v>
          </cell>
        </row>
        <row r="4680">
          <cell r="A4680" t="str">
            <v>Data split-17;Reg-103</v>
          </cell>
          <cell r="B4680">
            <v>-5.3</v>
          </cell>
          <cell r="C4680">
            <v>0</v>
          </cell>
          <cell r="D4680">
            <v>1.2</v>
          </cell>
          <cell r="E4680">
            <v>0</v>
          </cell>
          <cell r="F4680">
            <v>0.16</v>
          </cell>
          <cell r="G4680">
            <v>0</v>
          </cell>
          <cell r="H4680">
            <v>0</v>
          </cell>
          <cell r="I4680">
            <v>0</v>
          </cell>
          <cell r="J4680">
            <v>17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 t="b">
            <v>0</v>
          </cell>
        </row>
        <row r="4681">
          <cell r="A4681" t="str">
            <v>Data split-17;Reg-104</v>
          </cell>
          <cell r="B4681">
            <v>-1.5</v>
          </cell>
          <cell r="C4681">
            <v>0.6</v>
          </cell>
          <cell r="D4681">
            <v>0</v>
          </cell>
          <cell r="E4681">
            <v>1.6</v>
          </cell>
          <cell r="F4681">
            <v>0</v>
          </cell>
          <cell r="G4681">
            <v>0</v>
          </cell>
          <cell r="H4681">
            <v>0</v>
          </cell>
          <cell r="I4681">
            <v>0</v>
          </cell>
          <cell r="J4681">
            <v>0</v>
          </cell>
          <cell r="K4681">
            <v>-0.23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 t="b">
            <v>1</v>
          </cell>
        </row>
        <row r="4682">
          <cell r="A4682" t="str">
            <v>Data split-17;Reg-105</v>
          </cell>
          <cell r="B4682">
            <v>-2.2000000000000002</v>
          </cell>
          <cell r="C4682">
            <v>0.64</v>
          </cell>
          <cell r="D4682">
            <v>0</v>
          </cell>
          <cell r="E4682">
            <v>1.6</v>
          </cell>
          <cell r="F4682">
            <v>0</v>
          </cell>
          <cell r="G4682">
            <v>0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-0.23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 t="b">
            <v>1</v>
          </cell>
        </row>
        <row r="4683">
          <cell r="A4683" t="str">
            <v>Data split-17;Reg-106</v>
          </cell>
          <cell r="B4683">
            <v>-4.8</v>
          </cell>
          <cell r="C4683">
            <v>1.5</v>
          </cell>
          <cell r="D4683">
            <v>0</v>
          </cell>
          <cell r="E4683">
            <v>0</v>
          </cell>
          <cell r="F4683">
            <v>0.15</v>
          </cell>
          <cell r="G4683">
            <v>0</v>
          </cell>
          <cell r="H4683">
            <v>0</v>
          </cell>
          <cell r="I4683">
            <v>0</v>
          </cell>
          <cell r="J4683">
            <v>0</v>
          </cell>
          <cell r="K4683">
            <v>0.36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 t="b">
            <v>0</v>
          </cell>
        </row>
        <row r="4684">
          <cell r="A4684" t="str">
            <v>Data split-17;Reg-107</v>
          </cell>
          <cell r="B4684">
            <v>-4.2</v>
          </cell>
          <cell r="C4684">
            <v>1.6</v>
          </cell>
          <cell r="D4684">
            <v>0</v>
          </cell>
          <cell r="E4684">
            <v>0</v>
          </cell>
          <cell r="F4684">
            <v>0.15</v>
          </cell>
          <cell r="G4684">
            <v>0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>
            <v>0.87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 t="b">
            <v>0</v>
          </cell>
        </row>
        <row r="4685">
          <cell r="A4685" t="str">
            <v>Data split-17;Reg-108</v>
          </cell>
          <cell r="B4685">
            <v>0.17</v>
          </cell>
          <cell r="C4685">
            <v>0</v>
          </cell>
          <cell r="D4685">
            <v>0.22</v>
          </cell>
          <cell r="E4685">
            <v>2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-0.23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 t="b">
            <v>0</v>
          </cell>
        </row>
        <row r="4686">
          <cell r="A4686" t="str">
            <v>Data split-17;Reg-109</v>
          </cell>
          <cell r="B4686">
            <v>-1.1000000000000001</v>
          </cell>
          <cell r="C4686">
            <v>0</v>
          </cell>
          <cell r="D4686">
            <v>0.3</v>
          </cell>
          <cell r="E4686">
            <v>1.9</v>
          </cell>
          <cell r="F4686">
            <v>0</v>
          </cell>
          <cell r="G4686">
            <v>0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>
            <v>0.4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 t="b">
            <v>0</v>
          </cell>
        </row>
        <row r="4687">
          <cell r="A4687" t="str">
            <v>Data split-17;Reg-110</v>
          </cell>
          <cell r="B4687">
            <v>-3.6</v>
          </cell>
          <cell r="C4687">
            <v>0</v>
          </cell>
          <cell r="D4687">
            <v>1.2</v>
          </cell>
          <cell r="E4687">
            <v>0</v>
          </cell>
          <cell r="F4687">
            <v>0.19</v>
          </cell>
          <cell r="G4687">
            <v>0</v>
          </cell>
          <cell r="H4687">
            <v>0</v>
          </cell>
          <cell r="I4687">
            <v>0</v>
          </cell>
          <cell r="J4687">
            <v>0</v>
          </cell>
          <cell r="K4687">
            <v>0.95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 t="b">
            <v>0</v>
          </cell>
        </row>
        <row r="4688">
          <cell r="A4688" t="str">
            <v>Data split-17;Reg-111</v>
          </cell>
          <cell r="B4688">
            <v>-3.7</v>
          </cell>
          <cell r="C4688">
            <v>0</v>
          </cell>
          <cell r="D4688">
            <v>1.2</v>
          </cell>
          <cell r="E4688">
            <v>0</v>
          </cell>
          <cell r="F4688">
            <v>0.2</v>
          </cell>
          <cell r="G4688">
            <v>0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4.4000000000000004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 t="b">
            <v>0</v>
          </cell>
        </row>
        <row r="4689">
          <cell r="A4689" t="str">
            <v>Data split-17;Reg-112</v>
          </cell>
          <cell r="B4689">
            <v>-4.2</v>
          </cell>
          <cell r="C4689">
            <v>1.2</v>
          </cell>
          <cell r="D4689">
            <v>0</v>
          </cell>
          <cell r="E4689">
            <v>0</v>
          </cell>
          <cell r="F4689">
            <v>0</v>
          </cell>
          <cell r="G4689">
            <v>1</v>
          </cell>
          <cell r="H4689">
            <v>0</v>
          </cell>
          <cell r="I4689">
            <v>-4.4999999999999998E-2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 t="b">
            <v>1</v>
          </cell>
        </row>
        <row r="4690">
          <cell r="A4690" t="str">
            <v>Data split-17;Reg-113</v>
          </cell>
          <cell r="B4690">
            <v>-5</v>
          </cell>
          <cell r="C4690">
            <v>1.2</v>
          </cell>
          <cell r="D4690">
            <v>0</v>
          </cell>
          <cell r="E4690">
            <v>0</v>
          </cell>
          <cell r="F4690">
            <v>0</v>
          </cell>
          <cell r="G4690">
            <v>0.93</v>
          </cell>
          <cell r="H4690">
            <v>0</v>
          </cell>
          <cell r="I4690">
            <v>0</v>
          </cell>
          <cell r="J4690">
            <v>2.6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 t="b">
            <v>0</v>
          </cell>
        </row>
        <row r="4691">
          <cell r="A4691" t="str">
            <v>Data split-17;Reg-114</v>
          </cell>
          <cell r="B4691">
            <v>-2.9</v>
          </cell>
          <cell r="C4691">
            <v>0.73</v>
          </cell>
          <cell r="D4691">
            <v>0</v>
          </cell>
          <cell r="E4691">
            <v>0</v>
          </cell>
          <cell r="F4691">
            <v>0</v>
          </cell>
          <cell r="G4691">
            <v>0</v>
          </cell>
          <cell r="H4691">
            <v>2.2000000000000002</v>
          </cell>
          <cell r="I4691">
            <v>-0.33</v>
          </cell>
          <cell r="J4691">
            <v>0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 t="b">
            <v>1</v>
          </cell>
        </row>
        <row r="4692">
          <cell r="A4692" t="str">
            <v>Data split-17;Reg-115</v>
          </cell>
          <cell r="B4692">
            <v>-3.9</v>
          </cell>
          <cell r="C4692">
            <v>0.82</v>
          </cell>
          <cell r="D4692">
            <v>0</v>
          </cell>
          <cell r="E4692">
            <v>0</v>
          </cell>
          <cell r="F4692">
            <v>0</v>
          </cell>
          <cell r="G4692">
            <v>0</v>
          </cell>
          <cell r="H4692">
            <v>1.9</v>
          </cell>
          <cell r="I4692">
            <v>0</v>
          </cell>
          <cell r="J4692">
            <v>2.2999999999999998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 t="b">
            <v>0</v>
          </cell>
        </row>
        <row r="4693">
          <cell r="A4693" t="str">
            <v>Data split-17;Reg-116</v>
          </cell>
          <cell r="B4693">
            <v>-1.8</v>
          </cell>
          <cell r="C4693">
            <v>0</v>
          </cell>
          <cell r="D4693">
            <v>0.86</v>
          </cell>
          <cell r="E4693">
            <v>0</v>
          </cell>
          <cell r="F4693">
            <v>0</v>
          </cell>
          <cell r="G4693">
            <v>0.99</v>
          </cell>
          <cell r="H4693">
            <v>0</v>
          </cell>
          <cell r="I4693">
            <v>0.55000000000000004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 t="b">
            <v>0</v>
          </cell>
        </row>
        <row r="4694">
          <cell r="A4694" t="str">
            <v>Data split-17;Reg-117</v>
          </cell>
          <cell r="B4694">
            <v>-4.4000000000000004</v>
          </cell>
          <cell r="C4694">
            <v>0</v>
          </cell>
          <cell r="D4694">
            <v>0.96</v>
          </cell>
          <cell r="E4694">
            <v>0</v>
          </cell>
          <cell r="F4694">
            <v>0</v>
          </cell>
          <cell r="G4694">
            <v>0.88</v>
          </cell>
          <cell r="H4694">
            <v>0</v>
          </cell>
          <cell r="I4694">
            <v>0</v>
          </cell>
          <cell r="J4694">
            <v>10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 t="b">
            <v>0</v>
          </cell>
        </row>
        <row r="4695">
          <cell r="A4695" t="str">
            <v>Data split-17;Reg-118</v>
          </cell>
          <cell r="B4695">
            <v>-0.71</v>
          </cell>
          <cell r="C4695">
            <v>0</v>
          </cell>
          <cell r="D4695">
            <v>0.28000000000000003</v>
          </cell>
          <cell r="E4695">
            <v>0</v>
          </cell>
          <cell r="F4695">
            <v>0</v>
          </cell>
          <cell r="G4695">
            <v>0</v>
          </cell>
          <cell r="H4695">
            <v>2.9</v>
          </cell>
          <cell r="I4695">
            <v>-0.57999999999999996</v>
          </cell>
          <cell r="J4695">
            <v>0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 t="b">
            <v>1</v>
          </cell>
        </row>
        <row r="4696">
          <cell r="A4696" t="str">
            <v>Data split-17;Reg-119</v>
          </cell>
          <cell r="B4696">
            <v>-2.8</v>
          </cell>
          <cell r="C4696">
            <v>0</v>
          </cell>
          <cell r="D4696">
            <v>0.5</v>
          </cell>
          <cell r="E4696">
            <v>0</v>
          </cell>
          <cell r="F4696">
            <v>0</v>
          </cell>
          <cell r="G4696">
            <v>0</v>
          </cell>
          <cell r="H4696">
            <v>2.2000000000000002</v>
          </cell>
          <cell r="I4696">
            <v>0</v>
          </cell>
          <cell r="J4696">
            <v>5.0999999999999996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 t="b">
            <v>0</v>
          </cell>
        </row>
        <row r="4697">
          <cell r="A4697" t="str">
            <v>Data split-17;Reg-120</v>
          </cell>
          <cell r="B4697">
            <v>-3.6</v>
          </cell>
          <cell r="C4697">
            <v>1.2</v>
          </cell>
          <cell r="D4697">
            <v>0</v>
          </cell>
          <cell r="E4697">
            <v>0</v>
          </cell>
          <cell r="F4697">
            <v>0</v>
          </cell>
          <cell r="G4697">
            <v>1</v>
          </cell>
          <cell r="H4697">
            <v>0</v>
          </cell>
          <cell r="I4697">
            <v>0</v>
          </cell>
          <cell r="J4697">
            <v>0</v>
          </cell>
          <cell r="K4697">
            <v>-0.19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 t="b">
            <v>1</v>
          </cell>
        </row>
        <row r="4698">
          <cell r="A4698" t="str">
            <v>Data split-17;Reg-121</v>
          </cell>
          <cell r="B4698">
            <v>-4</v>
          </cell>
          <cell r="C4698">
            <v>1.2</v>
          </cell>
          <cell r="D4698">
            <v>0</v>
          </cell>
          <cell r="E4698">
            <v>0</v>
          </cell>
          <cell r="F4698">
            <v>0</v>
          </cell>
          <cell r="G4698">
            <v>1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>
            <v>-0.25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 t="b">
            <v>1</v>
          </cell>
        </row>
        <row r="4699">
          <cell r="A4699" t="str">
            <v>Data split-17;Reg-122</v>
          </cell>
          <cell r="B4699">
            <v>-2.6</v>
          </cell>
          <cell r="C4699">
            <v>0.77</v>
          </cell>
          <cell r="D4699">
            <v>0</v>
          </cell>
          <cell r="E4699">
            <v>0</v>
          </cell>
          <cell r="F4699">
            <v>0</v>
          </cell>
          <cell r="G4699">
            <v>0</v>
          </cell>
          <cell r="H4699">
            <v>2.1</v>
          </cell>
          <cell r="I4699">
            <v>0</v>
          </cell>
          <cell r="J4699">
            <v>0</v>
          </cell>
          <cell r="K4699">
            <v>-0.16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 t="b">
            <v>1</v>
          </cell>
        </row>
        <row r="4700">
          <cell r="A4700" t="str">
            <v>Data split-17;Reg-123</v>
          </cell>
          <cell r="B4700">
            <v>-3.4</v>
          </cell>
          <cell r="C4700">
            <v>0.79</v>
          </cell>
          <cell r="D4700">
            <v>0</v>
          </cell>
          <cell r="E4700">
            <v>0</v>
          </cell>
          <cell r="F4700">
            <v>0</v>
          </cell>
          <cell r="G4700">
            <v>0</v>
          </cell>
          <cell r="H4700">
            <v>2</v>
          </cell>
          <cell r="I4700">
            <v>0</v>
          </cell>
          <cell r="J4700">
            <v>0</v>
          </cell>
          <cell r="K4700">
            <v>0</v>
          </cell>
          <cell r="L4700">
            <v>0.16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 t="b">
            <v>0</v>
          </cell>
        </row>
        <row r="4701">
          <cell r="A4701" t="str">
            <v>Data split-17;Reg-124</v>
          </cell>
          <cell r="B4701">
            <v>-2.2000000000000002</v>
          </cell>
          <cell r="C4701">
            <v>0</v>
          </cell>
          <cell r="D4701">
            <v>0.84</v>
          </cell>
          <cell r="E4701">
            <v>0</v>
          </cell>
          <cell r="F4701">
            <v>0</v>
          </cell>
          <cell r="G4701">
            <v>1.2</v>
          </cell>
          <cell r="H4701">
            <v>0</v>
          </cell>
          <cell r="I4701">
            <v>0</v>
          </cell>
          <cell r="J4701">
            <v>0</v>
          </cell>
          <cell r="K4701">
            <v>0.23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 t="b">
            <v>0</v>
          </cell>
        </row>
        <row r="4702">
          <cell r="A4702" t="str">
            <v>Data split-17;Reg-125</v>
          </cell>
          <cell r="B4702">
            <v>-3.2</v>
          </cell>
          <cell r="C4702">
            <v>0</v>
          </cell>
          <cell r="D4702">
            <v>0.87</v>
          </cell>
          <cell r="E4702">
            <v>0</v>
          </cell>
          <cell r="F4702">
            <v>0</v>
          </cell>
          <cell r="G4702">
            <v>1.2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>
            <v>2.1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 t="b">
            <v>0</v>
          </cell>
        </row>
        <row r="4703">
          <cell r="A4703" t="str">
            <v>Data split-17;Reg-126</v>
          </cell>
          <cell r="B4703">
            <v>-0.98</v>
          </cell>
          <cell r="C4703">
            <v>0</v>
          </cell>
          <cell r="D4703">
            <v>0.37</v>
          </cell>
          <cell r="E4703">
            <v>0</v>
          </cell>
          <cell r="F4703">
            <v>0</v>
          </cell>
          <cell r="G4703">
            <v>0</v>
          </cell>
          <cell r="H4703">
            <v>2.5</v>
          </cell>
          <cell r="I4703">
            <v>0</v>
          </cell>
          <cell r="J4703">
            <v>0</v>
          </cell>
          <cell r="K4703">
            <v>-5.8999999999999997E-2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 t="b">
            <v>1</v>
          </cell>
        </row>
        <row r="4704">
          <cell r="A4704" t="str">
            <v>Data split-17;Reg-127</v>
          </cell>
          <cell r="B4704">
            <v>-2.2999999999999998</v>
          </cell>
          <cell r="C4704">
            <v>0</v>
          </cell>
          <cell r="D4704">
            <v>0.44</v>
          </cell>
          <cell r="E4704">
            <v>0</v>
          </cell>
          <cell r="F4704">
            <v>0</v>
          </cell>
          <cell r="G4704">
            <v>0</v>
          </cell>
          <cell r="H4704">
            <v>2.4</v>
          </cell>
          <cell r="I4704">
            <v>0</v>
          </cell>
          <cell r="J4704">
            <v>0</v>
          </cell>
          <cell r="K4704">
            <v>0</v>
          </cell>
          <cell r="L4704">
            <v>1.2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 t="b">
            <v>0</v>
          </cell>
        </row>
        <row r="4705">
          <cell r="A4705" t="str">
            <v>Data split-18;Reg-1</v>
          </cell>
          <cell r="B4705">
            <v>-3.3</v>
          </cell>
          <cell r="C4705">
            <v>2.2000000000000002</v>
          </cell>
          <cell r="D4705">
            <v>0</v>
          </cell>
          <cell r="E4705">
            <v>0</v>
          </cell>
          <cell r="F4705">
            <v>0.1</v>
          </cell>
          <cell r="G4705">
            <v>0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>
            <v>-10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 t="b">
            <v>1</v>
          </cell>
        </row>
        <row r="4706">
          <cell r="A4706" t="str">
            <v>Data split-18;Reg-2</v>
          </cell>
          <cell r="B4706">
            <v>-3.7</v>
          </cell>
          <cell r="C4706">
            <v>2.1</v>
          </cell>
          <cell r="D4706">
            <v>0</v>
          </cell>
          <cell r="E4706">
            <v>0</v>
          </cell>
          <cell r="F4706">
            <v>9.1999999999999998E-2</v>
          </cell>
          <cell r="G4706">
            <v>1.4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>
            <v>0</v>
          </cell>
          <cell r="M4706">
            <v>-0.17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 t="b">
            <v>1</v>
          </cell>
        </row>
        <row r="4707">
          <cell r="A4707" t="str">
            <v>Data split-18;Reg-3</v>
          </cell>
          <cell r="B4707">
            <v>-4</v>
          </cell>
          <cell r="C4707">
            <v>2.1</v>
          </cell>
          <cell r="D4707">
            <v>0</v>
          </cell>
          <cell r="E4707">
            <v>0</v>
          </cell>
          <cell r="F4707">
            <v>0.1</v>
          </cell>
          <cell r="G4707">
            <v>1.5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>
            <v>0</v>
          </cell>
          <cell r="M4707">
            <v>0</v>
          </cell>
          <cell r="N4707">
            <v>-3.4000000000000002E-2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 t="b">
            <v>1</v>
          </cell>
        </row>
        <row r="4708">
          <cell r="A4708" t="str">
            <v>Data split-18;Reg-4</v>
          </cell>
          <cell r="B4708">
            <v>-4.2</v>
          </cell>
          <cell r="C4708">
            <v>1.4</v>
          </cell>
          <cell r="D4708">
            <v>0</v>
          </cell>
          <cell r="E4708">
            <v>0</v>
          </cell>
          <cell r="F4708">
            <v>2.5000000000000001E-2</v>
          </cell>
          <cell r="G4708">
            <v>0</v>
          </cell>
          <cell r="H4708">
            <v>3.3</v>
          </cell>
          <cell r="I4708">
            <v>0</v>
          </cell>
          <cell r="J4708">
            <v>0</v>
          </cell>
          <cell r="K4708">
            <v>0</v>
          </cell>
          <cell r="L4708">
            <v>0</v>
          </cell>
          <cell r="M4708">
            <v>-0.18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 t="b">
            <v>1</v>
          </cell>
        </row>
        <row r="4709">
          <cell r="A4709" t="str">
            <v>Data split-18;Reg-5</v>
          </cell>
          <cell r="B4709">
            <v>-2.7</v>
          </cell>
          <cell r="C4709">
            <v>0</v>
          </cell>
          <cell r="D4709">
            <v>0.85</v>
          </cell>
          <cell r="E4709">
            <v>0</v>
          </cell>
          <cell r="F4709">
            <v>5.0999999999999997E-2</v>
          </cell>
          <cell r="G4709">
            <v>0</v>
          </cell>
          <cell r="H4709">
            <v>3.8</v>
          </cell>
          <cell r="I4709">
            <v>0</v>
          </cell>
          <cell r="J4709">
            <v>0</v>
          </cell>
          <cell r="K4709">
            <v>0</v>
          </cell>
          <cell r="L4709">
            <v>0</v>
          </cell>
          <cell r="M4709">
            <v>-0.17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 t="b">
            <v>1</v>
          </cell>
        </row>
        <row r="4710">
          <cell r="A4710" t="str">
            <v>Data split-18;Reg-6</v>
          </cell>
          <cell r="B4710">
            <v>-2</v>
          </cell>
          <cell r="C4710">
            <v>1.7</v>
          </cell>
          <cell r="D4710">
            <v>0</v>
          </cell>
          <cell r="E4710">
            <v>1.7</v>
          </cell>
          <cell r="F4710">
            <v>0</v>
          </cell>
          <cell r="G4710">
            <v>0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>
            <v>-11.9</v>
          </cell>
          <cell r="M4710">
            <v>-9.4E-2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 t="b">
            <v>1</v>
          </cell>
        </row>
        <row r="4711">
          <cell r="A4711" t="str">
            <v>Data split-18;Reg-7</v>
          </cell>
          <cell r="B4711">
            <v>-3.4</v>
          </cell>
          <cell r="C4711">
            <v>2.1</v>
          </cell>
          <cell r="D4711">
            <v>0</v>
          </cell>
          <cell r="E4711">
            <v>0</v>
          </cell>
          <cell r="F4711">
            <v>7.0000000000000007E-2</v>
          </cell>
          <cell r="G4711">
            <v>0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>
            <v>-14.1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3.9E-2</v>
          </cell>
          <cell r="T4711">
            <v>0</v>
          </cell>
          <cell r="U4711" t="b">
            <v>0</v>
          </cell>
        </row>
        <row r="4712">
          <cell r="A4712" t="str">
            <v>Data split-18;Reg-8</v>
          </cell>
          <cell r="B4712">
            <v>-1.9</v>
          </cell>
          <cell r="C4712">
            <v>2</v>
          </cell>
          <cell r="D4712">
            <v>0</v>
          </cell>
          <cell r="E4712">
            <v>0</v>
          </cell>
          <cell r="F4712">
            <v>0</v>
          </cell>
          <cell r="G4712">
            <v>1.2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-18.100000000000001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-6.6000000000000003E-2</v>
          </cell>
          <cell r="T4712">
            <v>0</v>
          </cell>
          <cell r="U4712" t="b">
            <v>1</v>
          </cell>
        </row>
        <row r="4713">
          <cell r="A4713" t="str">
            <v>Data split-18;Reg-9</v>
          </cell>
          <cell r="B4713">
            <v>-0.63</v>
          </cell>
          <cell r="C4713">
            <v>0</v>
          </cell>
          <cell r="D4713">
            <v>0.72</v>
          </cell>
          <cell r="E4713">
            <v>0</v>
          </cell>
          <cell r="F4713">
            <v>0</v>
          </cell>
          <cell r="G4713">
            <v>0</v>
          </cell>
          <cell r="H4713">
            <v>4.3</v>
          </cell>
          <cell r="I4713">
            <v>0</v>
          </cell>
          <cell r="J4713">
            <v>0</v>
          </cell>
          <cell r="K4713">
            <v>0</v>
          </cell>
          <cell r="L4713">
            <v>-11.9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-0.15</v>
          </cell>
          <cell r="T4713">
            <v>0</v>
          </cell>
          <cell r="U4713" t="b">
            <v>1</v>
          </cell>
        </row>
        <row r="4714">
          <cell r="A4714" t="str">
            <v>Data split-18;Reg-10</v>
          </cell>
          <cell r="B4714">
            <v>-0.63</v>
          </cell>
          <cell r="C4714">
            <v>0</v>
          </cell>
          <cell r="D4714">
            <v>0.72</v>
          </cell>
          <cell r="E4714">
            <v>0</v>
          </cell>
          <cell r="F4714">
            <v>0</v>
          </cell>
          <cell r="G4714">
            <v>0</v>
          </cell>
          <cell r="H4714">
            <v>4.3</v>
          </cell>
          <cell r="I4714">
            <v>0</v>
          </cell>
          <cell r="J4714">
            <v>0</v>
          </cell>
          <cell r="K4714">
            <v>0</v>
          </cell>
          <cell r="L4714">
            <v>-11.9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-0.15</v>
          </cell>
          <cell r="T4714">
            <v>0</v>
          </cell>
          <cell r="U4714" t="b">
            <v>1</v>
          </cell>
        </row>
        <row r="4715">
          <cell r="A4715" t="str">
            <v>Data split-18;Reg-11</v>
          </cell>
          <cell r="B4715">
            <v>-8.3000000000000007</v>
          </cell>
          <cell r="C4715">
            <v>2</v>
          </cell>
          <cell r="D4715">
            <v>0</v>
          </cell>
          <cell r="E4715">
            <v>-0.48</v>
          </cell>
          <cell r="F4715">
            <v>0</v>
          </cell>
          <cell r="G4715">
            <v>0.95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 t="b">
            <v>0</v>
          </cell>
        </row>
        <row r="4716">
          <cell r="A4716" t="str">
            <v>Data split-18;Reg-12</v>
          </cell>
          <cell r="B4716">
            <v>-8.6999999999999993</v>
          </cell>
          <cell r="C4716">
            <v>1.7</v>
          </cell>
          <cell r="D4716">
            <v>0</v>
          </cell>
          <cell r="E4716">
            <v>-2.7</v>
          </cell>
          <cell r="F4716">
            <v>0</v>
          </cell>
          <cell r="G4716">
            <v>0</v>
          </cell>
          <cell r="H4716">
            <v>4.8</v>
          </cell>
          <cell r="I4716">
            <v>0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 t="b">
            <v>0</v>
          </cell>
        </row>
        <row r="4717">
          <cell r="A4717" t="str">
            <v>Data split-18;Reg-13</v>
          </cell>
          <cell r="B4717">
            <v>-7.7</v>
          </cell>
          <cell r="C4717">
            <v>1.7</v>
          </cell>
          <cell r="D4717">
            <v>0</v>
          </cell>
          <cell r="E4717">
            <v>0</v>
          </cell>
          <cell r="F4717">
            <v>5.7000000000000002E-2</v>
          </cell>
          <cell r="G4717">
            <v>0.68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 t="b">
            <v>1</v>
          </cell>
        </row>
        <row r="4718">
          <cell r="A4718" t="str">
            <v>Data split-18;Reg-14</v>
          </cell>
          <cell r="B4718">
            <v>-8.1999999999999993</v>
          </cell>
          <cell r="C4718">
            <v>1.3</v>
          </cell>
          <cell r="D4718">
            <v>0</v>
          </cell>
          <cell r="E4718">
            <v>0</v>
          </cell>
          <cell r="F4718">
            <v>1.6E-2</v>
          </cell>
          <cell r="G4718">
            <v>0</v>
          </cell>
          <cell r="H4718">
            <v>1.7</v>
          </cell>
          <cell r="I4718">
            <v>0</v>
          </cell>
          <cell r="J4718">
            <v>0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 t="b">
            <v>1</v>
          </cell>
        </row>
        <row r="4719">
          <cell r="A4719" t="str">
            <v>Data split-18;Reg-15</v>
          </cell>
          <cell r="B4719">
            <v>-4.8</v>
          </cell>
          <cell r="C4719">
            <v>1.7</v>
          </cell>
          <cell r="D4719">
            <v>0</v>
          </cell>
          <cell r="E4719">
            <v>1.7</v>
          </cell>
          <cell r="F4719">
            <v>0</v>
          </cell>
          <cell r="G4719">
            <v>0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>
            <v>0</v>
          </cell>
          <cell r="M4719">
            <v>-0.12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 t="b">
            <v>1</v>
          </cell>
        </row>
        <row r="4720">
          <cell r="A4720" t="str">
            <v>Data split-18;Reg-16</v>
          </cell>
          <cell r="B4720">
            <v>-5.7</v>
          </cell>
          <cell r="C4720">
            <v>1.7</v>
          </cell>
          <cell r="D4720">
            <v>0</v>
          </cell>
          <cell r="E4720">
            <v>1.6</v>
          </cell>
          <cell r="F4720">
            <v>0</v>
          </cell>
          <cell r="G4720">
            <v>0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>
            <v>0</v>
          </cell>
          <cell r="M4720">
            <v>0</v>
          </cell>
          <cell r="N4720">
            <v>-1.7999999999999999E-2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 t="b">
            <v>1</v>
          </cell>
        </row>
        <row r="4721">
          <cell r="A4721" t="str">
            <v>Data split-18;Reg-17</v>
          </cell>
          <cell r="B4721">
            <v>-4.7</v>
          </cell>
          <cell r="C4721">
            <v>2.2000000000000002</v>
          </cell>
          <cell r="D4721">
            <v>0</v>
          </cell>
          <cell r="E4721">
            <v>0</v>
          </cell>
          <cell r="F4721">
            <v>0.14000000000000001</v>
          </cell>
          <cell r="G4721">
            <v>0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>
            <v>0</v>
          </cell>
          <cell r="M4721">
            <v>-4.3999999999999997E-2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 t="b">
            <v>1</v>
          </cell>
        </row>
        <row r="4722">
          <cell r="A4722" t="str">
            <v>Data split-18;Reg-18</v>
          </cell>
          <cell r="B4722">
            <v>-5.9</v>
          </cell>
          <cell r="C4722">
            <v>2.1</v>
          </cell>
          <cell r="D4722">
            <v>0</v>
          </cell>
          <cell r="E4722">
            <v>0</v>
          </cell>
          <cell r="F4722">
            <v>0.12</v>
          </cell>
          <cell r="G4722">
            <v>0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-1.5E-3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 t="b">
            <v>1</v>
          </cell>
        </row>
        <row r="4723">
          <cell r="A4723" t="str">
            <v>Data split-18;Reg-19</v>
          </cell>
          <cell r="B4723">
            <v>-8.9</v>
          </cell>
          <cell r="C4723">
            <v>1.7</v>
          </cell>
          <cell r="D4723">
            <v>0</v>
          </cell>
          <cell r="E4723">
            <v>0</v>
          </cell>
          <cell r="F4723">
            <v>0</v>
          </cell>
          <cell r="G4723">
            <v>1.2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-5.8999999999999997E-2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 t="b">
            <v>1</v>
          </cell>
        </row>
        <row r="4724">
          <cell r="A4724" t="str">
            <v>Data split-18;Reg-20</v>
          </cell>
          <cell r="B4724">
            <v>-8.8000000000000007</v>
          </cell>
          <cell r="C4724">
            <v>1.8</v>
          </cell>
          <cell r="D4724">
            <v>0</v>
          </cell>
          <cell r="E4724">
            <v>0</v>
          </cell>
          <cell r="F4724">
            <v>0</v>
          </cell>
          <cell r="G4724">
            <v>1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-6.1999999999999998E-3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 t="b">
            <v>1</v>
          </cell>
        </row>
        <row r="4725">
          <cell r="A4725" t="str">
            <v>Data split-18;Reg-21</v>
          </cell>
          <cell r="B4725">
            <v>-9.3000000000000007</v>
          </cell>
          <cell r="C4725">
            <v>0.98</v>
          </cell>
          <cell r="D4725">
            <v>0</v>
          </cell>
          <cell r="E4725">
            <v>0</v>
          </cell>
          <cell r="F4725">
            <v>0</v>
          </cell>
          <cell r="G4725">
            <v>0</v>
          </cell>
          <cell r="H4725">
            <v>3.1</v>
          </cell>
          <cell r="I4725">
            <v>0</v>
          </cell>
          <cell r="J4725">
            <v>0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-8.4000000000000005E-2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 t="b">
            <v>1</v>
          </cell>
        </row>
        <row r="4726">
          <cell r="A4726" t="str">
            <v>Data split-18;Reg-22</v>
          </cell>
          <cell r="B4726">
            <v>-9.1999999999999993</v>
          </cell>
          <cell r="C4726">
            <v>1.1000000000000001</v>
          </cell>
          <cell r="D4726">
            <v>0</v>
          </cell>
          <cell r="E4726">
            <v>0</v>
          </cell>
          <cell r="F4726">
            <v>0</v>
          </cell>
          <cell r="G4726">
            <v>0</v>
          </cell>
          <cell r="H4726">
            <v>2.7</v>
          </cell>
          <cell r="I4726">
            <v>0</v>
          </cell>
          <cell r="J4726">
            <v>0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-0.01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 t="b">
            <v>1</v>
          </cell>
        </row>
        <row r="4727">
          <cell r="A4727" t="str">
            <v>Data split-18;Reg-23</v>
          </cell>
          <cell r="B4727">
            <v>-6.2</v>
          </cell>
          <cell r="C4727">
            <v>0</v>
          </cell>
          <cell r="D4727">
            <v>1.2</v>
          </cell>
          <cell r="E4727">
            <v>0.75</v>
          </cell>
          <cell r="F4727">
            <v>0</v>
          </cell>
          <cell r="G4727">
            <v>0.53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 t="b">
            <v>1</v>
          </cell>
        </row>
        <row r="4728">
          <cell r="A4728" t="str">
            <v>Data split-18;Reg-24</v>
          </cell>
          <cell r="B4728">
            <v>-7</v>
          </cell>
          <cell r="C4728">
            <v>0</v>
          </cell>
          <cell r="D4728">
            <v>1</v>
          </cell>
          <cell r="E4728">
            <v>-1.9</v>
          </cell>
          <cell r="F4728">
            <v>0</v>
          </cell>
          <cell r="G4728">
            <v>0</v>
          </cell>
          <cell r="H4728">
            <v>4.5999999999999996</v>
          </cell>
          <cell r="I4728">
            <v>0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 t="b">
            <v>0</v>
          </cell>
        </row>
        <row r="4729">
          <cell r="A4729" t="str">
            <v>Data split-18;Reg-25</v>
          </cell>
          <cell r="B4729">
            <v>-5</v>
          </cell>
          <cell r="C4729">
            <v>0</v>
          </cell>
          <cell r="D4729">
            <v>1.3</v>
          </cell>
          <cell r="E4729">
            <v>0</v>
          </cell>
          <cell r="F4729">
            <v>0.12</v>
          </cell>
          <cell r="G4729">
            <v>0.75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 t="b">
            <v>1</v>
          </cell>
        </row>
        <row r="4730">
          <cell r="A4730" t="str">
            <v>Data split-18;Reg-26</v>
          </cell>
          <cell r="B4730">
            <v>-6.6</v>
          </cell>
          <cell r="C4730">
            <v>0</v>
          </cell>
          <cell r="D4730">
            <v>0.84</v>
          </cell>
          <cell r="E4730">
            <v>0</v>
          </cell>
          <cell r="F4730">
            <v>4.2000000000000003E-2</v>
          </cell>
          <cell r="G4730">
            <v>0</v>
          </cell>
          <cell r="H4730">
            <v>2.2999999999999998</v>
          </cell>
          <cell r="I4730">
            <v>0</v>
          </cell>
          <cell r="J4730">
            <v>0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 t="b">
            <v>1</v>
          </cell>
        </row>
        <row r="4731">
          <cell r="A4731" t="str">
            <v>Data split-18;Reg-27</v>
          </cell>
          <cell r="B4731">
            <v>-3.3</v>
          </cell>
          <cell r="C4731">
            <v>0</v>
          </cell>
          <cell r="D4731">
            <v>1.1000000000000001</v>
          </cell>
          <cell r="E4731">
            <v>2.2999999999999998</v>
          </cell>
          <cell r="F4731">
            <v>0</v>
          </cell>
          <cell r="G4731">
            <v>0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>
            <v>0</v>
          </cell>
          <cell r="M4731">
            <v>-0.12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 t="b">
            <v>1</v>
          </cell>
        </row>
        <row r="4732">
          <cell r="A4732" t="str">
            <v>Data split-18;Reg-28</v>
          </cell>
          <cell r="B4732">
            <v>-4.0999999999999996</v>
          </cell>
          <cell r="C4732">
            <v>0</v>
          </cell>
          <cell r="D4732">
            <v>1.1000000000000001</v>
          </cell>
          <cell r="E4732">
            <v>2.2000000000000002</v>
          </cell>
          <cell r="F4732">
            <v>0</v>
          </cell>
          <cell r="G4732">
            <v>0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0</v>
          </cell>
          <cell r="M4732">
            <v>0</v>
          </cell>
          <cell r="N4732">
            <v>-1.7999999999999999E-2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 t="b">
            <v>1</v>
          </cell>
        </row>
        <row r="4733">
          <cell r="A4733" t="str">
            <v>Data split-18;Reg-29</v>
          </cell>
          <cell r="B4733">
            <v>-2.8</v>
          </cell>
          <cell r="C4733">
            <v>0</v>
          </cell>
          <cell r="D4733">
            <v>1.7</v>
          </cell>
          <cell r="E4733">
            <v>0</v>
          </cell>
          <cell r="F4733">
            <v>0.19</v>
          </cell>
          <cell r="G4733">
            <v>0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0</v>
          </cell>
          <cell r="M4733">
            <v>-1.2E-2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 t="b">
            <v>1</v>
          </cell>
        </row>
        <row r="4734">
          <cell r="A4734" t="str">
            <v>Data split-18;Reg-30</v>
          </cell>
          <cell r="B4734">
            <v>-4</v>
          </cell>
          <cell r="C4734">
            <v>0</v>
          </cell>
          <cell r="D4734">
            <v>1.6</v>
          </cell>
          <cell r="E4734">
            <v>0</v>
          </cell>
          <cell r="F4734">
            <v>0.17</v>
          </cell>
          <cell r="G4734">
            <v>0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>
            <v>0</v>
          </cell>
          <cell r="M4734">
            <v>0</v>
          </cell>
          <cell r="N4734">
            <v>4.4999999999999997E-3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 t="b">
            <v>0</v>
          </cell>
        </row>
        <row r="4735">
          <cell r="A4735" t="str">
            <v>Data split-18;Reg-31</v>
          </cell>
          <cell r="B4735">
            <v>-7.4</v>
          </cell>
          <cell r="C4735">
            <v>0</v>
          </cell>
          <cell r="D4735">
            <v>1.4</v>
          </cell>
          <cell r="E4735">
            <v>0</v>
          </cell>
          <cell r="F4735">
            <v>0</v>
          </cell>
          <cell r="G4735">
            <v>1.6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-0.1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 t="b">
            <v>1</v>
          </cell>
        </row>
        <row r="4736">
          <cell r="A4736" t="str">
            <v>Data split-18;Reg-32</v>
          </cell>
          <cell r="B4736">
            <v>-7.6</v>
          </cell>
          <cell r="C4736">
            <v>0</v>
          </cell>
          <cell r="D4736">
            <v>1.4</v>
          </cell>
          <cell r="E4736">
            <v>0</v>
          </cell>
          <cell r="F4736">
            <v>0</v>
          </cell>
          <cell r="G4736">
            <v>1.6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-1.6E-2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 t="b">
            <v>1</v>
          </cell>
        </row>
        <row r="4737">
          <cell r="A4737" t="str">
            <v>Data split-18;Reg-33</v>
          </cell>
          <cell r="B4737">
            <v>-8.9</v>
          </cell>
          <cell r="C4737">
            <v>0</v>
          </cell>
          <cell r="D4737">
            <v>0.54</v>
          </cell>
          <cell r="E4737">
            <v>0</v>
          </cell>
          <cell r="F4737">
            <v>0</v>
          </cell>
          <cell r="G4737">
            <v>0</v>
          </cell>
          <cell r="H4737">
            <v>4.0999999999999996</v>
          </cell>
          <cell r="I4737">
            <v>0</v>
          </cell>
          <cell r="J4737">
            <v>0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-0.12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 t="b">
            <v>1</v>
          </cell>
        </row>
        <row r="4738">
          <cell r="A4738" t="str">
            <v>Data split-18;Reg-34</v>
          </cell>
          <cell r="B4738">
            <v>-9</v>
          </cell>
          <cell r="C4738">
            <v>0</v>
          </cell>
          <cell r="D4738">
            <v>0.61</v>
          </cell>
          <cell r="E4738">
            <v>0</v>
          </cell>
          <cell r="F4738">
            <v>0</v>
          </cell>
          <cell r="G4738">
            <v>0</v>
          </cell>
          <cell r="H4738">
            <v>3.9</v>
          </cell>
          <cell r="I4738">
            <v>0</v>
          </cell>
          <cell r="J4738">
            <v>0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-0.02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 t="b">
            <v>1</v>
          </cell>
        </row>
        <row r="4739">
          <cell r="A4739" t="str">
            <v>Data split-18;Reg-35</v>
          </cell>
          <cell r="B4739">
            <v>-4.5999999999999996</v>
          </cell>
          <cell r="C4739">
            <v>2.1</v>
          </cell>
          <cell r="D4739">
            <v>0</v>
          </cell>
          <cell r="E4739">
            <v>0.23</v>
          </cell>
          <cell r="F4739">
            <v>0</v>
          </cell>
          <cell r="G4739">
            <v>1.3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>
            <v>0</v>
          </cell>
          <cell r="M4739">
            <v>-0.17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 t="b">
            <v>1</v>
          </cell>
        </row>
        <row r="4740">
          <cell r="A4740" t="str">
            <v>Data split-18;Reg-36</v>
          </cell>
          <cell r="B4740">
            <v>-5</v>
          </cell>
          <cell r="C4740">
            <v>2.1</v>
          </cell>
          <cell r="D4740">
            <v>0</v>
          </cell>
          <cell r="E4740">
            <v>0.37</v>
          </cell>
          <cell r="F4740">
            <v>0</v>
          </cell>
          <cell r="G4740">
            <v>1.4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-3.4000000000000002E-2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 t="b">
            <v>1</v>
          </cell>
        </row>
        <row r="4741">
          <cell r="A4741" t="str">
            <v>Data split-18;Reg-37</v>
          </cell>
          <cell r="B4741">
            <v>-5.2</v>
          </cell>
          <cell r="C4741">
            <v>1.7</v>
          </cell>
          <cell r="D4741">
            <v>0</v>
          </cell>
          <cell r="E4741">
            <v>-2.1</v>
          </cell>
          <cell r="F4741">
            <v>0</v>
          </cell>
          <cell r="G4741">
            <v>0</v>
          </cell>
          <cell r="H4741">
            <v>5.4</v>
          </cell>
          <cell r="I4741">
            <v>0</v>
          </cell>
          <cell r="J4741">
            <v>0</v>
          </cell>
          <cell r="K4741">
            <v>0</v>
          </cell>
          <cell r="L4741">
            <v>0</v>
          </cell>
          <cell r="M4741">
            <v>-0.16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 t="b">
            <v>0</v>
          </cell>
        </row>
        <row r="4742">
          <cell r="A4742" t="str">
            <v>Data split-18;Reg-38</v>
          </cell>
          <cell r="B4742">
            <v>-6</v>
          </cell>
          <cell r="C4742">
            <v>1.6</v>
          </cell>
          <cell r="D4742">
            <v>0</v>
          </cell>
          <cell r="E4742">
            <v>-1.9</v>
          </cell>
          <cell r="F4742">
            <v>0</v>
          </cell>
          <cell r="G4742">
            <v>0</v>
          </cell>
          <cell r="H4742">
            <v>5.3</v>
          </cell>
          <cell r="I4742">
            <v>0</v>
          </cell>
          <cell r="J4742">
            <v>0</v>
          </cell>
          <cell r="K4742">
            <v>0</v>
          </cell>
          <cell r="L4742">
            <v>0</v>
          </cell>
          <cell r="M4742">
            <v>0</v>
          </cell>
          <cell r="N4742">
            <v>-2.5999999999999999E-2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 t="b">
            <v>0</v>
          </cell>
        </row>
        <row r="4743">
          <cell r="A4743" t="str">
            <v>Data split-18;Reg-39</v>
          </cell>
          <cell r="B4743">
            <v>-3.7</v>
          </cell>
          <cell r="C4743">
            <v>2.1</v>
          </cell>
          <cell r="D4743">
            <v>0</v>
          </cell>
          <cell r="E4743">
            <v>0</v>
          </cell>
          <cell r="F4743">
            <v>9.1999999999999998E-2</v>
          </cell>
          <cell r="G4743">
            <v>1.4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0</v>
          </cell>
          <cell r="M4743">
            <v>-0.17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 t="b">
            <v>1</v>
          </cell>
        </row>
        <row r="4744">
          <cell r="A4744" t="str">
            <v>Data split-18;Reg-40</v>
          </cell>
          <cell r="B4744">
            <v>-4</v>
          </cell>
          <cell r="C4744">
            <v>2.1</v>
          </cell>
          <cell r="D4744">
            <v>0</v>
          </cell>
          <cell r="E4744">
            <v>0</v>
          </cell>
          <cell r="F4744">
            <v>0.1</v>
          </cell>
          <cell r="G4744">
            <v>1.5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-3.4000000000000002E-2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 t="b">
            <v>1</v>
          </cell>
        </row>
        <row r="4745">
          <cell r="A4745" t="str">
            <v>Data split-18;Reg-41</v>
          </cell>
          <cell r="B4745">
            <v>-4.2</v>
          </cell>
          <cell r="C4745">
            <v>1.4</v>
          </cell>
          <cell r="D4745">
            <v>0</v>
          </cell>
          <cell r="E4745">
            <v>0</v>
          </cell>
          <cell r="F4745">
            <v>2.5000000000000001E-2</v>
          </cell>
          <cell r="G4745">
            <v>0</v>
          </cell>
          <cell r="H4745">
            <v>3.3</v>
          </cell>
          <cell r="I4745">
            <v>0</v>
          </cell>
          <cell r="J4745">
            <v>0</v>
          </cell>
          <cell r="K4745">
            <v>0</v>
          </cell>
          <cell r="L4745">
            <v>0</v>
          </cell>
          <cell r="M4745">
            <v>-0.18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 t="b">
            <v>1</v>
          </cell>
        </row>
        <row r="4746">
          <cell r="A4746" t="str">
            <v>Data split-18;Reg-42</v>
          </cell>
          <cell r="B4746">
            <v>-4.8</v>
          </cell>
          <cell r="C4746">
            <v>1.4</v>
          </cell>
          <cell r="D4746">
            <v>0</v>
          </cell>
          <cell r="E4746">
            <v>0</v>
          </cell>
          <cell r="F4746">
            <v>3.2000000000000001E-2</v>
          </cell>
          <cell r="G4746">
            <v>0</v>
          </cell>
          <cell r="H4746">
            <v>3.4</v>
          </cell>
          <cell r="I4746">
            <v>0</v>
          </cell>
          <cell r="J4746">
            <v>0</v>
          </cell>
          <cell r="K4746">
            <v>0</v>
          </cell>
          <cell r="L4746">
            <v>0</v>
          </cell>
          <cell r="M4746">
            <v>0</v>
          </cell>
          <cell r="N4746">
            <v>-3.3000000000000002E-2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 t="b">
            <v>1</v>
          </cell>
        </row>
        <row r="4747">
          <cell r="A4747" t="str">
            <v>Data split-18;Reg-43</v>
          </cell>
          <cell r="B4747">
            <v>-8.9</v>
          </cell>
          <cell r="C4747">
            <v>1.8</v>
          </cell>
          <cell r="D4747">
            <v>0</v>
          </cell>
          <cell r="E4747">
            <v>-0.27</v>
          </cell>
          <cell r="F4747">
            <v>0</v>
          </cell>
          <cell r="G4747">
            <v>1.3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-5.3999999999999999E-2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 t="b">
            <v>0</v>
          </cell>
        </row>
        <row r="4748">
          <cell r="A4748" t="str">
            <v>Data split-18;Reg-44</v>
          </cell>
          <cell r="B4748">
            <v>-8.6999999999999993</v>
          </cell>
          <cell r="C4748">
            <v>1.9</v>
          </cell>
          <cell r="D4748">
            <v>0</v>
          </cell>
          <cell r="E4748">
            <v>-0.38</v>
          </cell>
          <cell r="F4748">
            <v>0</v>
          </cell>
          <cell r="G4748">
            <v>1.1000000000000001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-4.5999999999999999E-3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 t="b">
            <v>0</v>
          </cell>
        </row>
        <row r="4749">
          <cell r="A4749" t="str">
            <v>Data split-18;Reg-45</v>
          </cell>
          <cell r="B4749">
            <v>-9.6</v>
          </cell>
          <cell r="C4749">
            <v>1.3</v>
          </cell>
          <cell r="D4749">
            <v>0</v>
          </cell>
          <cell r="E4749">
            <v>-2.8</v>
          </cell>
          <cell r="F4749">
            <v>0</v>
          </cell>
          <cell r="G4749">
            <v>0</v>
          </cell>
          <cell r="H4749">
            <v>6.2</v>
          </cell>
          <cell r="I4749">
            <v>0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-8.5000000000000006E-2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 t="b">
            <v>0</v>
          </cell>
        </row>
        <row r="4750">
          <cell r="A4750" t="str">
            <v>Data split-18;Reg-46</v>
          </cell>
          <cell r="B4750">
            <v>-9.4</v>
          </cell>
          <cell r="C4750">
            <v>1.5</v>
          </cell>
          <cell r="D4750">
            <v>0</v>
          </cell>
          <cell r="E4750">
            <v>-2.7</v>
          </cell>
          <cell r="F4750">
            <v>0</v>
          </cell>
          <cell r="G4750">
            <v>0</v>
          </cell>
          <cell r="H4750">
            <v>5.5</v>
          </cell>
          <cell r="I4750">
            <v>0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-9.1999999999999998E-3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 t="b">
            <v>0</v>
          </cell>
        </row>
        <row r="4751">
          <cell r="A4751" t="str">
            <v>Data split-18;Reg-47</v>
          </cell>
          <cell r="B4751">
            <v>-8.1999999999999993</v>
          </cell>
          <cell r="C4751">
            <v>1.6</v>
          </cell>
          <cell r="D4751">
            <v>0</v>
          </cell>
          <cell r="E4751">
            <v>0</v>
          </cell>
          <cell r="F4751">
            <v>0.1</v>
          </cell>
          <cell r="G4751">
            <v>1.2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-7.9000000000000001E-2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 t="b">
            <v>1</v>
          </cell>
        </row>
        <row r="4752">
          <cell r="A4752" t="str">
            <v>Data split-18;Reg-48</v>
          </cell>
          <cell r="B4752">
            <v>-8.3000000000000007</v>
          </cell>
          <cell r="C4752">
            <v>1.6</v>
          </cell>
          <cell r="D4752">
            <v>0</v>
          </cell>
          <cell r="E4752">
            <v>0</v>
          </cell>
          <cell r="F4752">
            <v>9.2999999999999999E-2</v>
          </cell>
          <cell r="G4752">
            <v>1.1000000000000001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-1.0999999999999999E-2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 t="b">
            <v>1</v>
          </cell>
        </row>
        <row r="4753">
          <cell r="A4753" t="str">
            <v>Data split-18;Reg-49</v>
          </cell>
          <cell r="B4753">
            <v>-8.9</v>
          </cell>
          <cell r="C4753">
            <v>0.94</v>
          </cell>
          <cell r="D4753">
            <v>0</v>
          </cell>
          <cell r="E4753">
            <v>0</v>
          </cell>
          <cell r="F4753">
            <v>4.4999999999999998E-2</v>
          </cell>
          <cell r="G4753">
            <v>0</v>
          </cell>
          <cell r="H4753">
            <v>3.1</v>
          </cell>
          <cell r="I4753">
            <v>0</v>
          </cell>
          <cell r="J4753">
            <v>0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-8.7999999999999995E-2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 t="b">
            <v>1</v>
          </cell>
        </row>
        <row r="4754">
          <cell r="A4754" t="str">
            <v>Data split-18;Reg-50</v>
          </cell>
          <cell r="B4754">
            <v>-8.9</v>
          </cell>
          <cell r="C4754">
            <v>1.1000000000000001</v>
          </cell>
          <cell r="D4754">
            <v>0</v>
          </cell>
          <cell r="E4754">
            <v>0</v>
          </cell>
          <cell r="F4754">
            <v>3.7999999999999999E-2</v>
          </cell>
          <cell r="G4754">
            <v>0</v>
          </cell>
          <cell r="H4754">
            <v>2.7</v>
          </cell>
          <cell r="I4754">
            <v>0</v>
          </cell>
          <cell r="J4754">
            <v>0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-1.0999999999999999E-2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 t="b">
            <v>1</v>
          </cell>
        </row>
        <row r="4755">
          <cell r="A4755" t="str">
            <v>Data split-18;Reg-51</v>
          </cell>
          <cell r="B4755">
            <v>-2.9</v>
          </cell>
          <cell r="C4755">
            <v>0</v>
          </cell>
          <cell r="D4755">
            <v>1.2</v>
          </cell>
          <cell r="E4755">
            <v>1.5</v>
          </cell>
          <cell r="F4755">
            <v>0</v>
          </cell>
          <cell r="G4755">
            <v>0.85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-0.15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 t="b">
            <v>1</v>
          </cell>
        </row>
        <row r="4756">
          <cell r="A4756" t="str">
            <v>Data split-18;Reg-52</v>
          </cell>
          <cell r="B4756">
            <v>-3.3</v>
          </cell>
          <cell r="C4756">
            <v>0</v>
          </cell>
          <cell r="D4756">
            <v>1.2</v>
          </cell>
          <cell r="E4756">
            <v>1.6</v>
          </cell>
          <cell r="F4756">
            <v>0</v>
          </cell>
          <cell r="G4756">
            <v>0.93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0</v>
          </cell>
          <cell r="M4756">
            <v>0</v>
          </cell>
          <cell r="N4756">
            <v>-2.9000000000000001E-2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 t="b">
            <v>1</v>
          </cell>
        </row>
        <row r="4757">
          <cell r="A4757" t="str">
            <v>Data split-18;Reg-53</v>
          </cell>
          <cell r="B4757">
            <v>-3.5</v>
          </cell>
          <cell r="C4757">
            <v>0</v>
          </cell>
          <cell r="D4757">
            <v>0.96</v>
          </cell>
          <cell r="E4757">
            <v>-1.2</v>
          </cell>
          <cell r="F4757">
            <v>0</v>
          </cell>
          <cell r="G4757">
            <v>0</v>
          </cell>
          <cell r="H4757">
            <v>5.2</v>
          </cell>
          <cell r="I4757">
            <v>0</v>
          </cell>
          <cell r="J4757">
            <v>0</v>
          </cell>
          <cell r="K4757">
            <v>0</v>
          </cell>
          <cell r="L4757">
            <v>0</v>
          </cell>
          <cell r="M4757">
            <v>-0.15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 t="b">
            <v>0</v>
          </cell>
        </row>
        <row r="4758">
          <cell r="A4758" t="str">
            <v>Data split-18;Reg-54</v>
          </cell>
          <cell r="B4758">
            <v>-4.3</v>
          </cell>
          <cell r="C4758">
            <v>0</v>
          </cell>
          <cell r="D4758">
            <v>0.96</v>
          </cell>
          <cell r="E4758">
            <v>-1.1000000000000001</v>
          </cell>
          <cell r="F4758">
            <v>0</v>
          </cell>
          <cell r="G4758">
            <v>0</v>
          </cell>
          <cell r="H4758">
            <v>5.0999999999999996</v>
          </cell>
          <cell r="I4758">
            <v>0</v>
          </cell>
          <cell r="J4758">
            <v>0</v>
          </cell>
          <cell r="K4758">
            <v>0</v>
          </cell>
          <cell r="L4758">
            <v>0</v>
          </cell>
          <cell r="M4758">
            <v>0</v>
          </cell>
          <cell r="N4758">
            <v>-2.5999999999999999E-2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 t="b">
            <v>0</v>
          </cell>
        </row>
        <row r="4759">
          <cell r="A4759" t="str">
            <v>Data split-18;Reg-55</v>
          </cell>
          <cell r="B4759">
            <v>-1.7</v>
          </cell>
          <cell r="C4759">
            <v>0</v>
          </cell>
          <cell r="D4759">
            <v>1.5</v>
          </cell>
          <cell r="E4759">
            <v>0</v>
          </cell>
          <cell r="F4759">
            <v>0.16</v>
          </cell>
          <cell r="G4759">
            <v>1.3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>
            <v>0</v>
          </cell>
          <cell r="M4759">
            <v>-0.12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 t="b">
            <v>1</v>
          </cell>
        </row>
        <row r="4760">
          <cell r="A4760" t="str">
            <v>Data split-18;Reg-56</v>
          </cell>
          <cell r="B4760">
            <v>-2.2999999999999998</v>
          </cell>
          <cell r="C4760">
            <v>0</v>
          </cell>
          <cell r="D4760">
            <v>1.5</v>
          </cell>
          <cell r="E4760">
            <v>0</v>
          </cell>
          <cell r="F4760">
            <v>0.16</v>
          </cell>
          <cell r="G4760">
            <v>1.3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0</v>
          </cell>
          <cell r="M4760">
            <v>0</v>
          </cell>
          <cell r="N4760">
            <v>-2.1000000000000001E-2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 t="b">
            <v>1</v>
          </cell>
        </row>
        <row r="4761">
          <cell r="A4761" t="str">
            <v>Data split-18;Reg-57</v>
          </cell>
          <cell r="B4761">
            <v>-2.7</v>
          </cell>
          <cell r="C4761">
            <v>0</v>
          </cell>
          <cell r="D4761">
            <v>0.85</v>
          </cell>
          <cell r="E4761">
            <v>0</v>
          </cell>
          <cell r="F4761">
            <v>5.0999999999999997E-2</v>
          </cell>
          <cell r="G4761">
            <v>0</v>
          </cell>
          <cell r="H4761">
            <v>3.8</v>
          </cell>
          <cell r="I4761">
            <v>0</v>
          </cell>
          <cell r="J4761">
            <v>0</v>
          </cell>
          <cell r="K4761">
            <v>0</v>
          </cell>
          <cell r="L4761">
            <v>0</v>
          </cell>
          <cell r="M4761">
            <v>-0.17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 t="b">
            <v>1</v>
          </cell>
        </row>
        <row r="4762">
          <cell r="A4762" t="str">
            <v>Data split-18;Reg-58</v>
          </cell>
          <cell r="B4762">
            <v>-3.3</v>
          </cell>
          <cell r="C4762">
            <v>0</v>
          </cell>
          <cell r="D4762">
            <v>0.86</v>
          </cell>
          <cell r="E4762">
            <v>0</v>
          </cell>
          <cell r="F4762">
            <v>5.7000000000000002E-2</v>
          </cell>
          <cell r="G4762">
            <v>0</v>
          </cell>
          <cell r="H4762">
            <v>3.9</v>
          </cell>
          <cell r="I4762">
            <v>0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-3.1E-2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 t="b">
            <v>1</v>
          </cell>
        </row>
        <row r="4763">
          <cell r="A4763" t="str">
            <v>Data split-18;Reg-59</v>
          </cell>
          <cell r="B4763">
            <v>-7.9</v>
          </cell>
          <cell r="C4763">
            <v>0</v>
          </cell>
          <cell r="D4763">
            <v>1.1000000000000001</v>
          </cell>
          <cell r="E4763">
            <v>0.9</v>
          </cell>
          <cell r="F4763">
            <v>0</v>
          </cell>
          <cell r="G4763">
            <v>1.3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-0.11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 t="b">
            <v>1</v>
          </cell>
        </row>
        <row r="4764">
          <cell r="A4764" t="str">
            <v>Data split-18;Reg-60</v>
          </cell>
          <cell r="B4764">
            <v>-8.1</v>
          </cell>
          <cell r="C4764">
            <v>0</v>
          </cell>
          <cell r="D4764">
            <v>1.1000000000000001</v>
          </cell>
          <cell r="E4764">
            <v>0.89</v>
          </cell>
          <cell r="F4764">
            <v>0</v>
          </cell>
          <cell r="G4764">
            <v>1.2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-1.7999999999999999E-2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 t="b">
            <v>1</v>
          </cell>
        </row>
        <row r="4765">
          <cell r="A4765" t="str">
            <v>Data split-18;Reg-61</v>
          </cell>
          <cell r="B4765">
            <v>-9.1</v>
          </cell>
          <cell r="C4765">
            <v>0</v>
          </cell>
          <cell r="D4765">
            <v>0.72</v>
          </cell>
          <cell r="E4765">
            <v>-2.2999999999999998</v>
          </cell>
          <cell r="F4765">
            <v>0</v>
          </cell>
          <cell r="G4765">
            <v>0</v>
          </cell>
          <cell r="H4765">
            <v>6.8</v>
          </cell>
          <cell r="I4765">
            <v>0</v>
          </cell>
          <cell r="J4765">
            <v>0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-0.13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 t="b">
            <v>0</v>
          </cell>
        </row>
        <row r="4766">
          <cell r="A4766" t="str">
            <v>Data split-18;Reg-62</v>
          </cell>
          <cell r="B4766">
            <v>-9.1999999999999993</v>
          </cell>
          <cell r="C4766">
            <v>0</v>
          </cell>
          <cell r="D4766">
            <v>0.79</v>
          </cell>
          <cell r="E4766">
            <v>-2.1</v>
          </cell>
          <cell r="F4766">
            <v>0</v>
          </cell>
          <cell r="G4766">
            <v>0</v>
          </cell>
          <cell r="H4766">
            <v>6.4</v>
          </cell>
          <cell r="I4766">
            <v>0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-2.1000000000000001E-2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 t="b">
            <v>0</v>
          </cell>
        </row>
        <row r="4767">
          <cell r="A4767" t="str">
            <v>Data split-18;Reg-63</v>
          </cell>
          <cell r="B4767">
            <v>-6.4</v>
          </cell>
          <cell r="C4767">
            <v>0</v>
          </cell>
          <cell r="D4767">
            <v>1.2</v>
          </cell>
          <cell r="E4767">
            <v>0</v>
          </cell>
          <cell r="F4767">
            <v>0.18</v>
          </cell>
          <cell r="G4767">
            <v>1.6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-0.13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 t="b">
            <v>1</v>
          </cell>
        </row>
        <row r="4768">
          <cell r="A4768" t="str">
            <v>Data split-18;Reg-64</v>
          </cell>
          <cell r="B4768">
            <v>-6.9</v>
          </cell>
          <cell r="C4768">
            <v>0</v>
          </cell>
          <cell r="D4768">
            <v>1.2</v>
          </cell>
          <cell r="E4768">
            <v>0</v>
          </cell>
          <cell r="F4768">
            <v>0.19</v>
          </cell>
          <cell r="G4768">
            <v>1.7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-2.4E-2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 t="b">
            <v>1</v>
          </cell>
        </row>
        <row r="4769">
          <cell r="A4769" t="str">
            <v>Data split-18;Reg-65</v>
          </cell>
          <cell r="B4769">
            <v>-8.3000000000000007</v>
          </cell>
          <cell r="C4769">
            <v>0</v>
          </cell>
          <cell r="D4769">
            <v>0.53</v>
          </cell>
          <cell r="E4769">
            <v>0</v>
          </cell>
          <cell r="F4769">
            <v>7.1999999999999995E-2</v>
          </cell>
          <cell r="G4769">
            <v>0</v>
          </cell>
          <cell r="H4769">
            <v>3.9</v>
          </cell>
          <cell r="I4769">
            <v>0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-0.13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 t="b">
            <v>1</v>
          </cell>
        </row>
        <row r="4770">
          <cell r="A4770" t="str">
            <v>Data split-18;Reg-66</v>
          </cell>
          <cell r="B4770">
            <v>-8.5</v>
          </cell>
          <cell r="C4770">
            <v>0</v>
          </cell>
          <cell r="D4770">
            <v>0.6</v>
          </cell>
          <cell r="E4770">
            <v>0</v>
          </cell>
          <cell r="F4770">
            <v>7.3999999999999996E-2</v>
          </cell>
          <cell r="G4770">
            <v>0</v>
          </cell>
          <cell r="H4770">
            <v>3.7</v>
          </cell>
          <cell r="I4770">
            <v>0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-2.1000000000000001E-2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 t="b">
            <v>1</v>
          </cell>
        </row>
        <row r="4771">
          <cell r="A4771" t="str">
            <v>Data split-18;Reg-67</v>
          </cell>
          <cell r="B4771">
            <v>-8.3000000000000007</v>
          </cell>
          <cell r="C4771">
            <v>1.8</v>
          </cell>
          <cell r="D4771">
            <v>0</v>
          </cell>
          <cell r="E4771">
            <v>0</v>
          </cell>
          <cell r="F4771">
            <v>0</v>
          </cell>
          <cell r="G4771">
            <v>0.73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 t="b">
            <v>1</v>
          </cell>
        </row>
        <row r="4772">
          <cell r="A4772" t="str">
            <v>Data split-18;Reg-68</v>
          </cell>
          <cell r="B4772">
            <v>-7.7</v>
          </cell>
          <cell r="C4772">
            <v>1.7</v>
          </cell>
          <cell r="D4772">
            <v>0</v>
          </cell>
          <cell r="E4772">
            <v>0</v>
          </cell>
          <cell r="F4772">
            <v>5.7000000000000002E-2</v>
          </cell>
          <cell r="G4772">
            <v>0.68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 t="b">
            <v>1</v>
          </cell>
        </row>
        <row r="4773">
          <cell r="A4773" t="str">
            <v>Data split-18;Reg-69</v>
          </cell>
          <cell r="B4773">
            <v>-5</v>
          </cell>
          <cell r="C4773">
            <v>1.8</v>
          </cell>
          <cell r="D4773">
            <v>0</v>
          </cell>
          <cell r="E4773">
            <v>0</v>
          </cell>
          <cell r="F4773">
            <v>0</v>
          </cell>
          <cell r="G4773">
            <v>1.2</v>
          </cell>
          <cell r="H4773">
            <v>0</v>
          </cell>
          <cell r="I4773">
            <v>0</v>
          </cell>
          <cell r="J4773">
            <v>-23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 t="b">
            <v>1</v>
          </cell>
        </row>
        <row r="4774">
          <cell r="A4774" t="str">
            <v>Data split-18;Reg-70</v>
          </cell>
          <cell r="B4774">
            <v>-3.9</v>
          </cell>
          <cell r="C4774">
            <v>1.9</v>
          </cell>
          <cell r="D4774">
            <v>0</v>
          </cell>
          <cell r="E4774">
            <v>0</v>
          </cell>
          <cell r="F4774">
            <v>0</v>
          </cell>
          <cell r="G4774">
            <v>1.5</v>
          </cell>
          <cell r="H4774">
            <v>0</v>
          </cell>
          <cell r="I4774">
            <v>0</v>
          </cell>
          <cell r="J4774">
            <v>-19.5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-7.8E-2</v>
          </cell>
          <cell r="T4774">
            <v>0</v>
          </cell>
          <cell r="U4774" t="b">
            <v>1</v>
          </cell>
        </row>
        <row r="4775">
          <cell r="A4775" t="str">
            <v>Data split-18;Reg-71</v>
          </cell>
          <cell r="B4775">
            <v>-3</v>
          </cell>
          <cell r="C4775">
            <v>0.72</v>
          </cell>
          <cell r="D4775">
            <v>0</v>
          </cell>
          <cell r="E4775">
            <v>0</v>
          </cell>
          <cell r="F4775">
            <v>5.8000000000000003E-2</v>
          </cell>
          <cell r="G4775">
            <v>0</v>
          </cell>
          <cell r="H4775">
            <v>4.2</v>
          </cell>
          <cell r="I4775">
            <v>0</v>
          </cell>
          <cell r="J4775">
            <v>0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-0.17</v>
          </cell>
          <cell r="T4775">
            <v>0</v>
          </cell>
          <cell r="U4775" t="b">
            <v>1</v>
          </cell>
        </row>
        <row r="4776">
          <cell r="A4776" t="str">
            <v>Data split-18;Reg-72</v>
          </cell>
          <cell r="B4776">
            <v>-7.6</v>
          </cell>
          <cell r="C4776">
            <v>1.7</v>
          </cell>
          <cell r="D4776">
            <v>0</v>
          </cell>
          <cell r="E4776">
            <v>0.78</v>
          </cell>
          <cell r="F4776">
            <v>0</v>
          </cell>
          <cell r="G4776">
            <v>0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 t="b">
            <v>1</v>
          </cell>
        </row>
        <row r="4777">
          <cell r="A4777" t="str">
            <v>Data split-18;Reg-73</v>
          </cell>
          <cell r="B4777">
            <v>-6.1</v>
          </cell>
          <cell r="C4777">
            <v>2.1</v>
          </cell>
          <cell r="D4777">
            <v>0</v>
          </cell>
          <cell r="E4777">
            <v>0</v>
          </cell>
          <cell r="F4777">
            <v>0.11</v>
          </cell>
          <cell r="G4777">
            <v>0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 t="b">
            <v>1</v>
          </cell>
        </row>
        <row r="4778">
          <cell r="A4778" t="str">
            <v>Data split-18;Reg-74</v>
          </cell>
          <cell r="B4778">
            <v>-6</v>
          </cell>
          <cell r="C4778">
            <v>0</v>
          </cell>
          <cell r="D4778">
            <v>1.1000000000000001</v>
          </cell>
          <cell r="E4778">
            <v>1.4</v>
          </cell>
          <cell r="F4778">
            <v>0</v>
          </cell>
          <cell r="G4778">
            <v>0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 t="b">
            <v>1</v>
          </cell>
        </row>
        <row r="4779">
          <cell r="A4779" t="str">
            <v>Data split-18;Reg-75</v>
          </cell>
          <cell r="B4779">
            <v>-3.2</v>
          </cell>
          <cell r="C4779">
            <v>0</v>
          </cell>
          <cell r="D4779">
            <v>1.7</v>
          </cell>
          <cell r="E4779">
            <v>0</v>
          </cell>
          <cell r="F4779">
            <v>0.18</v>
          </cell>
          <cell r="G4779">
            <v>0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 t="b">
            <v>1</v>
          </cell>
        </row>
        <row r="4780">
          <cell r="A4780" t="str">
            <v>Data split-18;Reg-76</v>
          </cell>
          <cell r="B4780">
            <v>-8.3000000000000007</v>
          </cell>
          <cell r="C4780">
            <v>1.8</v>
          </cell>
          <cell r="D4780">
            <v>0</v>
          </cell>
          <cell r="E4780">
            <v>0</v>
          </cell>
          <cell r="F4780">
            <v>0</v>
          </cell>
          <cell r="G4780">
            <v>0.73</v>
          </cell>
          <cell r="H4780">
            <v>0</v>
          </cell>
          <cell r="I4780">
            <v>0</v>
          </cell>
          <cell r="J4780">
            <v>0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 t="b">
            <v>1</v>
          </cell>
        </row>
        <row r="4781">
          <cell r="A4781" t="str">
            <v>Data split-18;Reg-77</v>
          </cell>
          <cell r="B4781">
            <v>-8.4</v>
          </cell>
          <cell r="C4781">
            <v>1.3</v>
          </cell>
          <cell r="D4781">
            <v>0</v>
          </cell>
          <cell r="E4781">
            <v>0</v>
          </cell>
          <cell r="F4781">
            <v>0</v>
          </cell>
          <cell r="G4781">
            <v>0</v>
          </cell>
          <cell r="H4781">
            <v>1.8</v>
          </cell>
          <cell r="I4781">
            <v>0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 t="b">
            <v>1</v>
          </cell>
        </row>
        <row r="4782">
          <cell r="A4782" t="str">
            <v>Data split-18;Reg-78</v>
          </cell>
          <cell r="B4782">
            <v>-5.9</v>
          </cell>
          <cell r="C4782">
            <v>0</v>
          </cell>
          <cell r="D4782">
            <v>1.4</v>
          </cell>
          <cell r="E4782">
            <v>0</v>
          </cell>
          <cell r="F4782">
            <v>0</v>
          </cell>
          <cell r="G4782">
            <v>0.88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 t="b">
            <v>1</v>
          </cell>
        </row>
        <row r="4783">
          <cell r="A4783" t="str">
            <v>Data split-18;Reg-79</v>
          </cell>
          <cell r="B4783">
            <v>-7</v>
          </cell>
          <cell r="C4783">
            <v>0</v>
          </cell>
          <cell r="D4783">
            <v>0.83</v>
          </cell>
          <cell r="E4783">
            <v>0</v>
          </cell>
          <cell r="F4783">
            <v>0</v>
          </cell>
          <cell r="G4783">
            <v>0</v>
          </cell>
          <cell r="H4783">
            <v>2.4</v>
          </cell>
          <cell r="I4783">
            <v>0</v>
          </cell>
          <cell r="J4783">
            <v>0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 t="b">
            <v>1</v>
          </cell>
        </row>
        <row r="4784">
          <cell r="A4784" t="str">
            <v>Data split-18;Reg-80</v>
          </cell>
          <cell r="B4784">
            <v>-7.6</v>
          </cell>
          <cell r="C4784">
            <v>2.1</v>
          </cell>
          <cell r="D4784">
            <v>0</v>
          </cell>
          <cell r="E4784">
            <v>0</v>
          </cell>
          <cell r="F4784">
            <v>0</v>
          </cell>
          <cell r="G4784">
            <v>0</v>
          </cell>
          <cell r="H4784">
            <v>0</v>
          </cell>
          <cell r="I4784">
            <v>0.54</v>
          </cell>
          <cell r="J4784">
            <v>0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 t="b">
            <v>0</v>
          </cell>
        </row>
        <row r="4785">
          <cell r="A4785" t="str">
            <v>Data split-18;Reg-81</v>
          </cell>
          <cell r="B4785">
            <v>-7.9</v>
          </cell>
          <cell r="C4785">
            <v>2.2000000000000002</v>
          </cell>
          <cell r="D4785">
            <v>0</v>
          </cell>
          <cell r="E4785">
            <v>0</v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4.9000000000000004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 t="b">
            <v>0</v>
          </cell>
        </row>
        <row r="4786">
          <cell r="A4786" t="str">
            <v>Data split-18;Reg-82</v>
          </cell>
          <cell r="B4786">
            <v>-5.5</v>
          </cell>
          <cell r="C4786">
            <v>0</v>
          </cell>
          <cell r="D4786">
            <v>1.8</v>
          </cell>
          <cell r="E4786">
            <v>0</v>
          </cell>
          <cell r="F4786">
            <v>0</v>
          </cell>
          <cell r="G4786">
            <v>0</v>
          </cell>
          <cell r="H4786">
            <v>0</v>
          </cell>
          <cell r="I4786">
            <v>0.94</v>
          </cell>
          <cell r="J4786">
            <v>0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 t="b">
            <v>0</v>
          </cell>
        </row>
        <row r="4787">
          <cell r="A4787" t="str">
            <v>Data split-18;Reg-83</v>
          </cell>
          <cell r="B4787">
            <v>-7</v>
          </cell>
          <cell r="C4787">
            <v>0</v>
          </cell>
          <cell r="D4787">
            <v>1.8</v>
          </cell>
          <cell r="E4787">
            <v>0</v>
          </cell>
          <cell r="F4787">
            <v>0</v>
          </cell>
          <cell r="G4787">
            <v>0</v>
          </cell>
          <cell r="H4787">
            <v>0</v>
          </cell>
          <cell r="I4787">
            <v>0</v>
          </cell>
          <cell r="J4787">
            <v>13.9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 t="b">
            <v>0</v>
          </cell>
        </row>
        <row r="4788">
          <cell r="A4788" t="str">
            <v>Data split-18;Reg-84</v>
          </cell>
          <cell r="B4788">
            <v>-6.6</v>
          </cell>
          <cell r="C4788">
            <v>2.2999999999999998</v>
          </cell>
          <cell r="D4788">
            <v>0</v>
          </cell>
          <cell r="E4788">
            <v>0</v>
          </cell>
          <cell r="F4788">
            <v>0</v>
          </cell>
          <cell r="G4788">
            <v>0</v>
          </cell>
          <cell r="H4788">
            <v>0</v>
          </cell>
          <cell r="I4788">
            <v>0</v>
          </cell>
          <cell r="J4788">
            <v>0</v>
          </cell>
          <cell r="K4788">
            <v>-0.2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 t="b">
            <v>1</v>
          </cell>
        </row>
        <row r="4789">
          <cell r="A4789" t="str">
            <v>Data split-18;Reg-85</v>
          </cell>
          <cell r="B4789">
            <v>-3.7</v>
          </cell>
          <cell r="C4789">
            <v>2.4</v>
          </cell>
          <cell r="D4789">
            <v>0</v>
          </cell>
          <cell r="E4789">
            <v>0</v>
          </cell>
          <cell r="F4789">
            <v>0</v>
          </cell>
          <cell r="G4789">
            <v>0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-11.3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 t="b">
            <v>1</v>
          </cell>
        </row>
        <row r="4790">
          <cell r="A4790" t="str">
            <v>Data split-18;Reg-86</v>
          </cell>
          <cell r="B4790">
            <v>-3.4</v>
          </cell>
          <cell r="C4790">
            <v>0</v>
          </cell>
          <cell r="D4790">
            <v>2</v>
          </cell>
          <cell r="E4790">
            <v>0</v>
          </cell>
          <cell r="F4790">
            <v>0</v>
          </cell>
          <cell r="G4790">
            <v>0</v>
          </cell>
          <cell r="H4790">
            <v>0</v>
          </cell>
          <cell r="I4790">
            <v>0</v>
          </cell>
          <cell r="J4790">
            <v>0</v>
          </cell>
          <cell r="K4790">
            <v>-0.41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 t="b">
            <v>1</v>
          </cell>
        </row>
        <row r="4791">
          <cell r="A4791" t="str">
            <v>Data split-18;Reg-87</v>
          </cell>
          <cell r="B4791">
            <v>-3.3</v>
          </cell>
          <cell r="C4791">
            <v>0</v>
          </cell>
          <cell r="D4791">
            <v>2</v>
          </cell>
          <cell r="E4791">
            <v>0</v>
          </cell>
          <cell r="F4791">
            <v>0</v>
          </cell>
          <cell r="G4791">
            <v>0</v>
          </cell>
          <cell r="H4791">
            <v>0</v>
          </cell>
          <cell r="I4791">
            <v>0</v>
          </cell>
          <cell r="J4791">
            <v>0</v>
          </cell>
          <cell r="K4791">
            <v>0</v>
          </cell>
          <cell r="L4791">
            <v>-3.1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 t="b">
            <v>1</v>
          </cell>
        </row>
        <row r="4792">
          <cell r="A4792" t="str">
            <v>Data split-18;Reg-88</v>
          </cell>
          <cell r="B4792">
            <v>-6.3</v>
          </cell>
          <cell r="C4792">
            <v>2.4</v>
          </cell>
          <cell r="D4792">
            <v>0</v>
          </cell>
          <cell r="E4792">
            <v>0</v>
          </cell>
          <cell r="F4792">
            <v>0</v>
          </cell>
          <cell r="G4792">
            <v>0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>
            <v>0</v>
          </cell>
          <cell r="M4792">
            <v>-2.5999999999999999E-2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 t="b">
            <v>1</v>
          </cell>
        </row>
        <row r="4793">
          <cell r="A4793" t="str">
            <v>Data split-18;Reg-89</v>
          </cell>
          <cell r="B4793">
            <v>-7.3</v>
          </cell>
          <cell r="C4793">
            <v>2.2000000000000002</v>
          </cell>
          <cell r="D4793">
            <v>0</v>
          </cell>
          <cell r="E4793">
            <v>0</v>
          </cell>
          <cell r="F4793">
            <v>0</v>
          </cell>
          <cell r="G4793">
            <v>0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>
            <v>0</v>
          </cell>
          <cell r="M4793">
            <v>0</v>
          </cell>
          <cell r="N4793">
            <v>2.0999999999999999E-3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 t="b">
            <v>0</v>
          </cell>
        </row>
        <row r="4794">
          <cell r="A4794" t="str">
            <v>Data split-18;Reg-90</v>
          </cell>
          <cell r="B4794">
            <v>-4.9000000000000004</v>
          </cell>
          <cell r="C4794">
            <v>0</v>
          </cell>
          <cell r="D4794">
            <v>1.9</v>
          </cell>
          <cell r="E4794">
            <v>0</v>
          </cell>
          <cell r="F4794">
            <v>0</v>
          </cell>
          <cell r="G4794">
            <v>0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>
            <v>0</v>
          </cell>
          <cell r="M4794">
            <v>1.9E-2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 t="b">
            <v>0</v>
          </cell>
        </row>
        <row r="4795">
          <cell r="A4795" t="str">
            <v>Data split-18;Reg-91</v>
          </cell>
          <cell r="B4795">
            <v>-6</v>
          </cell>
          <cell r="C4795">
            <v>0</v>
          </cell>
          <cell r="D4795">
            <v>1.7</v>
          </cell>
          <cell r="E4795">
            <v>0</v>
          </cell>
          <cell r="F4795">
            <v>0</v>
          </cell>
          <cell r="G4795">
            <v>0</v>
          </cell>
          <cell r="H4795">
            <v>0</v>
          </cell>
          <cell r="I4795">
            <v>0</v>
          </cell>
          <cell r="J4795">
            <v>0</v>
          </cell>
          <cell r="K4795">
            <v>0</v>
          </cell>
          <cell r="L4795">
            <v>0</v>
          </cell>
          <cell r="M4795">
            <v>0</v>
          </cell>
          <cell r="N4795">
            <v>1.0999999999999999E-2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 t="b">
            <v>0</v>
          </cell>
        </row>
        <row r="4796">
          <cell r="A4796" t="str">
            <v>Data split-18;Reg-92</v>
          </cell>
          <cell r="B4796">
            <v>-7.1</v>
          </cell>
          <cell r="C4796">
            <v>2.1</v>
          </cell>
          <cell r="D4796">
            <v>0</v>
          </cell>
          <cell r="E4796">
            <v>0</v>
          </cell>
          <cell r="F4796">
            <v>0</v>
          </cell>
          <cell r="G4796">
            <v>0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4.2999999999999997E-2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 t="b">
            <v>0</v>
          </cell>
        </row>
        <row r="4797">
          <cell r="A4797" t="str">
            <v>Data split-18;Reg-93</v>
          </cell>
          <cell r="B4797">
            <v>-6.9</v>
          </cell>
          <cell r="C4797">
            <v>2</v>
          </cell>
          <cell r="D4797">
            <v>0</v>
          </cell>
          <cell r="E4797">
            <v>0</v>
          </cell>
          <cell r="F4797">
            <v>0</v>
          </cell>
          <cell r="G4797">
            <v>0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1.0999999999999999E-2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 t="b">
            <v>0</v>
          </cell>
        </row>
        <row r="4798">
          <cell r="A4798" t="str">
            <v>Data split-18;Reg-94</v>
          </cell>
          <cell r="B4798">
            <v>-4.2</v>
          </cell>
          <cell r="C4798">
            <v>0</v>
          </cell>
          <cell r="D4798">
            <v>1.8</v>
          </cell>
          <cell r="E4798">
            <v>0</v>
          </cell>
          <cell r="F4798">
            <v>0</v>
          </cell>
          <cell r="G4798">
            <v>0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3.5000000000000003E-2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 t="b">
            <v>0</v>
          </cell>
        </row>
        <row r="4799">
          <cell r="A4799" t="str">
            <v>Data split-18;Reg-95</v>
          </cell>
          <cell r="B4799">
            <v>-4</v>
          </cell>
          <cell r="C4799">
            <v>0</v>
          </cell>
          <cell r="D4799">
            <v>1.7</v>
          </cell>
          <cell r="E4799">
            <v>0</v>
          </cell>
          <cell r="F4799">
            <v>0</v>
          </cell>
          <cell r="G4799">
            <v>0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9.7000000000000003E-3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 t="b">
            <v>0</v>
          </cell>
        </row>
        <row r="4800">
          <cell r="A4800" t="str">
            <v>Data split-18;Reg-96</v>
          </cell>
          <cell r="B4800">
            <v>-7.3</v>
          </cell>
          <cell r="C4800">
            <v>1.6</v>
          </cell>
          <cell r="D4800">
            <v>0</v>
          </cell>
          <cell r="E4800">
            <v>1</v>
          </cell>
          <cell r="F4800">
            <v>0</v>
          </cell>
          <cell r="G4800">
            <v>0</v>
          </cell>
          <cell r="H4800">
            <v>0</v>
          </cell>
          <cell r="I4800">
            <v>-0.44</v>
          </cell>
          <cell r="J4800">
            <v>0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 t="b">
            <v>1</v>
          </cell>
        </row>
        <row r="4801">
          <cell r="A4801" t="str">
            <v>Data split-18;Reg-97</v>
          </cell>
          <cell r="B4801">
            <v>-6</v>
          </cell>
          <cell r="C4801">
            <v>1.6</v>
          </cell>
          <cell r="D4801">
            <v>0</v>
          </cell>
          <cell r="E4801">
            <v>1.2</v>
          </cell>
          <cell r="F4801">
            <v>0</v>
          </cell>
          <cell r="G4801">
            <v>0</v>
          </cell>
          <cell r="H4801">
            <v>0</v>
          </cell>
          <cell r="I4801">
            <v>0</v>
          </cell>
          <cell r="J4801">
            <v>-11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 t="b">
            <v>1</v>
          </cell>
        </row>
        <row r="4802">
          <cell r="A4802" t="str">
            <v>Data split-18;Reg-98</v>
          </cell>
          <cell r="B4802">
            <v>-6.6</v>
          </cell>
          <cell r="C4802">
            <v>2</v>
          </cell>
          <cell r="D4802">
            <v>0</v>
          </cell>
          <cell r="E4802">
            <v>0</v>
          </cell>
          <cell r="F4802">
            <v>9.8000000000000004E-2</v>
          </cell>
          <cell r="G4802">
            <v>0</v>
          </cell>
          <cell r="H4802">
            <v>0</v>
          </cell>
          <cell r="I4802">
            <v>0.31</v>
          </cell>
          <cell r="J4802">
            <v>0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 t="b">
            <v>0</v>
          </cell>
        </row>
        <row r="4803">
          <cell r="A4803" t="str">
            <v>Data split-18;Reg-99</v>
          </cell>
          <cell r="B4803">
            <v>-6.7</v>
          </cell>
          <cell r="C4803">
            <v>2</v>
          </cell>
          <cell r="D4803">
            <v>0</v>
          </cell>
          <cell r="E4803">
            <v>0</v>
          </cell>
          <cell r="F4803">
            <v>0.11</v>
          </cell>
          <cell r="G4803">
            <v>0</v>
          </cell>
          <cell r="H4803">
            <v>0</v>
          </cell>
          <cell r="I4803">
            <v>0</v>
          </cell>
          <cell r="J4803">
            <v>3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 t="b">
            <v>0</v>
          </cell>
        </row>
        <row r="4804">
          <cell r="A4804" t="str">
            <v>Data split-18;Reg-100</v>
          </cell>
          <cell r="B4804">
            <v>-5.5</v>
          </cell>
          <cell r="C4804">
            <v>0</v>
          </cell>
          <cell r="D4804">
            <v>0.89</v>
          </cell>
          <cell r="E4804">
            <v>2</v>
          </cell>
          <cell r="F4804">
            <v>0</v>
          </cell>
          <cell r="G4804">
            <v>0</v>
          </cell>
          <cell r="H4804">
            <v>0</v>
          </cell>
          <cell r="I4804">
            <v>-1</v>
          </cell>
          <cell r="J4804">
            <v>0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 t="b">
            <v>1</v>
          </cell>
        </row>
        <row r="4805">
          <cell r="A4805" t="str">
            <v>Data split-18;Reg-101</v>
          </cell>
          <cell r="B4805">
            <v>-3.8</v>
          </cell>
          <cell r="C4805">
            <v>0</v>
          </cell>
          <cell r="D4805">
            <v>0.88</v>
          </cell>
          <cell r="E4805">
            <v>2</v>
          </cell>
          <cell r="F4805">
            <v>0</v>
          </cell>
          <cell r="G4805">
            <v>0</v>
          </cell>
          <cell r="H4805">
            <v>0</v>
          </cell>
          <cell r="I4805">
            <v>0</v>
          </cell>
          <cell r="J4805">
            <v>-14.9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 t="b">
            <v>1</v>
          </cell>
        </row>
        <row r="4806">
          <cell r="A4806" t="str">
            <v>Data split-18;Reg-102</v>
          </cell>
          <cell r="B4806">
            <v>-4</v>
          </cell>
          <cell r="C4806">
            <v>0</v>
          </cell>
          <cell r="D4806">
            <v>1.6</v>
          </cell>
          <cell r="E4806">
            <v>0</v>
          </cell>
          <cell r="F4806">
            <v>0.16</v>
          </cell>
          <cell r="G4806">
            <v>0</v>
          </cell>
          <cell r="H4806">
            <v>0</v>
          </cell>
          <cell r="I4806">
            <v>0.52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 t="b">
            <v>0</v>
          </cell>
        </row>
        <row r="4807">
          <cell r="A4807" t="str">
            <v>Data split-18;Reg-103</v>
          </cell>
          <cell r="B4807">
            <v>-5.3</v>
          </cell>
          <cell r="C4807">
            <v>0</v>
          </cell>
          <cell r="D4807">
            <v>1.6</v>
          </cell>
          <cell r="E4807">
            <v>0</v>
          </cell>
          <cell r="F4807">
            <v>0.16</v>
          </cell>
          <cell r="G4807">
            <v>0</v>
          </cell>
          <cell r="H4807">
            <v>0</v>
          </cell>
          <cell r="I4807">
            <v>0</v>
          </cell>
          <cell r="J4807">
            <v>10.1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 t="b">
            <v>0</v>
          </cell>
        </row>
        <row r="4808">
          <cell r="A4808" t="str">
            <v>Data split-18;Reg-104</v>
          </cell>
          <cell r="B4808">
            <v>-5.3</v>
          </cell>
          <cell r="C4808">
            <v>1.6</v>
          </cell>
          <cell r="D4808">
            <v>0</v>
          </cell>
          <cell r="E4808">
            <v>1.2</v>
          </cell>
          <cell r="F4808">
            <v>0</v>
          </cell>
          <cell r="G4808">
            <v>0</v>
          </cell>
          <cell r="H4808">
            <v>0</v>
          </cell>
          <cell r="I4808">
            <v>0</v>
          </cell>
          <cell r="J4808">
            <v>0</v>
          </cell>
          <cell r="K4808">
            <v>-1.2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 t="b">
            <v>1</v>
          </cell>
        </row>
        <row r="4809">
          <cell r="A4809" t="str">
            <v>Data split-18;Reg-105</v>
          </cell>
          <cell r="B4809">
            <v>-2.4</v>
          </cell>
          <cell r="C4809">
            <v>1.7</v>
          </cell>
          <cell r="D4809">
            <v>0</v>
          </cell>
          <cell r="E4809">
            <v>1.1000000000000001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-18.399999999999999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 t="b">
            <v>1</v>
          </cell>
        </row>
        <row r="4810">
          <cell r="A4810" t="str">
            <v>Data split-18;Reg-106</v>
          </cell>
          <cell r="B4810">
            <v>-5.5</v>
          </cell>
          <cell r="C4810">
            <v>2.1</v>
          </cell>
          <cell r="D4810">
            <v>0</v>
          </cell>
          <cell r="E4810">
            <v>0</v>
          </cell>
          <cell r="F4810">
            <v>0.11</v>
          </cell>
          <cell r="G4810">
            <v>0</v>
          </cell>
          <cell r="H4810">
            <v>0</v>
          </cell>
          <cell r="I4810">
            <v>0</v>
          </cell>
          <cell r="J4810">
            <v>0</v>
          </cell>
          <cell r="K4810">
            <v>-0.28000000000000003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 t="b">
            <v>1</v>
          </cell>
        </row>
        <row r="4811">
          <cell r="A4811" t="str">
            <v>Data split-18;Reg-107</v>
          </cell>
          <cell r="B4811">
            <v>-3.3</v>
          </cell>
          <cell r="C4811">
            <v>2.2000000000000002</v>
          </cell>
          <cell r="D4811">
            <v>0</v>
          </cell>
          <cell r="E4811">
            <v>0</v>
          </cell>
          <cell r="F4811">
            <v>0.1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-10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 t="b">
            <v>1</v>
          </cell>
        </row>
        <row r="4812">
          <cell r="A4812" t="str">
            <v>Data split-18;Reg-108</v>
          </cell>
          <cell r="B4812">
            <v>-2.8</v>
          </cell>
          <cell r="C4812">
            <v>0</v>
          </cell>
          <cell r="D4812">
            <v>1.1000000000000001</v>
          </cell>
          <cell r="E4812">
            <v>1.9</v>
          </cell>
          <cell r="F4812">
            <v>0</v>
          </cell>
          <cell r="G4812">
            <v>0</v>
          </cell>
          <cell r="H4812">
            <v>0</v>
          </cell>
          <cell r="I4812">
            <v>0</v>
          </cell>
          <cell r="J4812">
            <v>0</v>
          </cell>
          <cell r="K4812">
            <v>-1.8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 t="b">
            <v>1</v>
          </cell>
        </row>
        <row r="4813">
          <cell r="A4813" t="str">
            <v>Data split-18;Reg-109</v>
          </cell>
          <cell r="B4813">
            <v>-1.2</v>
          </cell>
          <cell r="C4813">
            <v>0</v>
          </cell>
          <cell r="D4813">
            <v>1</v>
          </cell>
          <cell r="E4813">
            <v>1.7</v>
          </cell>
          <cell r="F4813">
            <v>0</v>
          </cell>
          <cell r="G4813">
            <v>0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>
            <v>-16.7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 t="b">
            <v>1</v>
          </cell>
        </row>
        <row r="4814">
          <cell r="A4814" t="str">
            <v>Data split-18;Reg-110</v>
          </cell>
          <cell r="B4814">
            <v>-2.1</v>
          </cell>
          <cell r="C4814">
            <v>0</v>
          </cell>
          <cell r="D4814">
            <v>1.7</v>
          </cell>
          <cell r="E4814">
            <v>0</v>
          </cell>
          <cell r="F4814">
            <v>0.19</v>
          </cell>
          <cell r="G4814">
            <v>0</v>
          </cell>
          <cell r="H4814">
            <v>0</v>
          </cell>
          <cell r="I4814">
            <v>0</v>
          </cell>
          <cell r="J4814">
            <v>0</v>
          </cell>
          <cell r="K4814">
            <v>-0.52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 t="b">
            <v>1</v>
          </cell>
        </row>
        <row r="4815">
          <cell r="A4815" t="str">
            <v>Data split-18;Reg-111</v>
          </cell>
          <cell r="B4815">
            <v>-2.6</v>
          </cell>
          <cell r="C4815">
            <v>0</v>
          </cell>
          <cell r="D4815">
            <v>1.7</v>
          </cell>
          <cell r="E4815">
            <v>0</v>
          </cell>
          <cell r="F4815">
            <v>0.18</v>
          </cell>
          <cell r="G4815">
            <v>0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-1.9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 t="b">
            <v>1</v>
          </cell>
        </row>
        <row r="4816">
          <cell r="A4816" t="str">
            <v>Data split-18;Reg-112</v>
          </cell>
          <cell r="B4816">
            <v>-7.5</v>
          </cell>
          <cell r="C4816">
            <v>1.7</v>
          </cell>
          <cell r="D4816">
            <v>0</v>
          </cell>
          <cell r="E4816">
            <v>0</v>
          </cell>
          <cell r="F4816">
            <v>0</v>
          </cell>
          <cell r="G4816">
            <v>1.3</v>
          </cell>
          <cell r="H4816">
            <v>0</v>
          </cell>
          <cell r="I4816">
            <v>-1.7</v>
          </cell>
          <cell r="J4816">
            <v>0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 t="b">
            <v>1</v>
          </cell>
        </row>
        <row r="4817">
          <cell r="A4817" t="str">
            <v>Data split-18;Reg-113</v>
          </cell>
          <cell r="B4817">
            <v>-5</v>
          </cell>
          <cell r="C4817">
            <v>1.8</v>
          </cell>
          <cell r="D4817">
            <v>0</v>
          </cell>
          <cell r="E4817">
            <v>0</v>
          </cell>
          <cell r="F4817">
            <v>0</v>
          </cell>
          <cell r="G4817">
            <v>1.2</v>
          </cell>
          <cell r="H4817">
            <v>0</v>
          </cell>
          <cell r="I4817">
            <v>0</v>
          </cell>
          <cell r="J4817">
            <v>-23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 t="b">
            <v>1</v>
          </cell>
        </row>
        <row r="4818">
          <cell r="A4818" t="str">
            <v>Data split-18;Reg-114</v>
          </cell>
          <cell r="B4818">
            <v>-7.4</v>
          </cell>
          <cell r="C4818">
            <v>0.94</v>
          </cell>
          <cell r="D4818">
            <v>0</v>
          </cell>
          <cell r="E4818">
            <v>0</v>
          </cell>
          <cell r="F4818">
            <v>0</v>
          </cell>
          <cell r="G4818">
            <v>0</v>
          </cell>
          <cell r="H4818">
            <v>3.3</v>
          </cell>
          <cell r="I4818">
            <v>-2.1</v>
          </cell>
          <cell r="J4818">
            <v>0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 t="b">
            <v>1</v>
          </cell>
        </row>
        <row r="4819">
          <cell r="A4819" t="str">
            <v>Data split-18;Reg-115</v>
          </cell>
          <cell r="B4819">
            <v>-5.3</v>
          </cell>
          <cell r="C4819">
            <v>1.2</v>
          </cell>
          <cell r="D4819">
            <v>0</v>
          </cell>
          <cell r="E4819">
            <v>0</v>
          </cell>
          <cell r="F4819">
            <v>0</v>
          </cell>
          <cell r="G4819">
            <v>0</v>
          </cell>
          <cell r="H4819">
            <v>2.7</v>
          </cell>
          <cell r="I4819">
            <v>0</v>
          </cell>
          <cell r="J4819">
            <v>-21.4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 t="b">
            <v>1</v>
          </cell>
        </row>
        <row r="4820">
          <cell r="A4820" t="str">
            <v>Data split-18;Reg-116</v>
          </cell>
          <cell r="B4820">
            <v>-5.2</v>
          </cell>
          <cell r="C4820">
            <v>0</v>
          </cell>
          <cell r="D4820">
            <v>1.3</v>
          </cell>
          <cell r="E4820">
            <v>0</v>
          </cell>
          <cell r="F4820">
            <v>0</v>
          </cell>
          <cell r="G4820">
            <v>1.4</v>
          </cell>
          <cell r="H4820">
            <v>0</v>
          </cell>
          <cell r="I4820">
            <v>-1.4</v>
          </cell>
          <cell r="J4820">
            <v>0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 t="b">
            <v>1</v>
          </cell>
        </row>
        <row r="4821">
          <cell r="A4821" t="str">
            <v>Data split-18;Reg-117</v>
          </cell>
          <cell r="B4821">
            <v>-3.9</v>
          </cell>
          <cell r="C4821">
            <v>0</v>
          </cell>
          <cell r="D4821">
            <v>1.4</v>
          </cell>
          <cell r="E4821">
            <v>0</v>
          </cell>
          <cell r="F4821">
            <v>0</v>
          </cell>
          <cell r="G4821">
            <v>1.2</v>
          </cell>
          <cell r="H4821">
            <v>0</v>
          </cell>
          <cell r="I4821">
            <v>0</v>
          </cell>
          <cell r="J4821">
            <v>-13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 t="b">
            <v>1</v>
          </cell>
        </row>
        <row r="4822">
          <cell r="A4822" t="str">
            <v>Data split-18;Reg-118</v>
          </cell>
          <cell r="B4822">
            <v>-5.8</v>
          </cell>
          <cell r="C4822">
            <v>0</v>
          </cell>
          <cell r="D4822">
            <v>0.32</v>
          </cell>
          <cell r="E4822">
            <v>0</v>
          </cell>
          <cell r="F4822">
            <v>0</v>
          </cell>
          <cell r="G4822">
            <v>0</v>
          </cell>
          <cell r="H4822">
            <v>4.5</v>
          </cell>
          <cell r="I4822">
            <v>-2.7</v>
          </cell>
          <cell r="J4822">
            <v>0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 t="b">
            <v>1</v>
          </cell>
        </row>
        <row r="4823">
          <cell r="A4823" t="str">
            <v>Data split-18;Reg-119</v>
          </cell>
          <cell r="B4823">
            <v>-3.5</v>
          </cell>
          <cell r="C4823">
            <v>0</v>
          </cell>
          <cell r="D4823">
            <v>0.57999999999999996</v>
          </cell>
          <cell r="E4823">
            <v>0</v>
          </cell>
          <cell r="F4823">
            <v>0</v>
          </cell>
          <cell r="G4823">
            <v>0</v>
          </cell>
          <cell r="H4823">
            <v>3.5</v>
          </cell>
          <cell r="I4823">
            <v>0</v>
          </cell>
          <cell r="J4823">
            <v>-23.6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 t="b">
            <v>1</v>
          </cell>
        </row>
        <row r="4824">
          <cell r="A4824" t="str">
            <v>Data split-18;Reg-120</v>
          </cell>
          <cell r="B4824">
            <v>-4.2</v>
          </cell>
          <cell r="C4824">
            <v>1.8</v>
          </cell>
          <cell r="D4824">
            <v>0</v>
          </cell>
          <cell r="E4824">
            <v>0</v>
          </cell>
          <cell r="F4824">
            <v>0</v>
          </cell>
          <cell r="G4824">
            <v>1.2</v>
          </cell>
          <cell r="H4824">
            <v>0</v>
          </cell>
          <cell r="I4824">
            <v>0</v>
          </cell>
          <cell r="J4824">
            <v>0</v>
          </cell>
          <cell r="K4824">
            <v>-2.2999999999999998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 t="b">
            <v>1</v>
          </cell>
        </row>
        <row r="4825">
          <cell r="A4825" t="str">
            <v>Data split-18;Reg-121</v>
          </cell>
          <cell r="B4825">
            <v>-2.2999999999999998</v>
          </cell>
          <cell r="C4825">
            <v>1.9</v>
          </cell>
          <cell r="D4825">
            <v>0</v>
          </cell>
          <cell r="E4825">
            <v>0</v>
          </cell>
          <cell r="F4825">
            <v>0</v>
          </cell>
          <cell r="G4825">
            <v>0.94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>
            <v>-21.4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 t="b">
            <v>1</v>
          </cell>
        </row>
        <row r="4826">
          <cell r="A4826" t="str">
            <v>Data split-18;Reg-122</v>
          </cell>
          <cell r="B4826">
            <v>-3.9</v>
          </cell>
          <cell r="C4826">
            <v>1.1000000000000001</v>
          </cell>
          <cell r="D4826">
            <v>0</v>
          </cell>
          <cell r="E4826">
            <v>0</v>
          </cell>
          <cell r="F4826">
            <v>0</v>
          </cell>
          <cell r="G4826">
            <v>0</v>
          </cell>
          <cell r="H4826">
            <v>2.9</v>
          </cell>
          <cell r="I4826">
            <v>0</v>
          </cell>
          <cell r="J4826">
            <v>0</v>
          </cell>
          <cell r="K4826">
            <v>-2.5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 t="b">
            <v>1</v>
          </cell>
        </row>
        <row r="4827">
          <cell r="A4827" t="str">
            <v>Data split-18;Reg-123</v>
          </cell>
          <cell r="B4827">
            <v>-2.4</v>
          </cell>
          <cell r="C4827">
            <v>1.4</v>
          </cell>
          <cell r="D4827">
            <v>0</v>
          </cell>
          <cell r="E4827">
            <v>0</v>
          </cell>
          <cell r="F4827">
            <v>0</v>
          </cell>
          <cell r="G4827">
            <v>0</v>
          </cell>
          <cell r="H4827">
            <v>2.2000000000000002</v>
          </cell>
          <cell r="I4827">
            <v>0</v>
          </cell>
          <cell r="J4827">
            <v>0</v>
          </cell>
          <cell r="K4827">
            <v>0</v>
          </cell>
          <cell r="L4827">
            <v>-21.2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 t="b">
            <v>1</v>
          </cell>
        </row>
        <row r="4828">
          <cell r="A4828" t="str">
            <v>Data split-18;Reg-124</v>
          </cell>
          <cell r="B4828">
            <v>-1.3</v>
          </cell>
          <cell r="C4828">
            <v>0</v>
          </cell>
          <cell r="D4828">
            <v>1.5</v>
          </cell>
          <cell r="E4828">
            <v>0</v>
          </cell>
          <cell r="F4828">
            <v>0</v>
          </cell>
          <cell r="G4828">
            <v>1.4</v>
          </cell>
          <cell r="H4828">
            <v>0</v>
          </cell>
          <cell r="I4828">
            <v>0</v>
          </cell>
          <cell r="J4828">
            <v>0</v>
          </cell>
          <cell r="K4828">
            <v>-2.7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 t="b">
            <v>1</v>
          </cell>
        </row>
        <row r="4829">
          <cell r="A4829" t="str">
            <v>Data split-18;Reg-125</v>
          </cell>
          <cell r="B4829">
            <v>-1.6</v>
          </cell>
          <cell r="C4829">
            <v>0</v>
          </cell>
          <cell r="D4829">
            <v>1.5</v>
          </cell>
          <cell r="E4829">
            <v>0</v>
          </cell>
          <cell r="F4829">
            <v>0</v>
          </cell>
          <cell r="G4829">
            <v>1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-14.9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 t="b">
            <v>1</v>
          </cell>
        </row>
        <row r="4830">
          <cell r="A4830" t="str">
            <v>Data split-18;Reg-126</v>
          </cell>
          <cell r="B4830">
            <v>-2</v>
          </cell>
          <cell r="C4830">
            <v>0</v>
          </cell>
          <cell r="D4830">
            <v>0.72</v>
          </cell>
          <cell r="E4830">
            <v>0</v>
          </cell>
          <cell r="F4830">
            <v>0</v>
          </cell>
          <cell r="G4830">
            <v>0</v>
          </cell>
          <cell r="H4830">
            <v>3.5</v>
          </cell>
          <cell r="I4830">
            <v>0</v>
          </cell>
          <cell r="J4830">
            <v>0</v>
          </cell>
          <cell r="K4830">
            <v>-3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 t="b">
            <v>1</v>
          </cell>
        </row>
        <row r="4831">
          <cell r="A4831" t="str">
            <v>Data split-18;Reg-127</v>
          </cell>
          <cell r="B4831">
            <v>-1.5</v>
          </cell>
          <cell r="C4831">
            <v>0</v>
          </cell>
          <cell r="D4831">
            <v>0.81</v>
          </cell>
          <cell r="E4831">
            <v>0</v>
          </cell>
          <cell r="F4831">
            <v>0</v>
          </cell>
          <cell r="G4831">
            <v>0</v>
          </cell>
          <cell r="H4831">
            <v>2.8</v>
          </cell>
          <cell r="I4831">
            <v>0</v>
          </cell>
          <cell r="J4831">
            <v>0</v>
          </cell>
          <cell r="K4831">
            <v>0</v>
          </cell>
          <cell r="L4831">
            <v>-18.8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 t="b">
            <v>1</v>
          </cell>
        </row>
        <row r="4832">
          <cell r="A4832" t="str">
            <v>Data split-19;Reg-1</v>
          </cell>
          <cell r="B4832">
            <v>-6</v>
          </cell>
          <cell r="C4832">
            <v>1.8</v>
          </cell>
          <cell r="D4832">
            <v>0</v>
          </cell>
          <cell r="E4832">
            <v>0</v>
          </cell>
          <cell r="F4832">
            <v>0.21</v>
          </cell>
          <cell r="G4832">
            <v>0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>
            <v>1.8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 t="b">
            <v>0</v>
          </cell>
        </row>
        <row r="4833">
          <cell r="A4833" t="str">
            <v>Data split-19;Reg-2</v>
          </cell>
          <cell r="B4833">
            <v>-5.6</v>
          </cell>
          <cell r="C4833">
            <v>1.6</v>
          </cell>
          <cell r="D4833">
            <v>0</v>
          </cell>
          <cell r="E4833">
            <v>0</v>
          </cell>
          <cell r="F4833">
            <v>0.12</v>
          </cell>
          <cell r="G4833">
            <v>1.2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>
            <v>0</v>
          </cell>
          <cell r="M4833">
            <v>-9.8000000000000004E-2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 t="b">
            <v>1</v>
          </cell>
        </row>
        <row r="4834">
          <cell r="A4834" t="str">
            <v>Data split-19;Reg-3</v>
          </cell>
          <cell r="B4834">
            <v>-5.9</v>
          </cell>
          <cell r="C4834">
            <v>1.7</v>
          </cell>
          <cell r="D4834">
            <v>0</v>
          </cell>
          <cell r="E4834">
            <v>0</v>
          </cell>
          <cell r="F4834">
            <v>0.13</v>
          </cell>
          <cell r="G4834">
            <v>1.3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>
            <v>0</v>
          </cell>
          <cell r="M4834">
            <v>0</v>
          </cell>
          <cell r="N4834">
            <v>-2.1999999999999999E-2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 t="b">
            <v>1</v>
          </cell>
        </row>
        <row r="4835">
          <cell r="A4835" t="str">
            <v>Data split-19;Reg-4</v>
          </cell>
          <cell r="B4835">
            <v>-4</v>
          </cell>
          <cell r="C4835">
            <v>1</v>
          </cell>
          <cell r="D4835">
            <v>0</v>
          </cell>
          <cell r="E4835">
            <v>0</v>
          </cell>
          <cell r="F4835">
            <v>6.6000000000000003E-2</v>
          </cell>
          <cell r="G4835">
            <v>0</v>
          </cell>
          <cell r="H4835">
            <v>3</v>
          </cell>
          <cell r="I4835">
            <v>0</v>
          </cell>
          <cell r="J4835">
            <v>0</v>
          </cell>
          <cell r="K4835">
            <v>0</v>
          </cell>
          <cell r="L4835">
            <v>0</v>
          </cell>
          <cell r="M4835">
            <v>-0.11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 t="b">
            <v>1</v>
          </cell>
        </row>
        <row r="4836">
          <cell r="A4836" t="str">
            <v>Data split-19;Reg-5</v>
          </cell>
          <cell r="B4836">
            <v>-1.1000000000000001</v>
          </cell>
          <cell r="C4836">
            <v>0</v>
          </cell>
          <cell r="D4836">
            <v>0.44</v>
          </cell>
          <cell r="E4836">
            <v>0</v>
          </cell>
          <cell r="F4836">
            <v>6.7000000000000004E-2</v>
          </cell>
          <cell r="G4836">
            <v>0</v>
          </cell>
          <cell r="H4836">
            <v>3.8</v>
          </cell>
          <cell r="I4836">
            <v>0</v>
          </cell>
          <cell r="J4836">
            <v>0</v>
          </cell>
          <cell r="K4836">
            <v>0</v>
          </cell>
          <cell r="L4836">
            <v>0</v>
          </cell>
          <cell r="M4836">
            <v>-0.12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 t="b">
            <v>1</v>
          </cell>
        </row>
        <row r="4837">
          <cell r="A4837" t="str">
            <v>Data split-19;Reg-6</v>
          </cell>
          <cell r="B4837">
            <v>-4.9000000000000004</v>
          </cell>
          <cell r="C4837">
            <v>1.2</v>
          </cell>
          <cell r="D4837">
            <v>0</v>
          </cell>
          <cell r="E4837">
            <v>1.5</v>
          </cell>
          <cell r="F4837">
            <v>0</v>
          </cell>
          <cell r="G4837">
            <v>0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>
            <v>1.1000000000000001</v>
          </cell>
          <cell r="M4837">
            <v>-4.8000000000000001E-2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 t="b">
            <v>0</v>
          </cell>
        </row>
        <row r="4838">
          <cell r="A4838" t="str">
            <v>Data split-19;Reg-7</v>
          </cell>
          <cell r="B4838">
            <v>-5.8</v>
          </cell>
          <cell r="C4838">
            <v>1.7</v>
          </cell>
          <cell r="D4838">
            <v>0</v>
          </cell>
          <cell r="E4838">
            <v>0</v>
          </cell>
          <cell r="F4838">
            <v>0.2</v>
          </cell>
          <cell r="G4838">
            <v>0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>
            <v>1.7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2.1000000000000001E-2</v>
          </cell>
          <cell r="T4838">
            <v>0</v>
          </cell>
          <cell r="U4838" t="b">
            <v>0</v>
          </cell>
        </row>
        <row r="4839">
          <cell r="A4839" t="str">
            <v>Data split-19;Reg-8</v>
          </cell>
          <cell r="B4839">
            <v>-6.3</v>
          </cell>
          <cell r="C4839">
            <v>1.6</v>
          </cell>
          <cell r="D4839">
            <v>0</v>
          </cell>
          <cell r="E4839">
            <v>0</v>
          </cell>
          <cell r="F4839">
            <v>0</v>
          </cell>
          <cell r="G4839">
            <v>1.2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3.2000000000000001E-2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-6.2E-2</v>
          </cell>
          <cell r="T4839">
            <v>0</v>
          </cell>
          <cell r="U4839" t="b">
            <v>0</v>
          </cell>
        </row>
        <row r="4840">
          <cell r="A4840" t="str">
            <v>Data split-19;Reg-9</v>
          </cell>
          <cell r="B4840">
            <v>-3</v>
          </cell>
          <cell r="C4840">
            <v>0</v>
          </cell>
          <cell r="D4840">
            <v>0.35</v>
          </cell>
          <cell r="E4840">
            <v>0</v>
          </cell>
          <cell r="F4840">
            <v>0</v>
          </cell>
          <cell r="G4840">
            <v>0</v>
          </cell>
          <cell r="H4840">
            <v>4.8</v>
          </cell>
          <cell r="I4840">
            <v>0</v>
          </cell>
          <cell r="J4840">
            <v>0</v>
          </cell>
          <cell r="K4840">
            <v>0</v>
          </cell>
          <cell r="L4840">
            <v>1.3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-0.16</v>
          </cell>
          <cell r="T4840">
            <v>0</v>
          </cell>
          <cell r="U4840" t="b">
            <v>0</v>
          </cell>
        </row>
        <row r="4841">
          <cell r="A4841" t="str">
            <v>Data split-19;Reg-10</v>
          </cell>
          <cell r="B4841">
            <v>-3</v>
          </cell>
          <cell r="C4841">
            <v>0</v>
          </cell>
          <cell r="D4841">
            <v>0.35</v>
          </cell>
          <cell r="E4841">
            <v>0</v>
          </cell>
          <cell r="F4841">
            <v>0</v>
          </cell>
          <cell r="G4841">
            <v>0</v>
          </cell>
          <cell r="H4841">
            <v>4.8</v>
          </cell>
          <cell r="I4841">
            <v>0</v>
          </cell>
          <cell r="J4841">
            <v>0</v>
          </cell>
          <cell r="K4841">
            <v>0</v>
          </cell>
          <cell r="L4841">
            <v>1.3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-0.16</v>
          </cell>
          <cell r="T4841">
            <v>0</v>
          </cell>
          <cell r="U4841" t="b">
            <v>0</v>
          </cell>
        </row>
        <row r="4842">
          <cell r="A4842" t="str">
            <v>Data split-19;Reg-11</v>
          </cell>
          <cell r="B4842">
            <v>-5.7</v>
          </cell>
          <cell r="C4842">
            <v>1.5</v>
          </cell>
          <cell r="D4842">
            <v>0</v>
          </cell>
          <cell r="E4842">
            <v>2.3E-2</v>
          </cell>
          <cell r="F4842">
            <v>0</v>
          </cell>
          <cell r="G4842">
            <v>0.83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 t="b">
            <v>1</v>
          </cell>
        </row>
        <row r="4843">
          <cell r="A4843" t="str">
            <v>Data split-19;Reg-12</v>
          </cell>
          <cell r="B4843">
            <v>-5.0999999999999996</v>
          </cell>
          <cell r="C4843">
            <v>1.3</v>
          </cell>
          <cell r="D4843">
            <v>0</v>
          </cell>
          <cell r="E4843">
            <v>-1.1000000000000001</v>
          </cell>
          <cell r="F4843">
            <v>0</v>
          </cell>
          <cell r="G4843">
            <v>0</v>
          </cell>
          <cell r="H4843">
            <v>3.1</v>
          </cell>
          <cell r="I4843">
            <v>0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 t="b">
            <v>0</v>
          </cell>
        </row>
        <row r="4844">
          <cell r="A4844" t="str">
            <v>Data split-19;Reg-13</v>
          </cell>
          <cell r="B4844">
            <v>-4.7</v>
          </cell>
          <cell r="C4844">
            <v>1.4</v>
          </cell>
          <cell r="D4844">
            <v>0</v>
          </cell>
          <cell r="E4844">
            <v>0</v>
          </cell>
          <cell r="F4844">
            <v>0.13</v>
          </cell>
          <cell r="G4844">
            <v>0.67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 t="b">
            <v>1</v>
          </cell>
        </row>
        <row r="4845">
          <cell r="A4845" t="str">
            <v>Data split-19;Reg-14</v>
          </cell>
          <cell r="B4845">
            <v>-3.8</v>
          </cell>
          <cell r="C4845">
            <v>1.1000000000000001</v>
          </cell>
          <cell r="D4845">
            <v>0</v>
          </cell>
          <cell r="E4845">
            <v>0</v>
          </cell>
          <cell r="F4845">
            <v>9.2999999999999999E-2</v>
          </cell>
          <cell r="G4845">
            <v>0</v>
          </cell>
          <cell r="H4845">
            <v>1.6</v>
          </cell>
          <cell r="I4845">
            <v>0</v>
          </cell>
          <cell r="J4845">
            <v>0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 t="b">
            <v>1</v>
          </cell>
        </row>
        <row r="4846">
          <cell r="A4846" t="str">
            <v>Data split-19;Reg-15</v>
          </cell>
          <cell r="B4846">
            <v>-3.9</v>
          </cell>
          <cell r="C4846">
            <v>1.2</v>
          </cell>
          <cell r="D4846">
            <v>0</v>
          </cell>
          <cell r="E4846">
            <v>1.6</v>
          </cell>
          <cell r="F4846">
            <v>0</v>
          </cell>
          <cell r="G4846">
            <v>0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0</v>
          </cell>
          <cell r="M4846">
            <v>-4.9000000000000002E-2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 t="b">
            <v>1</v>
          </cell>
        </row>
        <row r="4847">
          <cell r="A4847" t="str">
            <v>Data split-19;Reg-16</v>
          </cell>
          <cell r="B4847">
            <v>-4</v>
          </cell>
          <cell r="C4847">
            <v>1.2</v>
          </cell>
          <cell r="D4847">
            <v>0</v>
          </cell>
          <cell r="E4847">
            <v>1.5</v>
          </cell>
          <cell r="F4847">
            <v>0</v>
          </cell>
          <cell r="G4847">
            <v>0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0</v>
          </cell>
          <cell r="M4847">
            <v>0</v>
          </cell>
          <cell r="N4847">
            <v>-7.7999999999999996E-3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 t="b">
            <v>1</v>
          </cell>
        </row>
        <row r="4848">
          <cell r="A4848" t="str">
            <v>Data split-19;Reg-17</v>
          </cell>
          <cell r="B4848">
            <v>-4.3</v>
          </cell>
          <cell r="C4848">
            <v>1.7</v>
          </cell>
          <cell r="D4848">
            <v>0</v>
          </cell>
          <cell r="E4848">
            <v>0</v>
          </cell>
          <cell r="F4848">
            <v>0.21</v>
          </cell>
          <cell r="G4848">
            <v>0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>
            <v>0</v>
          </cell>
          <cell r="M4848">
            <v>1.5E-3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 t="b">
            <v>0</v>
          </cell>
        </row>
        <row r="4849">
          <cell r="A4849" t="str">
            <v>Data split-19;Reg-18</v>
          </cell>
          <cell r="B4849">
            <v>-4.2</v>
          </cell>
          <cell r="C4849">
            <v>1.7</v>
          </cell>
          <cell r="D4849">
            <v>0</v>
          </cell>
          <cell r="E4849">
            <v>0</v>
          </cell>
          <cell r="F4849">
            <v>0.2</v>
          </cell>
          <cell r="G4849">
            <v>0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0</v>
          </cell>
          <cell r="M4849">
            <v>0</v>
          </cell>
          <cell r="N4849">
            <v>3.0000000000000001E-3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 t="b">
            <v>0</v>
          </cell>
        </row>
        <row r="4850">
          <cell r="A4850" t="str">
            <v>Data split-19;Reg-19</v>
          </cell>
          <cell r="B4850">
            <v>-6</v>
          </cell>
          <cell r="C4850">
            <v>1.5</v>
          </cell>
          <cell r="D4850">
            <v>0</v>
          </cell>
          <cell r="E4850">
            <v>0</v>
          </cell>
          <cell r="F4850">
            <v>0</v>
          </cell>
          <cell r="G4850">
            <v>1.2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-4.3999999999999997E-2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 t="b">
            <v>1</v>
          </cell>
        </row>
        <row r="4851">
          <cell r="A4851" t="str">
            <v>Data split-19;Reg-20</v>
          </cell>
          <cell r="B4851">
            <v>-6</v>
          </cell>
          <cell r="C4851">
            <v>1.5</v>
          </cell>
          <cell r="D4851">
            <v>0</v>
          </cell>
          <cell r="E4851">
            <v>0</v>
          </cell>
          <cell r="F4851">
            <v>0</v>
          </cell>
          <cell r="G4851">
            <v>1.1000000000000001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-5.8999999999999999E-3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 t="b">
            <v>1</v>
          </cell>
        </row>
        <row r="4852">
          <cell r="A4852" t="str">
            <v>Data split-19;Reg-21</v>
          </cell>
          <cell r="B4852">
            <v>-4.0999999999999996</v>
          </cell>
          <cell r="C4852">
            <v>0.8</v>
          </cell>
          <cell r="D4852">
            <v>0</v>
          </cell>
          <cell r="E4852">
            <v>0</v>
          </cell>
          <cell r="F4852">
            <v>0</v>
          </cell>
          <cell r="G4852">
            <v>0</v>
          </cell>
          <cell r="H4852">
            <v>2.9</v>
          </cell>
          <cell r="I4852">
            <v>0</v>
          </cell>
          <cell r="J4852">
            <v>0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-5.5E-2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 t="b">
            <v>1</v>
          </cell>
        </row>
        <row r="4853">
          <cell r="A4853" t="str">
            <v>Data split-19;Reg-22</v>
          </cell>
          <cell r="B4853">
            <v>-4.3</v>
          </cell>
          <cell r="C4853">
            <v>0.91</v>
          </cell>
          <cell r="D4853">
            <v>0</v>
          </cell>
          <cell r="E4853">
            <v>0</v>
          </cell>
          <cell r="F4853">
            <v>0</v>
          </cell>
          <cell r="G4853">
            <v>0</v>
          </cell>
          <cell r="H4853">
            <v>2.6</v>
          </cell>
          <cell r="I4853">
            <v>0</v>
          </cell>
          <cell r="J4853">
            <v>0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-7.1999999999999998E-3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 t="b">
            <v>1</v>
          </cell>
        </row>
        <row r="4854">
          <cell r="A4854" t="str">
            <v>Data split-19;Reg-23</v>
          </cell>
          <cell r="B4854">
            <v>-0.98</v>
          </cell>
          <cell r="C4854">
            <v>0</v>
          </cell>
          <cell r="D4854">
            <v>0.56000000000000005</v>
          </cell>
          <cell r="E4854">
            <v>1.2</v>
          </cell>
          <cell r="F4854">
            <v>0</v>
          </cell>
          <cell r="G4854">
            <v>0.5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 t="b">
            <v>1</v>
          </cell>
        </row>
        <row r="4855">
          <cell r="A4855" t="str">
            <v>Data split-19;Reg-24</v>
          </cell>
          <cell r="B4855">
            <v>-1.3</v>
          </cell>
          <cell r="C4855">
            <v>0</v>
          </cell>
          <cell r="D4855">
            <v>0.45</v>
          </cell>
          <cell r="E4855">
            <v>-0.23</v>
          </cell>
          <cell r="F4855">
            <v>0</v>
          </cell>
          <cell r="G4855">
            <v>0</v>
          </cell>
          <cell r="H4855">
            <v>3</v>
          </cell>
          <cell r="I4855">
            <v>0</v>
          </cell>
          <cell r="J4855">
            <v>0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 t="b">
            <v>0</v>
          </cell>
        </row>
        <row r="4856">
          <cell r="A4856" t="str">
            <v>Data split-19;Reg-25</v>
          </cell>
          <cell r="B4856">
            <v>-0.63</v>
          </cell>
          <cell r="C4856">
            <v>0</v>
          </cell>
          <cell r="D4856">
            <v>0.89</v>
          </cell>
          <cell r="E4856">
            <v>0</v>
          </cell>
          <cell r="F4856">
            <v>0.18</v>
          </cell>
          <cell r="G4856">
            <v>0.88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 t="b">
            <v>1</v>
          </cell>
        </row>
        <row r="4857">
          <cell r="A4857" t="str">
            <v>Data split-19;Reg-26</v>
          </cell>
          <cell r="B4857">
            <v>-0.74</v>
          </cell>
          <cell r="C4857">
            <v>0</v>
          </cell>
          <cell r="D4857">
            <v>0.46</v>
          </cell>
          <cell r="E4857">
            <v>0</v>
          </cell>
          <cell r="F4857">
            <v>9.5000000000000001E-2</v>
          </cell>
          <cell r="G4857">
            <v>0</v>
          </cell>
          <cell r="H4857">
            <v>2.2999999999999998</v>
          </cell>
          <cell r="I4857">
            <v>0</v>
          </cell>
          <cell r="J4857">
            <v>0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 t="b">
            <v>1</v>
          </cell>
        </row>
        <row r="4858">
          <cell r="A4858" t="str">
            <v>Data split-19;Reg-27</v>
          </cell>
          <cell r="B4858">
            <v>-0.35</v>
          </cell>
          <cell r="C4858">
            <v>0</v>
          </cell>
          <cell r="D4858">
            <v>0.46</v>
          </cell>
          <cell r="E4858">
            <v>2.2999999999999998</v>
          </cell>
          <cell r="F4858">
            <v>0</v>
          </cell>
          <cell r="G4858">
            <v>0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0</v>
          </cell>
          <cell r="M4858">
            <v>-5.8999999999999997E-2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 t="b">
            <v>1</v>
          </cell>
        </row>
        <row r="4859">
          <cell r="A4859" t="str">
            <v>Data split-19;Reg-28</v>
          </cell>
          <cell r="B4859">
            <v>-0.38</v>
          </cell>
          <cell r="C4859">
            <v>0</v>
          </cell>
          <cell r="D4859">
            <v>0.48</v>
          </cell>
          <cell r="E4859">
            <v>2.2999999999999998</v>
          </cell>
          <cell r="F4859">
            <v>0</v>
          </cell>
          <cell r="G4859">
            <v>0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0</v>
          </cell>
          <cell r="M4859">
            <v>0</v>
          </cell>
          <cell r="N4859">
            <v>-9.4000000000000004E-3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 t="b">
            <v>1</v>
          </cell>
        </row>
        <row r="4860">
          <cell r="A4860" t="str">
            <v>Data split-19;Reg-29</v>
          </cell>
          <cell r="B4860">
            <v>0.69</v>
          </cell>
          <cell r="C4860">
            <v>0</v>
          </cell>
          <cell r="D4860">
            <v>1.1000000000000001</v>
          </cell>
          <cell r="E4860">
            <v>0</v>
          </cell>
          <cell r="F4860">
            <v>0.28000000000000003</v>
          </cell>
          <cell r="G4860">
            <v>0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>
            <v>0</v>
          </cell>
          <cell r="M4860">
            <v>0.03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 t="b">
            <v>0</v>
          </cell>
        </row>
        <row r="4861">
          <cell r="A4861" t="str">
            <v>Data split-19;Reg-30</v>
          </cell>
          <cell r="B4861">
            <v>0.56999999999999995</v>
          </cell>
          <cell r="C4861">
            <v>0</v>
          </cell>
          <cell r="D4861">
            <v>0.97</v>
          </cell>
          <cell r="E4861">
            <v>0</v>
          </cell>
          <cell r="F4861">
            <v>0.26</v>
          </cell>
          <cell r="G4861">
            <v>0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0</v>
          </cell>
          <cell r="M4861">
            <v>0</v>
          </cell>
          <cell r="N4861">
            <v>0.01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 t="b">
            <v>0</v>
          </cell>
        </row>
        <row r="4862">
          <cell r="A4862" t="str">
            <v>Data split-19;Reg-31</v>
          </cell>
          <cell r="B4862">
            <v>-2.6</v>
          </cell>
          <cell r="C4862">
            <v>0</v>
          </cell>
          <cell r="D4862">
            <v>0.91</v>
          </cell>
          <cell r="E4862">
            <v>0</v>
          </cell>
          <cell r="F4862">
            <v>0</v>
          </cell>
          <cell r="G4862">
            <v>1.8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-7.9000000000000001E-2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 t="b">
            <v>1</v>
          </cell>
        </row>
        <row r="4863">
          <cell r="A4863" t="str">
            <v>Data split-19;Reg-32</v>
          </cell>
          <cell r="B4863">
            <v>-2.6</v>
          </cell>
          <cell r="C4863">
            <v>0</v>
          </cell>
          <cell r="D4863">
            <v>0.95</v>
          </cell>
          <cell r="E4863">
            <v>0</v>
          </cell>
          <cell r="F4863">
            <v>0</v>
          </cell>
          <cell r="G4863">
            <v>1.7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-1.2E-2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 t="b">
            <v>1</v>
          </cell>
        </row>
        <row r="4864">
          <cell r="A4864" t="str">
            <v>Data split-19;Reg-33</v>
          </cell>
          <cell r="B4864">
            <v>-2</v>
          </cell>
          <cell r="C4864">
            <v>0</v>
          </cell>
          <cell r="D4864">
            <v>0.17</v>
          </cell>
          <cell r="E4864">
            <v>0</v>
          </cell>
          <cell r="F4864">
            <v>0</v>
          </cell>
          <cell r="G4864">
            <v>0</v>
          </cell>
          <cell r="H4864">
            <v>4.0999999999999996</v>
          </cell>
          <cell r="I4864">
            <v>0</v>
          </cell>
          <cell r="J4864">
            <v>0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-9.5000000000000001E-2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 t="b">
            <v>1</v>
          </cell>
        </row>
        <row r="4865">
          <cell r="A4865" t="str">
            <v>Data split-19;Reg-34</v>
          </cell>
          <cell r="B4865">
            <v>-2</v>
          </cell>
          <cell r="C4865">
            <v>0</v>
          </cell>
          <cell r="D4865">
            <v>0.24</v>
          </cell>
          <cell r="E4865">
            <v>0</v>
          </cell>
          <cell r="F4865">
            <v>0</v>
          </cell>
          <cell r="G4865">
            <v>0</v>
          </cell>
          <cell r="H4865">
            <v>3.9</v>
          </cell>
          <cell r="I4865">
            <v>0</v>
          </cell>
          <cell r="J4865">
            <v>0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-1.4999999999999999E-2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 t="b">
            <v>1</v>
          </cell>
        </row>
        <row r="4866">
          <cell r="A4866" t="str">
            <v>Data split-19;Reg-35</v>
          </cell>
          <cell r="B4866">
            <v>-6</v>
          </cell>
          <cell r="C4866">
            <v>1.6</v>
          </cell>
          <cell r="D4866">
            <v>0</v>
          </cell>
          <cell r="E4866">
            <v>0.35</v>
          </cell>
          <cell r="F4866">
            <v>0</v>
          </cell>
          <cell r="G4866">
            <v>1.3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>
            <v>0</v>
          </cell>
          <cell r="M4866">
            <v>-0.1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 t="b">
            <v>1</v>
          </cell>
        </row>
        <row r="4867">
          <cell r="A4867" t="str">
            <v>Data split-19;Reg-36</v>
          </cell>
          <cell r="B4867">
            <v>-6.3</v>
          </cell>
          <cell r="C4867">
            <v>1.7</v>
          </cell>
          <cell r="D4867">
            <v>0</v>
          </cell>
          <cell r="E4867">
            <v>0.4</v>
          </cell>
          <cell r="F4867">
            <v>0</v>
          </cell>
          <cell r="G4867">
            <v>1.4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-2.3E-2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 t="b">
            <v>1</v>
          </cell>
        </row>
        <row r="4868">
          <cell r="A4868" t="str">
            <v>Data split-19;Reg-37</v>
          </cell>
          <cell r="B4868">
            <v>-5</v>
          </cell>
          <cell r="C4868">
            <v>1.2</v>
          </cell>
          <cell r="D4868">
            <v>0</v>
          </cell>
          <cell r="E4868">
            <v>-0.95</v>
          </cell>
          <cell r="F4868">
            <v>0</v>
          </cell>
          <cell r="G4868">
            <v>0</v>
          </cell>
          <cell r="H4868">
            <v>4.3</v>
          </cell>
          <cell r="I4868">
            <v>0</v>
          </cell>
          <cell r="J4868">
            <v>0</v>
          </cell>
          <cell r="K4868">
            <v>0</v>
          </cell>
          <cell r="L4868">
            <v>0</v>
          </cell>
          <cell r="M4868">
            <v>-0.11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 t="b">
            <v>0</v>
          </cell>
        </row>
        <row r="4869">
          <cell r="A4869" t="str">
            <v>Data split-19;Reg-38</v>
          </cell>
          <cell r="B4869">
            <v>-5.2</v>
          </cell>
          <cell r="C4869">
            <v>1.2</v>
          </cell>
          <cell r="D4869">
            <v>0</v>
          </cell>
          <cell r="E4869">
            <v>-0.84</v>
          </cell>
          <cell r="F4869">
            <v>0</v>
          </cell>
          <cell r="G4869">
            <v>0</v>
          </cell>
          <cell r="H4869">
            <v>4.2</v>
          </cell>
          <cell r="I4869">
            <v>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-2.3E-2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 t="b">
            <v>0</v>
          </cell>
        </row>
        <row r="4870">
          <cell r="A4870" t="str">
            <v>Data split-19;Reg-39</v>
          </cell>
          <cell r="B4870">
            <v>-5.6</v>
          </cell>
          <cell r="C4870">
            <v>1.6</v>
          </cell>
          <cell r="D4870">
            <v>0</v>
          </cell>
          <cell r="E4870">
            <v>0</v>
          </cell>
          <cell r="F4870">
            <v>0.12</v>
          </cell>
          <cell r="G4870">
            <v>1.2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0</v>
          </cell>
          <cell r="M4870">
            <v>-9.8000000000000004E-2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 t="b">
            <v>1</v>
          </cell>
        </row>
        <row r="4871">
          <cell r="A4871" t="str">
            <v>Data split-19;Reg-40</v>
          </cell>
          <cell r="B4871">
            <v>-5.9</v>
          </cell>
          <cell r="C4871">
            <v>1.7</v>
          </cell>
          <cell r="D4871">
            <v>0</v>
          </cell>
          <cell r="E4871">
            <v>0</v>
          </cell>
          <cell r="F4871">
            <v>0.13</v>
          </cell>
          <cell r="G4871">
            <v>1.3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-2.1999999999999999E-2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 t="b">
            <v>1</v>
          </cell>
        </row>
        <row r="4872">
          <cell r="A4872" t="str">
            <v>Data split-19;Reg-41</v>
          </cell>
          <cell r="B4872">
            <v>-4</v>
          </cell>
          <cell r="C4872">
            <v>1</v>
          </cell>
          <cell r="D4872">
            <v>0</v>
          </cell>
          <cell r="E4872">
            <v>0</v>
          </cell>
          <cell r="F4872">
            <v>6.6000000000000003E-2</v>
          </cell>
          <cell r="G4872">
            <v>0</v>
          </cell>
          <cell r="H4872">
            <v>3</v>
          </cell>
          <cell r="I4872">
            <v>0</v>
          </cell>
          <cell r="J4872">
            <v>0</v>
          </cell>
          <cell r="K4872">
            <v>0</v>
          </cell>
          <cell r="L4872">
            <v>0</v>
          </cell>
          <cell r="M4872">
            <v>-0.11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 t="b">
            <v>1</v>
          </cell>
        </row>
        <row r="4873">
          <cell r="A4873" t="str">
            <v>Data split-19;Reg-42</v>
          </cell>
          <cell r="B4873">
            <v>-4.2</v>
          </cell>
          <cell r="C4873">
            <v>1.1000000000000001</v>
          </cell>
          <cell r="D4873">
            <v>0</v>
          </cell>
          <cell r="E4873">
            <v>0</v>
          </cell>
          <cell r="F4873">
            <v>6.8000000000000005E-2</v>
          </cell>
          <cell r="G4873">
            <v>0</v>
          </cell>
          <cell r="H4873">
            <v>3.1</v>
          </cell>
          <cell r="I4873">
            <v>0</v>
          </cell>
          <cell r="J4873">
            <v>0</v>
          </cell>
          <cell r="K4873">
            <v>0</v>
          </cell>
          <cell r="L4873">
            <v>0</v>
          </cell>
          <cell r="M4873">
            <v>0</v>
          </cell>
          <cell r="N4873">
            <v>-2.3E-2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 t="b">
            <v>1</v>
          </cell>
        </row>
        <row r="4874">
          <cell r="A4874" t="str">
            <v>Data split-19;Reg-43</v>
          </cell>
          <cell r="B4874">
            <v>-5.8</v>
          </cell>
          <cell r="C4874">
            <v>1.4</v>
          </cell>
          <cell r="D4874">
            <v>0</v>
          </cell>
          <cell r="E4874">
            <v>0.16</v>
          </cell>
          <cell r="F4874">
            <v>0</v>
          </cell>
          <cell r="G4874">
            <v>1.2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-4.5999999999999999E-2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 t="b">
            <v>1</v>
          </cell>
        </row>
        <row r="4875">
          <cell r="A4875" t="str">
            <v>Data split-19;Reg-44</v>
          </cell>
          <cell r="B4875">
            <v>-5.9</v>
          </cell>
          <cell r="C4875">
            <v>1.4</v>
          </cell>
          <cell r="D4875">
            <v>0</v>
          </cell>
          <cell r="E4875">
            <v>0.11</v>
          </cell>
          <cell r="F4875">
            <v>0</v>
          </cell>
          <cell r="G4875">
            <v>1.1000000000000001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-6.1999999999999998E-3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 t="b">
            <v>1</v>
          </cell>
        </row>
        <row r="4876">
          <cell r="A4876" t="str">
            <v>Data split-19;Reg-45</v>
          </cell>
          <cell r="B4876">
            <v>-4.8</v>
          </cell>
          <cell r="C4876">
            <v>0.98</v>
          </cell>
          <cell r="D4876">
            <v>0</v>
          </cell>
          <cell r="E4876">
            <v>-1</v>
          </cell>
          <cell r="F4876">
            <v>0</v>
          </cell>
          <cell r="G4876">
            <v>0</v>
          </cell>
          <cell r="H4876">
            <v>4</v>
          </cell>
          <cell r="I4876">
            <v>0</v>
          </cell>
          <cell r="J4876">
            <v>0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-5.5E-2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 t="b">
            <v>0</v>
          </cell>
        </row>
        <row r="4877">
          <cell r="A4877" t="str">
            <v>Data split-19;Reg-46</v>
          </cell>
          <cell r="B4877">
            <v>-5</v>
          </cell>
          <cell r="C4877">
            <v>1.1000000000000001</v>
          </cell>
          <cell r="D4877">
            <v>0</v>
          </cell>
          <cell r="E4877">
            <v>-1</v>
          </cell>
          <cell r="F4877">
            <v>0</v>
          </cell>
          <cell r="G4877">
            <v>0</v>
          </cell>
          <cell r="H4877">
            <v>3.6</v>
          </cell>
          <cell r="I4877">
            <v>0</v>
          </cell>
          <cell r="J4877">
            <v>0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-6.7999999999999996E-3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 t="b">
            <v>0</v>
          </cell>
        </row>
        <row r="4878">
          <cell r="A4878" t="str">
            <v>Data split-19;Reg-47</v>
          </cell>
          <cell r="B4878">
            <v>-5</v>
          </cell>
          <cell r="C4878">
            <v>1.3</v>
          </cell>
          <cell r="D4878">
            <v>0</v>
          </cell>
          <cell r="E4878">
            <v>0</v>
          </cell>
          <cell r="F4878">
            <v>0.14000000000000001</v>
          </cell>
          <cell r="G4878">
            <v>1.1000000000000001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-5.3999999999999999E-2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 t="b">
            <v>1</v>
          </cell>
        </row>
        <row r="4879">
          <cell r="A4879" t="str">
            <v>Data split-19;Reg-48</v>
          </cell>
          <cell r="B4879">
            <v>-5.0999999999999996</v>
          </cell>
          <cell r="C4879">
            <v>1.4</v>
          </cell>
          <cell r="D4879">
            <v>0</v>
          </cell>
          <cell r="E4879">
            <v>0</v>
          </cell>
          <cell r="F4879">
            <v>0.14000000000000001</v>
          </cell>
          <cell r="G4879">
            <v>1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-8.3000000000000001E-3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 t="b">
            <v>1</v>
          </cell>
        </row>
        <row r="4880">
          <cell r="A4880" t="str">
            <v>Data split-19;Reg-49</v>
          </cell>
          <cell r="B4880">
            <v>-3.6</v>
          </cell>
          <cell r="C4880">
            <v>0.82</v>
          </cell>
          <cell r="D4880">
            <v>0</v>
          </cell>
          <cell r="E4880">
            <v>0</v>
          </cell>
          <cell r="F4880">
            <v>9.2999999999999999E-2</v>
          </cell>
          <cell r="G4880">
            <v>0</v>
          </cell>
          <cell r="H4880">
            <v>2.5</v>
          </cell>
          <cell r="I4880">
            <v>0</v>
          </cell>
          <cell r="J4880">
            <v>0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-5.5E-2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 t="b">
            <v>1</v>
          </cell>
        </row>
        <row r="4881">
          <cell r="A4881" t="str">
            <v>Data split-19;Reg-50</v>
          </cell>
          <cell r="B4881">
            <v>-3.8</v>
          </cell>
          <cell r="C4881">
            <v>0.92</v>
          </cell>
          <cell r="D4881">
            <v>0</v>
          </cell>
          <cell r="E4881">
            <v>0</v>
          </cell>
          <cell r="F4881">
            <v>9.4E-2</v>
          </cell>
          <cell r="G4881">
            <v>0</v>
          </cell>
          <cell r="H4881">
            <v>2.2000000000000002</v>
          </cell>
          <cell r="I4881">
            <v>0</v>
          </cell>
          <cell r="J4881">
            <v>0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-7.3000000000000001E-3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 t="b">
            <v>1</v>
          </cell>
        </row>
        <row r="4882">
          <cell r="A4882" t="str">
            <v>Data split-19;Reg-51</v>
          </cell>
          <cell r="B4882">
            <v>-1.3</v>
          </cell>
          <cell r="C4882">
            <v>0</v>
          </cell>
          <cell r="D4882">
            <v>0.64</v>
          </cell>
          <cell r="E4882">
            <v>1.5</v>
          </cell>
          <cell r="F4882">
            <v>0</v>
          </cell>
          <cell r="G4882">
            <v>0.93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-0.1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 t="b">
            <v>1</v>
          </cell>
        </row>
        <row r="4883">
          <cell r="A4883" t="str">
            <v>Data split-19;Reg-52</v>
          </cell>
          <cell r="B4883">
            <v>-1.3</v>
          </cell>
          <cell r="C4883">
            <v>0</v>
          </cell>
          <cell r="D4883">
            <v>0.71</v>
          </cell>
          <cell r="E4883">
            <v>1.6</v>
          </cell>
          <cell r="F4883">
            <v>0</v>
          </cell>
          <cell r="G4883">
            <v>0.98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0</v>
          </cell>
          <cell r="M4883">
            <v>0</v>
          </cell>
          <cell r="N4883">
            <v>-2.1000000000000001E-2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 t="b">
            <v>1</v>
          </cell>
        </row>
        <row r="4884">
          <cell r="A4884" t="str">
            <v>Data split-19;Reg-53</v>
          </cell>
          <cell r="B4884">
            <v>-1.5</v>
          </cell>
          <cell r="C4884">
            <v>0</v>
          </cell>
          <cell r="D4884">
            <v>0.44</v>
          </cell>
          <cell r="E4884">
            <v>-0.19</v>
          </cell>
          <cell r="F4884">
            <v>0</v>
          </cell>
          <cell r="G4884">
            <v>0</v>
          </cell>
          <cell r="H4884">
            <v>4.3</v>
          </cell>
          <cell r="I4884">
            <v>0</v>
          </cell>
          <cell r="J4884">
            <v>0</v>
          </cell>
          <cell r="K4884">
            <v>0</v>
          </cell>
          <cell r="L4884">
            <v>0</v>
          </cell>
          <cell r="M4884">
            <v>-0.12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 t="b">
            <v>0</v>
          </cell>
        </row>
        <row r="4885">
          <cell r="A4885" t="str">
            <v>Data split-19;Reg-54</v>
          </cell>
          <cell r="B4885">
            <v>-1.5</v>
          </cell>
          <cell r="C4885">
            <v>0</v>
          </cell>
          <cell r="D4885">
            <v>0.5</v>
          </cell>
          <cell r="E4885">
            <v>-6.2E-2</v>
          </cell>
          <cell r="F4885">
            <v>0</v>
          </cell>
          <cell r="G4885">
            <v>0</v>
          </cell>
          <cell r="H4885">
            <v>4.2</v>
          </cell>
          <cell r="I4885">
            <v>0</v>
          </cell>
          <cell r="J4885">
            <v>0</v>
          </cell>
          <cell r="K4885">
            <v>0</v>
          </cell>
          <cell r="L4885">
            <v>0</v>
          </cell>
          <cell r="M4885">
            <v>0</v>
          </cell>
          <cell r="N4885">
            <v>-2.4E-2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 t="b">
            <v>0</v>
          </cell>
        </row>
        <row r="4886">
          <cell r="A4886" t="str">
            <v>Data split-19;Reg-55</v>
          </cell>
          <cell r="B4886">
            <v>-0.97</v>
          </cell>
          <cell r="C4886">
            <v>0</v>
          </cell>
          <cell r="D4886">
            <v>1</v>
          </cell>
          <cell r="E4886">
            <v>0</v>
          </cell>
          <cell r="F4886">
            <v>0.18</v>
          </cell>
          <cell r="G4886">
            <v>1.3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0</v>
          </cell>
          <cell r="M4886">
            <v>-7.9000000000000001E-2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 t="b">
            <v>1</v>
          </cell>
        </row>
        <row r="4887">
          <cell r="A4887" t="str">
            <v>Data split-19;Reg-56</v>
          </cell>
          <cell r="B4887">
            <v>-0.98</v>
          </cell>
          <cell r="C4887">
            <v>0</v>
          </cell>
          <cell r="D4887">
            <v>1.1000000000000001</v>
          </cell>
          <cell r="E4887">
            <v>0</v>
          </cell>
          <cell r="F4887">
            <v>0.18</v>
          </cell>
          <cell r="G4887">
            <v>1.3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>
            <v>0</v>
          </cell>
          <cell r="M4887">
            <v>0</v>
          </cell>
          <cell r="N4887">
            <v>-1.4999999999999999E-2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 t="b">
            <v>1</v>
          </cell>
        </row>
        <row r="4888">
          <cell r="A4888" t="str">
            <v>Data split-19;Reg-57</v>
          </cell>
          <cell r="B4888">
            <v>-1.1000000000000001</v>
          </cell>
          <cell r="C4888">
            <v>0</v>
          </cell>
          <cell r="D4888">
            <v>0.44</v>
          </cell>
          <cell r="E4888">
            <v>0</v>
          </cell>
          <cell r="F4888">
            <v>6.7000000000000004E-2</v>
          </cell>
          <cell r="G4888">
            <v>0</v>
          </cell>
          <cell r="H4888">
            <v>3.8</v>
          </cell>
          <cell r="I4888">
            <v>0</v>
          </cell>
          <cell r="J4888">
            <v>0</v>
          </cell>
          <cell r="K4888">
            <v>0</v>
          </cell>
          <cell r="L4888">
            <v>0</v>
          </cell>
          <cell r="M4888">
            <v>-0.12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 t="b">
            <v>1</v>
          </cell>
        </row>
        <row r="4889">
          <cell r="A4889" t="str">
            <v>Data split-19;Reg-58</v>
          </cell>
          <cell r="B4889">
            <v>-1.1000000000000001</v>
          </cell>
          <cell r="C4889">
            <v>0</v>
          </cell>
          <cell r="D4889">
            <v>0.52</v>
          </cell>
          <cell r="E4889">
            <v>0</v>
          </cell>
          <cell r="F4889">
            <v>7.1999999999999995E-2</v>
          </cell>
          <cell r="G4889">
            <v>0</v>
          </cell>
          <cell r="H4889">
            <v>3.8</v>
          </cell>
          <cell r="I4889">
            <v>0</v>
          </cell>
          <cell r="J4889">
            <v>0</v>
          </cell>
          <cell r="K4889">
            <v>0</v>
          </cell>
          <cell r="L4889">
            <v>0</v>
          </cell>
          <cell r="M4889">
            <v>0</v>
          </cell>
          <cell r="N4889">
            <v>-2.3E-2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 t="b">
            <v>1</v>
          </cell>
        </row>
        <row r="4890">
          <cell r="A4890" t="str">
            <v>Data split-19;Reg-59</v>
          </cell>
          <cell r="B4890">
            <v>-1.9</v>
          </cell>
          <cell r="C4890">
            <v>0</v>
          </cell>
          <cell r="D4890">
            <v>0.48</v>
          </cell>
          <cell r="E4890">
            <v>1.3</v>
          </cell>
          <cell r="F4890">
            <v>0</v>
          </cell>
          <cell r="G4890">
            <v>1.1000000000000001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-8.5000000000000006E-2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 t="b">
            <v>1</v>
          </cell>
        </row>
        <row r="4891">
          <cell r="A4891" t="str">
            <v>Data split-19;Reg-60</v>
          </cell>
          <cell r="B4891">
            <v>-1.9</v>
          </cell>
          <cell r="C4891">
            <v>0</v>
          </cell>
          <cell r="D4891">
            <v>0.52</v>
          </cell>
          <cell r="E4891">
            <v>1.3</v>
          </cell>
          <cell r="F4891">
            <v>0</v>
          </cell>
          <cell r="G4891">
            <v>1.1000000000000001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-1.4E-2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 t="b">
            <v>1</v>
          </cell>
        </row>
        <row r="4892">
          <cell r="A4892" t="str">
            <v>Data split-19;Reg-61</v>
          </cell>
          <cell r="B4892">
            <v>-2.1</v>
          </cell>
          <cell r="C4892">
            <v>0</v>
          </cell>
          <cell r="D4892">
            <v>0.21</v>
          </cell>
          <cell r="E4892">
            <v>-0.44</v>
          </cell>
          <cell r="F4892">
            <v>0</v>
          </cell>
          <cell r="G4892">
            <v>0</v>
          </cell>
          <cell r="H4892">
            <v>4.5999999999999996</v>
          </cell>
          <cell r="I4892">
            <v>0</v>
          </cell>
          <cell r="J4892">
            <v>0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-9.7000000000000003E-2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 t="b">
            <v>0</v>
          </cell>
        </row>
        <row r="4893">
          <cell r="A4893" t="str">
            <v>Data split-19;Reg-62</v>
          </cell>
          <cell r="B4893">
            <v>-2.1</v>
          </cell>
          <cell r="C4893">
            <v>0</v>
          </cell>
          <cell r="D4893">
            <v>0.28000000000000003</v>
          </cell>
          <cell r="E4893">
            <v>-0.35</v>
          </cell>
          <cell r="F4893">
            <v>0</v>
          </cell>
          <cell r="G4893">
            <v>0</v>
          </cell>
          <cell r="H4893">
            <v>4.3</v>
          </cell>
          <cell r="I4893">
            <v>0</v>
          </cell>
          <cell r="J4893">
            <v>0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-1.4999999999999999E-2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 t="b">
            <v>0</v>
          </cell>
        </row>
        <row r="4894">
          <cell r="A4894" t="str">
            <v>Data split-19;Reg-63</v>
          </cell>
          <cell r="B4894">
            <v>-1.6</v>
          </cell>
          <cell r="C4894">
            <v>0</v>
          </cell>
          <cell r="D4894">
            <v>0.82</v>
          </cell>
          <cell r="E4894">
            <v>0</v>
          </cell>
          <cell r="F4894">
            <v>0.19</v>
          </cell>
          <cell r="G4894">
            <v>1.6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-8.8999999999999996E-2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 t="b">
            <v>1</v>
          </cell>
        </row>
        <row r="4895">
          <cell r="A4895" t="str">
            <v>Data split-19;Reg-64</v>
          </cell>
          <cell r="B4895">
            <v>-1.6</v>
          </cell>
          <cell r="C4895">
            <v>0</v>
          </cell>
          <cell r="D4895">
            <v>0.86</v>
          </cell>
          <cell r="E4895">
            <v>0</v>
          </cell>
          <cell r="F4895">
            <v>0.2</v>
          </cell>
          <cell r="G4895">
            <v>1.5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-1.4999999999999999E-2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 t="b">
            <v>1</v>
          </cell>
        </row>
        <row r="4896">
          <cell r="A4896" t="str">
            <v>Data split-19;Reg-65</v>
          </cell>
          <cell r="B4896">
            <v>-1.5</v>
          </cell>
          <cell r="C4896">
            <v>0</v>
          </cell>
          <cell r="D4896">
            <v>0.2</v>
          </cell>
          <cell r="E4896">
            <v>0</v>
          </cell>
          <cell r="F4896">
            <v>9.0999999999999998E-2</v>
          </cell>
          <cell r="G4896">
            <v>0</v>
          </cell>
          <cell r="H4896">
            <v>3.7</v>
          </cell>
          <cell r="I4896">
            <v>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-9.5000000000000001E-2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 t="b">
            <v>1</v>
          </cell>
        </row>
        <row r="4897">
          <cell r="A4897" t="str">
            <v>Data split-19;Reg-66</v>
          </cell>
          <cell r="B4897">
            <v>-1.5</v>
          </cell>
          <cell r="C4897">
            <v>0</v>
          </cell>
          <cell r="D4897">
            <v>0.27</v>
          </cell>
          <cell r="E4897">
            <v>0</v>
          </cell>
          <cell r="F4897">
            <v>9.5000000000000001E-2</v>
          </cell>
          <cell r="G4897">
            <v>0</v>
          </cell>
          <cell r="H4897">
            <v>3.5</v>
          </cell>
          <cell r="I4897">
            <v>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-1.4999999999999999E-2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 t="b">
            <v>1</v>
          </cell>
        </row>
        <row r="4898">
          <cell r="A4898" t="str">
            <v>Data split-19;Reg-67</v>
          </cell>
          <cell r="B4898">
            <v>-5.7</v>
          </cell>
          <cell r="C4898">
            <v>1.5</v>
          </cell>
          <cell r="D4898">
            <v>0</v>
          </cell>
          <cell r="E4898">
            <v>0</v>
          </cell>
          <cell r="F4898">
            <v>0</v>
          </cell>
          <cell r="G4898">
            <v>0.85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 t="b">
            <v>1</v>
          </cell>
        </row>
        <row r="4899">
          <cell r="A4899" t="str">
            <v>Data split-19;Reg-68</v>
          </cell>
          <cell r="B4899">
            <v>-4.7</v>
          </cell>
          <cell r="C4899">
            <v>1.4</v>
          </cell>
          <cell r="D4899">
            <v>0</v>
          </cell>
          <cell r="E4899">
            <v>0</v>
          </cell>
          <cell r="F4899">
            <v>0.13</v>
          </cell>
          <cell r="G4899">
            <v>0.67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 t="b">
            <v>1</v>
          </cell>
        </row>
        <row r="4900">
          <cell r="A4900" t="str">
            <v>Data split-19;Reg-69</v>
          </cell>
          <cell r="B4900">
            <v>-6.5</v>
          </cell>
          <cell r="C4900">
            <v>1.5</v>
          </cell>
          <cell r="D4900">
            <v>0</v>
          </cell>
          <cell r="E4900">
            <v>0</v>
          </cell>
          <cell r="F4900">
            <v>0</v>
          </cell>
          <cell r="G4900">
            <v>0.79</v>
          </cell>
          <cell r="H4900">
            <v>0</v>
          </cell>
          <cell r="I4900">
            <v>0</v>
          </cell>
          <cell r="J4900">
            <v>2.2999999999999998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 t="b">
            <v>0</v>
          </cell>
        </row>
        <row r="4901">
          <cell r="A4901" t="str">
            <v>Data split-19;Reg-70</v>
          </cell>
          <cell r="B4901">
            <v>-6.8</v>
          </cell>
          <cell r="C4901">
            <v>1.7</v>
          </cell>
          <cell r="D4901">
            <v>0</v>
          </cell>
          <cell r="E4901">
            <v>0</v>
          </cell>
          <cell r="F4901">
            <v>0</v>
          </cell>
          <cell r="G4901">
            <v>1.2</v>
          </cell>
          <cell r="H4901">
            <v>0</v>
          </cell>
          <cell r="I4901">
            <v>0</v>
          </cell>
          <cell r="J4901">
            <v>1.6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-6.0999999999999999E-2</v>
          </cell>
          <cell r="T4901">
            <v>0</v>
          </cell>
          <cell r="U4901" t="b">
            <v>0</v>
          </cell>
        </row>
        <row r="4902">
          <cell r="A4902" t="str">
            <v>Data split-19;Reg-71</v>
          </cell>
          <cell r="B4902">
            <v>-1.4</v>
          </cell>
          <cell r="C4902">
            <v>0.3</v>
          </cell>
          <cell r="D4902">
            <v>0</v>
          </cell>
          <cell r="E4902">
            <v>0</v>
          </cell>
          <cell r="F4902">
            <v>4.4999999999999998E-2</v>
          </cell>
          <cell r="G4902">
            <v>0</v>
          </cell>
          <cell r="H4902">
            <v>4.7</v>
          </cell>
          <cell r="I4902">
            <v>0</v>
          </cell>
          <cell r="J4902">
            <v>0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-0.16</v>
          </cell>
          <cell r="T4902">
            <v>0</v>
          </cell>
          <cell r="U4902" t="b">
            <v>1</v>
          </cell>
        </row>
        <row r="4903">
          <cell r="A4903" t="str">
            <v>Data split-19;Reg-72</v>
          </cell>
          <cell r="B4903">
            <v>-4.0999999999999996</v>
          </cell>
          <cell r="C4903">
            <v>1.2</v>
          </cell>
          <cell r="D4903">
            <v>0</v>
          </cell>
          <cell r="E4903">
            <v>1.1000000000000001</v>
          </cell>
          <cell r="F4903">
            <v>0</v>
          </cell>
          <cell r="G4903">
            <v>0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 t="b">
            <v>1</v>
          </cell>
        </row>
        <row r="4904">
          <cell r="A4904" t="str">
            <v>Data split-19;Reg-73</v>
          </cell>
          <cell r="B4904">
            <v>-4.3</v>
          </cell>
          <cell r="C4904">
            <v>1.7</v>
          </cell>
          <cell r="D4904">
            <v>0</v>
          </cell>
          <cell r="E4904">
            <v>0</v>
          </cell>
          <cell r="F4904">
            <v>0.21</v>
          </cell>
          <cell r="G4904">
            <v>0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 t="b">
            <v>1</v>
          </cell>
        </row>
        <row r="4905">
          <cell r="A4905" t="str">
            <v>Data split-19;Reg-74</v>
          </cell>
          <cell r="B4905">
            <v>-0.45</v>
          </cell>
          <cell r="C4905">
            <v>0</v>
          </cell>
          <cell r="D4905">
            <v>0.46</v>
          </cell>
          <cell r="E4905">
            <v>1.9</v>
          </cell>
          <cell r="F4905">
            <v>0</v>
          </cell>
          <cell r="G4905">
            <v>0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 t="b">
            <v>1</v>
          </cell>
        </row>
        <row r="4906">
          <cell r="A4906" t="str">
            <v>Data split-19;Reg-75</v>
          </cell>
          <cell r="B4906">
            <v>0.85</v>
          </cell>
          <cell r="C4906">
            <v>0</v>
          </cell>
          <cell r="D4906">
            <v>1.2</v>
          </cell>
          <cell r="E4906">
            <v>0</v>
          </cell>
          <cell r="F4906">
            <v>0.31</v>
          </cell>
          <cell r="G4906">
            <v>0</v>
          </cell>
          <cell r="H4906">
            <v>0</v>
          </cell>
          <cell r="I4906">
            <v>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 t="b">
            <v>0</v>
          </cell>
        </row>
        <row r="4907">
          <cell r="A4907" t="str">
            <v>Data split-19;Reg-76</v>
          </cell>
          <cell r="B4907">
            <v>-5.7</v>
          </cell>
          <cell r="C4907">
            <v>1.5</v>
          </cell>
          <cell r="D4907">
            <v>0</v>
          </cell>
          <cell r="E4907">
            <v>0</v>
          </cell>
          <cell r="F4907">
            <v>0</v>
          </cell>
          <cell r="G4907">
            <v>0.85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 t="b">
            <v>1</v>
          </cell>
        </row>
        <row r="4908">
          <cell r="A4908" t="str">
            <v>Data split-19;Reg-77</v>
          </cell>
          <cell r="B4908">
            <v>-4.3</v>
          </cell>
          <cell r="C4908">
            <v>1.1000000000000001</v>
          </cell>
          <cell r="D4908">
            <v>0</v>
          </cell>
          <cell r="E4908">
            <v>0</v>
          </cell>
          <cell r="F4908">
            <v>0</v>
          </cell>
          <cell r="G4908">
            <v>0</v>
          </cell>
          <cell r="H4908">
            <v>1.9</v>
          </cell>
          <cell r="I4908">
            <v>0</v>
          </cell>
          <cell r="J4908">
            <v>0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 t="b">
            <v>1</v>
          </cell>
        </row>
        <row r="4909">
          <cell r="A4909" t="str">
            <v>Data split-19;Reg-78</v>
          </cell>
          <cell r="B4909">
            <v>-1.7</v>
          </cell>
          <cell r="C4909">
            <v>0</v>
          </cell>
          <cell r="D4909">
            <v>0.97</v>
          </cell>
          <cell r="E4909">
            <v>0</v>
          </cell>
          <cell r="F4909">
            <v>0</v>
          </cell>
          <cell r="G4909">
            <v>1.2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 t="b">
            <v>1</v>
          </cell>
        </row>
        <row r="4910">
          <cell r="A4910" t="str">
            <v>Data split-19;Reg-79</v>
          </cell>
          <cell r="B4910">
            <v>-1.2</v>
          </cell>
          <cell r="C4910">
            <v>0</v>
          </cell>
          <cell r="D4910">
            <v>0.42</v>
          </cell>
          <cell r="E4910">
            <v>0</v>
          </cell>
          <cell r="F4910">
            <v>0</v>
          </cell>
          <cell r="G4910">
            <v>0</v>
          </cell>
          <cell r="H4910">
            <v>2.7</v>
          </cell>
          <cell r="I4910">
            <v>0</v>
          </cell>
          <cell r="J4910">
            <v>0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 t="b">
            <v>1</v>
          </cell>
        </row>
        <row r="4911">
          <cell r="A4911" t="str">
            <v>Data split-19;Reg-80</v>
          </cell>
          <cell r="B4911">
            <v>-7.8</v>
          </cell>
          <cell r="C4911">
            <v>1.8</v>
          </cell>
          <cell r="D4911">
            <v>0</v>
          </cell>
          <cell r="E4911">
            <v>0</v>
          </cell>
          <cell r="F4911">
            <v>0</v>
          </cell>
          <cell r="G4911">
            <v>0</v>
          </cell>
          <cell r="H4911">
            <v>0</v>
          </cell>
          <cell r="I4911">
            <v>1.8</v>
          </cell>
          <cell r="J4911">
            <v>0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 t="b">
            <v>0</v>
          </cell>
        </row>
        <row r="4912">
          <cell r="A4912" t="str">
            <v>Data split-19;Reg-81</v>
          </cell>
          <cell r="B4912">
            <v>-9.5</v>
          </cell>
          <cell r="C4912">
            <v>2</v>
          </cell>
          <cell r="D4912">
            <v>0</v>
          </cell>
          <cell r="E4912">
            <v>0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10.199999999999999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 t="b">
            <v>0</v>
          </cell>
        </row>
        <row r="4913">
          <cell r="A4913" t="str">
            <v>Data split-19;Reg-82</v>
          </cell>
          <cell r="B4913">
            <v>-4.5</v>
          </cell>
          <cell r="C4913">
            <v>0</v>
          </cell>
          <cell r="D4913">
            <v>1.3</v>
          </cell>
          <cell r="E4913">
            <v>0</v>
          </cell>
          <cell r="F4913">
            <v>0</v>
          </cell>
          <cell r="G4913">
            <v>0</v>
          </cell>
          <cell r="H4913">
            <v>0</v>
          </cell>
          <cell r="I4913">
            <v>2.8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 t="b">
            <v>0</v>
          </cell>
        </row>
        <row r="4914">
          <cell r="A4914" t="str">
            <v>Data split-19;Reg-83</v>
          </cell>
          <cell r="B4914">
            <v>-8.8000000000000007</v>
          </cell>
          <cell r="C4914">
            <v>0</v>
          </cell>
          <cell r="D4914">
            <v>1.6</v>
          </cell>
          <cell r="E4914">
            <v>0</v>
          </cell>
          <cell r="F4914">
            <v>0</v>
          </cell>
          <cell r="G4914">
            <v>0</v>
          </cell>
          <cell r="H4914">
            <v>0</v>
          </cell>
          <cell r="I4914">
            <v>0</v>
          </cell>
          <cell r="J4914">
            <v>21.7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 t="b">
            <v>0</v>
          </cell>
        </row>
        <row r="4915">
          <cell r="A4915" t="str">
            <v>Data split-19;Reg-84</v>
          </cell>
          <cell r="B4915">
            <v>-7.7</v>
          </cell>
          <cell r="C4915">
            <v>2.1</v>
          </cell>
          <cell r="D4915">
            <v>0</v>
          </cell>
          <cell r="E4915">
            <v>0</v>
          </cell>
          <cell r="F4915">
            <v>0</v>
          </cell>
          <cell r="G4915">
            <v>0</v>
          </cell>
          <cell r="H4915">
            <v>0</v>
          </cell>
          <cell r="I4915">
            <v>0</v>
          </cell>
          <cell r="J4915">
            <v>0</v>
          </cell>
          <cell r="K4915">
            <v>0.39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 t="b">
            <v>0</v>
          </cell>
        </row>
        <row r="4916">
          <cell r="A4916" t="str">
            <v>Data split-19;Reg-85</v>
          </cell>
          <cell r="B4916">
            <v>-7.7</v>
          </cell>
          <cell r="C4916">
            <v>2.1</v>
          </cell>
          <cell r="D4916">
            <v>0</v>
          </cell>
          <cell r="E4916">
            <v>0</v>
          </cell>
          <cell r="F4916">
            <v>0</v>
          </cell>
          <cell r="G4916">
            <v>0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1.6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 t="b">
            <v>0</v>
          </cell>
        </row>
        <row r="4917">
          <cell r="A4917" t="str">
            <v>Data split-19;Reg-86</v>
          </cell>
          <cell r="B4917">
            <v>-6.4</v>
          </cell>
          <cell r="C4917">
            <v>0</v>
          </cell>
          <cell r="D4917">
            <v>1.6</v>
          </cell>
          <cell r="E4917">
            <v>0</v>
          </cell>
          <cell r="F4917">
            <v>0</v>
          </cell>
          <cell r="G4917">
            <v>0</v>
          </cell>
          <cell r="H4917">
            <v>0</v>
          </cell>
          <cell r="I4917">
            <v>0</v>
          </cell>
          <cell r="J4917">
            <v>0</v>
          </cell>
          <cell r="K4917">
            <v>1.3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 t="b">
            <v>0</v>
          </cell>
        </row>
        <row r="4918">
          <cell r="A4918" t="str">
            <v>Data split-19;Reg-87</v>
          </cell>
          <cell r="B4918">
            <v>-7.2</v>
          </cell>
          <cell r="C4918">
            <v>0</v>
          </cell>
          <cell r="D4918">
            <v>1.7</v>
          </cell>
          <cell r="E4918">
            <v>0</v>
          </cell>
          <cell r="F4918">
            <v>0</v>
          </cell>
          <cell r="G4918">
            <v>0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>
            <v>6.5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 t="b">
            <v>0</v>
          </cell>
        </row>
        <row r="4919">
          <cell r="A4919" t="str">
            <v>Data split-19;Reg-88</v>
          </cell>
          <cell r="B4919">
            <v>-5.8</v>
          </cell>
          <cell r="C4919">
            <v>1.9</v>
          </cell>
          <cell r="D4919">
            <v>0</v>
          </cell>
          <cell r="E4919">
            <v>0</v>
          </cell>
          <cell r="F4919">
            <v>0</v>
          </cell>
          <cell r="G4919">
            <v>0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0</v>
          </cell>
          <cell r="M4919">
            <v>2.7E-2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 t="b">
            <v>0</v>
          </cell>
        </row>
        <row r="4920">
          <cell r="A4920" t="str">
            <v>Data split-19;Reg-89</v>
          </cell>
          <cell r="B4920">
            <v>-5.6</v>
          </cell>
          <cell r="C4920">
            <v>1.8</v>
          </cell>
          <cell r="D4920">
            <v>0</v>
          </cell>
          <cell r="E4920">
            <v>0</v>
          </cell>
          <cell r="F4920">
            <v>0</v>
          </cell>
          <cell r="G4920">
            <v>0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>
            <v>0</v>
          </cell>
          <cell r="M4920">
            <v>0</v>
          </cell>
          <cell r="N4920">
            <v>8.6E-3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 t="b">
            <v>0</v>
          </cell>
        </row>
        <row r="4921">
          <cell r="A4921" t="str">
            <v>Data split-19;Reg-90</v>
          </cell>
          <cell r="B4921">
            <v>-0.55000000000000004</v>
          </cell>
          <cell r="C4921">
            <v>0</v>
          </cell>
          <cell r="D4921">
            <v>1.2</v>
          </cell>
          <cell r="E4921">
            <v>0</v>
          </cell>
          <cell r="F4921">
            <v>0</v>
          </cell>
          <cell r="G4921">
            <v>0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>
            <v>0</v>
          </cell>
          <cell r="M4921">
            <v>7.2999999999999995E-2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 t="b">
            <v>0</v>
          </cell>
        </row>
        <row r="4922">
          <cell r="A4922" t="str">
            <v>Data split-19;Reg-91</v>
          </cell>
          <cell r="B4922">
            <v>-0.56999999999999995</v>
          </cell>
          <cell r="C4922">
            <v>0</v>
          </cell>
          <cell r="D4922">
            <v>1.1000000000000001</v>
          </cell>
          <cell r="E4922">
            <v>0</v>
          </cell>
          <cell r="F4922">
            <v>0</v>
          </cell>
          <cell r="G4922">
            <v>0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>
            <v>0</v>
          </cell>
          <cell r="M4922">
            <v>0</v>
          </cell>
          <cell r="N4922">
            <v>1.9E-2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 t="b">
            <v>0</v>
          </cell>
        </row>
        <row r="4923">
          <cell r="A4923" t="str">
            <v>Data split-19;Reg-92</v>
          </cell>
          <cell r="B4923">
            <v>-5.5</v>
          </cell>
          <cell r="C4923">
            <v>1.8</v>
          </cell>
          <cell r="D4923">
            <v>0</v>
          </cell>
          <cell r="E4923">
            <v>0</v>
          </cell>
          <cell r="F4923">
            <v>0</v>
          </cell>
          <cell r="G4923">
            <v>0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5.8999999999999997E-2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 t="b">
            <v>0</v>
          </cell>
        </row>
        <row r="4924">
          <cell r="A4924" t="str">
            <v>Data split-19;Reg-93</v>
          </cell>
          <cell r="B4924">
            <v>-5.0999999999999996</v>
          </cell>
          <cell r="C4924">
            <v>1.8</v>
          </cell>
          <cell r="D4924">
            <v>0</v>
          </cell>
          <cell r="E4924">
            <v>0</v>
          </cell>
          <cell r="F4924">
            <v>0</v>
          </cell>
          <cell r="G4924">
            <v>0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1.2999999999999999E-2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 t="b">
            <v>0</v>
          </cell>
        </row>
        <row r="4925">
          <cell r="A4925" t="str">
            <v>Data split-19;Reg-94</v>
          </cell>
          <cell r="B4925">
            <v>-0.18</v>
          </cell>
          <cell r="C4925">
            <v>0</v>
          </cell>
          <cell r="D4925">
            <v>1.3</v>
          </cell>
          <cell r="E4925">
            <v>0</v>
          </cell>
          <cell r="F4925">
            <v>0</v>
          </cell>
          <cell r="G4925">
            <v>0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7.8E-2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 t="b">
            <v>0</v>
          </cell>
        </row>
        <row r="4926">
          <cell r="A4926" t="str">
            <v>Data split-19;Reg-95</v>
          </cell>
          <cell r="B4926">
            <v>2.3E-2</v>
          </cell>
          <cell r="C4926">
            <v>0</v>
          </cell>
          <cell r="D4926">
            <v>1.2</v>
          </cell>
          <cell r="E4926">
            <v>0</v>
          </cell>
          <cell r="F4926">
            <v>0</v>
          </cell>
          <cell r="G4926">
            <v>0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1.7000000000000001E-2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 t="b">
            <v>0</v>
          </cell>
        </row>
        <row r="4927">
          <cell r="A4927" t="str">
            <v>Data split-19;Reg-96</v>
          </cell>
          <cell r="B4927">
            <v>-5.8</v>
          </cell>
          <cell r="C4927">
            <v>1.4</v>
          </cell>
          <cell r="D4927">
            <v>0</v>
          </cell>
          <cell r="E4927">
            <v>0.71</v>
          </cell>
          <cell r="F4927">
            <v>0</v>
          </cell>
          <cell r="G4927">
            <v>0</v>
          </cell>
          <cell r="H4927">
            <v>0</v>
          </cell>
          <cell r="I4927">
            <v>1</v>
          </cell>
          <cell r="J4927">
            <v>0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 t="b">
            <v>0</v>
          </cell>
        </row>
        <row r="4928">
          <cell r="A4928" t="str">
            <v>Data split-19;Reg-97</v>
          </cell>
          <cell r="B4928">
            <v>-6.5</v>
          </cell>
          <cell r="C4928">
            <v>1.3</v>
          </cell>
          <cell r="D4928">
            <v>0</v>
          </cell>
          <cell r="E4928">
            <v>0.96</v>
          </cell>
          <cell r="F4928">
            <v>0</v>
          </cell>
          <cell r="G4928">
            <v>0</v>
          </cell>
          <cell r="H4928">
            <v>0</v>
          </cell>
          <cell r="I4928">
            <v>0</v>
          </cell>
          <cell r="J4928">
            <v>6.4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 t="b">
            <v>0</v>
          </cell>
        </row>
        <row r="4929">
          <cell r="A4929" t="str">
            <v>Data split-19;Reg-98</v>
          </cell>
          <cell r="B4929">
            <v>-5.9</v>
          </cell>
          <cell r="C4929">
            <v>1.7</v>
          </cell>
          <cell r="D4929">
            <v>0</v>
          </cell>
          <cell r="E4929">
            <v>0</v>
          </cell>
          <cell r="F4929">
            <v>0.16</v>
          </cell>
          <cell r="G4929">
            <v>0</v>
          </cell>
          <cell r="H4929">
            <v>0</v>
          </cell>
          <cell r="I4929">
            <v>1.2</v>
          </cell>
          <cell r="J4929">
            <v>0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 t="b">
            <v>0</v>
          </cell>
        </row>
        <row r="4930">
          <cell r="A4930" t="str">
            <v>Data split-19;Reg-99</v>
          </cell>
          <cell r="B4930">
            <v>-7.3</v>
          </cell>
          <cell r="C4930">
            <v>1.7</v>
          </cell>
          <cell r="D4930">
            <v>0</v>
          </cell>
          <cell r="E4930">
            <v>0</v>
          </cell>
          <cell r="F4930">
            <v>0.2</v>
          </cell>
          <cell r="G4930">
            <v>0</v>
          </cell>
          <cell r="H4930">
            <v>0</v>
          </cell>
          <cell r="I4930">
            <v>0</v>
          </cell>
          <cell r="J4930">
            <v>8.6999999999999993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 t="b">
            <v>0</v>
          </cell>
        </row>
        <row r="4931">
          <cell r="A4931" t="str">
            <v>Data split-19;Reg-100</v>
          </cell>
          <cell r="B4931">
            <v>-1.6</v>
          </cell>
          <cell r="C4931">
            <v>0</v>
          </cell>
          <cell r="D4931">
            <v>0.6</v>
          </cell>
          <cell r="E4931">
            <v>1.5</v>
          </cell>
          <cell r="F4931">
            <v>0</v>
          </cell>
          <cell r="G4931">
            <v>0</v>
          </cell>
          <cell r="H4931">
            <v>0</v>
          </cell>
          <cell r="I4931">
            <v>0.8</v>
          </cell>
          <cell r="J4931">
            <v>0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 t="b">
            <v>0</v>
          </cell>
        </row>
        <row r="4932">
          <cell r="A4932" t="str">
            <v>Data split-19;Reg-101</v>
          </cell>
          <cell r="B4932">
            <v>-4.3</v>
          </cell>
          <cell r="C4932">
            <v>0</v>
          </cell>
          <cell r="D4932">
            <v>0.73</v>
          </cell>
          <cell r="E4932">
            <v>1.4</v>
          </cell>
          <cell r="F4932">
            <v>0</v>
          </cell>
          <cell r="G4932">
            <v>0</v>
          </cell>
          <cell r="H4932">
            <v>0</v>
          </cell>
          <cell r="I4932">
            <v>0</v>
          </cell>
          <cell r="J4932">
            <v>9.9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 t="b">
            <v>0</v>
          </cell>
        </row>
        <row r="4933">
          <cell r="A4933" t="str">
            <v>Data split-19;Reg-102</v>
          </cell>
          <cell r="B4933">
            <v>-2.5</v>
          </cell>
          <cell r="C4933">
            <v>0</v>
          </cell>
          <cell r="D4933">
            <v>1.2</v>
          </cell>
          <cell r="E4933">
            <v>0</v>
          </cell>
          <cell r="F4933">
            <v>0.2</v>
          </cell>
          <cell r="G4933">
            <v>0</v>
          </cell>
          <cell r="H4933">
            <v>0</v>
          </cell>
          <cell r="I4933">
            <v>2</v>
          </cell>
          <cell r="J4933">
            <v>0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 t="b">
            <v>0</v>
          </cell>
        </row>
        <row r="4934">
          <cell r="A4934" t="str">
            <v>Data split-19;Reg-103</v>
          </cell>
          <cell r="B4934">
            <v>-6.2</v>
          </cell>
          <cell r="C4934">
            <v>0</v>
          </cell>
          <cell r="D4934">
            <v>1.3</v>
          </cell>
          <cell r="E4934">
            <v>0</v>
          </cell>
          <cell r="F4934">
            <v>0.24</v>
          </cell>
          <cell r="G4934">
            <v>0</v>
          </cell>
          <cell r="H4934">
            <v>0</v>
          </cell>
          <cell r="I4934">
            <v>0</v>
          </cell>
          <cell r="J4934">
            <v>17.5</v>
          </cell>
          <cell r="K4934">
            <v>0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 t="b">
            <v>0</v>
          </cell>
        </row>
        <row r="4935">
          <cell r="A4935" t="str">
            <v>Data split-19;Reg-104</v>
          </cell>
          <cell r="B4935">
            <v>-4.0999999999999996</v>
          </cell>
          <cell r="C4935">
            <v>1.2</v>
          </cell>
          <cell r="D4935">
            <v>0</v>
          </cell>
          <cell r="E4935">
            <v>1.1000000000000001</v>
          </cell>
          <cell r="F4935">
            <v>0</v>
          </cell>
          <cell r="G4935">
            <v>0</v>
          </cell>
          <cell r="H4935">
            <v>0</v>
          </cell>
          <cell r="I4935">
            <v>0</v>
          </cell>
          <cell r="J4935">
            <v>0</v>
          </cell>
          <cell r="K4935">
            <v>0.01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 t="b">
            <v>0</v>
          </cell>
        </row>
        <row r="4936">
          <cell r="A4936" t="str">
            <v>Data split-19;Reg-105</v>
          </cell>
          <cell r="B4936">
            <v>-5.3</v>
          </cell>
          <cell r="C4936">
            <v>1.3</v>
          </cell>
          <cell r="D4936">
            <v>0</v>
          </cell>
          <cell r="E4936">
            <v>1.1000000000000001</v>
          </cell>
          <cell r="F4936">
            <v>0</v>
          </cell>
          <cell r="G4936">
            <v>0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>
            <v>1.2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 t="b">
            <v>0</v>
          </cell>
        </row>
        <row r="4937">
          <cell r="A4937" t="str">
            <v>Data split-19;Reg-106</v>
          </cell>
          <cell r="B4937">
            <v>-5.7</v>
          </cell>
          <cell r="C4937">
            <v>1.7</v>
          </cell>
          <cell r="D4937">
            <v>0</v>
          </cell>
          <cell r="E4937">
            <v>0</v>
          </cell>
          <cell r="F4937">
            <v>0.21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0.33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 t="b">
            <v>0</v>
          </cell>
        </row>
        <row r="4938">
          <cell r="A4938" t="str">
            <v>Data split-19;Reg-107</v>
          </cell>
          <cell r="B4938">
            <v>-6</v>
          </cell>
          <cell r="C4938">
            <v>1.8</v>
          </cell>
          <cell r="D4938">
            <v>0</v>
          </cell>
          <cell r="E4938">
            <v>0</v>
          </cell>
          <cell r="F4938">
            <v>0.21</v>
          </cell>
          <cell r="G4938">
            <v>0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>
            <v>1.8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 t="b">
            <v>0</v>
          </cell>
        </row>
        <row r="4939">
          <cell r="A4939" t="str">
            <v>Data split-19;Reg-108</v>
          </cell>
          <cell r="B4939">
            <v>-0.98</v>
          </cell>
          <cell r="C4939">
            <v>0</v>
          </cell>
          <cell r="D4939">
            <v>0.49</v>
          </cell>
          <cell r="E4939">
            <v>1.8</v>
          </cell>
          <cell r="F4939">
            <v>0</v>
          </cell>
          <cell r="G4939">
            <v>0</v>
          </cell>
          <cell r="H4939">
            <v>0</v>
          </cell>
          <cell r="I4939">
            <v>0</v>
          </cell>
          <cell r="J4939">
            <v>0</v>
          </cell>
          <cell r="K4939">
            <v>0.11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 t="b">
            <v>0</v>
          </cell>
        </row>
        <row r="4940">
          <cell r="A4940" t="str">
            <v>Data split-19;Reg-109</v>
          </cell>
          <cell r="B4940">
            <v>-3.1</v>
          </cell>
          <cell r="C4940">
            <v>0</v>
          </cell>
          <cell r="D4940">
            <v>0.6</v>
          </cell>
          <cell r="E4940">
            <v>1.7</v>
          </cell>
          <cell r="F4940">
            <v>0</v>
          </cell>
          <cell r="G4940">
            <v>0</v>
          </cell>
          <cell r="H4940">
            <v>0</v>
          </cell>
          <cell r="I4940">
            <v>0</v>
          </cell>
          <cell r="J4940">
            <v>0</v>
          </cell>
          <cell r="K4940">
            <v>0</v>
          </cell>
          <cell r="L4940">
            <v>2.6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 t="b">
            <v>0</v>
          </cell>
        </row>
        <row r="4941">
          <cell r="A4941" t="str">
            <v>Data split-19;Reg-110</v>
          </cell>
          <cell r="B4941">
            <v>-4</v>
          </cell>
          <cell r="C4941">
            <v>0</v>
          </cell>
          <cell r="D4941">
            <v>1.2</v>
          </cell>
          <cell r="E4941">
            <v>0</v>
          </cell>
          <cell r="F4941">
            <v>0.28000000000000003</v>
          </cell>
          <cell r="G4941">
            <v>0</v>
          </cell>
          <cell r="H4941">
            <v>0</v>
          </cell>
          <cell r="I4941">
            <v>0</v>
          </cell>
          <cell r="J4941">
            <v>0</v>
          </cell>
          <cell r="K4941">
            <v>1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 t="b">
            <v>0</v>
          </cell>
        </row>
        <row r="4942">
          <cell r="A4942" t="str">
            <v>Data split-19;Reg-111</v>
          </cell>
          <cell r="B4942">
            <v>-5.0999999999999996</v>
          </cell>
          <cell r="C4942">
            <v>0</v>
          </cell>
          <cell r="D4942">
            <v>1.3</v>
          </cell>
          <cell r="E4942">
            <v>0</v>
          </cell>
          <cell r="F4942">
            <v>0.28999999999999998</v>
          </cell>
          <cell r="G4942">
            <v>0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>
            <v>5.6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 t="b">
            <v>0</v>
          </cell>
        </row>
        <row r="4943">
          <cell r="A4943" t="str">
            <v>Data split-19;Reg-112</v>
          </cell>
          <cell r="B4943">
            <v>-5.5</v>
          </cell>
          <cell r="C4943">
            <v>1.5</v>
          </cell>
          <cell r="D4943">
            <v>0</v>
          </cell>
          <cell r="E4943">
            <v>0</v>
          </cell>
          <cell r="F4943">
            <v>0</v>
          </cell>
          <cell r="G4943">
            <v>0.91</v>
          </cell>
          <cell r="H4943">
            <v>0</v>
          </cell>
          <cell r="I4943">
            <v>-0.2</v>
          </cell>
          <cell r="J4943">
            <v>0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 t="b">
            <v>1</v>
          </cell>
        </row>
        <row r="4944">
          <cell r="A4944" t="str">
            <v>Data split-19;Reg-113</v>
          </cell>
          <cell r="B4944">
            <v>-6.5</v>
          </cell>
          <cell r="C4944">
            <v>1.5</v>
          </cell>
          <cell r="D4944">
            <v>0</v>
          </cell>
          <cell r="E4944">
            <v>0</v>
          </cell>
          <cell r="F4944">
            <v>0</v>
          </cell>
          <cell r="G4944">
            <v>0.79</v>
          </cell>
          <cell r="H4944">
            <v>0</v>
          </cell>
          <cell r="I4944">
            <v>0</v>
          </cell>
          <cell r="J4944">
            <v>2.2999999999999998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 t="b">
            <v>0</v>
          </cell>
        </row>
        <row r="4945">
          <cell r="A4945" t="str">
            <v>Data split-19;Reg-114</v>
          </cell>
          <cell r="B4945">
            <v>-4</v>
          </cell>
          <cell r="C4945">
            <v>1</v>
          </cell>
          <cell r="D4945">
            <v>0</v>
          </cell>
          <cell r="E4945">
            <v>0</v>
          </cell>
          <cell r="F4945">
            <v>0</v>
          </cell>
          <cell r="G4945">
            <v>0</v>
          </cell>
          <cell r="H4945">
            <v>2</v>
          </cell>
          <cell r="I4945">
            <v>-0.21</v>
          </cell>
          <cell r="J4945">
            <v>0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 t="b">
            <v>1</v>
          </cell>
        </row>
        <row r="4946">
          <cell r="A4946" t="str">
            <v>Data split-19;Reg-115</v>
          </cell>
          <cell r="B4946">
            <v>-5.5</v>
          </cell>
          <cell r="C4946">
            <v>1.1000000000000001</v>
          </cell>
          <cell r="D4946">
            <v>0</v>
          </cell>
          <cell r="E4946">
            <v>0</v>
          </cell>
          <cell r="F4946">
            <v>0</v>
          </cell>
          <cell r="G4946">
            <v>0</v>
          </cell>
          <cell r="H4946">
            <v>1.8</v>
          </cell>
          <cell r="I4946">
            <v>0</v>
          </cell>
          <cell r="J4946">
            <v>3.1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 t="b">
            <v>0</v>
          </cell>
        </row>
        <row r="4947">
          <cell r="A4947" t="str">
            <v>Data split-19;Reg-116</v>
          </cell>
          <cell r="B4947">
            <v>-2.4</v>
          </cell>
          <cell r="C4947">
            <v>0</v>
          </cell>
          <cell r="D4947">
            <v>1</v>
          </cell>
          <cell r="E4947">
            <v>0</v>
          </cell>
          <cell r="F4947">
            <v>0</v>
          </cell>
          <cell r="G4947">
            <v>0.94</v>
          </cell>
          <cell r="H4947">
            <v>0</v>
          </cell>
          <cell r="I4947">
            <v>0.65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 t="b">
            <v>0</v>
          </cell>
        </row>
        <row r="4948">
          <cell r="A4948" t="str">
            <v>Data split-19;Reg-117</v>
          </cell>
          <cell r="B4948">
            <v>-5.3</v>
          </cell>
          <cell r="C4948">
            <v>0</v>
          </cell>
          <cell r="D4948">
            <v>1.2</v>
          </cell>
          <cell r="E4948">
            <v>0</v>
          </cell>
          <cell r="F4948">
            <v>0</v>
          </cell>
          <cell r="G4948">
            <v>0.84</v>
          </cell>
          <cell r="H4948">
            <v>0</v>
          </cell>
          <cell r="I4948">
            <v>0</v>
          </cell>
          <cell r="J4948">
            <v>10.199999999999999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 t="b">
            <v>0</v>
          </cell>
        </row>
        <row r="4949">
          <cell r="A4949" t="str">
            <v>Data split-19;Reg-118</v>
          </cell>
          <cell r="B4949">
            <v>-5.5E-2</v>
          </cell>
          <cell r="C4949">
            <v>0</v>
          </cell>
          <cell r="D4949">
            <v>0.26</v>
          </cell>
          <cell r="E4949">
            <v>0</v>
          </cell>
          <cell r="F4949">
            <v>0</v>
          </cell>
          <cell r="G4949">
            <v>0</v>
          </cell>
          <cell r="H4949">
            <v>3.3</v>
          </cell>
          <cell r="I4949">
            <v>-0.93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 t="b">
            <v>1</v>
          </cell>
        </row>
        <row r="4950">
          <cell r="A4950" t="str">
            <v>Data split-19;Reg-119</v>
          </cell>
          <cell r="B4950">
            <v>-3.1</v>
          </cell>
          <cell r="C4950">
            <v>0</v>
          </cell>
          <cell r="D4950">
            <v>0.56000000000000005</v>
          </cell>
          <cell r="E4950">
            <v>0</v>
          </cell>
          <cell r="F4950">
            <v>0</v>
          </cell>
          <cell r="G4950">
            <v>0</v>
          </cell>
          <cell r="H4950">
            <v>2.4</v>
          </cell>
          <cell r="I4950">
            <v>0</v>
          </cell>
          <cell r="J4950">
            <v>5.0999999999999996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 t="b">
            <v>0</v>
          </cell>
        </row>
        <row r="4951">
          <cell r="A4951" t="str">
            <v>Data split-19;Reg-120</v>
          </cell>
          <cell r="B4951">
            <v>-4.9000000000000004</v>
          </cell>
          <cell r="C4951">
            <v>1.5</v>
          </cell>
          <cell r="D4951">
            <v>0</v>
          </cell>
          <cell r="E4951">
            <v>0</v>
          </cell>
          <cell r="F4951">
            <v>0</v>
          </cell>
          <cell r="G4951">
            <v>0.89</v>
          </cell>
          <cell r="H4951">
            <v>0</v>
          </cell>
          <cell r="I4951">
            <v>0</v>
          </cell>
          <cell r="J4951">
            <v>0</v>
          </cell>
          <cell r="K4951">
            <v>-0.21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 t="b">
            <v>1</v>
          </cell>
        </row>
        <row r="4952">
          <cell r="A4952" t="str">
            <v>Data split-19;Reg-121</v>
          </cell>
          <cell r="B4952">
            <v>-6.2</v>
          </cell>
          <cell r="C4952">
            <v>1.5</v>
          </cell>
          <cell r="D4952">
            <v>0</v>
          </cell>
          <cell r="E4952">
            <v>0</v>
          </cell>
          <cell r="F4952">
            <v>0</v>
          </cell>
          <cell r="G4952">
            <v>0.84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>
            <v>0.48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 t="b">
            <v>0</v>
          </cell>
        </row>
        <row r="4953">
          <cell r="A4953" t="str">
            <v>Data split-19;Reg-122</v>
          </cell>
          <cell r="B4953">
            <v>-3.8</v>
          </cell>
          <cell r="C4953">
            <v>1.1000000000000001</v>
          </cell>
          <cell r="D4953">
            <v>0</v>
          </cell>
          <cell r="E4953">
            <v>0</v>
          </cell>
          <cell r="F4953">
            <v>0</v>
          </cell>
          <cell r="G4953">
            <v>0</v>
          </cell>
          <cell r="H4953">
            <v>2</v>
          </cell>
          <cell r="I4953">
            <v>0</v>
          </cell>
          <cell r="J4953">
            <v>0</v>
          </cell>
          <cell r="K4953">
            <v>-0.12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 t="b">
            <v>1</v>
          </cell>
        </row>
        <row r="4954">
          <cell r="A4954" t="str">
            <v>Data split-19;Reg-123</v>
          </cell>
          <cell r="B4954">
            <v>-5.3</v>
          </cell>
          <cell r="C4954">
            <v>1.1000000000000001</v>
          </cell>
          <cell r="D4954">
            <v>0</v>
          </cell>
          <cell r="E4954">
            <v>0</v>
          </cell>
          <cell r="F4954">
            <v>0</v>
          </cell>
          <cell r="G4954">
            <v>0</v>
          </cell>
          <cell r="H4954">
            <v>1.9</v>
          </cell>
          <cell r="I4954">
            <v>0</v>
          </cell>
          <cell r="J4954">
            <v>0</v>
          </cell>
          <cell r="K4954">
            <v>0</v>
          </cell>
          <cell r="L4954">
            <v>1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 t="b">
            <v>0</v>
          </cell>
        </row>
        <row r="4955">
          <cell r="A4955" t="str">
            <v>Data split-19;Reg-124</v>
          </cell>
          <cell r="B4955">
            <v>-2.9</v>
          </cell>
          <cell r="C4955">
            <v>0</v>
          </cell>
          <cell r="D4955">
            <v>1</v>
          </cell>
          <cell r="E4955">
            <v>0</v>
          </cell>
          <cell r="F4955">
            <v>0</v>
          </cell>
          <cell r="G4955">
            <v>1.1000000000000001</v>
          </cell>
          <cell r="H4955">
            <v>0</v>
          </cell>
          <cell r="I4955">
            <v>0</v>
          </cell>
          <cell r="J4955">
            <v>0</v>
          </cell>
          <cell r="K4955">
            <v>0.28999999999999998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 t="b">
            <v>0</v>
          </cell>
        </row>
        <row r="4956">
          <cell r="A4956" t="str">
            <v>Data split-19;Reg-125</v>
          </cell>
          <cell r="B4956">
            <v>-4.9000000000000004</v>
          </cell>
          <cell r="C4956">
            <v>0</v>
          </cell>
          <cell r="D4956">
            <v>1.1000000000000001</v>
          </cell>
          <cell r="E4956">
            <v>0</v>
          </cell>
          <cell r="F4956">
            <v>0</v>
          </cell>
          <cell r="G4956">
            <v>1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>
            <v>3.2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 t="b">
            <v>0</v>
          </cell>
        </row>
        <row r="4957">
          <cell r="A4957" t="str">
            <v>Data split-19;Reg-126</v>
          </cell>
          <cell r="B4957">
            <v>-1.1000000000000001</v>
          </cell>
          <cell r="C4957">
            <v>0</v>
          </cell>
          <cell r="D4957">
            <v>0.42</v>
          </cell>
          <cell r="E4957">
            <v>0</v>
          </cell>
          <cell r="F4957">
            <v>0</v>
          </cell>
          <cell r="G4957">
            <v>0</v>
          </cell>
          <cell r="H4957">
            <v>2.7</v>
          </cell>
          <cell r="I4957">
            <v>0</v>
          </cell>
          <cell r="J4957">
            <v>0</v>
          </cell>
          <cell r="K4957">
            <v>-2.1000000000000001E-2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 t="b">
            <v>1</v>
          </cell>
        </row>
        <row r="4958">
          <cell r="A4958" t="str">
            <v>Data split-19;Reg-127</v>
          </cell>
          <cell r="B4958">
            <v>-3.6</v>
          </cell>
          <cell r="C4958">
            <v>0</v>
          </cell>
          <cell r="D4958">
            <v>0.54</v>
          </cell>
          <cell r="E4958">
            <v>0</v>
          </cell>
          <cell r="F4958">
            <v>0</v>
          </cell>
          <cell r="G4958">
            <v>0</v>
          </cell>
          <cell r="H4958">
            <v>2.5</v>
          </cell>
          <cell r="I4958">
            <v>0</v>
          </cell>
          <cell r="J4958">
            <v>0</v>
          </cell>
          <cell r="K4958">
            <v>0</v>
          </cell>
          <cell r="L4958">
            <v>2.2999999999999998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 t="b">
            <v>0</v>
          </cell>
        </row>
        <row r="4959">
          <cell r="A4959" t="str">
            <v>Data split-20;Reg-1</v>
          </cell>
          <cell r="B4959">
            <v>-10.4</v>
          </cell>
          <cell r="C4959">
            <v>2.1</v>
          </cell>
          <cell r="D4959">
            <v>0</v>
          </cell>
          <cell r="E4959">
            <v>0</v>
          </cell>
          <cell r="F4959">
            <v>0.11</v>
          </cell>
          <cell r="G4959">
            <v>0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>
            <v>3.3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 t="b">
            <v>0</v>
          </cell>
        </row>
        <row r="4960">
          <cell r="A4960" t="str">
            <v>Data split-20;Reg-2</v>
          </cell>
          <cell r="B4960">
            <v>-7.9</v>
          </cell>
          <cell r="C4960">
            <v>1.8</v>
          </cell>
          <cell r="D4960">
            <v>0</v>
          </cell>
          <cell r="E4960">
            <v>0</v>
          </cell>
          <cell r="F4960">
            <v>4.1000000000000002E-2</v>
          </cell>
          <cell r="G4960">
            <v>1.5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0</v>
          </cell>
          <cell r="M4960">
            <v>-0.11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 t="b">
            <v>1</v>
          </cell>
        </row>
        <row r="4961">
          <cell r="A4961" t="str">
            <v>Data split-20;Reg-3</v>
          </cell>
          <cell r="B4961">
            <v>-8</v>
          </cell>
          <cell r="C4961">
            <v>1.8</v>
          </cell>
          <cell r="D4961">
            <v>0</v>
          </cell>
          <cell r="E4961">
            <v>0</v>
          </cell>
          <cell r="F4961">
            <v>3.4000000000000002E-2</v>
          </cell>
          <cell r="G4961">
            <v>1.5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>
            <v>0</v>
          </cell>
          <cell r="M4961">
            <v>0</v>
          </cell>
          <cell r="N4961">
            <v>-1.7000000000000001E-2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 t="b">
            <v>1</v>
          </cell>
        </row>
        <row r="4962">
          <cell r="A4962" t="str">
            <v>Data split-20;Reg-4</v>
          </cell>
          <cell r="B4962">
            <v>-6</v>
          </cell>
          <cell r="C4962">
            <v>1.1000000000000001</v>
          </cell>
          <cell r="D4962">
            <v>0</v>
          </cell>
          <cell r="E4962">
            <v>0</v>
          </cell>
          <cell r="F4962">
            <v>-0.02</v>
          </cell>
          <cell r="G4962">
            <v>0</v>
          </cell>
          <cell r="H4962">
            <v>3.1</v>
          </cell>
          <cell r="I4962">
            <v>0</v>
          </cell>
          <cell r="J4962">
            <v>0</v>
          </cell>
          <cell r="K4962">
            <v>0</v>
          </cell>
          <cell r="L4962">
            <v>0</v>
          </cell>
          <cell r="M4962">
            <v>-9.9000000000000005E-2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 t="b">
            <v>0</v>
          </cell>
        </row>
        <row r="4963">
          <cell r="A4963" t="str">
            <v>Data split-20;Reg-5</v>
          </cell>
          <cell r="B4963">
            <v>-2.8</v>
          </cell>
          <cell r="C4963">
            <v>0</v>
          </cell>
          <cell r="D4963">
            <v>0.53</v>
          </cell>
          <cell r="E4963">
            <v>0</v>
          </cell>
          <cell r="F4963">
            <v>-1.7999999999999999E-2</v>
          </cell>
          <cell r="G4963">
            <v>0</v>
          </cell>
          <cell r="H4963">
            <v>3.9</v>
          </cell>
          <cell r="I4963">
            <v>0</v>
          </cell>
          <cell r="J4963">
            <v>0</v>
          </cell>
          <cell r="K4963">
            <v>0</v>
          </cell>
          <cell r="L4963">
            <v>0</v>
          </cell>
          <cell r="M4963">
            <v>-0.1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 t="b">
            <v>0</v>
          </cell>
        </row>
        <row r="4964">
          <cell r="A4964" t="str">
            <v>Data split-20;Reg-6</v>
          </cell>
          <cell r="B4964">
            <v>-8</v>
          </cell>
          <cell r="C4964">
            <v>1.4</v>
          </cell>
          <cell r="D4964">
            <v>0</v>
          </cell>
          <cell r="E4964">
            <v>1.5</v>
          </cell>
          <cell r="F4964">
            <v>0</v>
          </cell>
          <cell r="G4964">
            <v>0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>
            <v>2.6</v>
          </cell>
          <cell r="M4964">
            <v>-5.2999999999999999E-2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 t="b">
            <v>0</v>
          </cell>
        </row>
        <row r="4965">
          <cell r="A4965" t="str">
            <v>Data split-20;Reg-7</v>
          </cell>
          <cell r="B4965">
            <v>-10.4</v>
          </cell>
          <cell r="C4965">
            <v>1.9</v>
          </cell>
          <cell r="D4965">
            <v>0</v>
          </cell>
          <cell r="E4965">
            <v>0</v>
          </cell>
          <cell r="F4965">
            <v>7.1999999999999995E-2</v>
          </cell>
          <cell r="G4965">
            <v>0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3.2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4.2000000000000003E-2</v>
          </cell>
          <cell r="T4965">
            <v>0</v>
          </cell>
          <cell r="U4965" t="b">
            <v>0</v>
          </cell>
        </row>
        <row r="4966">
          <cell r="A4966" t="str">
            <v>Data split-20;Reg-8</v>
          </cell>
          <cell r="B4966">
            <v>-8.9</v>
          </cell>
          <cell r="C4966">
            <v>1.7</v>
          </cell>
          <cell r="D4966">
            <v>0</v>
          </cell>
          <cell r="E4966">
            <v>0</v>
          </cell>
          <cell r="F4966">
            <v>0</v>
          </cell>
          <cell r="G4966">
            <v>1.3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0.73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-6.4000000000000001E-2</v>
          </cell>
          <cell r="T4966">
            <v>0</v>
          </cell>
          <cell r="U4966" t="b">
            <v>0</v>
          </cell>
        </row>
        <row r="4967">
          <cell r="A4967" t="str">
            <v>Data split-20;Reg-9</v>
          </cell>
          <cell r="B4967">
            <v>-5.7</v>
          </cell>
          <cell r="C4967">
            <v>0</v>
          </cell>
          <cell r="D4967">
            <v>0.61</v>
          </cell>
          <cell r="E4967">
            <v>0</v>
          </cell>
          <cell r="F4967">
            <v>0</v>
          </cell>
          <cell r="G4967">
            <v>0</v>
          </cell>
          <cell r="H4967">
            <v>4.4000000000000004</v>
          </cell>
          <cell r="I4967">
            <v>0</v>
          </cell>
          <cell r="J4967">
            <v>0</v>
          </cell>
          <cell r="K4967">
            <v>0</v>
          </cell>
          <cell r="L4967">
            <v>2.7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-0.15</v>
          </cell>
          <cell r="T4967">
            <v>0</v>
          </cell>
          <cell r="U4967" t="b">
            <v>0</v>
          </cell>
        </row>
        <row r="4968">
          <cell r="A4968" t="str">
            <v>Data split-20;Reg-10</v>
          </cell>
          <cell r="B4968">
            <v>-5.7</v>
          </cell>
          <cell r="C4968">
            <v>0</v>
          </cell>
          <cell r="D4968">
            <v>0.61</v>
          </cell>
          <cell r="E4968">
            <v>0</v>
          </cell>
          <cell r="F4968">
            <v>0</v>
          </cell>
          <cell r="G4968">
            <v>0</v>
          </cell>
          <cell r="H4968">
            <v>4.4000000000000004</v>
          </cell>
          <cell r="I4968">
            <v>0</v>
          </cell>
          <cell r="J4968">
            <v>0</v>
          </cell>
          <cell r="K4968">
            <v>0</v>
          </cell>
          <cell r="L4968">
            <v>2.7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-0.15</v>
          </cell>
          <cell r="T4968">
            <v>0</v>
          </cell>
          <cell r="U4968" t="b">
            <v>0</v>
          </cell>
        </row>
        <row r="4969">
          <cell r="A4969" t="str">
            <v>Data split-20;Reg-11</v>
          </cell>
          <cell r="B4969">
            <v>-7.5</v>
          </cell>
          <cell r="C4969">
            <v>1.6</v>
          </cell>
          <cell r="D4969">
            <v>0</v>
          </cell>
          <cell r="E4969">
            <v>4.2999999999999997E-2</v>
          </cell>
          <cell r="F4969">
            <v>0</v>
          </cell>
          <cell r="G4969">
            <v>1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 t="b">
            <v>1</v>
          </cell>
        </row>
        <row r="4970">
          <cell r="A4970" t="str">
            <v>Data split-20;Reg-12</v>
          </cell>
          <cell r="B4970">
            <v>-6.9</v>
          </cell>
          <cell r="C4970">
            <v>1.2</v>
          </cell>
          <cell r="D4970">
            <v>0</v>
          </cell>
          <cell r="E4970">
            <v>-0.91</v>
          </cell>
          <cell r="F4970">
            <v>0</v>
          </cell>
          <cell r="G4970">
            <v>0</v>
          </cell>
          <cell r="H4970">
            <v>3.2</v>
          </cell>
          <cell r="I4970">
            <v>0</v>
          </cell>
          <cell r="J4970">
            <v>0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 t="b">
            <v>0</v>
          </cell>
        </row>
        <row r="4971">
          <cell r="A4971" t="str">
            <v>Data split-20;Reg-13</v>
          </cell>
          <cell r="B4971">
            <v>-7.6</v>
          </cell>
          <cell r="C4971">
            <v>1.6</v>
          </cell>
          <cell r="D4971">
            <v>0</v>
          </cell>
          <cell r="E4971">
            <v>0</v>
          </cell>
          <cell r="F4971">
            <v>8.0000000000000002E-3</v>
          </cell>
          <cell r="G4971">
            <v>1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 t="b">
            <v>1</v>
          </cell>
        </row>
        <row r="4972">
          <cell r="A4972" t="str">
            <v>Data split-20;Reg-14</v>
          </cell>
          <cell r="B4972">
            <v>-6.2</v>
          </cell>
          <cell r="C4972">
            <v>1.1000000000000001</v>
          </cell>
          <cell r="D4972">
            <v>0</v>
          </cell>
          <cell r="E4972">
            <v>0</v>
          </cell>
          <cell r="F4972">
            <v>-3.5999999999999997E-2</v>
          </cell>
          <cell r="G4972">
            <v>0</v>
          </cell>
          <cell r="H4972">
            <v>2.2000000000000002</v>
          </cell>
          <cell r="I4972">
            <v>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 t="b">
            <v>0</v>
          </cell>
        </row>
        <row r="4973">
          <cell r="A4973" t="str">
            <v>Data split-20;Reg-15</v>
          </cell>
          <cell r="B4973">
            <v>-5.0999999999999996</v>
          </cell>
          <cell r="C4973">
            <v>1.3</v>
          </cell>
          <cell r="D4973">
            <v>0</v>
          </cell>
          <cell r="E4973">
            <v>1.5</v>
          </cell>
          <cell r="F4973">
            <v>0</v>
          </cell>
          <cell r="G4973">
            <v>0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>
            <v>0</v>
          </cell>
          <cell r="M4973">
            <v>-5.7000000000000002E-2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 t="b">
            <v>1</v>
          </cell>
        </row>
        <row r="4974">
          <cell r="A4974" t="str">
            <v>Data split-20;Reg-16</v>
          </cell>
          <cell r="B4974">
            <v>-5.3</v>
          </cell>
          <cell r="C4974">
            <v>1.3</v>
          </cell>
          <cell r="D4974">
            <v>0</v>
          </cell>
          <cell r="E4974">
            <v>1.4</v>
          </cell>
          <cell r="F4974">
            <v>0</v>
          </cell>
          <cell r="G4974">
            <v>0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>
            <v>0</v>
          </cell>
          <cell r="M4974">
            <v>0</v>
          </cell>
          <cell r="N4974">
            <v>-5.4999999999999997E-3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 t="b">
            <v>1</v>
          </cell>
        </row>
        <row r="4975">
          <cell r="A4975" t="str">
            <v>Data split-20;Reg-17</v>
          </cell>
          <cell r="B4975">
            <v>-6.9</v>
          </cell>
          <cell r="C4975">
            <v>1.9</v>
          </cell>
          <cell r="D4975">
            <v>0</v>
          </cell>
          <cell r="E4975">
            <v>0</v>
          </cell>
          <cell r="F4975">
            <v>9.6000000000000002E-2</v>
          </cell>
          <cell r="G4975">
            <v>0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0</v>
          </cell>
          <cell r="M4975">
            <v>2.1999999999999999E-2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 t="b">
            <v>0</v>
          </cell>
        </row>
        <row r="4976">
          <cell r="A4976" t="str">
            <v>Data split-20;Reg-18</v>
          </cell>
          <cell r="B4976">
            <v>-6.9</v>
          </cell>
          <cell r="C4976">
            <v>1.8</v>
          </cell>
          <cell r="D4976">
            <v>0</v>
          </cell>
          <cell r="E4976">
            <v>0</v>
          </cell>
          <cell r="F4976">
            <v>6.9000000000000006E-2</v>
          </cell>
          <cell r="G4976">
            <v>0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0</v>
          </cell>
          <cell r="M4976">
            <v>0</v>
          </cell>
          <cell r="N4976">
            <v>0.01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 t="b">
            <v>0</v>
          </cell>
        </row>
        <row r="4977">
          <cell r="A4977" t="str">
            <v>Data split-20;Reg-19</v>
          </cell>
          <cell r="B4977">
            <v>-7.9</v>
          </cell>
          <cell r="C4977">
            <v>1.5</v>
          </cell>
          <cell r="D4977">
            <v>0</v>
          </cell>
          <cell r="E4977">
            <v>0</v>
          </cell>
          <cell r="F4977">
            <v>0</v>
          </cell>
          <cell r="G4977">
            <v>1.4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-5.0999999999999997E-2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 t="b">
            <v>1</v>
          </cell>
        </row>
        <row r="4978">
          <cell r="A4978" t="str">
            <v>Data split-20;Reg-20</v>
          </cell>
          <cell r="B4978">
            <v>-7.9</v>
          </cell>
          <cell r="C4978">
            <v>1.5</v>
          </cell>
          <cell r="D4978">
            <v>0</v>
          </cell>
          <cell r="E4978">
            <v>0</v>
          </cell>
          <cell r="F4978">
            <v>0</v>
          </cell>
          <cell r="G4978">
            <v>1.3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-5.7999999999999996E-3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 t="b">
            <v>1</v>
          </cell>
        </row>
        <row r="4979">
          <cell r="A4979" t="str">
            <v>Data split-20;Reg-21</v>
          </cell>
          <cell r="B4979">
            <v>-5.8</v>
          </cell>
          <cell r="C4979">
            <v>0.98</v>
          </cell>
          <cell r="D4979">
            <v>0</v>
          </cell>
          <cell r="E4979">
            <v>0</v>
          </cell>
          <cell r="F4979">
            <v>0</v>
          </cell>
          <cell r="G4979">
            <v>0</v>
          </cell>
          <cell r="H4979">
            <v>2.6</v>
          </cell>
          <cell r="I4979">
            <v>0</v>
          </cell>
          <cell r="J4979">
            <v>0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-3.3000000000000002E-2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 t="b">
            <v>1</v>
          </cell>
        </row>
        <row r="4980">
          <cell r="A4980" t="str">
            <v>Data split-20;Reg-22</v>
          </cell>
          <cell r="B4980">
            <v>-5.9</v>
          </cell>
          <cell r="C4980">
            <v>1.1000000000000001</v>
          </cell>
          <cell r="D4980">
            <v>0</v>
          </cell>
          <cell r="E4980">
            <v>0</v>
          </cell>
          <cell r="F4980">
            <v>0</v>
          </cell>
          <cell r="G4980">
            <v>0</v>
          </cell>
          <cell r="H4980">
            <v>2.2999999999999998</v>
          </cell>
          <cell r="I4980">
            <v>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-2E-3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 t="b">
            <v>1</v>
          </cell>
        </row>
        <row r="4981">
          <cell r="A4981" t="str">
            <v>Data split-20;Reg-23</v>
          </cell>
          <cell r="B4981">
            <v>-2.5</v>
          </cell>
          <cell r="C4981">
            <v>0</v>
          </cell>
          <cell r="D4981">
            <v>0.71</v>
          </cell>
          <cell r="E4981">
            <v>0.95</v>
          </cell>
          <cell r="F4981">
            <v>0</v>
          </cell>
          <cell r="G4981">
            <v>0.81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 t="b">
            <v>1</v>
          </cell>
        </row>
        <row r="4982">
          <cell r="A4982" t="str">
            <v>Data split-20;Reg-24</v>
          </cell>
          <cell r="B4982">
            <v>-3.1</v>
          </cell>
          <cell r="C4982">
            <v>0</v>
          </cell>
          <cell r="D4982">
            <v>0.52</v>
          </cell>
          <cell r="E4982">
            <v>-0.4</v>
          </cell>
          <cell r="F4982">
            <v>0</v>
          </cell>
          <cell r="G4982">
            <v>0</v>
          </cell>
          <cell r="H4982">
            <v>3.4</v>
          </cell>
          <cell r="I4982">
            <v>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 t="b">
            <v>0</v>
          </cell>
        </row>
        <row r="4983">
          <cell r="A4983" t="str">
            <v>Data split-20;Reg-25</v>
          </cell>
          <cell r="B4983">
            <v>-3</v>
          </cell>
          <cell r="C4983">
            <v>0</v>
          </cell>
          <cell r="D4983">
            <v>1</v>
          </cell>
          <cell r="E4983">
            <v>0</v>
          </cell>
          <cell r="F4983">
            <v>5.6000000000000001E-2</v>
          </cell>
          <cell r="G4983">
            <v>1.2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 t="b">
            <v>1</v>
          </cell>
        </row>
        <row r="4984">
          <cell r="A4984" t="str">
            <v>Data split-20;Reg-26</v>
          </cell>
          <cell r="B4984">
            <v>-3</v>
          </cell>
          <cell r="C4984">
            <v>0</v>
          </cell>
          <cell r="D4984">
            <v>0.47</v>
          </cell>
          <cell r="E4984">
            <v>0</v>
          </cell>
          <cell r="F4984">
            <v>-3.6999999999999998E-2</v>
          </cell>
          <cell r="G4984">
            <v>0</v>
          </cell>
          <cell r="H4984">
            <v>3</v>
          </cell>
          <cell r="I4984">
            <v>0</v>
          </cell>
          <cell r="J4984">
            <v>0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 t="b">
            <v>0</v>
          </cell>
        </row>
        <row r="4985">
          <cell r="A4985" t="str">
            <v>Data split-20;Reg-27</v>
          </cell>
          <cell r="B4985">
            <v>-0.96</v>
          </cell>
          <cell r="C4985">
            <v>0</v>
          </cell>
          <cell r="D4985">
            <v>0.59</v>
          </cell>
          <cell r="E4985">
            <v>2.2000000000000002</v>
          </cell>
          <cell r="F4985">
            <v>0</v>
          </cell>
          <cell r="G4985">
            <v>0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>
            <v>0</v>
          </cell>
          <cell r="M4985">
            <v>-6.6000000000000003E-2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 t="b">
            <v>1</v>
          </cell>
        </row>
        <row r="4986">
          <cell r="A4986" t="str">
            <v>Data split-20;Reg-28</v>
          </cell>
          <cell r="B4986">
            <v>-1.1000000000000001</v>
          </cell>
          <cell r="C4986">
            <v>0</v>
          </cell>
          <cell r="D4986">
            <v>0.59</v>
          </cell>
          <cell r="E4986">
            <v>2.1</v>
          </cell>
          <cell r="F4986">
            <v>0</v>
          </cell>
          <cell r="G4986">
            <v>0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>
            <v>0</v>
          </cell>
          <cell r="M4986">
            <v>0</v>
          </cell>
          <cell r="N4986">
            <v>-8.3000000000000001E-3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 t="b">
            <v>1</v>
          </cell>
        </row>
        <row r="4987">
          <cell r="A4987" t="str">
            <v>Data split-20;Reg-29</v>
          </cell>
          <cell r="B4987">
            <v>-1.3</v>
          </cell>
          <cell r="C4987">
            <v>0</v>
          </cell>
          <cell r="D4987">
            <v>1.3</v>
          </cell>
          <cell r="E4987">
            <v>0</v>
          </cell>
          <cell r="F4987">
            <v>0.15</v>
          </cell>
          <cell r="G4987">
            <v>0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0</v>
          </cell>
          <cell r="M4987">
            <v>5.8000000000000003E-2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 t="b">
            <v>0</v>
          </cell>
        </row>
        <row r="4988">
          <cell r="A4988" t="str">
            <v>Data split-20;Reg-30</v>
          </cell>
          <cell r="B4988">
            <v>-1.6</v>
          </cell>
          <cell r="C4988">
            <v>0</v>
          </cell>
          <cell r="D4988">
            <v>1.1000000000000001</v>
          </cell>
          <cell r="E4988">
            <v>0</v>
          </cell>
          <cell r="F4988">
            <v>0.12</v>
          </cell>
          <cell r="G4988">
            <v>0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1.7999999999999999E-2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 t="b">
            <v>0</v>
          </cell>
        </row>
        <row r="4989">
          <cell r="A4989" t="str">
            <v>Data split-20;Reg-31</v>
          </cell>
          <cell r="B4989">
            <v>-4.3</v>
          </cell>
          <cell r="C4989">
            <v>0</v>
          </cell>
          <cell r="D4989">
            <v>0.99</v>
          </cell>
          <cell r="E4989">
            <v>0</v>
          </cell>
          <cell r="F4989">
            <v>0</v>
          </cell>
          <cell r="G4989">
            <v>2</v>
          </cell>
          <cell r="H4989">
            <v>0</v>
          </cell>
          <cell r="I4989">
            <v>0</v>
          </cell>
          <cell r="J4989">
            <v>0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-9.6000000000000002E-2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 t="b">
            <v>1</v>
          </cell>
        </row>
        <row r="4990">
          <cell r="A4990" t="str">
            <v>Data split-20;Reg-32</v>
          </cell>
          <cell r="B4990">
            <v>-4.3</v>
          </cell>
          <cell r="C4990">
            <v>0</v>
          </cell>
          <cell r="D4990">
            <v>1</v>
          </cell>
          <cell r="E4990">
            <v>0</v>
          </cell>
          <cell r="F4990">
            <v>0</v>
          </cell>
          <cell r="G4990">
            <v>1.9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-1.4E-2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 t="b">
            <v>1</v>
          </cell>
        </row>
        <row r="4991">
          <cell r="A4991" t="str">
            <v>Data split-20;Reg-33</v>
          </cell>
          <cell r="B4991">
            <v>-3.1</v>
          </cell>
          <cell r="C4991">
            <v>0</v>
          </cell>
          <cell r="D4991">
            <v>0.3</v>
          </cell>
          <cell r="E4991">
            <v>0</v>
          </cell>
          <cell r="F4991">
            <v>0</v>
          </cell>
          <cell r="G4991">
            <v>0</v>
          </cell>
          <cell r="H4991">
            <v>3.9</v>
          </cell>
          <cell r="I4991">
            <v>0</v>
          </cell>
          <cell r="J4991">
            <v>0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-0.08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 t="b">
            <v>1</v>
          </cell>
        </row>
        <row r="4992">
          <cell r="A4992" t="str">
            <v>Data split-20;Reg-34</v>
          </cell>
          <cell r="B4992">
            <v>-3.2</v>
          </cell>
          <cell r="C4992">
            <v>0</v>
          </cell>
          <cell r="D4992">
            <v>0.35</v>
          </cell>
          <cell r="E4992">
            <v>0</v>
          </cell>
          <cell r="F4992">
            <v>0</v>
          </cell>
          <cell r="G4992">
            <v>0</v>
          </cell>
          <cell r="H4992">
            <v>3.7</v>
          </cell>
          <cell r="I4992">
            <v>0</v>
          </cell>
          <cell r="J4992">
            <v>0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-1.0999999999999999E-2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 t="b">
            <v>1</v>
          </cell>
        </row>
        <row r="4993">
          <cell r="A4993" t="str">
            <v>Data split-20;Reg-35</v>
          </cell>
          <cell r="B4993">
            <v>-7.3</v>
          </cell>
          <cell r="C4993">
            <v>1.6</v>
          </cell>
          <cell r="D4993">
            <v>0</v>
          </cell>
          <cell r="E4993">
            <v>0.5</v>
          </cell>
          <cell r="F4993">
            <v>0</v>
          </cell>
          <cell r="G4993">
            <v>1.3</v>
          </cell>
          <cell r="H4993">
            <v>0</v>
          </cell>
          <cell r="I4993">
            <v>0</v>
          </cell>
          <cell r="J4993">
            <v>0</v>
          </cell>
          <cell r="K4993">
            <v>0</v>
          </cell>
          <cell r="L4993">
            <v>0</v>
          </cell>
          <cell r="M4993">
            <v>-0.12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 t="b">
            <v>1</v>
          </cell>
        </row>
        <row r="4994">
          <cell r="A4994" t="str">
            <v>Data split-20;Reg-36</v>
          </cell>
          <cell r="B4994">
            <v>-7.3</v>
          </cell>
          <cell r="C4994">
            <v>1.6</v>
          </cell>
          <cell r="D4994">
            <v>0</v>
          </cell>
          <cell r="E4994">
            <v>0.55000000000000004</v>
          </cell>
          <cell r="F4994">
            <v>0</v>
          </cell>
          <cell r="G4994">
            <v>1.3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-2.1000000000000001E-2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 t="b">
            <v>1</v>
          </cell>
        </row>
        <row r="4995">
          <cell r="A4995" t="str">
            <v>Data split-20;Reg-37</v>
          </cell>
          <cell r="B4995">
            <v>-6.5</v>
          </cell>
          <cell r="C4995">
            <v>1.2</v>
          </cell>
          <cell r="D4995">
            <v>0</v>
          </cell>
          <cell r="E4995">
            <v>-0.55000000000000004</v>
          </cell>
          <cell r="F4995">
            <v>0</v>
          </cell>
          <cell r="G4995">
            <v>0</v>
          </cell>
          <cell r="H4995">
            <v>3.6</v>
          </cell>
          <cell r="I4995">
            <v>0</v>
          </cell>
          <cell r="J4995">
            <v>0</v>
          </cell>
          <cell r="K4995">
            <v>0</v>
          </cell>
          <cell r="L4995">
            <v>0</v>
          </cell>
          <cell r="M4995">
            <v>-9.2999999999999999E-2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 t="b">
            <v>0</v>
          </cell>
        </row>
        <row r="4996">
          <cell r="A4996" t="str">
            <v>Data split-20;Reg-38</v>
          </cell>
          <cell r="B4996">
            <v>-6.5</v>
          </cell>
          <cell r="C4996">
            <v>1.2</v>
          </cell>
          <cell r="D4996">
            <v>0</v>
          </cell>
          <cell r="E4996">
            <v>-0.56000000000000005</v>
          </cell>
          <cell r="F4996">
            <v>0</v>
          </cell>
          <cell r="G4996">
            <v>0</v>
          </cell>
          <cell r="H4996">
            <v>3.5</v>
          </cell>
          <cell r="I4996">
            <v>0</v>
          </cell>
          <cell r="J4996">
            <v>0</v>
          </cell>
          <cell r="K4996">
            <v>0</v>
          </cell>
          <cell r="L4996">
            <v>0</v>
          </cell>
          <cell r="M4996">
            <v>0</v>
          </cell>
          <cell r="N4996">
            <v>-1.2E-2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 t="b">
            <v>0</v>
          </cell>
        </row>
        <row r="4997">
          <cell r="A4997" t="str">
            <v>Data split-20;Reg-39</v>
          </cell>
          <cell r="B4997">
            <v>-7.9</v>
          </cell>
          <cell r="C4997">
            <v>1.8</v>
          </cell>
          <cell r="D4997">
            <v>0</v>
          </cell>
          <cell r="E4997">
            <v>0</v>
          </cell>
          <cell r="F4997">
            <v>4.1000000000000002E-2</v>
          </cell>
          <cell r="G4997">
            <v>1.5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0</v>
          </cell>
          <cell r="M4997">
            <v>-0.11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 t="b">
            <v>1</v>
          </cell>
        </row>
        <row r="4998">
          <cell r="A4998" t="str">
            <v>Data split-20;Reg-40</v>
          </cell>
          <cell r="B4998">
            <v>-8</v>
          </cell>
          <cell r="C4998">
            <v>1.8</v>
          </cell>
          <cell r="D4998">
            <v>0</v>
          </cell>
          <cell r="E4998">
            <v>0</v>
          </cell>
          <cell r="F4998">
            <v>3.4000000000000002E-2</v>
          </cell>
          <cell r="G4998">
            <v>1.5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-1.7000000000000001E-2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 t="b">
            <v>1</v>
          </cell>
        </row>
        <row r="4999">
          <cell r="A4999" t="str">
            <v>Data split-20;Reg-41</v>
          </cell>
          <cell r="B4999">
            <v>-6</v>
          </cell>
          <cell r="C4999">
            <v>1.1000000000000001</v>
          </cell>
          <cell r="D4999">
            <v>0</v>
          </cell>
          <cell r="E4999">
            <v>0</v>
          </cell>
          <cell r="F4999">
            <v>-0.02</v>
          </cell>
          <cell r="G4999">
            <v>0</v>
          </cell>
          <cell r="H4999">
            <v>3.1</v>
          </cell>
          <cell r="I4999">
            <v>0</v>
          </cell>
          <cell r="J4999">
            <v>0</v>
          </cell>
          <cell r="K4999">
            <v>0</v>
          </cell>
          <cell r="L4999">
            <v>0</v>
          </cell>
          <cell r="M4999">
            <v>-9.9000000000000005E-2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 t="b">
            <v>0</v>
          </cell>
        </row>
        <row r="5000">
          <cell r="A5000" t="str">
            <v>Data split-20;Reg-42</v>
          </cell>
          <cell r="B5000">
            <v>-6.1</v>
          </cell>
          <cell r="C5000">
            <v>1.1000000000000001</v>
          </cell>
          <cell r="D5000">
            <v>0</v>
          </cell>
          <cell r="E5000">
            <v>0</v>
          </cell>
          <cell r="F5000">
            <v>-2.5999999999999999E-2</v>
          </cell>
          <cell r="G5000">
            <v>0</v>
          </cell>
          <cell r="H5000">
            <v>3</v>
          </cell>
          <cell r="I5000">
            <v>0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-1.4999999999999999E-2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 t="b">
            <v>0</v>
          </cell>
        </row>
        <row r="5001">
          <cell r="A5001" t="str">
            <v>Data split-20;Reg-43</v>
          </cell>
          <cell r="B5001">
            <v>-7.5</v>
          </cell>
          <cell r="C5001">
            <v>1.4</v>
          </cell>
          <cell r="D5001">
            <v>0</v>
          </cell>
          <cell r="E5001">
            <v>0.21</v>
          </cell>
          <cell r="F5001">
            <v>0</v>
          </cell>
          <cell r="G5001">
            <v>1.3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-5.6000000000000001E-2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 t="b">
            <v>1</v>
          </cell>
        </row>
        <row r="5002">
          <cell r="A5002" t="str">
            <v>Data split-20;Reg-44</v>
          </cell>
          <cell r="B5002">
            <v>-7.6</v>
          </cell>
          <cell r="C5002">
            <v>1.5</v>
          </cell>
          <cell r="D5002">
            <v>0</v>
          </cell>
          <cell r="E5002">
            <v>0.15</v>
          </cell>
          <cell r="F5002">
            <v>0</v>
          </cell>
          <cell r="G5002">
            <v>1.2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>
            <v>0</v>
          </cell>
          <cell r="M5002">
            <v>0</v>
          </cell>
          <cell r="N5002">
            <v>0</v>
          </cell>
          <cell r="O5002">
            <v>0</v>
          </cell>
          <cell r="P5002">
            <v>-6.6E-3</v>
          </cell>
          <cell r="Q5002">
            <v>0</v>
          </cell>
          <cell r="R5002">
            <v>0</v>
          </cell>
          <cell r="S5002">
            <v>0</v>
          </cell>
          <cell r="T5002">
            <v>0</v>
          </cell>
          <cell r="U5002" t="b">
            <v>1</v>
          </cell>
        </row>
        <row r="5003">
          <cell r="A5003" t="str">
            <v>Data split-20;Reg-45</v>
          </cell>
          <cell r="B5003">
            <v>-6.7</v>
          </cell>
          <cell r="C5003">
            <v>1.1000000000000001</v>
          </cell>
          <cell r="D5003">
            <v>0</v>
          </cell>
          <cell r="E5003">
            <v>-0.87</v>
          </cell>
          <cell r="F5003">
            <v>0</v>
          </cell>
          <cell r="G5003">
            <v>0</v>
          </cell>
          <cell r="H5003">
            <v>3.6</v>
          </cell>
          <cell r="I5003">
            <v>0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-2.8000000000000001E-2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 t="b">
            <v>0</v>
          </cell>
        </row>
        <row r="5004">
          <cell r="A5004" t="str">
            <v>Data split-20;Reg-46</v>
          </cell>
          <cell r="B5004">
            <v>-6.9</v>
          </cell>
          <cell r="C5004">
            <v>1.2</v>
          </cell>
          <cell r="D5004">
            <v>0</v>
          </cell>
          <cell r="E5004">
            <v>-0.9</v>
          </cell>
          <cell r="F5004">
            <v>0</v>
          </cell>
          <cell r="G5004">
            <v>0</v>
          </cell>
          <cell r="H5004">
            <v>3.3</v>
          </cell>
          <cell r="I5004">
            <v>0</v>
          </cell>
          <cell r="J5004">
            <v>0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-9.1E-4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 t="b">
            <v>0</v>
          </cell>
        </row>
        <row r="5005">
          <cell r="A5005" t="str">
            <v>Data split-20;Reg-47</v>
          </cell>
          <cell r="B5005">
            <v>-7.4</v>
          </cell>
          <cell r="C5005">
            <v>1.4</v>
          </cell>
          <cell r="D5005">
            <v>0</v>
          </cell>
          <cell r="E5005">
            <v>0</v>
          </cell>
          <cell r="F5005">
            <v>5.1999999999999998E-2</v>
          </cell>
          <cell r="G5005">
            <v>1.5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-6.9000000000000006E-2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 t="b">
            <v>1</v>
          </cell>
        </row>
        <row r="5006">
          <cell r="A5006" t="str">
            <v>Data split-20;Reg-48</v>
          </cell>
          <cell r="B5006">
            <v>-7.6</v>
          </cell>
          <cell r="C5006">
            <v>1.5</v>
          </cell>
          <cell r="D5006">
            <v>0</v>
          </cell>
          <cell r="E5006">
            <v>0</v>
          </cell>
          <cell r="F5006">
            <v>3.4000000000000002E-2</v>
          </cell>
          <cell r="G5006">
            <v>1.3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-7.9000000000000008E-3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 t="b">
            <v>1</v>
          </cell>
        </row>
        <row r="5007">
          <cell r="A5007" t="str">
            <v>Data split-20;Reg-49</v>
          </cell>
          <cell r="B5007">
            <v>-6</v>
          </cell>
          <cell r="C5007">
            <v>0.99</v>
          </cell>
          <cell r="D5007">
            <v>0</v>
          </cell>
          <cell r="E5007">
            <v>0</v>
          </cell>
          <cell r="F5007">
            <v>-2.1999999999999999E-2</v>
          </cell>
          <cell r="G5007">
            <v>0</v>
          </cell>
          <cell r="H5007">
            <v>2.6</v>
          </cell>
          <cell r="I5007">
            <v>0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-2.8000000000000001E-2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 t="b">
            <v>0</v>
          </cell>
        </row>
        <row r="5008">
          <cell r="A5008" t="str">
            <v>Data split-20;Reg-50</v>
          </cell>
          <cell r="B5008">
            <v>-6.2</v>
          </cell>
          <cell r="C5008">
            <v>1.1000000000000001</v>
          </cell>
          <cell r="D5008">
            <v>0</v>
          </cell>
          <cell r="E5008">
            <v>0</v>
          </cell>
          <cell r="F5008">
            <v>-3.4000000000000002E-2</v>
          </cell>
          <cell r="G5008">
            <v>0</v>
          </cell>
          <cell r="H5008">
            <v>2.2999999999999998</v>
          </cell>
          <cell r="I5008">
            <v>0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-9.3999999999999997E-4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 t="b">
            <v>0</v>
          </cell>
        </row>
        <row r="5009">
          <cell r="A5009" t="str">
            <v>Data split-20;Reg-51</v>
          </cell>
          <cell r="B5009">
            <v>-2.2999999999999998</v>
          </cell>
          <cell r="C5009">
            <v>0</v>
          </cell>
          <cell r="D5009">
            <v>0.79</v>
          </cell>
          <cell r="E5009">
            <v>1.4</v>
          </cell>
          <cell r="F5009">
            <v>0</v>
          </cell>
          <cell r="G5009">
            <v>1.2</v>
          </cell>
          <cell r="H5009">
            <v>0</v>
          </cell>
          <cell r="I5009">
            <v>0</v>
          </cell>
          <cell r="J5009">
            <v>0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  <cell r="O5009">
            <v>-0.12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 t="b">
            <v>1</v>
          </cell>
        </row>
        <row r="5010">
          <cell r="A5010" t="str">
            <v>Data split-20;Reg-52</v>
          </cell>
          <cell r="B5010">
            <v>-2.4</v>
          </cell>
          <cell r="C5010">
            <v>0</v>
          </cell>
          <cell r="D5010">
            <v>0.8</v>
          </cell>
          <cell r="E5010">
            <v>1.4</v>
          </cell>
          <cell r="F5010">
            <v>0</v>
          </cell>
          <cell r="G5010">
            <v>1.2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0</v>
          </cell>
          <cell r="M5010">
            <v>0</v>
          </cell>
          <cell r="N5010">
            <v>-2.3E-2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 t="b">
            <v>1</v>
          </cell>
        </row>
        <row r="5011">
          <cell r="A5011" t="str">
            <v>Data split-20;Reg-53</v>
          </cell>
          <cell r="B5011">
            <v>-2.7</v>
          </cell>
          <cell r="C5011">
            <v>0</v>
          </cell>
          <cell r="D5011">
            <v>0.54</v>
          </cell>
          <cell r="E5011">
            <v>-3.9E-2</v>
          </cell>
          <cell r="F5011">
            <v>0</v>
          </cell>
          <cell r="G5011">
            <v>0</v>
          </cell>
          <cell r="H5011">
            <v>3.9</v>
          </cell>
          <cell r="I5011">
            <v>0</v>
          </cell>
          <cell r="J5011">
            <v>0</v>
          </cell>
          <cell r="K5011">
            <v>0</v>
          </cell>
          <cell r="L5011">
            <v>0</v>
          </cell>
          <cell r="M5011">
            <v>-0.1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 t="b">
            <v>0</v>
          </cell>
        </row>
        <row r="5012">
          <cell r="A5012" t="str">
            <v>Data split-20;Reg-54</v>
          </cell>
          <cell r="B5012">
            <v>-2.7</v>
          </cell>
          <cell r="C5012">
            <v>0</v>
          </cell>
          <cell r="D5012">
            <v>0.54</v>
          </cell>
          <cell r="E5012">
            <v>-1.2E-2</v>
          </cell>
          <cell r="F5012">
            <v>0</v>
          </cell>
          <cell r="G5012">
            <v>0</v>
          </cell>
          <cell r="H5012">
            <v>3.7</v>
          </cell>
          <cell r="I5012">
            <v>0</v>
          </cell>
          <cell r="J5012">
            <v>0</v>
          </cell>
          <cell r="K5012">
            <v>0</v>
          </cell>
          <cell r="L5012">
            <v>0</v>
          </cell>
          <cell r="M5012">
            <v>0</v>
          </cell>
          <cell r="N5012">
            <v>-1.6E-2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 t="b">
            <v>0</v>
          </cell>
        </row>
        <row r="5013">
          <cell r="A5013" t="str">
            <v>Data split-20;Reg-55</v>
          </cell>
          <cell r="B5013">
            <v>-3</v>
          </cell>
          <cell r="C5013">
            <v>0</v>
          </cell>
          <cell r="D5013">
            <v>1.2</v>
          </cell>
          <cell r="E5013">
            <v>0</v>
          </cell>
          <cell r="F5013">
            <v>8.5999999999999993E-2</v>
          </cell>
          <cell r="G5013">
            <v>1.6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>
            <v>0</v>
          </cell>
          <cell r="M5013">
            <v>-0.09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 t="b">
            <v>1</v>
          </cell>
        </row>
        <row r="5014">
          <cell r="A5014" t="str">
            <v>Data split-20;Reg-56</v>
          </cell>
          <cell r="B5014">
            <v>-3</v>
          </cell>
          <cell r="C5014">
            <v>0</v>
          </cell>
          <cell r="D5014">
            <v>1.2</v>
          </cell>
          <cell r="E5014">
            <v>0</v>
          </cell>
          <cell r="F5014">
            <v>7.8E-2</v>
          </cell>
          <cell r="G5014">
            <v>1.6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-1.2999999999999999E-2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 t="b">
            <v>1</v>
          </cell>
        </row>
        <row r="5015">
          <cell r="A5015" t="str">
            <v>Data split-20;Reg-57</v>
          </cell>
          <cell r="B5015">
            <v>-2.8</v>
          </cell>
          <cell r="C5015">
            <v>0</v>
          </cell>
          <cell r="D5015">
            <v>0.53</v>
          </cell>
          <cell r="E5015">
            <v>0</v>
          </cell>
          <cell r="F5015">
            <v>-1.7999999999999999E-2</v>
          </cell>
          <cell r="G5015">
            <v>0</v>
          </cell>
          <cell r="H5015">
            <v>3.9</v>
          </cell>
          <cell r="I5015">
            <v>0</v>
          </cell>
          <cell r="J5015">
            <v>0</v>
          </cell>
          <cell r="K5015">
            <v>0</v>
          </cell>
          <cell r="L5015">
            <v>0</v>
          </cell>
          <cell r="M5015">
            <v>-0.1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 t="b">
            <v>0</v>
          </cell>
        </row>
        <row r="5016">
          <cell r="A5016" t="str">
            <v>Data split-20;Reg-58</v>
          </cell>
          <cell r="B5016">
            <v>-2.9</v>
          </cell>
          <cell r="C5016">
            <v>0</v>
          </cell>
          <cell r="D5016">
            <v>0.53</v>
          </cell>
          <cell r="E5016">
            <v>0</v>
          </cell>
          <cell r="F5016">
            <v>-2.5000000000000001E-2</v>
          </cell>
          <cell r="G5016">
            <v>0</v>
          </cell>
          <cell r="H5016">
            <v>3.8</v>
          </cell>
          <cell r="I5016">
            <v>0</v>
          </cell>
          <cell r="J5016">
            <v>0</v>
          </cell>
          <cell r="K5016">
            <v>0</v>
          </cell>
          <cell r="L5016">
            <v>0</v>
          </cell>
          <cell r="M5016">
            <v>0</v>
          </cell>
          <cell r="N5016">
            <v>-1.4999999999999999E-2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 t="b">
            <v>0</v>
          </cell>
        </row>
        <row r="5017">
          <cell r="A5017" t="str">
            <v>Data split-20;Reg-59</v>
          </cell>
          <cell r="B5017">
            <v>-3.3</v>
          </cell>
          <cell r="C5017">
            <v>0</v>
          </cell>
          <cell r="D5017">
            <v>0.57999999999999996</v>
          </cell>
          <cell r="E5017">
            <v>1.1000000000000001</v>
          </cell>
          <cell r="F5017">
            <v>0</v>
          </cell>
          <cell r="G5017">
            <v>1.5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-0.11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 t="b">
            <v>1</v>
          </cell>
        </row>
        <row r="5018">
          <cell r="A5018" t="str">
            <v>Data split-20;Reg-60</v>
          </cell>
          <cell r="B5018">
            <v>-3.4</v>
          </cell>
          <cell r="C5018">
            <v>0</v>
          </cell>
          <cell r="D5018">
            <v>0.61</v>
          </cell>
          <cell r="E5018">
            <v>1.1000000000000001</v>
          </cell>
          <cell r="F5018">
            <v>0</v>
          </cell>
          <cell r="G5018">
            <v>1.4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-1.7000000000000001E-2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 t="b">
            <v>1</v>
          </cell>
        </row>
        <row r="5019">
          <cell r="A5019" t="str">
            <v>Data split-20;Reg-61</v>
          </cell>
          <cell r="B5019">
            <v>-3.4</v>
          </cell>
          <cell r="C5019">
            <v>0</v>
          </cell>
          <cell r="D5019">
            <v>0.34</v>
          </cell>
          <cell r="E5019">
            <v>-0.4</v>
          </cell>
          <cell r="F5019">
            <v>0</v>
          </cell>
          <cell r="G5019">
            <v>0</v>
          </cell>
          <cell r="H5019">
            <v>4.4000000000000004</v>
          </cell>
          <cell r="I5019">
            <v>0</v>
          </cell>
          <cell r="J5019">
            <v>0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-0.08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 t="b">
            <v>0</v>
          </cell>
        </row>
        <row r="5020">
          <cell r="A5020" t="str">
            <v>Data split-20;Reg-62</v>
          </cell>
          <cell r="B5020">
            <v>-3.4</v>
          </cell>
          <cell r="C5020">
            <v>0</v>
          </cell>
          <cell r="D5020">
            <v>0.39</v>
          </cell>
          <cell r="E5020">
            <v>-0.37</v>
          </cell>
          <cell r="F5020">
            <v>0</v>
          </cell>
          <cell r="G5020">
            <v>0</v>
          </cell>
          <cell r="H5020">
            <v>4.0999999999999996</v>
          </cell>
          <cell r="I5020">
            <v>0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-1.0999999999999999E-2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 t="b">
            <v>0</v>
          </cell>
        </row>
        <row r="5021">
          <cell r="A5021" t="str">
            <v>Data split-20;Reg-63</v>
          </cell>
          <cell r="B5021">
            <v>-3.6</v>
          </cell>
          <cell r="C5021">
            <v>0</v>
          </cell>
          <cell r="D5021">
            <v>0.89</v>
          </cell>
          <cell r="E5021">
            <v>0</v>
          </cell>
          <cell r="F5021">
            <v>0.13</v>
          </cell>
          <cell r="G5021">
            <v>2.1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-0.14000000000000001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 t="b">
            <v>1</v>
          </cell>
        </row>
        <row r="5022">
          <cell r="A5022" t="str">
            <v>Data split-20;Reg-64</v>
          </cell>
          <cell r="B5022">
            <v>-3.8</v>
          </cell>
          <cell r="C5022">
            <v>0</v>
          </cell>
          <cell r="D5022">
            <v>0.94</v>
          </cell>
          <cell r="E5022">
            <v>0</v>
          </cell>
          <cell r="F5022">
            <v>0.11</v>
          </cell>
          <cell r="G5022">
            <v>2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-0.02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 t="b">
            <v>1</v>
          </cell>
        </row>
        <row r="5023">
          <cell r="A5023" t="str">
            <v>Data split-20;Reg-65</v>
          </cell>
          <cell r="B5023">
            <v>-3.1</v>
          </cell>
          <cell r="C5023">
            <v>0</v>
          </cell>
          <cell r="D5023">
            <v>0.3</v>
          </cell>
          <cell r="E5023">
            <v>0</v>
          </cell>
          <cell r="F5023">
            <v>7.6000000000000004E-4</v>
          </cell>
          <cell r="G5023">
            <v>0</v>
          </cell>
          <cell r="H5023">
            <v>3.9</v>
          </cell>
          <cell r="I5023">
            <v>0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-0.08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 t="b">
            <v>1</v>
          </cell>
        </row>
        <row r="5024">
          <cell r="A5024" t="str">
            <v>Data split-20;Reg-66</v>
          </cell>
          <cell r="B5024">
            <v>-3.2</v>
          </cell>
          <cell r="C5024">
            <v>0</v>
          </cell>
          <cell r="D5024">
            <v>0.35</v>
          </cell>
          <cell r="E5024">
            <v>0</v>
          </cell>
          <cell r="F5024">
            <v>-1.2999999999999999E-2</v>
          </cell>
          <cell r="G5024">
            <v>0</v>
          </cell>
          <cell r="H5024">
            <v>3.7</v>
          </cell>
          <cell r="I5024">
            <v>0</v>
          </cell>
          <cell r="J5024">
            <v>0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-1.0999999999999999E-2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 t="b">
            <v>0</v>
          </cell>
        </row>
        <row r="5025">
          <cell r="A5025" t="str">
            <v>Data split-20;Reg-67</v>
          </cell>
          <cell r="B5025">
            <v>-7.6</v>
          </cell>
          <cell r="C5025">
            <v>1.6</v>
          </cell>
          <cell r="D5025">
            <v>0</v>
          </cell>
          <cell r="E5025">
            <v>0</v>
          </cell>
          <cell r="F5025">
            <v>0</v>
          </cell>
          <cell r="G5025">
            <v>1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 t="b">
            <v>1</v>
          </cell>
        </row>
        <row r="5026">
          <cell r="A5026" t="str">
            <v>Data split-20;Reg-68</v>
          </cell>
          <cell r="B5026">
            <v>-7.6</v>
          </cell>
          <cell r="C5026">
            <v>1.6</v>
          </cell>
          <cell r="D5026">
            <v>0</v>
          </cell>
          <cell r="E5026">
            <v>0</v>
          </cell>
          <cell r="F5026">
            <v>8.0000000000000002E-3</v>
          </cell>
          <cell r="G5026">
            <v>1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 t="b">
            <v>1</v>
          </cell>
        </row>
        <row r="5027">
          <cell r="A5027" t="str">
            <v>Data split-20;Reg-69</v>
          </cell>
          <cell r="B5027">
            <v>-8.1999999999999993</v>
          </cell>
          <cell r="C5027">
            <v>1.6</v>
          </cell>
          <cell r="D5027">
            <v>0</v>
          </cell>
          <cell r="E5027">
            <v>0</v>
          </cell>
          <cell r="F5027">
            <v>0</v>
          </cell>
          <cell r="G5027">
            <v>0.97</v>
          </cell>
          <cell r="H5027">
            <v>0</v>
          </cell>
          <cell r="I5027">
            <v>0</v>
          </cell>
          <cell r="J5027">
            <v>1.7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 t="b">
            <v>0</v>
          </cell>
        </row>
        <row r="5028">
          <cell r="A5028" t="str">
            <v>Data split-20;Reg-70</v>
          </cell>
          <cell r="B5028">
            <v>-8.1999999999999993</v>
          </cell>
          <cell r="C5028">
            <v>1.7</v>
          </cell>
          <cell r="D5028">
            <v>0</v>
          </cell>
          <cell r="E5028">
            <v>0</v>
          </cell>
          <cell r="F5028">
            <v>0</v>
          </cell>
          <cell r="G5028">
            <v>1.4</v>
          </cell>
          <cell r="H5028">
            <v>0</v>
          </cell>
          <cell r="I5028">
            <v>0</v>
          </cell>
          <cell r="J5028">
            <v>0.38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-6.7000000000000004E-2</v>
          </cell>
          <cell r="T5028">
            <v>0</v>
          </cell>
          <cell r="U5028" t="b">
            <v>0</v>
          </cell>
        </row>
        <row r="5029">
          <cell r="A5029" t="str">
            <v>Data split-20;Reg-71</v>
          </cell>
          <cell r="B5029">
            <v>-2.8</v>
          </cell>
          <cell r="C5029">
            <v>0.45</v>
          </cell>
          <cell r="D5029">
            <v>0</v>
          </cell>
          <cell r="E5029">
            <v>0</v>
          </cell>
          <cell r="F5029">
            <v>-1.0999999999999999E-2</v>
          </cell>
          <cell r="G5029">
            <v>0</v>
          </cell>
          <cell r="H5029">
            <v>4.8</v>
          </cell>
          <cell r="I5029">
            <v>0</v>
          </cell>
          <cell r="J5029">
            <v>0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-0.16</v>
          </cell>
          <cell r="T5029">
            <v>0</v>
          </cell>
          <cell r="U5029" t="b">
            <v>0</v>
          </cell>
        </row>
        <row r="5030">
          <cell r="A5030" t="str">
            <v>Data split-20;Reg-72</v>
          </cell>
          <cell r="B5030">
            <v>-5.5</v>
          </cell>
          <cell r="C5030">
            <v>1.3</v>
          </cell>
          <cell r="D5030">
            <v>0</v>
          </cell>
          <cell r="E5030">
            <v>1.1000000000000001</v>
          </cell>
          <cell r="F5030">
            <v>0</v>
          </cell>
          <cell r="G5030">
            <v>0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 t="b">
            <v>1</v>
          </cell>
        </row>
        <row r="5031">
          <cell r="A5031" t="str">
            <v>Data split-20;Reg-73</v>
          </cell>
          <cell r="B5031">
            <v>-7</v>
          </cell>
          <cell r="C5031">
            <v>2</v>
          </cell>
          <cell r="D5031">
            <v>0</v>
          </cell>
          <cell r="E5031">
            <v>0</v>
          </cell>
          <cell r="F5031">
            <v>0.11</v>
          </cell>
          <cell r="G5031">
            <v>0</v>
          </cell>
          <cell r="H5031">
            <v>0</v>
          </cell>
          <cell r="I5031">
            <v>0</v>
          </cell>
          <cell r="J5031">
            <v>0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 t="b">
            <v>1</v>
          </cell>
        </row>
        <row r="5032">
          <cell r="A5032" t="str">
            <v>Data split-20;Reg-74</v>
          </cell>
          <cell r="B5032">
            <v>-1.3</v>
          </cell>
          <cell r="C5032">
            <v>0</v>
          </cell>
          <cell r="D5032">
            <v>0.57999999999999996</v>
          </cell>
          <cell r="E5032">
            <v>1.8</v>
          </cell>
          <cell r="F5032">
            <v>0</v>
          </cell>
          <cell r="G5032">
            <v>0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 t="b">
            <v>1</v>
          </cell>
        </row>
        <row r="5033">
          <cell r="A5033" t="str">
            <v>Data split-20;Reg-75</v>
          </cell>
          <cell r="B5033">
            <v>-0.85</v>
          </cell>
          <cell r="C5033">
            <v>0</v>
          </cell>
          <cell r="D5033">
            <v>1.5</v>
          </cell>
          <cell r="E5033">
            <v>0</v>
          </cell>
          <cell r="F5033">
            <v>0.2</v>
          </cell>
          <cell r="G5033">
            <v>0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 t="b">
            <v>1</v>
          </cell>
        </row>
        <row r="5034">
          <cell r="A5034" t="str">
            <v>Data split-20;Reg-76</v>
          </cell>
          <cell r="B5034">
            <v>-7.6</v>
          </cell>
          <cell r="C5034">
            <v>1.6</v>
          </cell>
          <cell r="D5034">
            <v>0</v>
          </cell>
          <cell r="E5034">
            <v>0</v>
          </cell>
          <cell r="F5034">
            <v>0</v>
          </cell>
          <cell r="G5034">
            <v>1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 t="b">
            <v>1</v>
          </cell>
        </row>
        <row r="5035">
          <cell r="A5035" t="str">
            <v>Data split-20;Reg-77</v>
          </cell>
          <cell r="B5035">
            <v>-6</v>
          </cell>
          <cell r="C5035">
            <v>1.1000000000000001</v>
          </cell>
          <cell r="D5035">
            <v>0</v>
          </cell>
          <cell r="E5035">
            <v>0</v>
          </cell>
          <cell r="F5035">
            <v>0</v>
          </cell>
          <cell r="G5035">
            <v>0</v>
          </cell>
          <cell r="H5035">
            <v>2.1</v>
          </cell>
          <cell r="I5035">
            <v>0</v>
          </cell>
          <cell r="J5035">
            <v>0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 t="b">
            <v>1</v>
          </cell>
        </row>
        <row r="5036">
          <cell r="A5036" t="str">
            <v>Data split-20;Reg-78</v>
          </cell>
          <cell r="B5036">
            <v>-3.5</v>
          </cell>
          <cell r="C5036">
            <v>0</v>
          </cell>
          <cell r="D5036">
            <v>1.1000000000000001</v>
          </cell>
          <cell r="E5036">
            <v>0</v>
          </cell>
          <cell r="F5036">
            <v>0</v>
          </cell>
          <cell r="G5036">
            <v>1.3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 t="b">
            <v>1</v>
          </cell>
        </row>
        <row r="5037">
          <cell r="A5037" t="str">
            <v>Data split-20;Reg-79</v>
          </cell>
          <cell r="B5037">
            <v>-2.8</v>
          </cell>
          <cell r="C5037">
            <v>0</v>
          </cell>
          <cell r="D5037">
            <v>0.48</v>
          </cell>
          <cell r="E5037">
            <v>0</v>
          </cell>
          <cell r="F5037">
            <v>0</v>
          </cell>
          <cell r="G5037">
            <v>0</v>
          </cell>
          <cell r="H5037">
            <v>2.9</v>
          </cell>
          <cell r="I5037">
            <v>0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 t="b">
            <v>1</v>
          </cell>
        </row>
        <row r="5038">
          <cell r="A5038" t="str">
            <v>Data split-20;Reg-80</v>
          </cell>
          <cell r="B5038">
            <v>-9.6999999999999993</v>
          </cell>
          <cell r="C5038">
            <v>1.9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  <cell r="I5038">
            <v>1.7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 t="b">
            <v>0</v>
          </cell>
        </row>
        <row r="5039">
          <cell r="A5039" t="str">
            <v>Data split-20;Reg-81</v>
          </cell>
          <cell r="B5039">
            <v>-12</v>
          </cell>
          <cell r="C5039">
            <v>2.1</v>
          </cell>
          <cell r="D5039">
            <v>0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  <cell r="I5039">
            <v>0</v>
          </cell>
          <cell r="J5039">
            <v>11.4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 t="b">
            <v>0</v>
          </cell>
        </row>
        <row r="5040">
          <cell r="A5040" t="str">
            <v>Data split-20;Reg-82</v>
          </cell>
          <cell r="B5040">
            <v>-6.1</v>
          </cell>
          <cell r="C5040">
            <v>0</v>
          </cell>
          <cell r="D5040">
            <v>1.4</v>
          </cell>
          <cell r="E5040">
            <v>0</v>
          </cell>
          <cell r="F5040">
            <v>0</v>
          </cell>
          <cell r="G5040">
            <v>0</v>
          </cell>
          <cell r="H5040">
            <v>0</v>
          </cell>
          <cell r="I5040">
            <v>2.8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 t="b">
            <v>0</v>
          </cell>
        </row>
        <row r="5041">
          <cell r="A5041" t="str">
            <v>Data split-20;Reg-83</v>
          </cell>
          <cell r="B5041">
            <v>-11.1</v>
          </cell>
          <cell r="C5041">
            <v>0</v>
          </cell>
          <cell r="D5041">
            <v>1.7</v>
          </cell>
          <cell r="E5041">
            <v>0</v>
          </cell>
          <cell r="F5041">
            <v>0</v>
          </cell>
          <cell r="G5041">
            <v>0</v>
          </cell>
          <cell r="H5041">
            <v>0</v>
          </cell>
          <cell r="I5041">
            <v>0</v>
          </cell>
          <cell r="J5041">
            <v>22.5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 t="b">
            <v>0</v>
          </cell>
        </row>
        <row r="5042">
          <cell r="A5042" t="str">
            <v>Data split-20;Reg-84</v>
          </cell>
          <cell r="B5042">
            <v>-11.6</v>
          </cell>
          <cell r="C5042">
            <v>2.2000000000000002</v>
          </cell>
          <cell r="D5042">
            <v>0</v>
          </cell>
          <cell r="E5042">
            <v>0</v>
          </cell>
          <cell r="F5042">
            <v>0</v>
          </cell>
          <cell r="G5042">
            <v>0</v>
          </cell>
          <cell r="H5042">
            <v>0</v>
          </cell>
          <cell r="I5042">
            <v>0</v>
          </cell>
          <cell r="J5042">
            <v>0</v>
          </cell>
          <cell r="K5042">
            <v>0.79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 t="b">
            <v>0</v>
          </cell>
        </row>
        <row r="5043">
          <cell r="A5043" t="str">
            <v>Data split-20;Reg-85</v>
          </cell>
          <cell r="B5043">
            <v>-11.6</v>
          </cell>
          <cell r="C5043">
            <v>2.2999999999999998</v>
          </cell>
          <cell r="D5043">
            <v>0</v>
          </cell>
          <cell r="E5043">
            <v>0</v>
          </cell>
          <cell r="F5043">
            <v>0</v>
          </cell>
          <cell r="G5043">
            <v>0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3.3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 t="b">
            <v>0</v>
          </cell>
        </row>
        <row r="5044">
          <cell r="A5044" t="str">
            <v>Data split-20;Reg-86</v>
          </cell>
          <cell r="B5044">
            <v>-10.7</v>
          </cell>
          <cell r="C5044">
            <v>0</v>
          </cell>
          <cell r="D5044">
            <v>1.7</v>
          </cell>
          <cell r="E5044">
            <v>0</v>
          </cell>
          <cell r="F5044">
            <v>0</v>
          </cell>
          <cell r="G5044">
            <v>0</v>
          </cell>
          <cell r="H5044">
            <v>0</v>
          </cell>
          <cell r="I5044">
            <v>0</v>
          </cell>
          <cell r="J5044">
            <v>0</v>
          </cell>
          <cell r="K5044">
            <v>1.7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 t="b">
            <v>0</v>
          </cell>
        </row>
        <row r="5045">
          <cell r="A5045" t="str">
            <v>Data split-20;Reg-87</v>
          </cell>
          <cell r="B5045">
            <v>-12.2</v>
          </cell>
          <cell r="C5045">
            <v>0</v>
          </cell>
          <cell r="D5045">
            <v>1.9</v>
          </cell>
          <cell r="E5045">
            <v>0</v>
          </cell>
          <cell r="F5045">
            <v>0</v>
          </cell>
          <cell r="G5045">
            <v>0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8.9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 t="b">
            <v>0</v>
          </cell>
        </row>
        <row r="5046">
          <cell r="A5046" t="str">
            <v>Data split-20;Reg-88</v>
          </cell>
          <cell r="B5046">
            <v>-7.8</v>
          </cell>
          <cell r="C5046">
            <v>2</v>
          </cell>
          <cell r="D5046">
            <v>0</v>
          </cell>
          <cell r="E5046">
            <v>0</v>
          </cell>
          <cell r="F5046">
            <v>0</v>
          </cell>
          <cell r="G5046">
            <v>0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>
            <v>0</v>
          </cell>
          <cell r="M5046">
            <v>4.2999999999999997E-2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 t="b">
            <v>0</v>
          </cell>
        </row>
        <row r="5047">
          <cell r="A5047" t="str">
            <v>Data split-20;Reg-89</v>
          </cell>
          <cell r="B5047">
            <v>-7.4</v>
          </cell>
          <cell r="C5047">
            <v>1.8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  <cell r="N5047">
            <v>1.2999999999999999E-2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 t="b">
            <v>0</v>
          </cell>
        </row>
        <row r="5048">
          <cell r="A5048" t="str">
            <v>Data split-20;Reg-90</v>
          </cell>
          <cell r="B5048">
            <v>-2.2999999999999998</v>
          </cell>
          <cell r="C5048">
            <v>0</v>
          </cell>
          <cell r="D5048">
            <v>1.3</v>
          </cell>
          <cell r="E5048">
            <v>0</v>
          </cell>
          <cell r="F5048">
            <v>0</v>
          </cell>
          <cell r="G5048">
            <v>0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0</v>
          </cell>
          <cell r="M5048">
            <v>9.6000000000000002E-2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 t="b">
            <v>0</v>
          </cell>
        </row>
        <row r="5049">
          <cell r="A5049" t="str">
            <v>Data split-20;Reg-91</v>
          </cell>
          <cell r="B5049">
            <v>-2.4</v>
          </cell>
          <cell r="C5049">
            <v>0</v>
          </cell>
          <cell r="D5049">
            <v>1.1000000000000001</v>
          </cell>
          <cell r="E5049">
            <v>0</v>
          </cell>
          <cell r="F5049">
            <v>0</v>
          </cell>
          <cell r="G5049">
            <v>0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>
            <v>0</v>
          </cell>
          <cell r="M5049">
            <v>0</v>
          </cell>
          <cell r="N5049">
            <v>2.4E-2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 t="b">
            <v>0</v>
          </cell>
        </row>
        <row r="5050">
          <cell r="A5050" t="str">
            <v>Data split-20;Reg-92</v>
          </cell>
          <cell r="B5050">
            <v>-7.4</v>
          </cell>
          <cell r="C5050">
            <v>1.9</v>
          </cell>
          <cell r="D5050">
            <v>0</v>
          </cell>
          <cell r="E5050">
            <v>0</v>
          </cell>
          <cell r="F5050">
            <v>0</v>
          </cell>
          <cell r="G5050">
            <v>0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8.3000000000000004E-2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 t="b">
            <v>0</v>
          </cell>
        </row>
        <row r="5051">
          <cell r="A5051" t="str">
            <v>Data split-20;Reg-93</v>
          </cell>
          <cell r="B5051">
            <v>-7.1</v>
          </cell>
          <cell r="C5051">
            <v>1.9</v>
          </cell>
          <cell r="D5051">
            <v>0</v>
          </cell>
          <cell r="E5051">
            <v>0</v>
          </cell>
          <cell r="F5051">
            <v>0</v>
          </cell>
          <cell r="G5051">
            <v>0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1.6E-2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 t="b">
            <v>0</v>
          </cell>
        </row>
        <row r="5052">
          <cell r="A5052" t="str">
            <v>Data split-20;Reg-94</v>
          </cell>
          <cell r="B5052">
            <v>-1.9</v>
          </cell>
          <cell r="C5052">
            <v>0</v>
          </cell>
          <cell r="D5052">
            <v>1.5</v>
          </cell>
          <cell r="E5052">
            <v>0</v>
          </cell>
          <cell r="F5052">
            <v>0</v>
          </cell>
          <cell r="G5052">
            <v>0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0.1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 t="b">
            <v>0</v>
          </cell>
        </row>
        <row r="5053">
          <cell r="A5053" t="str">
            <v>Data split-20;Reg-95</v>
          </cell>
          <cell r="B5053">
            <v>-1.7</v>
          </cell>
          <cell r="C5053">
            <v>0</v>
          </cell>
          <cell r="D5053">
            <v>1.4</v>
          </cell>
          <cell r="E5053">
            <v>0</v>
          </cell>
          <cell r="F5053">
            <v>0</v>
          </cell>
          <cell r="G5053">
            <v>0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2.1000000000000001E-2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 t="b">
            <v>0</v>
          </cell>
        </row>
        <row r="5054">
          <cell r="A5054" t="str">
            <v>Data split-20;Reg-96</v>
          </cell>
          <cell r="B5054">
            <v>-7.2</v>
          </cell>
          <cell r="C5054">
            <v>1.5</v>
          </cell>
          <cell r="D5054">
            <v>0</v>
          </cell>
          <cell r="E5054">
            <v>0.78</v>
          </cell>
          <cell r="F5054">
            <v>0</v>
          </cell>
          <cell r="G5054">
            <v>0</v>
          </cell>
          <cell r="H5054">
            <v>0</v>
          </cell>
          <cell r="I5054">
            <v>0.9</v>
          </cell>
          <cell r="J5054">
            <v>0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 t="b">
            <v>0</v>
          </cell>
        </row>
        <row r="5055">
          <cell r="A5055" t="str">
            <v>Data split-20;Reg-97</v>
          </cell>
          <cell r="B5055">
            <v>-8.5</v>
          </cell>
          <cell r="C5055">
            <v>1.4</v>
          </cell>
          <cell r="D5055">
            <v>0</v>
          </cell>
          <cell r="E5055">
            <v>0.93</v>
          </cell>
          <cell r="F5055">
            <v>0</v>
          </cell>
          <cell r="G5055">
            <v>0</v>
          </cell>
          <cell r="H5055">
            <v>0</v>
          </cell>
          <cell r="I5055">
            <v>0</v>
          </cell>
          <cell r="J5055">
            <v>7.4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 t="b">
            <v>0</v>
          </cell>
        </row>
        <row r="5056">
          <cell r="A5056" t="str">
            <v>Data split-20;Reg-98</v>
          </cell>
          <cell r="B5056">
            <v>-9</v>
          </cell>
          <cell r="C5056">
            <v>1.9</v>
          </cell>
          <cell r="D5056">
            <v>0</v>
          </cell>
          <cell r="E5056">
            <v>0</v>
          </cell>
          <cell r="F5056">
            <v>0.05</v>
          </cell>
          <cell r="G5056">
            <v>0</v>
          </cell>
          <cell r="H5056">
            <v>0</v>
          </cell>
          <cell r="I5056">
            <v>1.6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 t="b">
            <v>0</v>
          </cell>
        </row>
        <row r="5057">
          <cell r="A5057" t="str">
            <v>Data split-20;Reg-99</v>
          </cell>
          <cell r="B5057">
            <v>-10.7</v>
          </cell>
          <cell r="C5057">
            <v>2</v>
          </cell>
          <cell r="D5057">
            <v>0</v>
          </cell>
          <cell r="E5057">
            <v>0</v>
          </cell>
          <cell r="F5057">
            <v>9.7000000000000003E-2</v>
          </cell>
          <cell r="G5057">
            <v>0</v>
          </cell>
          <cell r="H5057">
            <v>0</v>
          </cell>
          <cell r="I5057">
            <v>0</v>
          </cell>
          <cell r="J5057">
            <v>10.7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 t="b">
            <v>0</v>
          </cell>
        </row>
        <row r="5058">
          <cell r="A5058" t="str">
            <v>Data split-20;Reg-100</v>
          </cell>
          <cell r="B5058">
            <v>-2.9</v>
          </cell>
          <cell r="C5058">
            <v>0</v>
          </cell>
          <cell r="D5058">
            <v>0.75</v>
          </cell>
          <cell r="E5058">
            <v>1.4</v>
          </cell>
          <cell r="F5058">
            <v>0</v>
          </cell>
          <cell r="G5058">
            <v>0</v>
          </cell>
          <cell r="H5058">
            <v>0</v>
          </cell>
          <cell r="I5058">
            <v>0.94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 t="b">
            <v>0</v>
          </cell>
        </row>
        <row r="5059">
          <cell r="A5059" t="str">
            <v>Data split-20;Reg-101</v>
          </cell>
          <cell r="B5059">
            <v>-6.6</v>
          </cell>
          <cell r="C5059">
            <v>0</v>
          </cell>
          <cell r="D5059">
            <v>0.94</v>
          </cell>
          <cell r="E5059">
            <v>1.2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12.5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 t="b">
            <v>0</v>
          </cell>
        </row>
        <row r="5060">
          <cell r="A5060" t="str">
            <v>Data split-20;Reg-102</v>
          </cell>
          <cell r="B5060">
            <v>-5.0999999999999996</v>
          </cell>
          <cell r="C5060">
            <v>0</v>
          </cell>
          <cell r="D5060">
            <v>1.4</v>
          </cell>
          <cell r="E5060">
            <v>0</v>
          </cell>
          <cell r="F5060">
            <v>8.2000000000000003E-2</v>
          </cell>
          <cell r="G5060">
            <v>0</v>
          </cell>
          <cell r="H5060">
            <v>0</v>
          </cell>
          <cell r="I5060">
            <v>2.4</v>
          </cell>
          <cell r="J5060">
            <v>0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 t="b">
            <v>0</v>
          </cell>
        </row>
        <row r="5061">
          <cell r="A5061" t="str">
            <v>Data split-20;Reg-103</v>
          </cell>
          <cell r="B5061">
            <v>-9.5</v>
          </cell>
          <cell r="C5061">
            <v>0</v>
          </cell>
          <cell r="D5061">
            <v>1.5</v>
          </cell>
          <cell r="E5061">
            <v>0</v>
          </cell>
          <cell r="F5061">
            <v>0.13</v>
          </cell>
          <cell r="G5061">
            <v>0</v>
          </cell>
          <cell r="H5061">
            <v>0</v>
          </cell>
          <cell r="I5061">
            <v>0</v>
          </cell>
          <cell r="J5061">
            <v>20.3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 t="b">
            <v>0</v>
          </cell>
        </row>
        <row r="5062">
          <cell r="A5062" t="str">
            <v>Data split-20;Reg-104</v>
          </cell>
          <cell r="B5062">
            <v>-7.6</v>
          </cell>
          <cell r="C5062">
            <v>1.4</v>
          </cell>
          <cell r="D5062">
            <v>0</v>
          </cell>
          <cell r="E5062">
            <v>1</v>
          </cell>
          <cell r="F5062">
            <v>0</v>
          </cell>
          <cell r="G5062">
            <v>0</v>
          </cell>
          <cell r="H5062">
            <v>0</v>
          </cell>
          <cell r="I5062">
            <v>0</v>
          </cell>
          <cell r="J5062">
            <v>0</v>
          </cell>
          <cell r="K5062">
            <v>0.41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 t="b">
            <v>0</v>
          </cell>
        </row>
        <row r="5063">
          <cell r="A5063" t="str">
            <v>Data split-20;Reg-105</v>
          </cell>
          <cell r="B5063">
            <v>-8.6</v>
          </cell>
          <cell r="C5063">
            <v>1.4</v>
          </cell>
          <cell r="D5063">
            <v>0</v>
          </cell>
          <cell r="E5063">
            <v>1.1000000000000001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2.8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 t="b">
            <v>0</v>
          </cell>
        </row>
        <row r="5064">
          <cell r="A5064" t="str">
            <v>Data split-20;Reg-106</v>
          </cell>
          <cell r="B5064">
            <v>-10.199999999999999</v>
          </cell>
          <cell r="C5064">
            <v>2</v>
          </cell>
          <cell r="D5064">
            <v>0</v>
          </cell>
          <cell r="E5064">
            <v>0</v>
          </cell>
          <cell r="F5064">
            <v>9.9000000000000005E-2</v>
          </cell>
          <cell r="G5064">
            <v>0</v>
          </cell>
          <cell r="H5064">
            <v>0</v>
          </cell>
          <cell r="I5064">
            <v>0</v>
          </cell>
          <cell r="J5064">
            <v>0</v>
          </cell>
          <cell r="K5064">
            <v>0.72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 t="b">
            <v>0</v>
          </cell>
        </row>
        <row r="5065">
          <cell r="A5065" t="str">
            <v>Data split-20;Reg-107</v>
          </cell>
          <cell r="B5065">
            <v>-10.4</v>
          </cell>
          <cell r="C5065">
            <v>2.1</v>
          </cell>
          <cell r="D5065">
            <v>0</v>
          </cell>
          <cell r="E5065">
            <v>0</v>
          </cell>
          <cell r="F5065">
            <v>0.11</v>
          </cell>
          <cell r="G5065">
            <v>0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3.3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 t="b">
            <v>0</v>
          </cell>
        </row>
        <row r="5066">
          <cell r="A5066" t="str">
            <v>Data split-20;Reg-108</v>
          </cell>
          <cell r="B5066">
            <v>-5.2</v>
          </cell>
          <cell r="C5066">
            <v>0</v>
          </cell>
          <cell r="D5066">
            <v>0.81</v>
          </cell>
          <cell r="E5066">
            <v>1.4</v>
          </cell>
          <cell r="F5066">
            <v>0</v>
          </cell>
          <cell r="G5066">
            <v>0</v>
          </cell>
          <cell r="H5066">
            <v>0</v>
          </cell>
          <cell r="I5066">
            <v>0</v>
          </cell>
          <cell r="J5066">
            <v>0</v>
          </cell>
          <cell r="K5066">
            <v>0.73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 t="b">
            <v>0</v>
          </cell>
        </row>
        <row r="5067">
          <cell r="A5067" t="str">
            <v>Data split-20;Reg-109</v>
          </cell>
          <cell r="B5067">
            <v>-7.3</v>
          </cell>
          <cell r="C5067">
            <v>0</v>
          </cell>
          <cell r="D5067">
            <v>0.88</v>
          </cell>
          <cell r="E5067">
            <v>1.5</v>
          </cell>
          <cell r="F5067">
            <v>0</v>
          </cell>
          <cell r="G5067">
            <v>0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>
            <v>5.0999999999999996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 t="b">
            <v>0</v>
          </cell>
        </row>
        <row r="5068">
          <cell r="A5068" t="str">
            <v>Data split-20;Reg-110</v>
          </cell>
          <cell r="B5068">
            <v>-8.9</v>
          </cell>
          <cell r="C5068">
            <v>0</v>
          </cell>
          <cell r="D5068">
            <v>1.5</v>
          </cell>
          <cell r="E5068">
            <v>0</v>
          </cell>
          <cell r="F5068">
            <v>0.14000000000000001</v>
          </cell>
          <cell r="G5068">
            <v>0</v>
          </cell>
          <cell r="H5068">
            <v>0</v>
          </cell>
          <cell r="I5068">
            <v>0</v>
          </cell>
          <cell r="J5068">
            <v>0</v>
          </cell>
          <cell r="K5068">
            <v>1.5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 t="b">
            <v>0</v>
          </cell>
        </row>
        <row r="5069">
          <cell r="A5069" t="str">
            <v>Data split-20;Reg-111</v>
          </cell>
          <cell r="B5069">
            <v>-10.3</v>
          </cell>
          <cell r="C5069">
            <v>0</v>
          </cell>
          <cell r="D5069">
            <v>1.7</v>
          </cell>
          <cell r="E5069">
            <v>0</v>
          </cell>
          <cell r="F5069">
            <v>0.17</v>
          </cell>
          <cell r="G5069">
            <v>0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>
            <v>8.1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 t="b">
            <v>0</v>
          </cell>
        </row>
        <row r="5070">
          <cell r="A5070" t="str">
            <v>Data split-20;Reg-112</v>
          </cell>
          <cell r="B5070">
            <v>-6.7</v>
          </cell>
          <cell r="C5070">
            <v>1.5</v>
          </cell>
          <cell r="D5070">
            <v>0</v>
          </cell>
          <cell r="E5070">
            <v>0</v>
          </cell>
          <cell r="F5070">
            <v>0</v>
          </cell>
          <cell r="G5070">
            <v>1.3</v>
          </cell>
          <cell r="H5070">
            <v>0</v>
          </cell>
          <cell r="I5070">
            <v>-0.87</v>
          </cell>
          <cell r="J5070">
            <v>0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 t="b">
            <v>1</v>
          </cell>
        </row>
        <row r="5071">
          <cell r="A5071" t="str">
            <v>Data split-20;Reg-113</v>
          </cell>
          <cell r="B5071">
            <v>-8.1999999999999993</v>
          </cell>
          <cell r="C5071">
            <v>1.6</v>
          </cell>
          <cell r="D5071">
            <v>0</v>
          </cell>
          <cell r="E5071">
            <v>0</v>
          </cell>
          <cell r="F5071">
            <v>0</v>
          </cell>
          <cell r="G5071">
            <v>0.97</v>
          </cell>
          <cell r="H5071">
            <v>0</v>
          </cell>
          <cell r="I5071">
            <v>0</v>
          </cell>
          <cell r="J5071">
            <v>1.7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 t="b">
            <v>0</v>
          </cell>
        </row>
        <row r="5072">
          <cell r="A5072" t="str">
            <v>Data split-20;Reg-114</v>
          </cell>
          <cell r="B5072">
            <v>-5</v>
          </cell>
          <cell r="C5072">
            <v>0.99</v>
          </cell>
          <cell r="D5072">
            <v>0</v>
          </cell>
          <cell r="E5072">
            <v>0</v>
          </cell>
          <cell r="F5072">
            <v>0</v>
          </cell>
          <cell r="G5072">
            <v>0</v>
          </cell>
          <cell r="H5072">
            <v>2.5</v>
          </cell>
          <cell r="I5072">
            <v>-0.65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 t="b">
            <v>1</v>
          </cell>
        </row>
        <row r="5073">
          <cell r="A5073" t="str">
            <v>Data split-20;Reg-115</v>
          </cell>
          <cell r="B5073">
            <v>-7.4</v>
          </cell>
          <cell r="C5073">
            <v>1.2</v>
          </cell>
          <cell r="D5073">
            <v>0</v>
          </cell>
          <cell r="E5073">
            <v>0</v>
          </cell>
          <cell r="F5073">
            <v>0</v>
          </cell>
          <cell r="G5073">
            <v>0</v>
          </cell>
          <cell r="H5073">
            <v>1.9</v>
          </cell>
          <cell r="I5073">
            <v>0</v>
          </cell>
          <cell r="J5073">
            <v>3.6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 t="b">
            <v>0</v>
          </cell>
        </row>
        <row r="5074">
          <cell r="A5074" t="str">
            <v>Data split-20;Reg-116</v>
          </cell>
          <cell r="B5074">
            <v>-3.6</v>
          </cell>
          <cell r="C5074">
            <v>0</v>
          </cell>
          <cell r="D5074">
            <v>1.1000000000000001</v>
          </cell>
          <cell r="E5074">
            <v>0</v>
          </cell>
          <cell r="F5074">
            <v>0</v>
          </cell>
          <cell r="G5074">
            <v>1.3</v>
          </cell>
          <cell r="H5074">
            <v>0</v>
          </cell>
          <cell r="I5074">
            <v>0.13</v>
          </cell>
          <cell r="J5074">
            <v>0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 t="b">
            <v>0</v>
          </cell>
        </row>
        <row r="5075">
          <cell r="A5075" t="str">
            <v>Data split-20;Reg-117</v>
          </cell>
          <cell r="B5075">
            <v>-7.3</v>
          </cell>
          <cell r="C5075">
            <v>0</v>
          </cell>
          <cell r="D5075">
            <v>1.3</v>
          </cell>
          <cell r="E5075">
            <v>0</v>
          </cell>
          <cell r="F5075">
            <v>0</v>
          </cell>
          <cell r="G5075">
            <v>0.94</v>
          </cell>
          <cell r="H5075">
            <v>0</v>
          </cell>
          <cell r="I5075">
            <v>0</v>
          </cell>
          <cell r="J5075">
            <v>10.5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 t="b">
            <v>0</v>
          </cell>
        </row>
        <row r="5076">
          <cell r="A5076" t="str">
            <v>Data split-20;Reg-118</v>
          </cell>
          <cell r="B5076">
            <v>-0.72</v>
          </cell>
          <cell r="C5076">
            <v>0</v>
          </cell>
          <cell r="D5076">
            <v>0.16</v>
          </cell>
          <cell r="E5076">
            <v>0</v>
          </cell>
          <cell r="F5076">
            <v>0</v>
          </cell>
          <cell r="G5076">
            <v>0</v>
          </cell>
          <cell r="H5076">
            <v>4</v>
          </cell>
          <cell r="I5076">
            <v>-1.6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 t="b">
            <v>1</v>
          </cell>
        </row>
        <row r="5077">
          <cell r="A5077" t="str">
            <v>Data split-20;Reg-119</v>
          </cell>
          <cell r="B5077">
            <v>-5.3</v>
          </cell>
          <cell r="C5077">
            <v>0</v>
          </cell>
          <cell r="D5077">
            <v>0.68</v>
          </cell>
          <cell r="E5077">
            <v>0</v>
          </cell>
          <cell r="F5077">
            <v>0</v>
          </cell>
          <cell r="G5077">
            <v>0</v>
          </cell>
          <cell r="H5077">
            <v>2.4</v>
          </cell>
          <cell r="I5077">
            <v>0</v>
          </cell>
          <cell r="J5077">
            <v>6.4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 t="b">
            <v>0</v>
          </cell>
        </row>
        <row r="5078">
          <cell r="A5078" t="str">
            <v>Data split-20;Reg-120</v>
          </cell>
          <cell r="B5078">
            <v>-7.8</v>
          </cell>
          <cell r="C5078">
            <v>1.6</v>
          </cell>
          <cell r="D5078">
            <v>0</v>
          </cell>
          <cell r="E5078">
            <v>0</v>
          </cell>
          <cell r="F5078">
            <v>0</v>
          </cell>
          <cell r="G5078">
            <v>1</v>
          </cell>
          <cell r="H5078">
            <v>0</v>
          </cell>
          <cell r="I5078">
            <v>0</v>
          </cell>
          <cell r="J5078">
            <v>0</v>
          </cell>
          <cell r="K5078">
            <v>3.7999999999999999E-2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 t="b">
            <v>0</v>
          </cell>
        </row>
        <row r="5079">
          <cell r="A5079" t="str">
            <v>Data split-20;Reg-121</v>
          </cell>
          <cell r="B5079">
            <v>-9.1</v>
          </cell>
          <cell r="C5079">
            <v>1.6</v>
          </cell>
          <cell r="D5079">
            <v>0</v>
          </cell>
          <cell r="E5079">
            <v>0</v>
          </cell>
          <cell r="F5079">
            <v>0</v>
          </cell>
          <cell r="G5079">
            <v>0.99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1.4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 t="b">
            <v>0</v>
          </cell>
        </row>
        <row r="5080">
          <cell r="A5080" t="str">
            <v>Data split-20;Reg-122</v>
          </cell>
          <cell r="B5080">
            <v>-6.7</v>
          </cell>
          <cell r="C5080">
            <v>1.1000000000000001</v>
          </cell>
          <cell r="D5080">
            <v>0</v>
          </cell>
          <cell r="E5080">
            <v>0</v>
          </cell>
          <cell r="F5080">
            <v>0</v>
          </cell>
          <cell r="G5080">
            <v>0</v>
          </cell>
          <cell r="H5080">
            <v>2</v>
          </cell>
          <cell r="I5080">
            <v>0</v>
          </cell>
          <cell r="J5080">
            <v>0</v>
          </cell>
          <cell r="K5080">
            <v>0.14000000000000001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 t="b">
            <v>0</v>
          </cell>
        </row>
        <row r="5081">
          <cell r="A5081" t="str">
            <v>Data split-20;Reg-123</v>
          </cell>
          <cell r="B5081">
            <v>-8.3000000000000007</v>
          </cell>
          <cell r="C5081">
            <v>1.2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H5081">
            <v>2</v>
          </cell>
          <cell r="I5081">
            <v>0</v>
          </cell>
          <cell r="J5081">
            <v>0</v>
          </cell>
          <cell r="K5081">
            <v>0</v>
          </cell>
          <cell r="L5081">
            <v>2.1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 t="b">
            <v>0</v>
          </cell>
        </row>
        <row r="5082">
          <cell r="A5082" t="str">
            <v>Data split-20;Reg-124</v>
          </cell>
          <cell r="B5082">
            <v>-6.5</v>
          </cell>
          <cell r="C5082">
            <v>0</v>
          </cell>
          <cell r="D5082">
            <v>1.2</v>
          </cell>
          <cell r="E5082">
            <v>0</v>
          </cell>
          <cell r="F5082">
            <v>0</v>
          </cell>
          <cell r="G5082">
            <v>1.1000000000000001</v>
          </cell>
          <cell r="H5082">
            <v>0</v>
          </cell>
          <cell r="I5082">
            <v>0</v>
          </cell>
          <cell r="J5082">
            <v>0</v>
          </cell>
          <cell r="K5082">
            <v>0.66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 t="b">
            <v>0</v>
          </cell>
        </row>
        <row r="5083">
          <cell r="A5083" t="str">
            <v>Data split-20;Reg-125</v>
          </cell>
          <cell r="B5083">
            <v>-8.6</v>
          </cell>
          <cell r="C5083">
            <v>0</v>
          </cell>
          <cell r="D5083">
            <v>1.3</v>
          </cell>
          <cell r="E5083">
            <v>0</v>
          </cell>
          <cell r="F5083">
            <v>0</v>
          </cell>
          <cell r="G5083">
            <v>1.1000000000000001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>
            <v>4.7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 t="b">
            <v>0</v>
          </cell>
        </row>
        <row r="5084">
          <cell r="A5084" t="str">
            <v>Data split-20;Reg-126</v>
          </cell>
          <cell r="B5084">
            <v>-4.3</v>
          </cell>
          <cell r="C5084">
            <v>0</v>
          </cell>
          <cell r="D5084">
            <v>0.57999999999999996</v>
          </cell>
          <cell r="E5084">
            <v>0</v>
          </cell>
          <cell r="F5084">
            <v>0</v>
          </cell>
          <cell r="G5084">
            <v>0</v>
          </cell>
          <cell r="H5084">
            <v>2.6</v>
          </cell>
          <cell r="I5084">
            <v>0</v>
          </cell>
          <cell r="J5084">
            <v>0</v>
          </cell>
          <cell r="K5084">
            <v>0.31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 t="b">
            <v>0</v>
          </cell>
        </row>
        <row r="5085">
          <cell r="A5085" t="str">
            <v>Data split-20;Reg-127</v>
          </cell>
          <cell r="B5085">
            <v>-7.1</v>
          </cell>
          <cell r="C5085">
            <v>0</v>
          </cell>
          <cell r="D5085">
            <v>0.71</v>
          </cell>
          <cell r="E5085">
            <v>0</v>
          </cell>
          <cell r="F5085">
            <v>0</v>
          </cell>
          <cell r="G5085">
            <v>0</v>
          </cell>
          <cell r="H5085">
            <v>2.5</v>
          </cell>
          <cell r="I5085">
            <v>0</v>
          </cell>
          <cell r="J5085">
            <v>0</v>
          </cell>
          <cell r="K5085">
            <v>0</v>
          </cell>
          <cell r="L5085">
            <v>3.9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 t="b">
            <v>0</v>
          </cell>
        </row>
        <row r="5089">
          <cell r="A5089" t="str">
            <v>Data split-1;Reg-1</v>
          </cell>
          <cell r="B5089">
            <v>1.4</v>
          </cell>
          <cell r="C5089">
            <v>1.4</v>
          </cell>
          <cell r="D5089">
            <v>0</v>
          </cell>
          <cell r="E5089">
            <v>0</v>
          </cell>
          <cell r="F5089">
            <v>0.21</v>
          </cell>
          <cell r="G5089">
            <v>0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4.3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 t="b">
            <v>0</v>
          </cell>
        </row>
        <row r="5090">
          <cell r="A5090" t="str">
            <v>Data split-1;Reg-2</v>
          </cell>
          <cell r="B5090">
            <v>0.96</v>
          </cell>
          <cell r="C5090">
            <v>0.96</v>
          </cell>
          <cell r="D5090">
            <v>0</v>
          </cell>
          <cell r="E5090">
            <v>0</v>
          </cell>
          <cell r="F5090">
            <v>0.22</v>
          </cell>
          <cell r="G5090">
            <v>0.92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>
            <v>0</v>
          </cell>
          <cell r="M5090">
            <v>-1.7000000000000001E-2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 t="b">
            <v>0</v>
          </cell>
        </row>
        <row r="5091">
          <cell r="A5091" t="str">
            <v>Data split-1;Reg-3</v>
          </cell>
          <cell r="B5091">
            <v>1.3</v>
          </cell>
          <cell r="C5091">
            <v>0.95</v>
          </cell>
          <cell r="D5091">
            <v>0</v>
          </cell>
          <cell r="E5091">
            <v>0</v>
          </cell>
          <cell r="F5091">
            <v>0.22</v>
          </cell>
          <cell r="G5091">
            <v>0.51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>
            <v>0</v>
          </cell>
          <cell r="M5091">
            <v>0</v>
          </cell>
          <cell r="N5091">
            <v>5.5999999999999999E-3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 t="b">
            <v>0</v>
          </cell>
        </row>
        <row r="5092">
          <cell r="A5092" t="str">
            <v>Data split-1;Reg-4</v>
          </cell>
          <cell r="B5092">
            <v>0.88</v>
          </cell>
          <cell r="C5092">
            <v>0.56000000000000005</v>
          </cell>
          <cell r="D5092">
            <v>0</v>
          </cell>
          <cell r="E5092">
            <v>0</v>
          </cell>
          <cell r="F5092">
            <v>0.2</v>
          </cell>
          <cell r="G5092">
            <v>0</v>
          </cell>
          <cell r="H5092">
            <v>2.8</v>
          </cell>
          <cell r="I5092">
            <v>0</v>
          </cell>
          <cell r="J5092">
            <v>0</v>
          </cell>
          <cell r="K5092">
            <v>0</v>
          </cell>
          <cell r="L5092">
            <v>0</v>
          </cell>
          <cell r="M5092">
            <v>-7.0000000000000007E-2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 t="b">
            <v>0</v>
          </cell>
        </row>
        <row r="5093">
          <cell r="A5093" t="str">
            <v>Data split-1;Reg-5</v>
          </cell>
          <cell r="B5093">
            <v>0.64</v>
          </cell>
          <cell r="C5093">
            <v>0</v>
          </cell>
          <cell r="D5093">
            <v>0.74</v>
          </cell>
          <cell r="E5093">
            <v>0</v>
          </cell>
          <cell r="F5093">
            <v>0.19</v>
          </cell>
          <cell r="G5093">
            <v>0</v>
          </cell>
          <cell r="H5093">
            <v>2.4</v>
          </cell>
          <cell r="I5093">
            <v>0</v>
          </cell>
          <cell r="J5093">
            <v>0</v>
          </cell>
          <cell r="K5093">
            <v>0</v>
          </cell>
          <cell r="L5093">
            <v>0</v>
          </cell>
          <cell r="M5093">
            <v>-6.0999999999999999E-2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 t="b">
            <v>0</v>
          </cell>
        </row>
        <row r="5094">
          <cell r="A5094" t="str">
            <v>Data split-1;Reg-6</v>
          </cell>
          <cell r="B5094">
            <v>0.59</v>
          </cell>
          <cell r="C5094">
            <v>1.3</v>
          </cell>
          <cell r="D5094">
            <v>0</v>
          </cell>
          <cell r="E5094">
            <v>0.89</v>
          </cell>
          <cell r="F5094">
            <v>0</v>
          </cell>
          <cell r="G5094">
            <v>0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>
            <v>-0.76</v>
          </cell>
          <cell r="M5094">
            <v>-1.4E-2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 t="b">
            <v>0</v>
          </cell>
        </row>
        <row r="5095">
          <cell r="A5095" t="str">
            <v>Data split-1;Reg-7</v>
          </cell>
          <cell r="B5095">
            <v>1.3</v>
          </cell>
          <cell r="C5095">
            <v>1.3</v>
          </cell>
          <cell r="D5095">
            <v>0</v>
          </cell>
          <cell r="E5095">
            <v>0</v>
          </cell>
          <cell r="F5095">
            <v>0.21</v>
          </cell>
          <cell r="G5095">
            <v>0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>
            <v>4.9000000000000004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1.4999999999999999E-2</v>
          </cell>
          <cell r="T5095">
            <v>0</v>
          </cell>
          <cell r="U5095" t="b">
            <v>0</v>
          </cell>
        </row>
        <row r="5096">
          <cell r="A5096" t="str">
            <v>Data split-1;Reg-8</v>
          </cell>
          <cell r="B5096">
            <v>0.24</v>
          </cell>
          <cell r="C5096">
            <v>1.5</v>
          </cell>
          <cell r="D5096">
            <v>0</v>
          </cell>
          <cell r="E5096">
            <v>0</v>
          </cell>
          <cell r="F5096">
            <v>0</v>
          </cell>
          <cell r="G5096">
            <v>0.73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>
            <v>0.68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-3.9E-2</v>
          </cell>
          <cell r="T5096">
            <v>0</v>
          </cell>
          <cell r="U5096" t="b">
            <v>0</v>
          </cell>
        </row>
        <row r="5097">
          <cell r="A5097" t="str">
            <v>Data split-1;Reg-9</v>
          </cell>
          <cell r="B5097">
            <v>-0.18</v>
          </cell>
          <cell r="C5097">
            <v>0</v>
          </cell>
          <cell r="D5097">
            <v>0.99</v>
          </cell>
          <cell r="E5097">
            <v>0</v>
          </cell>
          <cell r="F5097">
            <v>0</v>
          </cell>
          <cell r="G5097">
            <v>0</v>
          </cell>
          <cell r="H5097">
            <v>2.9</v>
          </cell>
          <cell r="I5097">
            <v>0</v>
          </cell>
          <cell r="J5097">
            <v>0</v>
          </cell>
          <cell r="K5097">
            <v>0</v>
          </cell>
          <cell r="L5097">
            <v>0.64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-0.1</v>
          </cell>
          <cell r="T5097">
            <v>0</v>
          </cell>
          <cell r="U5097" t="b">
            <v>0</v>
          </cell>
        </row>
        <row r="5098">
          <cell r="A5098" t="str">
            <v>Data split-1;Reg-10</v>
          </cell>
          <cell r="B5098">
            <v>-0.18</v>
          </cell>
          <cell r="C5098">
            <v>0</v>
          </cell>
          <cell r="D5098">
            <v>0.99</v>
          </cell>
          <cell r="E5098">
            <v>0</v>
          </cell>
          <cell r="F5098">
            <v>0</v>
          </cell>
          <cell r="G5098">
            <v>0</v>
          </cell>
          <cell r="H5098">
            <v>2.9</v>
          </cell>
          <cell r="I5098">
            <v>0</v>
          </cell>
          <cell r="J5098">
            <v>0</v>
          </cell>
          <cell r="K5098">
            <v>0</v>
          </cell>
          <cell r="L5098">
            <v>0.64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-0.1</v>
          </cell>
          <cell r="T5098">
            <v>0</v>
          </cell>
          <cell r="U5098" t="b">
            <v>0</v>
          </cell>
        </row>
        <row r="5099">
          <cell r="A5099" t="str">
            <v>Data split-1;Reg-11</v>
          </cell>
          <cell r="B5099">
            <v>0.51</v>
          </cell>
          <cell r="C5099">
            <v>1.3</v>
          </cell>
          <cell r="D5099">
            <v>0</v>
          </cell>
          <cell r="E5099">
            <v>0.71</v>
          </cell>
          <cell r="F5099">
            <v>0</v>
          </cell>
          <cell r="G5099">
            <v>0.03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 t="b">
            <v>0</v>
          </cell>
        </row>
        <row r="5100">
          <cell r="A5100" t="str">
            <v>Data split-1;Reg-12</v>
          </cell>
          <cell r="B5100">
            <v>0.3</v>
          </cell>
          <cell r="C5100">
            <v>1.2</v>
          </cell>
          <cell r="D5100">
            <v>0</v>
          </cell>
          <cell r="E5100">
            <v>-5.0999999999999997E-2</v>
          </cell>
          <cell r="F5100">
            <v>0</v>
          </cell>
          <cell r="G5100">
            <v>0</v>
          </cell>
          <cell r="H5100">
            <v>1.3</v>
          </cell>
          <cell r="I5100">
            <v>0</v>
          </cell>
          <cell r="J5100">
            <v>0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 t="b">
            <v>0</v>
          </cell>
        </row>
        <row r="5101">
          <cell r="A5101" t="str">
            <v>Data split-1;Reg-13</v>
          </cell>
          <cell r="B5101">
            <v>1</v>
          </cell>
          <cell r="C5101">
            <v>0.97</v>
          </cell>
          <cell r="D5101">
            <v>0</v>
          </cell>
          <cell r="E5101">
            <v>0</v>
          </cell>
          <cell r="F5101">
            <v>0.22</v>
          </cell>
          <cell r="G5101">
            <v>0.76</v>
          </cell>
          <cell r="H5101">
            <v>0</v>
          </cell>
          <cell r="I5101">
            <v>0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 t="b">
            <v>0</v>
          </cell>
        </row>
        <row r="5102">
          <cell r="A5102" t="str">
            <v>Data split-1;Reg-14</v>
          </cell>
          <cell r="B5102">
            <v>1.1000000000000001</v>
          </cell>
          <cell r="C5102">
            <v>0.78</v>
          </cell>
          <cell r="D5102">
            <v>0</v>
          </cell>
          <cell r="E5102">
            <v>0</v>
          </cell>
          <cell r="F5102">
            <v>0.2</v>
          </cell>
          <cell r="G5102">
            <v>0</v>
          </cell>
          <cell r="H5102">
            <v>1.5</v>
          </cell>
          <cell r="I5102">
            <v>0</v>
          </cell>
          <cell r="J5102">
            <v>0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 t="b">
            <v>0</v>
          </cell>
        </row>
        <row r="5103">
          <cell r="A5103" t="str">
            <v>Data split-1;Reg-15</v>
          </cell>
          <cell r="B5103">
            <v>0.54</v>
          </cell>
          <cell r="C5103">
            <v>1.3</v>
          </cell>
          <cell r="D5103">
            <v>0</v>
          </cell>
          <cell r="E5103">
            <v>0.88</v>
          </cell>
          <cell r="F5103">
            <v>0</v>
          </cell>
          <cell r="G5103">
            <v>0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>
            <v>0</v>
          </cell>
          <cell r="M5103">
            <v>-1.2999999999999999E-2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 t="b">
            <v>0</v>
          </cell>
        </row>
        <row r="5104">
          <cell r="A5104" t="str">
            <v>Data split-1;Reg-16</v>
          </cell>
          <cell r="B5104">
            <v>0.65</v>
          </cell>
          <cell r="C5104">
            <v>1.3</v>
          </cell>
          <cell r="D5104">
            <v>0</v>
          </cell>
          <cell r="E5104">
            <v>0.5</v>
          </cell>
          <cell r="F5104">
            <v>0</v>
          </cell>
          <cell r="G5104">
            <v>0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4.8999999999999998E-3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 t="b">
            <v>0</v>
          </cell>
        </row>
        <row r="5105">
          <cell r="A5105" t="str">
            <v>Data split-1;Reg-17</v>
          </cell>
          <cell r="B5105">
            <v>1.5</v>
          </cell>
          <cell r="C5105">
            <v>1.3</v>
          </cell>
          <cell r="D5105">
            <v>0</v>
          </cell>
          <cell r="E5105">
            <v>0</v>
          </cell>
          <cell r="F5105">
            <v>0.2</v>
          </cell>
          <cell r="G5105">
            <v>0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0</v>
          </cell>
          <cell r="M5105">
            <v>3.3000000000000002E-2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 t="b">
            <v>0</v>
          </cell>
        </row>
        <row r="5106">
          <cell r="A5106" t="str">
            <v>Data split-1;Reg-18</v>
          </cell>
          <cell r="B5106">
            <v>1.8</v>
          </cell>
          <cell r="C5106">
            <v>1.1000000000000001</v>
          </cell>
          <cell r="D5106">
            <v>0</v>
          </cell>
          <cell r="E5106">
            <v>0</v>
          </cell>
          <cell r="F5106">
            <v>0.21</v>
          </cell>
          <cell r="G5106">
            <v>0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1.2E-2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 t="b">
            <v>0</v>
          </cell>
        </row>
        <row r="5107">
          <cell r="A5107" t="str">
            <v>Data split-1;Reg-19</v>
          </cell>
          <cell r="B5107">
            <v>0.38</v>
          </cell>
          <cell r="C5107">
            <v>1.5</v>
          </cell>
          <cell r="D5107">
            <v>0</v>
          </cell>
          <cell r="E5107">
            <v>0</v>
          </cell>
          <cell r="F5107">
            <v>0</v>
          </cell>
          <cell r="G5107">
            <v>0.65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-2.8000000000000001E-2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 t="b">
            <v>0</v>
          </cell>
        </row>
        <row r="5108">
          <cell r="A5108" t="str">
            <v>Data split-1;Reg-20</v>
          </cell>
          <cell r="B5108">
            <v>0.55000000000000004</v>
          </cell>
          <cell r="C5108">
            <v>1.6</v>
          </cell>
          <cell r="D5108">
            <v>0</v>
          </cell>
          <cell r="E5108">
            <v>0</v>
          </cell>
          <cell r="F5108">
            <v>0</v>
          </cell>
          <cell r="G5108">
            <v>0.17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4.7000000000000002E-3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 t="b">
            <v>0</v>
          </cell>
        </row>
        <row r="5109">
          <cell r="A5109" t="str">
            <v>Data split-1;Reg-21</v>
          </cell>
          <cell r="B5109">
            <v>0.42</v>
          </cell>
          <cell r="C5109">
            <v>1.1000000000000001</v>
          </cell>
          <cell r="D5109">
            <v>0</v>
          </cell>
          <cell r="E5109">
            <v>0</v>
          </cell>
          <cell r="F5109">
            <v>0</v>
          </cell>
          <cell r="G5109">
            <v>0</v>
          </cell>
          <cell r="H5109">
            <v>2.1</v>
          </cell>
          <cell r="I5109">
            <v>0</v>
          </cell>
          <cell r="J5109">
            <v>0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-5.3999999999999999E-2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 t="b">
            <v>0</v>
          </cell>
        </row>
        <row r="5110">
          <cell r="A5110" t="str">
            <v>Data split-1;Reg-22</v>
          </cell>
          <cell r="B5110">
            <v>0.24</v>
          </cell>
          <cell r="C5110">
            <v>1.2</v>
          </cell>
          <cell r="D5110">
            <v>0</v>
          </cell>
          <cell r="E5110">
            <v>0</v>
          </cell>
          <cell r="F5110">
            <v>0</v>
          </cell>
          <cell r="G5110">
            <v>0</v>
          </cell>
          <cell r="H5110">
            <v>1.5</v>
          </cell>
          <cell r="I5110">
            <v>0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-3.5000000000000001E-3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 t="b">
            <v>0</v>
          </cell>
        </row>
        <row r="5111">
          <cell r="A5111" t="str">
            <v>Data split-1;Reg-23</v>
          </cell>
          <cell r="B5111">
            <v>0.13</v>
          </cell>
          <cell r="C5111">
            <v>0</v>
          </cell>
          <cell r="D5111">
            <v>1.5</v>
          </cell>
          <cell r="E5111">
            <v>0.47</v>
          </cell>
          <cell r="F5111">
            <v>0</v>
          </cell>
          <cell r="G5111">
            <v>1.4E-3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 t="b">
            <v>0</v>
          </cell>
        </row>
        <row r="5112">
          <cell r="A5112" t="str">
            <v>Data split-1;Reg-24</v>
          </cell>
          <cell r="B5112">
            <v>-8.5999999999999993E-2</v>
          </cell>
          <cell r="C5112">
            <v>0</v>
          </cell>
          <cell r="D5112">
            <v>1.4</v>
          </cell>
          <cell r="E5112">
            <v>-0.28999999999999998</v>
          </cell>
          <cell r="F5112">
            <v>0</v>
          </cell>
          <cell r="G5112">
            <v>0</v>
          </cell>
          <cell r="H5112">
            <v>1.2</v>
          </cell>
          <cell r="I5112">
            <v>0</v>
          </cell>
          <cell r="J5112">
            <v>0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 t="b">
            <v>0</v>
          </cell>
        </row>
        <row r="5113">
          <cell r="A5113" t="str">
            <v>Data split-1;Reg-25</v>
          </cell>
          <cell r="B5113">
            <v>0.74</v>
          </cell>
          <cell r="C5113">
            <v>0</v>
          </cell>
          <cell r="D5113">
            <v>1.1000000000000001</v>
          </cell>
          <cell r="E5113">
            <v>0</v>
          </cell>
          <cell r="F5113">
            <v>0.21</v>
          </cell>
          <cell r="G5113">
            <v>0.62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 t="b">
            <v>0</v>
          </cell>
        </row>
        <row r="5114">
          <cell r="A5114" t="str">
            <v>Data split-1;Reg-26</v>
          </cell>
          <cell r="B5114">
            <v>0.83</v>
          </cell>
          <cell r="C5114">
            <v>0</v>
          </cell>
          <cell r="D5114">
            <v>0.95</v>
          </cell>
          <cell r="E5114">
            <v>0</v>
          </cell>
          <cell r="F5114">
            <v>0.2</v>
          </cell>
          <cell r="G5114">
            <v>0</v>
          </cell>
          <cell r="H5114">
            <v>1.2</v>
          </cell>
          <cell r="I5114">
            <v>0</v>
          </cell>
          <cell r="J5114">
            <v>0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 t="b">
            <v>0</v>
          </cell>
        </row>
        <row r="5115">
          <cell r="A5115" t="str">
            <v>Data split-1;Reg-27</v>
          </cell>
          <cell r="B5115">
            <v>0.14000000000000001</v>
          </cell>
          <cell r="C5115">
            <v>0</v>
          </cell>
          <cell r="D5115">
            <v>1.5</v>
          </cell>
          <cell r="E5115">
            <v>0.56999999999999995</v>
          </cell>
          <cell r="F5115">
            <v>0</v>
          </cell>
          <cell r="G5115">
            <v>0</v>
          </cell>
          <cell r="H5115">
            <v>0</v>
          </cell>
          <cell r="I5115">
            <v>0</v>
          </cell>
          <cell r="J5115">
            <v>0</v>
          </cell>
          <cell r="K5115">
            <v>0</v>
          </cell>
          <cell r="L5115">
            <v>0</v>
          </cell>
          <cell r="M5115">
            <v>-9.5999999999999992E-3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 t="b">
            <v>0</v>
          </cell>
        </row>
        <row r="5116">
          <cell r="A5116" t="str">
            <v>Data split-1;Reg-28</v>
          </cell>
          <cell r="B5116">
            <v>0.25</v>
          </cell>
          <cell r="C5116">
            <v>0</v>
          </cell>
          <cell r="D5116">
            <v>1.5</v>
          </cell>
          <cell r="E5116">
            <v>0.22</v>
          </cell>
          <cell r="F5116">
            <v>0</v>
          </cell>
          <cell r="G5116">
            <v>0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0</v>
          </cell>
          <cell r="M5116">
            <v>0</v>
          </cell>
          <cell r="N5116">
            <v>5.0000000000000001E-3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 t="b">
            <v>0</v>
          </cell>
        </row>
        <row r="5117">
          <cell r="A5117" t="str">
            <v>Data split-1;Reg-29</v>
          </cell>
          <cell r="B5117">
            <v>1.1000000000000001</v>
          </cell>
          <cell r="C5117">
            <v>0</v>
          </cell>
          <cell r="D5117">
            <v>1.4</v>
          </cell>
          <cell r="E5117">
            <v>0</v>
          </cell>
          <cell r="F5117">
            <v>0.2</v>
          </cell>
          <cell r="G5117">
            <v>0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0</v>
          </cell>
          <cell r="M5117">
            <v>2.5000000000000001E-2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 t="b">
            <v>0</v>
          </cell>
        </row>
        <row r="5118">
          <cell r="A5118" t="str">
            <v>Data split-1;Reg-30</v>
          </cell>
          <cell r="B5118">
            <v>1.3</v>
          </cell>
          <cell r="C5118">
            <v>0</v>
          </cell>
          <cell r="D5118">
            <v>1.2</v>
          </cell>
          <cell r="E5118">
            <v>0</v>
          </cell>
          <cell r="F5118">
            <v>0.2</v>
          </cell>
          <cell r="G5118">
            <v>0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>
            <v>0</v>
          </cell>
          <cell r="M5118">
            <v>0</v>
          </cell>
          <cell r="N5118">
            <v>0.01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 t="b">
            <v>0</v>
          </cell>
        </row>
        <row r="5119">
          <cell r="A5119" t="str">
            <v>Data split-1;Reg-31</v>
          </cell>
          <cell r="B5119">
            <v>1.7000000000000001E-2</v>
          </cell>
          <cell r="C5119">
            <v>0</v>
          </cell>
          <cell r="D5119">
            <v>1.7</v>
          </cell>
          <cell r="E5119">
            <v>0</v>
          </cell>
          <cell r="F5119">
            <v>0</v>
          </cell>
          <cell r="G5119">
            <v>0.44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-2.1999999999999999E-2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 t="b">
            <v>0</v>
          </cell>
        </row>
        <row r="5120">
          <cell r="A5120" t="str">
            <v>Data split-1;Reg-32</v>
          </cell>
          <cell r="B5120">
            <v>0.2</v>
          </cell>
          <cell r="C5120">
            <v>0</v>
          </cell>
          <cell r="D5120">
            <v>1.7</v>
          </cell>
          <cell r="E5120">
            <v>0</v>
          </cell>
          <cell r="F5120">
            <v>0</v>
          </cell>
          <cell r="G5120">
            <v>-5.8999999999999997E-2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5.8999999999999999E-3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 t="b">
            <v>0</v>
          </cell>
        </row>
        <row r="5121">
          <cell r="A5121" t="str">
            <v>Data split-1;Reg-33</v>
          </cell>
          <cell r="B5121">
            <v>0.08</v>
          </cell>
          <cell r="C5121">
            <v>0</v>
          </cell>
          <cell r="D5121">
            <v>1.2</v>
          </cell>
          <cell r="E5121">
            <v>0</v>
          </cell>
          <cell r="F5121">
            <v>0</v>
          </cell>
          <cell r="G5121">
            <v>0</v>
          </cell>
          <cell r="H5121">
            <v>1.7</v>
          </cell>
          <cell r="I5121">
            <v>0</v>
          </cell>
          <cell r="J5121">
            <v>0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-4.9000000000000002E-2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 t="b">
            <v>0</v>
          </cell>
        </row>
        <row r="5122">
          <cell r="A5122" t="str">
            <v>Data split-1;Reg-34</v>
          </cell>
          <cell r="B5122">
            <v>-8.7999999999999995E-2</v>
          </cell>
          <cell r="C5122">
            <v>0</v>
          </cell>
          <cell r="D5122">
            <v>1.3</v>
          </cell>
          <cell r="E5122">
            <v>0</v>
          </cell>
          <cell r="F5122">
            <v>0</v>
          </cell>
          <cell r="G5122">
            <v>0</v>
          </cell>
          <cell r="H5122">
            <v>1.2</v>
          </cell>
          <cell r="I5122">
            <v>0</v>
          </cell>
          <cell r="J5122">
            <v>0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-2.3999999999999998E-3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 t="b">
            <v>1</v>
          </cell>
        </row>
        <row r="5123">
          <cell r="A5123" t="str">
            <v>Data split-1;Reg-35</v>
          </cell>
          <cell r="B5123">
            <v>0.44</v>
          </cell>
          <cell r="C5123">
            <v>1.3</v>
          </cell>
          <cell r="D5123">
            <v>0</v>
          </cell>
          <cell r="E5123">
            <v>0.79</v>
          </cell>
          <cell r="F5123">
            <v>0</v>
          </cell>
          <cell r="G5123">
            <v>0.17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>
            <v>0</v>
          </cell>
          <cell r="M5123">
            <v>-1.9E-2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 t="b">
            <v>0</v>
          </cell>
        </row>
        <row r="5124">
          <cell r="A5124" t="str">
            <v>Data split-1;Reg-36</v>
          </cell>
          <cell r="B5124">
            <v>0.86</v>
          </cell>
          <cell r="C5124">
            <v>1.3</v>
          </cell>
          <cell r="D5124">
            <v>0</v>
          </cell>
          <cell r="E5124">
            <v>0.6</v>
          </cell>
          <cell r="F5124">
            <v>0</v>
          </cell>
          <cell r="G5124">
            <v>-0.24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0</v>
          </cell>
          <cell r="M5124">
            <v>0</v>
          </cell>
          <cell r="N5124">
            <v>7.1999999999999998E-3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 t="b">
            <v>0</v>
          </cell>
        </row>
        <row r="5125">
          <cell r="A5125" t="str">
            <v>Data split-1;Reg-37</v>
          </cell>
          <cell r="B5125">
            <v>-2.3E-2</v>
          </cell>
          <cell r="C5125">
            <v>0.89</v>
          </cell>
          <cell r="D5125">
            <v>0</v>
          </cell>
          <cell r="E5125">
            <v>-0.27</v>
          </cell>
          <cell r="F5125">
            <v>0</v>
          </cell>
          <cell r="G5125">
            <v>0</v>
          </cell>
          <cell r="H5125">
            <v>3.4</v>
          </cell>
          <cell r="I5125">
            <v>0</v>
          </cell>
          <cell r="J5125">
            <v>0</v>
          </cell>
          <cell r="K5125">
            <v>0</v>
          </cell>
          <cell r="L5125">
            <v>0</v>
          </cell>
          <cell r="M5125">
            <v>-9.7000000000000003E-2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 t="b">
            <v>0</v>
          </cell>
        </row>
        <row r="5126">
          <cell r="A5126" t="str">
            <v>Data split-1;Reg-38</v>
          </cell>
          <cell r="B5126">
            <v>-0.15</v>
          </cell>
          <cell r="C5126">
            <v>1.1000000000000001</v>
          </cell>
          <cell r="D5126">
            <v>0</v>
          </cell>
          <cell r="E5126">
            <v>-0.22</v>
          </cell>
          <cell r="F5126">
            <v>0</v>
          </cell>
          <cell r="G5126">
            <v>0</v>
          </cell>
          <cell r="H5126">
            <v>2.4</v>
          </cell>
          <cell r="I5126">
            <v>0</v>
          </cell>
          <cell r="J5126">
            <v>0</v>
          </cell>
          <cell r="K5126">
            <v>0</v>
          </cell>
          <cell r="L5126">
            <v>0</v>
          </cell>
          <cell r="M5126">
            <v>0</v>
          </cell>
          <cell r="N5126">
            <v>-0.01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 t="b">
            <v>0</v>
          </cell>
        </row>
        <row r="5127">
          <cell r="A5127" t="str">
            <v>Data split-1;Reg-39</v>
          </cell>
          <cell r="B5127">
            <v>0.96</v>
          </cell>
          <cell r="C5127">
            <v>0.96</v>
          </cell>
          <cell r="D5127">
            <v>0</v>
          </cell>
          <cell r="E5127">
            <v>0</v>
          </cell>
          <cell r="F5127">
            <v>0.22</v>
          </cell>
          <cell r="G5127">
            <v>0.92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0</v>
          </cell>
          <cell r="M5127">
            <v>-1.7000000000000001E-2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 t="b">
            <v>0</v>
          </cell>
        </row>
        <row r="5128">
          <cell r="A5128" t="str">
            <v>Data split-1;Reg-40</v>
          </cell>
          <cell r="B5128">
            <v>1.3</v>
          </cell>
          <cell r="C5128">
            <v>0.95</v>
          </cell>
          <cell r="D5128">
            <v>0</v>
          </cell>
          <cell r="E5128">
            <v>0</v>
          </cell>
          <cell r="F5128">
            <v>0.22</v>
          </cell>
          <cell r="G5128">
            <v>0.51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0</v>
          </cell>
          <cell r="M5128">
            <v>0</v>
          </cell>
          <cell r="N5128">
            <v>5.5999999999999999E-3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 t="b">
            <v>0</v>
          </cell>
        </row>
        <row r="5129">
          <cell r="A5129" t="str">
            <v>Data split-1;Reg-41</v>
          </cell>
          <cell r="B5129">
            <v>0.88</v>
          </cell>
          <cell r="C5129">
            <v>0.56000000000000005</v>
          </cell>
          <cell r="D5129">
            <v>0</v>
          </cell>
          <cell r="E5129">
            <v>0</v>
          </cell>
          <cell r="F5129">
            <v>0.2</v>
          </cell>
          <cell r="G5129">
            <v>0</v>
          </cell>
          <cell r="H5129">
            <v>2.8</v>
          </cell>
          <cell r="I5129">
            <v>0</v>
          </cell>
          <cell r="J5129">
            <v>0</v>
          </cell>
          <cell r="K5129">
            <v>0</v>
          </cell>
          <cell r="L5129">
            <v>0</v>
          </cell>
          <cell r="M5129">
            <v>-7.0000000000000007E-2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 t="b">
            <v>0</v>
          </cell>
        </row>
        <row r="5130">
          <cell r="A5130" t="str">
            <v>Data split-1;Reg-42</v>
          </cell>
          <cell r="B5130">
            <v>1</v>
          </cell>
          <cell r="C5130">
            <v>0.76</v>
          </cell>
          <cell r="D5130">
            <v>0</v>
          </cell>
          <cell r="E5130">
            <v>0</v>
          </cell>
          <cell r="F5130">
            <v>0.2</v>
          </cell>
          <cell r="G5130">
            <v>0</v>
          </cell>
          <cell r="H5130">
            <v>1.7</v>
          </cell>
          <cell r="I5130">
            <v>0</v>
          </cell>
          <cell r="J5130">
            <v>0</v>
          </cell>
          <cell r="K5130">
            <v>0</v>
          </cell>
          <cell r="L5130">
            <v>0</v>
          </cell>
          <cell r="M5130">
            <v>0</v>
          </cell>
          <cell r="N5130">
            <v>-2.5999999999999999E-3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 t="b">
            <v>0</v>
          </cell>
        </row>
        <row r="5131">
          <cell r="A5131" t="str">
            <v>Data split-1;Reg-43</v>
          </cell>
          <cell r="B5131">
            <v>0.5</v>
          </cell>
          <cell r="C5131">
            <v>1.3</v>
          </cell>
          <cell r="D5131">
            <v>0</v>
          </cell>
          <cell r="E5131">
            <v>0.74</v>
          </cell>
          <cell r="F5131">
            <v>0</v>
          </cell>
          <cell r="G5131">
            <v>0.3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-0.03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 t="b">
            <v>0</v>
          </cell>
        </row>
        <row r="5132">
          <cell r="A5132" t="str">
            <v>Data split-1;Reg-44</v>
          </cell>
          <cell r="B5132">
            <v>0.65</v>
          </cell>
          <cell r="C5132">
            <v>1.3</v>
          </cell>
          <cell r="D5132">
            <v>0</v>
          </cell>
          <cell r="E5132">
            <v>0.69</v>
          </cell>
          <cell r="F5132">
            <v>0</v>
          </cell>
          <cell r="G5132">
            <v>-0.17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4.3E-3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 t="b">
            <v>0</v>
          </cell>
        </row>
        <row r="5133">
          <cell r="A5133" t="str">
            <v>Data split-1;Reg-45</v>
          </cell>
          <cell r="B5133">
            <v>0.42</v>
          </cell>
          <cell r="C5133">
            <v>1.1000000000000001</v>
          </cell>
          <cell r="D5133">
            <v>0</v>
          </cell>
          <cell r="E5133">
            <v>-9.4E-2</v>
          </cell>
          <cell r="F5133">
            <v>0</v>
          </cell>
          <cell r="G5133">
            <v>0</v>
          </cell>
          <cell r="H5133">
            <v>2.2000000000000002</v>
          </cell>
          <cell r="I5133">
            <v>0</v>
          </cell>
          <cell r="J5133">
            <v>0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-5.5E-2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 t="b">
            <v>0</v>
          </cell>
        </row>
        <row r="5134">
          <cell r="A5134" t="str">
            <v>Data split-1;Reg-46</v>
          </cell>
          <cell r="B5134">
            <v>0.24</v>
          </cell>
          <cell r="C5134">
            <v>1.2</v>
          </cell>
          <cell r="D5134">
            <v>0</v>
          </cell>
          <cell r="E5134">
            <v>-8.1000000000000003E-2</v>
          </cell>
          <cell r="F5134">
            <v>0</v>
          </cell>
          <cell r="G5134">
            <v>0</v>
          </cell>
          <cell r="H5134">
            <v>1.6</v>
          </cell>
          <cell r="I5134">
            <v>0</v>
          </cell>
          <cell r="J5134">
            <v>0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-3.5999999999999999E-3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 t="b">
            <v>0</v>
          </cell>
        </row>
        <row r="5135">
          <cell r="A5135" t="str">
            <v>Data split-1;Reg-47</v>
          </cell>
          <cell r="B5135">
            <v>1</v>
          </cell>
          <cell r="C5135">
            <v>0.88</v>
          </cell>
          <cell r="D5135">
            <v>0</v>
          </cell>
          <cell r="E5135">
            <v>0</v>
          </cell>
          <cell r="F5135">
            <v>0.23</v>
          </cell>
          <cell r="G5135">
            <v>1.3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-5.5E-2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 t="b">
            <v>0</v>
          </cell>
        </row>
        <row r="5136">
          <cell r="A5136" t="str">
            <v>Data split-1;Reg-48</v>
          </cell>
          <cell r="B5136">
            <v>0.92</v>
          </cell>
          <cell r="C5136">
            <v>0.94</v>
          </cell>
          <cell r="D5136">
            <v>0</v>
          </cell>
          <cell r="E5136">
            <v>0</v>
          </cell>
          <cell r="F5136">
            <v>0.23</v>
          </cell>
          <cell r="G5136">
            <v>0.98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-4.4999999999999997E-3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 t="b">
            <v>0</v>
          </cell>
        </row>
        <row r="5137">
          <cell r="A5137" t="str">
            <v>Data split-1;Reg-49</v>
          </cell>
          <cell r="B5137">
            <v>1.2</v>
          </cell>
          <cell r="C5137">
            <v>0.66</v>
          </cell>
          <cell r="D5137">
            <v>0</v>
          </cell>
          <cell r="E5137">
            <v>0</v>
          </cell>
          <cell r="F5137">
            <v>0.2</v>
          </cell>
          <cell r="G5137">
            <v>0</v>
          </cell>
          <cell r="H5137">
            <v>2.2000000000000002</v>
          </cell>
          <cell r="I5137">
            <v>0</v>
          </cell>
          <cell r="J5137">
            <v>0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-5.0999999999999997E-2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 t="b">
            <v>0</v>
          </cell>
        </row>
        <row r="5138">
          <cell r="A5138" t="str">
            <v>Data split-1;Reg-50</v>
          </cell>
          <cell r="B5138">
            <v>1.1000000000000001</v>
          </cell>
          <cell r="C5138">
            <v>0.74</v>
          </cell>
          <cell r="D5138">
            <v>0</v>
          </cell>
          <cell r="E5138">
            <v>0</v>
          </cell>
          <cell r="F5138">
            <v>0.21</v>
          </cell>
          <cell r="G5138">
            <v>0</v>
          </cell>
          <cell r="H5138">
            <v>1.9</v>
          </cell>
          <cell r="I5138">
            <v>0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-4.7999999999999996E-3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 t="b">
            <v>0</v>
          </cell>
        </row>
        <row r="5139">
          <cell r="A5139" t="str">
            <v>Data split-1;Reg-51</v>
          </cell>
          <cell r="B5139">
            <v>7.8E-2</v>
          </cell>
          <cell r="C5139">
            <v>0</v>
          </cell>
          <cell r="D5139">
            <v>1.5</v>
          </cell>
          <cell r="E5139">
            <v>0.52</v>
          </cell>
          <cell r="F5139">
            <v>0</v>
          </cell>
          <cell r="G5139">
            <v>0.1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-1.2999999999999999E-2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 t="b">
            <v>0</v>
          </cell>
        </row>
        <row r="5140">
          <cell r="A5140" t="str">
            <v>Data split-1;Reg-52</v>
          </cell>
          <cell r="B5140">
            <v>0.5</v>
          </cell>
          <cell r="C5140">
            <v>0</v>
          </cell>
          <cell r="D5140">
            <v>1.5</v>
          </cell>
          <cell r="E5140">
            <v>0.34</v>
          </cell>
          <cell r="F5140">
            <v>0</v>
          </cell>
          <cell r="G5140">
            <v>-0.28999999999999998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>
            <v>0</v>
          </cell>
          <cell r="M5140">
            <v>0</v>
          </cell>
          <cell r="N5140">
            <v>7.9000000000000008E-3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 t="b">
            <v>0</v>
          </cell>
        </row>
        <row r="5141">
          <cell r="A5141" t="str">
            <v>Data split-1;Reg-53</v>
          </cell>
          <cell r="B5141">
            <v>-0.32</v>
          </cell>
          <cell r="C5141">
            <v>0</v>
          </cell>
          <cell r="D5141">
            <v>1.1000000000000001</v>
          </cell>
          <cell r="E5141">
            <v>-0.46</v>
          </cell>
          <cell r="F5141">
            <v>0</v>
          </cell>
          <cell r="G5141">
            <v>0</v>
          </cell>
          <cell r="H5141">
            <v>3.1</v>
          </cell>
          <cell r="I5141">
            <v>0</v>
          </cell>
          <cell r="J5141">
            <v>0</v>
          </cell>
          <cell r="K5141">
            <v>0</v>
          </cell>
          <cell r="L5141">
            <v>0</v>
          </cell>
          <cell r="M5141">
            <v>-8.6999999999999994E-2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 t="b">
            <v>0</v>
          </cell>
        </row>
        <row r="5142">
          <cell r="A5142" t="str">
            <v>Data split-1;Reg-54</v>
          </cell>
          <cell r="B5142">
            <v>-0.46</v>
          </cell>
          <cell r="C5142">
            <v>0</v>
          </cell>
          <cell r="D5142">
            <v>1.3</v>
          </cell>
          <cell r="E5142">
            <v>-0.43</v>
          </cell>
          <cell r="F5142">
            <v>0</v>
          </cell>
          <cell r="G5142">
            <v>0</v>
          </cell>
          <cell r="H5142">
            <v>2.2000000000000002</v>
          </cell>
          <cell r="I5142">
            <v>0</v>
          </cell>
          <cell r="J5142">
            <v>0</v>
          </cell>
          <cell r="K5142">
            <v>0</v>
          </cell>
          <cell r="L5142">
            <v>0</v>
          </cell>
          <cell r="M5142">
            <v>0</v>
          </cell>
          <cell r="N5142">
            <v>-8.8999999999999999E-3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 t="b">
            <v>0</v>
          </cell>
        </row>
        <row r="5143">
          <cell r="A5143" t="str">
            <v>Data split-1;Reg-55</v>
          </cell>
          <cell r="B5143">
            <v>0.67</v>
          </cell>
          <cell r="C5143">
            <v>0</v>
          </cell>
          <cell r="D5143">
            <v>1.1000000000000001</v>
          </cell>
          <cell r="E5143">
            <v>0</v>
          </cell>
          <cell r="F5143">
            <v>0.21</v>
          </cell>
          <cell r="G5143">
            <v>0.76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>
            <v>0</v>
          </cell>
          <cell r="M5143">
            <v>-1.4999999999999999E-2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 t="b">
            <v>0</v>
          </cell>
        </row>
        <row r="5144">
          <cell r="A5144" t="str">
            <v>Data split-1;Reg-56</v>
          </cell>
          <cell r="B5144">
            <v>1</v>
          </cell>
          <cell r="C5144">
            <v>0</v>
          </cell>
          <cell r="D5144">
            <v>1.1000000000000001</v>
          </cell>
          <cell r="E5144">
            <v>0</v>
          </cell>
          <cell r="F5144">
            <v>0.21</v>
          </cell>
          <cell r="G5144">
            <v>0.36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5.5999999999999999E-3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 t="b">
            <v>0</v>
          </cell>
        </row>
        <row r="5145">
          <cell r="A5145" t="str">
            <v>Data split-1;Reg-57</v>
          </cell>
          <cell r="B5145">
            <v>0.64</v>
          </cell>
          <cell r="C5145">
            <v>0</v>
          </cell>
          <cell r="D5145">
            <v>0.74</v>
          </cell>
          <cell r="E5145">
            <v>0</v>
          </cell>
          <cell r="F5145">
            <v>0.19</v>
          </cell>
          <cell r="G5145">
            <v>0</v>
          </cell>
          <cell r="H5145">
            <v>2.4</v>
          </cell>
          <cell r="I5145">
            <v>0</v>
          </cell>
          <cell r="J5145">
            <v>0</v>
          </cell>
          <cell r="K5145">
            <v>0</v>
          </cell>
          <cell r="L5145">
            <v>0</v>
          </cell>
          <cell r="M5145">
            <v>-6.0999999999999999E-2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 t="b">
            <v>0</v>
          </cell>
        </row>
        <row r="5146">
          <cell r="A5146" t="str">
            <v>Data split-1;Reg-58</v>
          </cell>
          <cell r="B5146">
            <v>0.8</v>
          </cell>
          <cell r="C5146">
            <v>0</v>
          </cell>
          <cell r="D5146">
            <v>0.94</v>
          </cell>
          <cell r="E5146">
            <v>0</v>
          </cell>
          <cell r="F5146">
            <v>0.2</v>
          </cell>
          <cell r="G5146">
            <v>0</v>
          </cell>
          <cell r="H5146">
            <v>1.3</v>
          </cell>
          <cell r="I5146">
            <v>0</v>
          </cell>
          <cell r="J5146">
            <v>0</v>
          </cell>
          <cell r="K5146">
            <v>0</v>
          </cell>
          <cell r="L5146">
            <v>0</v>
          </cell>
          <cell r="M5146">
            <v>0</v>
          </cell>
          <cell r="N5146">
            <v>-7.2000000000000005E-4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 t="b">
            <v>0</v>
          </cell>
        </row>
        <row r="5147">
          <cell r="A5147" t="str">
            <v>Data split-1;Reg-59</v>
          </cell>
          <cell r="B5147">
            <v>0.13</v>
          </cell>
          <cell r="C5147">
            <v>0</v>
          </cell>
          <cell r="D5147">
            <v>1.5</v>
          </cell>
          <cell r="E5147">
            <v>0.5</v>
          </cell>
          <cell r="F5147">
            <v>0</v>
          </cell>
          <cell r="G5147">
            <v>0.22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-2.4E-2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 t="b">
            <v>0</v>
          </cell>
        </row>
        <row r="5148">
          <cell r="A5148" t="str">
            <v>Data split-1;Reg-60</v>
          </cell>
          <cell r="B5148">
            <v>0.28999999999999998</v>
          </cell>
          <cell r="C5148">
            <v>0</v>
          </cell>
          <cell r="D5148">
            <v>1.6</v>
          </cell>
          <cell r="E5148">
            <v>0.44</v>
          </cell>
          <cell r="F5148">
            <v>0</v>
          </cell>
          <cell r="G5148">
            <v>-0.25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5.5999999999999999E-3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 t="b">
            <v>0</v>
          </cell>
        </row>
        <row r="5149">
          <cell r="A5149" t="str">
            <v>Data split-1;Reg-61</v>
          </cell>
          <cell r="B5149">
            <v>4.5999999999999999E-2</v>
          </cell>
          <cell r="C5149">
            <v>0</v>
          </cell>
          <cell r="D5149">
            <v>1.3</v>
          </cell>
          <cell r="E5149">
            <v>-0.31</v>
          </cell>
          <cell r="F5149">
            <v>0</v>
          </cell>
          <cell r="G5149">
            <v>0</v>
          </cell>
          <cell r="H5149">
            <v>2.1</v>
          </cell>
          <cell r="I5149">
            <v>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-0.05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 t="b">
            <v>0</v>
          </cell>
        </row>
        <row r="5150">
          <cell r="A5150" t="str">
            <v>Data split-1;Reg-62</v>
          </cell>
          <cell r="B5150">
            <v>-0.13</v>
          </cell>
          <cell r="C5150">
            <v>0</v>
          </cell>
          <cell r="D5150">
            <v>1.4</v>
          </cell>
          <cell r="E5150">
            <v>-0.31</v>
          </cell>
          <cell r="F5150">
            <v>0</v>
          </cell>
          <cell r="G5150">
            <v>0</v>
          </cell>
          <cell r="H5150">
            <v>1.5</v>
          </cell>
          <cell r="I5150">
            <v>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-2.5999999999999999E-3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 t="b">
            <v>0</v>
          </cell>
        </row>
        <row r="5151">
          <cell r="A5151" t="str">
            <v>Data split-1;Reg-63</v>
          </cell>
          <cell r="B5151">
            <v>0.76</v>
          </cell>
          <cell r="C5151">
            <v>0</v>
          </cell>
          <cell r="D5151">
            <v>1</v>
          </cell>
          <cell r="E5151">
            <v>0</v>
          </cell>
          <cell r="F5151">
            <v>0.22</v>
          </cell>
          <cell r="G5151">
            <v>1.1000000000000001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-4.9000000000000002E-2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 t="b">
            <v>0</v>
          </cell>
        </row>
        <row r="5152">
          <cell r="A5152" t="str">
            <v>Data split-1;Reg-64</v>
          </cell>
          <cell r="B5152">
            <v>0.66</v>
          </cell>
          <cell r="C5152">
            <v>0</v>
          </cell>
          <cell r="D5152">
            <v>1.1000000000000001</v>
          </cell>
          <cell r="E5152">
            <v>0</v>
          </cell>
          <cell r="F5152">
            <v>0.22</v>
          </cell>
          <cell r="G5152">
            <v>0.78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-3.2000000000000002E-3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 t="b">
            <v>0</v>
          </cell>
        </row>
        <row r="5153">
          <cell r="A5153" t="str">
            <v>Data split-1;Reg-65</v>
          </cell>
          <cell r="B5153">
            <v>0.95</v>
          </cell>
          <cell r="C5153">
            <v>0</v>
          </cell>
          <cell r="D5153">
            <v>0.83</v>
          </cell>
          <cell r="E5153">
            <v>0</v>
          </cell>
          <cell r="F5153">
            <v>0.2</v>
          </cell>
          <cell r="G5153">
            <v>0</v>
          </cell>
          <cell r="H5153">
            <v>1.9</v>
          </cell>
          <cell r="I5153">
            <v>0</v>
          </cell>
          <cell r="J5153">
            <v>0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-4.5999999999999999E-2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 t="b">
            <v>0</v>
          </cell>
        </row>
        <row r="5154">
          <cell r="A5154" t="str">
            <v>Data split-1;Reg-66</v>
          </cell>
          <cell r="B5154">
            <v>0.78</v>
          </cell>
          <cell r="C5154">
            <v>0</v>
          </cell>
          <cell r="D5154">
            <v>0.91</v>
          </cell>
          <cell r="E5154">
            <v>0</v>
          </cell>
          <cell r="F5154">
            <v>0.2</v>
          </cell>
          <cell r="G5154">
            <v>0</v>
          </cell>
          <cell r="H5154">
            <v>1.5</v>
          </cell>
          <cell r="I5154">
            <v>0</v>
          </cell>
          <cell r="J5154">
            <v>0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-3.8E-3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 t="b">
            <v>0</v>
          </cell>
        </row>
        <row r="5155">
          <cell r="A5155" t="str">
            <v>Data split-1;Reg-67</v>
          </cell>
          <cell r="B5155">
            <v>0.4</v>
          </cell>
          <cell r="C5155">
            <v>1.5</v>
          </cell>
          <cell r="D5155">
            <v>0</v>
          </cell>
          <cell r="E5155">
            <v>0</v>
          </cell>
          <cell r="F5155">
            <v>0</v>
          </cell>
          <cell r="G5155">
            <v>0.39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 t="b">
            <v>0</v>
          </cell>
        </row>
        <row r="5156">
          <cell r="A5156" t="str">
            <v>Data split-1;Reg-68</v>
          </cell>
          <cell r="B5156">
            <v>1</v>
          </cell>
          <cell r="C5156">
            <v>0.97</v>
          </cell>
          <cell r="D5156">
            <v>0</v>
          </cell>
          <cell r="E5156">
            <v>0</v>
          </cell>
          <cell r="F5156">
            <v>0.22</v>
          </cell>
          <cell r="G5156">
            <v>0.76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 t="b">
            <v>0</v>
          </cell>
        </row>
        <row r="5157">
          <cell r="A5157" t="str">
            <v>Data split-1;Reg-69</v>
          </cell>
          <cell r="B5157">
            <v>-2.1</v>
          </cell>
          <cell r="C5157">
            <v>1.6</v>
          </cell>
          <cell r="D5157">
            <v>0</v>
          </cell>
          <cell r="E5157">
            <v>0</v>
          </cell>
          <cell r="F5157">
            <v>0</v>
          </cell>
          <cell r="G5157">
            <v>2.8000000000000001E-2</v>
          </cell>
          <cell r="H5157">
            <v>0</v>
          </cell>
          <cell r="I5157">
            <v>0</v>
          </cell>
          <cell r="J5157">
            <v>19.100000000000001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 t="b">
            <v>0</v>
          </cell>
        </row>
        <row r="5158">
          <cell r="A5158" t="str">
            <v>Data split-1;Reg-70</v>
          </cell>
          <cell r="B5158">
            <v>-2</v>
          </cell>
          <cell r="C5158">
            <v>1.6</v>
          </cell>
          <cell r="D5158">
            <v>0</v>
          </cell>
          <cell r="E5158">
            <v>0</v>
          </cell>
          <cell r="F5158">
            <v>0</v>
          </cell>
          <cell r="G5158">
            <v>0.21</v>
          </cell>
          <cell r="H5158">
            <v>0</v>
          </cell>
          <cell r="I5158">
            <v>0</v>
          </cell>
          <cell r="J5158">
            <v>18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-1.9E-2</v>
          </cell>
          <cell r="T5158">
            <v>0</v>
          </cell>
          <cell r="U5158" t="b">
            <v>0</v>
          </cell>
        </row>
        <row r="5159">
          <cell r="A5159" t="str">
            <v>Data split-1;Reg-71</v>
          </cell>
          <cell r="B5159">
            <v>0.72</v>
          </cell>
          <cell r="C5159">
            <v>0.66</v>
          </cell>
          <cell r="D5159">
            <v>0</v>
          </cell>
          <cell r="E5159">
            <v>0</v>
          </cell>
          <cell r="F5159">
            <v>0.19</v>
          </cell>
          <cell r="G5159">
            <v>0</v>
          </cell>
          <cell r="H5159">
            <v>2.9</v>
          </cell>
          <cell r="I5159">
            <v>0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-8.8999999999999996E-2</v>
          </cell>
          <cell r="T5159">
            <v>0</v>
          </cell>
          <cell r="U5159" t="b">
            <v>0</v>
          </cell>
        </row>
        <row r="5160">
          <cell r="A5160" t="str">
            <v>Data split-1;Reg-72</v>
          </cell>
          <cell r="B5160">
            <v>0.53</v>
          </cell>
          <cell r="C5160">
            <v>1.3</v>
          </cell>
          <cell r="D5160">
            <v>0</v>
          </cell>
          <cell r="E5160">
            <v>0.74</v>
          </cell>
          <cell r="F5160">
            <v>0</v>
          </cell>
          <cell r="G5160">
            <v>0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 t="b">
            <v>0</v>
          </cell>
        </row>
        <row r="5161">
          <cell r="A5161" t="str">
            <v>Data split-1;Reg-73</v>
          </cell>
          <cell r="B5161">
            <v>1.6</v>
          </cell>
          <cell r="C5161">
            <v>1.5</v>
          </cell>
          <cell r="D5161">
            <v>0</v>
          </cell>
          <cell r="E5161">
            <v>0</v>
          </cell>
          <cell r="F5161">
            <v>0.19</v>
          </cell>
          <cell r="G5161">
            <v>0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 t="b">
            <v>0</v>
          </cell>
        </row>
        <row r="5162">
          <cell r="A5162" t="str">
            <v>Data split-1;Reg-74</v>
          </cell>
          <cell r="B5162">
            <v>0.13</v>
          </cell>
          <cell r="C5162">
            <v>0</v>
          </cell>
          <cell r="D5162">
            <v>1.5</v>
          </cell>
          <cell r="E5162">
            <v>0.47</v>
          </cell>
          <cell r="F5162">
            <v>0</v>
          </cell>
          <cell r="G5162">
            <v>0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 t="b">
            <v>0</v>
          </cell>
        </row>
        <row r="5163">
          <cell r="A5163" t="str">
            <v>Data split-1;Reg-75</v>
          </cell>
          <cell r="B5163">
            <v>1.1000000000000001</v>
          </cell>
          <cell r="C5163">
            <v>0</v>
          </cell>
          <cell r="D5163">
            <v>1.5</v>
          </cell>
          <cell r="E5163">
            <v>0</v>
          </cell>
          <cell r="F5163">
            <v>0.19</v>
          </cell>
          <cell r="G5163">
            <v>0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 t="b">
            <v>0</v>
          </cell>
        </row>
        <row r="5164">
          <cell r="A5164" t="str">
            <v>Data split-1;Reg-76</v>
          </cell>
          <cell r="B5164">
            <v>0.4</v>
          </cell>
          <cell r="C5164">
            <v>1.5</v>
          </cell>
          <cell r="D5164">
            <v>0</v>
          </cell>
          <cell r="E5164">
            <v>0</v>
          </cell>
          <cell r="F5164">
            <v>0</v>
          </cell>
          <cell r="G5164">
            <v>0.39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 t="b">
            <v>0</v>
          </cell>
        </row>
        <row r="5165">
          <cell r="A5165" t="str">
            <v>Data split-1;Reg-77</v>
          </cell>
          <cell r="B5165">
            <v>0.3</v>
          </cell>
          <cell r="C5165">
            <v>1.2</v>
          </cell>
          <cell r="D5165">
            <v>0</v>
          </cell>
          <cell r="E5165">
            <v>0</v>
          </cell>
          <cell r="F5165">
            <v>0</v>
          </cell>
          <cell r="G5165">
            <v>0</v>
          </cell>
          <cell r="H5165">
            <v>1.3</v>
          </cell>
          <cell r="I5165">
            <v>0</v>
          </cell>
          <cell r="J5165">
            <v>0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 t="b">
            <v>0</v>
          </cell>
        </row>
        <row r="5166">
          <cell r="A5166" t="str">
            <v>Data split-1;Reg-78</v>
          </cell>
          <cell r="B5166">
            <v>2.5999999999999999E-2</v>
          </cell>
          <cell r="C5166">
            <v>0</v>
          </cell>
          <cell r="D5166">
            <v>1.7</v>
          </cell>
          <cell r="E5166">
            <v>0</v>
          </cell>
          <cell r="F5166">
            <v>0</v>
          </cell>
          <cell r="G5166">
            <v>0.23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 t="b">
            <v>0</v>
          </cell>
        </row>
        <row r="5167">
          <cell r="A5167" t="str">
            <v>Data split-1;Reg-79</v>
          </cell>
          <cell r="B5167">
            <v>-5.3999999999999999E-2</v>
          </cell>
          <cell r="C5167">
            <v>0</v>
          </cell>
          <cell r="D5167">
            <v>1.4</v>
          </cell>
          <cell r="E5167">
            <v>0</v>
          </cell>
          <cell r="F5167">
            <v>0</v>
          </cell>
          <cell r="G5167">
            <v>0</v>
          </cell>
          <cell r="H5167">
            <v>0.96</v>
          </cell>
          <cell r="I5167">
            <v>0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 t="b">
            <v>1</v>
          </cell>
        </row>
        <row r="5168">
          <cell r="A5168" t="str">
            <v>Data split-1;Reg-80</v>
          </cell>
          <cell r="B5168">
            <v>-8.1000000000000003E-2</v>
          </cell>
          <cell r="C5168">
            <v>1.6</v>
          </cell>
          <cell r="D5168">
            <v>0</v>
          </cell>
          <cell r="E5168">
            <v>0</v>
          </cell>
          <cell r="F5168">
            <v>0</v>
          </cell>
          <cell r="G5168">
            <v>0</v>
          </cell>
          <cell r="H5168">
            <v>0</v>
          </cell>
          <cell r="I5168">
            <v>1.4</v>
          </cell>
          <cell r="J5168">
            <v>0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 t="b">
            <v>0</v>
          </cell>
        </row>
        <row r="5169">
          <cell r="A5169" t="str">
            <v>Data split-1;Reg-81</v>
          </cell>
          <cell r="B5169">
            <v>-2.2000000000000002</v>
          </cell>
          <cell r="C5169">
            <v>1.6</v>
          </cell>
          <cell r="D5169">
            <v>0</v>
          </cell>
          <cell r="E5169">
            <v>0</v>
          </cell>
          <cell r="F5169">
            <v>0</v>
          </cell>
          <cell r="G5169">
            <v>0</v>
          </cell>
          <cell r="H5169">
            <v>0</v>
          </cell>
          <cell r="I5169">
            <v>0</v>
          </cell>
          <cell r="J5169">
            <v>19.399999999999999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 t="b">
            <v>0</v>
          </cell>
        </row>
        <row r="5170">
          <cell r="A5170" t="str">
            <v>Data split-1;Reg-82</v>
          </cell>
          <cell r="B5170">
            <v>-0.33</v>
          </cell>
          <cell r="C5170">
            <v>0</v>
          </cell>
          <cell r="D5170">
            <v>1.7</v>
          </cell>
          <cell r="E5170">
            <v>0</v>
          </cell>
          <cell r="F5170">
            <v>0</v>
          </cell>
          <cell r="G5170">
            <v>0</v>
          </cell>
          <cell r="H5170">
            <v>0</v>
          </cell>
          <cell r="I5170">
            <v>1</v>
          </cell>
          <cell r="J5170">
            <v>0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 t="b">
            <v>0</v>
          </cell>
        </row>
        <row r="5171">
          <cell r="A5171" t="str">
            <v>Data split-1;Reg-83</v>
          </cell>
          <cell r="B5171">
            <v>-2</v>
          </cell>
          <cell r="C5171">
            <v>0</v>
          </cell>
          <cell r="D5171">
            <v>1.6</v>
          </cell>
          <cell r="E5171">
            <v>0</v>
          </cell>
          <cell r="F5171">
            <v>0</v>
          </cell>
          <cell r="G5171">
            <v>0</v>
          </cell>
          <cell r="H5171">
            <v>0</v>
          </cell>
          <cell r="I5171">
            <v>0</v>
          </cell>
          <cell r="J5171">
            <v>15.5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 t="b">
            <v>0</v>
          </cell>
        </row>
        <row r="5172">
          <cell r="A5172" t="str">
            <v>Data split-1;Reg-84</v>
          </cell>
          <cell r="B5172">
            <v>0.79</v>
          </cell>
          <cell r="C5172">
            <v>1.8</v>
          </cell>
          <cell r="D5172">
            <v>0</v>
          </cell>
          <cell r="E5172">
            <v>0</v>
          </cell>
          <cell r="F5172">
            <v>0</v>
          </cell>
          <cell r="G5172">
            <v>0</v>
          </cell>
          <cell r="H5172">
            <v>0</v>
          </cell>
          <cell r="I5172">
            <v>0</v>
          </cell>
          <cell r="J5172">
            <v>0</v>
          </cell>
          <cell r="K5172">
            <v>0.17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 t="b">
            <v>0</v>
          </cell>
        </row>
        <row r="5173">
          <cell r="A5173" t="str">
            <v>Data split-1;Reg-85</v>
          </cell>
          <cell r="B5173">
            <v>0.79</v>
          </cell>
          <cell r="C5173">
            <v>1.8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-0.39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 t="b">
            <v>0</v>
          </cell>
        </row>
        <row r="5174">
          <cell r="A5174" t="str">
            <v>Data split-1;Reg-86</v>
          </cell>
          <cell r="B5174">
            <v>0.18</v>
          </cell>
          <cell r="C5174">
            <v>0</v>
          </cell>
          <cell r="D5174">
            <v>1.9</v>
          </cell>
          <cell r="E5174">
            <v>0</v>
          </cell>
          <cell r="F5174">
            <v>0</v>
          </cell>
          <cell r="G5174">
            <v>0</v>
          </cell>
          <cell r="H5174">
            <v>0</v>
          </cell>
          <cell r="I5174">
            <v>0</v>
          </cell>
          <cell r="J5174">
            <v>0</v>
          </cell>
          <cell r="K5174">
            <v>-9.1999999999999998E-2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 t="b">
            <v>0</v>
          </cell>
        </row>
        <row r="5175">
          <cell r="A5175" t="str">
            <v>Data split-1;Reg-87</v>
          </cell>
          <cell r="B5175">
            <v>0.3</v>
          </cell>
          <cell r="C5175">
            <v>0</v>
          </cell>
          <cell r="D5175">
            <v>1.9</v>
          </cell>
          <cell r="E5175">
            <v>0</v>
          </cell>
          <cell r="F5175">
            <v>0</v>
          </cell>
          <cell r="G5175">
            <v>0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-1.8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 t="b">
            <v>0</v>
          </cell>
        </row>
        <row r="5176">
          <cell r="A5176" t="str">
            <v>Data split-1;Reg-88</v>
          </cell>
          <cell r="B5176">
            <v>0.69</v>
          </cell>
          <cell r="C5176">
            <v>1.7</v>
          </cell>
          <cell r="D5176">
            <v>0</v>
          </cell>
          <cell r="E5176">
            <v>0</v>
          </cell>
          <cell r="F5176">
            <v>0</v>
          </cell>
          <cell r="G5176">
            <v>0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0</v>
          </cell>
          <cell r="M5176">
            <v>1.7999999999999999E-2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 t="b">
            <v>0</v>
          </cell>
        </row>
        <row r="5177">
          <cell r="A5177" t="str">
            <v>Data split-1;Reg-89</v>
          </cell>
          <cell r="B5177">
            <v>0.84</v>
          </cell>
          <cell r="C5177">
            <v>1.5</v>
          </cell>
          <cell r="D5177">
            <v>0</v>
          </cell>
          <cell r="E5177">
            <v>0</v>
          </cell>
          <cell r="F5177">
            <v>0</v>
          </cell>
          <cell r="G5177">
            <v>0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8.8000000000000005E-3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 t="b">
            <v>0</v>
          </cell>
        </row>
        <row r="5178">
          <cell r="A5178" t="str">
            <v>Data split-1;Reg-90</v>
          </cell>
          <cell r="B5178">
            <v>0.17</v>
          </cell>
          <cell r="C5178">
            <v>0</v>
          </cell>
          <cell r="D5178">
            <v>1.8</v>
          </cell>
          <cell r="E5178">
            <v>0</v>
          </cell>
          <cell r="F5178">
            <v>0</v>
          </cell>
          <cell r="G5178">
            <v>0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>
            <v>0</v>
          </cell>
          <cell r="M5178">
            <v>9.4999999999999998E-3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 t="b">
            <v>0</v>
          </cell>
        </row>
        <row r="5179">
          <cell r="A5179" t="str">
            <v>Data split-1;Reg-91</v>
          </cell>
          <cell r="B5179">
            <v>0.3</v>
          </cell>
          <cell r="C5179">
            <v>0</v>
          </cell>
          <cell r="D5179">
            <v>1.6</v>
          </cell>
          <cell r="E5179">
            <v>0</v>
          </cell>
          <cell r="F5179">
            <v>0</v>
          </cell>
          <cell r="G5179">
            <v>0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0</v>
          </cell>
          <cell r="M5179">
            <v>0</v>
          </cell>
          <cell r="N5179">
            <v>6.6E-3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 t="b">
            <v>0</v>
          </cell>
        </row>
        <row r="5180">
          <cell r="A5180" t="str">
            <v>Data split-1;Reg-92</v>
          </cell>
          <cell r="B5180">
            <v>0.7</v>
          </cell>
          <cell r="C5180">
            <v>1.8</v>
          </cell>
          <cell r="D5180">
            <v>0</v>
          </cell>
          <cell r="E5180">
            <v>0</v>
          </cell>
          <cell r="F5180">
            <v>0</v>
          </cell>
          <cell r="G5180">
            <v>0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8.8000000000000005E-3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 t="b">
            <v>0</v>
          </cell>
        </row>
        <row r="5181">
          <cell r="A5181" t="str">
            <v>Data split-1;Reg-93</v>
          </cell>
          <cell r="B5181">
            <v>0.68</v>
          </cell>
          <cell r="C5181">
            <v>1.6</v>
          </cell>
          <cell r="D5181">
            <v>0</v>
          </cell>
          <cell r="E5181">
            <v>0</v>
          </cell>
          <cell r="F5181">
            <v>0</v>
          </cell>
          <cell r="G5181">
            <v>0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6.7999999999999996E-3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 t="b">
            <v>0</v>
          </cell>
        </row>
        <row r="5182">
          <cell r="A5182" t="str">
            <v>Data split-1;Reg-94</v>
          </cell>
          <cell r="B5182">
            <v>0.19</v>
          </cell>
          <cell r="C5182">
            <v>0</v>
          </cell>
          <cell r="D5182">
            <v>1.8</v>
          </cell>
          <cell r="E5182">
            <v>0</v>
          </cell>
          <cell r="F5182">
            <v>0</v>
          </cell>
          <cell r="G5182">
            <v>0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1.9E-3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 t="b">
            <v>0</v>
          </cell>
        </row>
        <row r="5183">
          <cell r="A5183" t="str">
            <v>Data split-1;Reg-95</v>
          </cell>
          <cell r="B5183">
            <v>0.16</v>
          </cell>
          <cell r="C5183">
            <v>0</v>
          </cell>
          <cell r="D5183">
            <v>1.7</v>
          </cell>
          <cell r="E5183">
            <v>0</v>
          </cell>
          <cell r="F5183">
            <v>0</v>
          </cell>
          <cell r="G5183">
            <v>0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5.1999999999999998E-3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 t="b">
            <v>0</v>
          </cell>
        </row>
        <row r="5184">
          <cell r="A5184" t="str">
            <v>Data split-1;Reg-96</v>
          </cell>
          <cell r="B5184">
            <v>1.9E-2</v>
          </cell>
          <cell r="C5184">
            <v>1.4</v>
          </cell>
          <cell r="D5184">
            <v>0</v>
          </cell>
          <cell r="E5184">
            <v>0.44</v>
          </cell>
          <cell r="F5184">
            <v>0</v>
          </cell>
          <cell r="G5184">
            <v>0</v>
          </cell>
          <cell r="H5184">
            <v>0</v>
          </cell>
          <cell r="I5184">
            <v>1</v>
          </cell>
          <cell r="J5184">
            <v>0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 t="b">
            <v>0</v>
          </cell>
        </row>
        <row r="5185">
          <cell r="A5185" t="str">
            <v>Data split-1;Reg-97</v>
          </cell>
          <cell r="B5185">
            <v>-2</v>
          </cell>
          <cell r="C5185">
            <v>1.5</v>
          </cell>
          <cell r="D5185">
            <v>0</v>
          </cell>
          <cell r="E5185">
            <v>0.17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18.100000000000001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 t="b">
            <v>0</v>
          </cell>
        </row>
        <row r="5186">
          <cell r="A5186" t="str">
            <v>Data split-1;Reg-98</v>
          </cell>
          <cell r="B5186">
            <v>0.68</v>
          </cell>
          <cell r="C5186">
            <v>1.2</v>
          </cell>
          <cell r="D5186">
            <v>0</v>
          </cell>
          <cell r="E5186">
            <v>0</v>
          </cell>
          <cell r="F5186">
            <v>0.2</v>
          </cell>
          <cell r="G5186">
            <v>0</v>
          </cell>
          <cell r="H5186">
            <v>0</v>
          </cell>
          <cell r="I5186">
            <v>1.6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 t="b">
            <v>0</v>
          </cell>
        </row>
        <row r="5187">
          <cell r="A5187" t="str">
            <v>Data split-1;Reg-99</v>
          </cell>
          <cell r="B5187">
            <v>-1.6</v>
          </cell>
          <cell r="C5187">
            <v>1.2</v>
          </cell>
          <cell r="D5187">
            <v>0</v>
          </cell>
          <cell r="E5187">
            <v>0</v>
          </cell>
          <cell r="F5187">
            <v>0.21</v>
          </cell>
          <cell r="G5187">
            <v>0</v>
          </cell>
          <cell r="H5187">
            <v>0</v>
          </cell>
          <cell r="I5187">
            <v>0</v>
          </cell>
          <cell r="J5187">
            <v>21.8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 t="b">
            <v>0</v>
          </cell>
        </row>
        <row r="5188">
          <cell r="A5188" t="str">
            <v>Data split-1;Reg-100</v>
          </cell>
          <cell r="B5188">
            <v>-0.26</v>
          </cell>
          <cell r="C5188">
            <v>0</v>
          </cell>
          <cell r="D5188">
            <v>1.5</v>
          </cell>
          <cell r="E5188">
            <v>0.26</v>
          </cell>
          <cell r="F5188">
            <v>0</v>
          </cell>
          <cell r="G5188">
            <v>0</v>
          </cell>
          <cell r="H5188">
            <v>0</v>
          </cell>
          <cell r="I5188">
            <v>0.79</v>
          </cell>
          <cell r="J5188">
            <v>0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 t="b">
            <v>0</v>
          </cell>
        </row>
        <row r="5189">
          <cell r="A5189" t="str">
            <v>Data split-1;Reg-101</v>
          </cell>
          <cell r="B5189">
            <v>-2</v>
          </cell>
          <cell r="C5189">
            <v>0</v>
          </cell>
          <cell r="D5189">
            <v>1.6</v>
          </cell>
          <cell r="E5189">
            <v>4.8000000000000001E-2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15.2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 t="b">
            <v>0</v>
          </cell>
        </row>
        <row r="5190">
          <cell r="A5190" t="str">
            <v>Data split-1;Reg-102</v>
          </cell>
          <cell r="B5190">
            <v>0.45</v>
          </cell>
          <cell r="C5190">
            <v>0</v>
          </cell>
          <cell r="D5190">
            <v>1.3</v>
          </cell>
          <cell r="E5190">
            <v>0</v>
          </cell>
          <cell r="F5190">
            <v>0.19</v>
          </cell>
          <cell r="G5190">
            <v>0</v>
          </cell>
          <cell r="H5190">
            <v>0</v>
          </cell>
          <cell r="I5190">
            <v>1.3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 t="b">
            <v>0</v>
          </cell>
        </row>
        <row r="5191">
          <cell r="A5191" t="str">
            <v>Data split-1;Reg-103</v>
          </cell>
          <cell r="B5191">
            <v>-1.5</v>
          </cell>
          <cell r="C5191">
            <v>0</v>
          </cell>
          <cell r="D5191">
            <v>1.3</v>
          </cell>
          <cell r="E5191">
            <v>0</v>
          </cell>
          <cell r="F5191">
            <v>0.2</v>
          </cell>
          <cell r="G5191">
            <v>0</v>
          </cell>
          <cell r="H5191">
            <v>0</v>
          </cell>
          <cell r="I5191">
            <v>0</v>
          </cell>
          <cell r="J5191">
            <v>18.8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 t="b">
            <v>0</v>
          </cell>
        </row>
        <row r="5192">
          <cell r="A5192" t="str">
            <v>Data split-1;Reg-104</v>
          </cell>
          <cell r="B5192">
            <v>0.51</v>
          </cell>
          <cell r="C5192">
            <v>1.4</v>
          </cell>
          <cell r="D5192">
            <v>0</v>
          </cell>
          <cell r="E5192">
            <v>0.76</v>
          </cell>
          <cell r="F5192">
            <v>0</v>
          </cell>
          <cell r="G5192">
            <v>0</v>
          </cell>
          <cell r="H5192">
            <v>0</v>
          </cell>
          <cell r="I5192">
            <v>0</v>
          </cell>
          <cell r="J5192">
            <v>0</v>
          </cell>
          <cell r="K5192">
            <v>-0.12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 t="b">
            <v>0</v>
          </cell>
        </row>
        <row r="5193">
          <cell r="A5193" t="str">
            <v>Data split-1;Reg-105</v>
          </cell>
          <cell r="B5193">
            <v>0.56000000000000005</v>
          </cell>
          <cell r="C5193">
            <v>1.3</v>
          </cell>
          <cell r="D5193">
            <v>0</v>
          </cell>
          <cell r="E5193">
            <v>0.74</v>
          </cell>
          <cell r="F5193">
            <v>0</v>
          </cell>
          <cell r="G5193">
            <v>0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-0.42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 t="b">
            <v>0</v>
          </cell>
        </row>
        <row r="5194">
          <cell r="A5194" t="str">
            <v>Data split-1;Reg-106</v>
          </cell>
          <cell r="B5194">
            <v>1.8</v>
          </cell>
          <cell r="C5194">
            <v>1.3</v>
          </cell>
          <cell r="D5194">
            <v>0</v>
          </cell>
          <cell r="E5194">
            <v>0</v>
          </cell>
          <cell r="F5194">
            <v>0.21</v>
          </cell>
          <cell r="G5194">
            <v>0</v>
          </cell>
          <cell r="H5194">
            <v>0</v>
          </cell>
          <cell r="I5194">
            <v>0</v>
          </cell>
          <cell r="J5194">
            <v>0</v>
          </cell>
          <cell r="K5194">
            <v>0.88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 t="b">
            <v>0</v>
          </cell>
        </row>
        <row r="5195">
          <cell r="A5195" t="str">
            <v>Data split-1;Reg-107</v>
          </cell>
          <cell r="B5195">
            <v>1.4</v>
          </cell>
          <cell r="C5195">
            <v>1.4</v>
          </cell>
          <cell r="D5195">
            <v>0</v>
          </cell>
          <cell r="E5195">
            <v>0</v>
          </cell>
          <cell r="F5195">
            <v>0.21</v>
          </cell>
          <cell r="G5195">
            <v>0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4.3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 t="b">
            <v>0</v>
          </cell>
        </row>
        <row r="5196">
          <cell r="A5196" t="str">
            <v>Data split-1;Reg-108</v>
          </cell>
          <cell r="B5196">
            <v>7.5999999999999998E-2</v>
          </cell>
          <cell r="C5196">
            <v>0</v>
          </cell>
          <cell r="D5196">
            <v>1.6</v>
          </cell>
          <cell r="E5196">
            <v>0.51</v>
          </cell>
          <cell r="F5196">
            <v>0</v>
          </cell>
          <cell r="G5196">
            <v>0</v>
          </cell>
          <cell r="H5196">
            <v>0</v>
          </cell>
          <cell r="I5196">
            <v>0</v>
          </cell>
          <cell r="J5196">
            <v>0</v>
          </cell>
          <cell r="K5196">
            <v>-0.26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 t="b">
            <v>0</v>
          </cell>
        </row>
        <row r="5197">
          <cell r="A5197" t="str">
            <v>Data split-1;Reg-109</v>
          </cell>
          <cell r="B5197">
            <v>0.22</v>
          </cell>
          <cell r="C5197">
            <v>0</v>
          </cell>
          <cell r="D5197">
            <v>1.6</v>
          </cell>
          <cell r="E5197">
            <v>0.46</v>
          </cell>
          <cell r="F5197">
            <v>0</v>
          </cell>
          <cell r="G5197">
            <v>0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-1.6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 t="b">
            <v>0</v>
          </cell>
        </row>
        <row r="5198">
          <cell r="A5198" t="str">
            <v>Data split-1;Reg-110</v>
          </cell>
          <cell r="B5198">
            <v>1.3</v>
          </cell>
          <cell r="C5198">
            <v>0</v>
          </cell>
          <cell r="D5198">
            <v>1.4</v>
          </cell>
          <cell r="E5198">
            <v>0</v>
          </cell>
          <cell r="F5198">
            <v>0.2</v>
          </cell>
          <cell r="G5198">
            <v>0</v>
          </cell>
          <cell r="H5198">
            <v>0</v>
          </cell>
          <cell r="I5198">
            <v>0</v>
          </cell>
          <cell r="J5198">
            <v>0</v>
          </cell>
          <cell r="K5198">
            <v>0.62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 t="b">
            <v>0</v>
          </cell>
        </row>
        <row r="5199">
          <cell r="A5199" t="str">
            <v>Data split-1;Reg-111</v>
          </cell>
          <cell r="B5199">
            <v>0.98</v>
          </cell>
          <cell r="C5199">
            <v>0</v>
          </cell>
          <cell r="D5199">
            <v>1.5</v>
          </cell>
          <cell r="E5199">
            <v>0</v>
          </cell>
          <cell r="F5199">
            <v>0.2</v>
          </cell>
          <cell r="G5199">
            <v>0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>
            <v>2.9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 t="b">
            <v>0</v>
          </cell>
        </row>
        <row r="5200">
          <cell r="A5200" t="str">
            <v>Data split-1;Reg-112</v>
          </cell>
          <cell r="B5200">
            <v>-0.1</v>
          </cell>
          <cell r="C5200">
            <v>1.5</v>
          </cell>
          <cell r="D5200">
            <v>0</v>
          </cell>
          <cell r="E5200">
            <v>0</v>
          </cell>
          <cell r="F5200">
            <v>0</v>
          </cell>
          <cell r="G5200">
            <v>0.11</v>
          </cell>
          <cell r="H5200">
            <v>0</v>
          </cell>
          <cell r="I5200">
            <v>1.3</v>
          </cell>
          <cell r="J5200">
            <v>0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 t="b">
            <v>0</v>
          </cell>
        </row>
        <row r="5201">
          <cell r="A5201" t="str">
            <v>Data split-1;Reg-113</v>
          </cell>
          <cell r="B5201">
            <v>-2.1</v>
          </cell>
          <cell r="C5201">
            <v>1.6</v>
          </cell>
          <cell r="D5201">
            <v>0</v>
          </cell>
          <cell r="E5201">
            <v>0</v>
          </cell>
          <cell r="F5201">
            <v>0</v>
          </cell>
          <cell r="G5201">
            <v>2.8000000000000001E-2</v>
          </cell>
          <cell r="H5201">
            <v>0</v>
          </cell>
          <cell r="I5201">
            <v>0</v>
          </cell>
          <cell r="J5201">
            <v>19.100000000000001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 t="b">
            <v>0</v>
          </cell>
        </row>
        <row r="5202">
          <cell r="A5202" t="str">
            <v>Data split-1;Reg-114</v>
          </cell>
          <cell r="B5202">
            <v>-8.5000000000000006E-2</v>
          </cell>
          <cell r="C5202">
            <v>1.2</v>
          </cell>
          <cell r="D5202">
            <v>0</v>
          </cell>
          <cell r="E5202">
            <v>0</v>
          </cell>
          <cell r="F5202">
            <v>0</v>
          </cell>
          <cell r="G5202">
            <v>0</v>
          </cell>
          <cell r="H5202">
            <v>0.98</v>
          </cell>
          <cell r="I5202">
            <v>0.81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 t="b">
            <v>0</v>
          </cell>
        </row>
        <row r="5203">
          <cell r="A5203" t="str">
            <v>Data split-1;Reg-115</v>
          </cell>
          <cell r="B5203">
            <v>-1.9</v>
          </cell>
          <cell r="C5203">
            <v>1.3</v>
          </cell>
          <cell r="D5203">
            <v>0</v>
          </cell>
          <cell r="E5203">
            <v>0</v>
          </cell>
          <cell r="F5203">
            <v>0</v>
          </cell>
          <cell r="G5203">
            <v>0</v>
          </cell>
          <cell r="H5203">
            <v>0.75</v>
          </cell>
          <cell r="I5203">
            <v>0</v>
          </cell>
          <cell r="J5203">
            <v>16.100000000000001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 t="b">
            <v>0</v>
          </cell>
        </row>
        <row r="5204">
          <cell r="A5204" t="str">
            <v>Data split-1;Reg-116</v>
          </cell>
          <cell r="B5204">
            <v>-0.34</v>
          </cell>
          <cell r="C5204">
            <v>0</v>
          </cell>
          <cell r="D5204">
            <v>1.7</v>
          </cell>
          <cell r="E5204">
            <v>0</v>
          </cell>
          <cell r="F5204">
            <v>0</v>
          </cell>
          <cell r="G5204">
            <v>3.3000000000000002E-2</v>
          </cell>
          <cell r="H5204">
            <v>0</v>
          </cell>
          <cell r="I5204">
            <v>0.96</v>
          </cell>
          <cell r="J5204">
            <v>0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 t="b">
            <v>0</v>
          </cell>
        </row>
        <row r="5205">
          <cell r="A5205" t="str">
            <v>Data split-1;Reg-117</v>
          </cell>
          <cell r="B5205">
            <v>-2</v>
          </cell>
          <cell r="C5205">
            <v>0</v>
          </cell>
          <cell r="D5205">
            <v>1.7</v>
          </cell>
          <cell r="E5205">
            <v>0</v>
          </cell>
          <cell r="F5205">
            <v>0</v>
          </cell>
          <cell r="G5205">
            <v>-2.8000000000000001E-2</v>
          </cell>
          <cell r="H5205">
            <v>0</v>
          </cell>
          <cell r="I5205">
            <v>0</v>
          </cell>
          <cell r="J5205">
            <v>15.7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 t="b">
            <v>0</v>
          </cell>
        </row>
        <row r="5206">
          <cell r="A5206" t="str">
            <v>Data split-1;Reg-118</v>
          </cell>
          <cell r="B5206">
            <v>-0.31</v>
          </cell>
          <cell r="C5206">
            <v>0</v>
          </cell>
          <cell r="D5206">
            <v>1.4</v>
          </cell>
          <cell r="E5206">
            <v>0</v>
          </cell>
          <cell r="F5206">
            <v>0</v>
          </cell>
          <cell r="G5206">
            <v>0</v>
          </cell>
          <cell r="H5206">
            <v>0.79</v>
          </cell>
          <cell r="I5206">
            <v>0.56000000000000005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 t="b">
            <v>0</v>
          </cell>
        </row>
        <row r="5207">
          <cell r="A5207" t="str">
            <v>Data split-1;Reg-119</v>
          </cell>
          <cell r="B5207">
            <v>-1.9</v>
          </cell>
          <cell r="C5207">
            <v>0</v>
          </cell>
          <cell r="D5207">
            <v>1.4</v>
          </cell>
          <cell r="E5207">
            <v>0</v>
          </cell>
          <cell r="F5207">
            <v>0</v>
          </cell>
          <cell r="G5207">
            <v>0</v>
          </cell>
          <cell r="H5207">
            <v>0.64</v>
          </cell>
          <cell r="I5207">
            <v>0</v>
          </cell>
          <cell r="J5207">
            <v>13.4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 t="b">
            <v>0</v>
          </cell>
        </row>
        <row r="5208">
          <cell r="A5208" t="str">
            <v>Data split-1;Reg-120</v>
          </cell>
          <cell r="B5208">
            <v>0.42</v>
          </cell>
          <cell r="C5208">
            <v>1.5</v>
          </cell>
          <cell r="D5208">
            <v>0</v>
          </cell>
          <cell r="E5208">
            <v>0</v>
          </cell>
          <cell r="F5208">
            <v>0</v>
          </cell>
          <cell r="G5208">
            <v>0.38</v>
          </cell>
          <cell r="H5208">
            <v>0</v>
          </cell>
          <cell r="I5208">
            <v>0</v>
          </cell>
          <cell r="J5208">
            <v>0</v>
          </cell>
          <cell r="K5208">
            <v>0.09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 t="b">
            <v>0</v>
          </cell>
        </row>
        <row r="5209">
          <cell r="A5209" t="str">
            <v>Data split-1;Reg-121</v>
          </cell>
          <cell r="B5209">
            <v>0.33</v>
          </cell>
          <cell r="C5209">
            <v>1.5</v>
          </cell>
          <cell r="D5209">
            <v>0</v>
          </cell>
          <cell r="E5209">
            <v>0</v>
          </cell>
          <cell r="F5209">
            <v>0</v>
          </cell>
          <cell r="G5209">
            <v>0.4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0.94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 t="b">
            <v>0</v>
          </cell>
        </row>
        <row r="5210">
          <cell r="A5210" t="str">
            <v>Data split-1;Reg-122</v>
          </cell>
          <cell r="B5210">
            <v>0.31</v>
          </cell>
          <cell r="C5210">
            <v>1.2</v>
          </cell>
          <cell r="D5210">
            <v>0</v>
          </cell>
          <cell r="E5210">
            <v>0</v>
          </cell>
          <cell r="F5210">
            <v>0</v>
          </cell>
          <cell r="G5210">
            <v>0</v>
          </cell>
          <cell r="H5210">
            <v>1.2</v>
          </cell>
          <cell r="I5210">
            <v>0</v>
          </cell>
          <cell r="J5210">
            <v>0</v>
          </cell>
          <cell r="K5210">
            <v>8.8999999999999996E-2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 t="b">
            <v>0</v>
          </cell>
        </row>
        <row r="5211">
          <cell r="A5211" t="str">
            <v>Data split-1;Reg-123</v>
          </cell>
          <cell r="B5211">
            <v>0.15</v>
          </cell>
          <cell r="C5211">
            <v>1.1000000000000001</v>
          </cell>
          <cell r="D5211">
            <v>0</v>
          </cell>
          <cell r="E5211">
            <v>0</v>
          </cell>
          <cell r="F5211">
            <v>0</v>
          </cell>
          <cell r="G5211">
            <v>0</v>
          </cell>
          <cell r="H5211">
            <v>1.3</v>
          </cell>
          <cell r="I5211">
            <v>0</v>
          </cell>
          <cell r="J5211">
            <v>0</v>
          </cell>
          <cell r="K5211">
            <v>0</v>
          </cell>
          <cell r="L5211">
            <v>2.1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 t="b">
            <v>0</v>
          </cell>
        </row>
        <row r="5212">
          <cell r="A5212" t="str">
            <v>Data split-1;Reg-124</v>
          </cell>
          <cell r="B5212">
            <v>-4.8999999999999998E-4</v>
          </cell>
          <cell r="C5212">
            <v>0</v>
          </cell>
          <cell r="D5212">
            <v>1.7</v>
          </cell>
          <cell r="E5212">
            <v>0</v>
          </cell>
          <cell r="F5212">
            <v>0</v>
          </cell>
          <cell r="G5212">
            <v>0.23</v>
          </cell>
          <cell r="H5212">
            <v>0</v>
          </cell>
          <cell r="I5212">
            <v>0</v>
          </cell>
          <cell r="J5212">
            <v>0</v>
          </cell>
          <cell r="K5212">
            <v>-0.12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 t="b">
            <v>1</v>
          </cell>
        </row>
        <row r="5213">
          <cell r="A5213" t="str">
            <v>Data split-1;Reg-125</v>
          </cell>
          <cell r="B5213">
            <v>9.9000000000000005E-2</v>
          </cell>
          <cell r="C5213">
            <v>0</v>
          </cell>
          <cell r="D5213">
            <v>1.7</v>
          </cell>
          <cell r="E5213">
            <v>0</v>
          </cell>
          <cell r="F5213">
            <v>0</v>
          </cell>
          <cell r="G5213">
            <v>0.2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-1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 t="b">
            <v>0</v>
          </cell>
        </row>
        <row r="5214">
          <cell r="A5214" t="str">
            <v>Data split-1;Reg-126</v>
          </cell>
          <cell r="B5214">
            <v>-7.5999999999999998E-2</v>
          </cell>
          <cell r="C5214">
            <v>0</v>
          </cell>
          <cell r="D5214">
            <v>1.4</v>
          </cell>
          <cell r="E5214">
            <v>0</v>
          </cell>
          <cell r="F5214">
            <v>0</v>
          </cell>
          <cell r="G5214">
            <v>0</v>
          </cell>
          <cell r="H5214">
            <v>0.96</v>
          </cell>
          <cell r="I5214">
            <v>0</v>
          </cell>
          <cell r="J5214">
            <v>0</v>
          </cell>
          <cell r="K5214">
            <v>-0.12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 t="b">
            <v>1</v>
          </cell>
        </row>
        <row r="5215">
          <cell r="A5215" t="str">
            <v>Data split-1;Reg-127</v>
          </cell>
          <cell r="B5215">
            <v>-7.1999999999999995E-2</v>
          </cell>
          <cell r="C5215">
            <v>0</v>
          </cell>
          <cell r="D5215">
            <v>1.4</v>
          </cell>
          <cell r="E5215">
            <v>0</v>
          </cell>
          <cell r="F5215">
            <v>0</v>
          </cell>
          <cell r="G5215">
            <v>0</v>
          </cell>
          <cell r="H5215">
            <v>0.97</v>
          </cell>
          <cell r="I5215">
            <v>0</v>
          </cell>
          <cell r="J5215">
            <v>0</v>
          </cell>
          <cell r="K5215">
            <v>0</v>
          </cell>
          <cell r="L5215">
            <v>0.28000000000000003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 t="b">
            <v>0</v>
          </cell>
        </row>
        <row r="5216">
          <cell r="A5216" t="str">
            <v>Data split-2;Reg-1</v>
          </cell>
          <cell r="B5216">
            <v>-7</v>
          </cell>
          <cell r="C5216">
            <v>2.5</v>
          </cell>
          <cell r="D5216">
            <v>0</v>
          </cell>
          <cell r="E5216">
            <v>0</v>
          </cell>
          <cell r="F5216">
            <v>0.66</v>
          </cell>
          <cell r="G5216">
            <v>0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-10.9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 t="b">
            <v>1</v>
          </cell>
        </row>
        <row r="5217">
          <cell r="A5217" t="str">
            <v>Data split-2;Reg-2</v>
          </cell>
          <cell r="B5217">
            <v>-4.8</v>
          </cell>
          <cell r="C5217">
            <v>2.1</v>
          </cell>
          <cell r="D5217">
            <v>0</v>
          </cell>
          <cell r="E5217">
            <v>0</v>
          </cell>
          <cell r="F5217">
            <v>2.2999999999999998</v>
          </cell>
          <cell r="G5217">
            <v>-1.3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0</v>
          </cell>
          <cell r="M5217">
            <v>-7.1999999999999995E-2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 t="b">
            <v>0</v>
          </cell>
        </row>
        <row r="5218">
          <cell r="A5218" t="str">
            <v>Data split-2;Reg-3</v>
          </cell>
          <cell r="B5218">
            <v>-5.4</v>
          </cell>
          <cell r="C5218">
            <v>2.2000000000000002</v>
          </cell>
          <cell r="D5218">
            <v>0</v>
          </cell>
          <cell r="E5218">
            <v>0</v>
          </cell>
          <cell r="F5218">
            <v>2.2000000000000002</v>
          </cell>
          <cell r="G5218">
            <v>-1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0</v>
          </cell>
          <cell r="M5218">
            <v>0</v>
          </cell>
          <cell r="N5218">
            <v>-1.9E-2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 t="b">
            <v>0</v>
          </cell>
        </row>
        <row r="5219">
          <cell r="A5219" t="str">
            <v>Data split-2;Reg-4</v>
          </cell>
          <cell r="B5219">
            <v>-3.5</v>
          </cell>
          <cell r="C5219">
            <v>2.2999999999999998</v>
          </cell>
          <cell r="D5219">
            <v>0</v>
          </cell>
          <cell r="E5219">
            <v>0</v>
          </cell>
          <cell r="F5219">
            <v>2.5</v>
          </cell>
          <cell r="G5219">
            <v>0</v>
          </cell>
          <cell r="H5219">
            <v>-3.7</v>
          </cell>
          <cell r="I5219">
            <v>0</v>
          </cell>
          <cell r="J5219">
            <v>0</v>
          </cell>
          <cell r="K5219">
            <v>0</v>
          </cell>
          <cell r="L5219">
            <v>0</v>
          </cell>
          <cell r="M5219">
            <v>7.4000000000000003E-3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 t="b">
            <v>0</v>
          </cell>
        </row>
        <row r="5220">
          <cell r="A5220" t="str">
            <v>Data split-2;Reg-5</v>
          </cell>
          <cell r="B5220">
            <v>-3.7</v>
          </cell>
          <cell r="C5220">
            <v>0</v>
          </cell>
          <cell r="D5220">
            <v>2.4</v>
          </cell>
          <cell r="E5220">
            <v>0</v>
          </cell>
          <cell r="F5220">
            <v>2.4</v>
          </cell>
          <cell r="G5220">
            <v>0</v>
          </cell>
          <cell r="H5220">
            <v>-3.7</v>
          </cell>
          <cell r="I5220">
            <v>0</v>
          </cell>
          <cell r="J5220">
            <v>0</v>
          </cell>
          <cell r="K5220">
            <v>0</v>
          </cell>
          <cell r="L5220">
            <v>0</v>
          </cell>
          <cell r="M5220">
            <v>7.4000000000000003E-3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 t="b">
            <v>0</v>
          </cell>
        </row>
        <row r="5221">
          <cell r="A5221" t="str">
            <v>Data split-2;Reg-6</v>
          </cell>
          <cell r="B5221">
            <v>-4.2</v>
          </cell>
          <cell r="C5221">
            <v>3.2</v>
          </cell>
          <cell r="D5221">
            <v>0</v>
          </cell>
          <cell r="E5221">
            <v>-1.4</v>
          </cell>
          <cell r="F5221">
            <v>0</v>
          </cell>
          <cell r="G5221">
            <v>0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>
            <v>-3.9</v>
          </cell>
          <cell r="M5221">
            <v>7.1000000000000004E-3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 t="b">
            <v>0</v>
          </cell>
        </row>
        <row r="5222">
          <cell r="A5222" t="str">
            <v>Data split-2;Reg-7</v>
          </cell>
          <cell r="B5222">
            <v>-4.4000000000000004</v>
          </cell>
          <cell r="C5222">
            <v>2.2000000000000002</v>
          </cell>
          <cell r="D5222">
            <v>0</v>
          </cell>
          <cell r="E5222">
            <v>0</v>
          </cell>
          <cell r="F5222">
            <v>2.2999999999999998</v>
          </cell>
          <cell r="G5222">
            <v>0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>
            <v>-11.1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-0.19</v>
          </cell>
          <cell r="T5222">
            <v>0</v>
          </cell>
          <cell r="U5222" t="b">
            <v>1</v>
          </cell>
        </row>
        <row r="5223">
          <cell r="A5223" t="str">
            <v>Data split-2;Reg-8</v>
          </cell>
          <cell r="B5223">
            <v>-6.1</v>
          </cell>
          <cell r="C5223">
            <v>3</v>
          </cell>
          <cell r="D5223">
            <v>0</v>
          </cell>
          <cell r="E5223">
            <v>0</v>
          </cell>
          <cell r="F5223">
            <v>0</v>
          </cell>
          <cell r="G5223">
            <v>0.92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-8.9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-0.16</v>
          </cell>
          <cell r="T5223">
            <v>0</v>
          </cell>
          <cell r="U5223" t="b">
            <v>1</v>
          </cell>
        </row>
        <row r="5224">
          <cell r="A5224" t="str">
            <v>Data split-2;Reg-9</v>
          </cell>
          <cell r="B5224">
            <v>-5.8</v>
          </cell>
          <cell r="C5224">
            <v>0</v>
          </cell>
          <cell r="D5224">
            <v>3</v>
          </cell>
          <cell r="E5224">
            <v>0</v>
          </cell>
          <cell r="F5224">
            <v>0</v>
          </cell>
          <cell r="G5224">
            <v>0</v>
          </cell>
          <cell r="H5224">
            <v>1.3</v>
          </cell>
          <cell r="I5224">
            <v>0</v>
          </cell>
          <cell r="J5224">
            <v>0</v>
          </cell>
          <cell r="K5224">
            <v>0</v>
          </cell>
          <cell r="L5224">
            <v>-11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-0.16</v>
          </cell>
          <cell r="T5224">
            <v>0</v>
          </cell>
          <cell r="U5224" t="b">
            <v>1</v>
          </cell>
        </row>
        <row r="5225">
          <cell r="A5225" t="str">
            <v>Data split-2;Reg-10</v>
          </cell>
          <cell r="B5225">
            <v>-5.8</v>
          </cell>
          <cell r="C5225">
            <v>0</v>
          </cell>
          <cell r="D5225">
            <v>3</v>
          </cell>
          <cell r="E5225">
            <v>0</v>
          </cell>
          <cell r="F5225">
            <v>0</v>
          </cell>
          <cell r="G5225">
            <v>0</v>
          </cell>
          <cell r="H5225">
            <v>1.3</v>
          </cell>
          <cell r="I5225">
            <v>0</v>
          </cell>
          <cell r="J5225">
            <v>0</v>
          </cell>
          <cell r="K5225">
            <v>0</v>
          </cell>
          <cell r="L5225">
            <v>-11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-0.16</v>
          </cell>
          <cell r="T5225">
            <v>0</v>
          </cell>
          <cell r="U5225" t="b">
            <v>1</v>
          </cell>
        </row>
        <row r="5226">
          <cell r="A5226" t="str">
            <v>Data split-2;Reg-11</v>
          </cell>
          <cell r="B5226">
            <v>-4.8</v>
          </cell>
          <cell r="C5226">
            <v>3.2</v>
          </cell>
          <cell r="D5226">
            <v>0</v>
          </cell>
          <cell r="E5226">
            <v>-3</v>
          </cell>
          <cell r="F5226">
            <v>0</v>
          </cell>
          <cell r="G5226">
            <v>1.4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 t="b">
            <v>0</v>
          </cell>
        </row>
        <row r="5227">
          <cell r="A5227" t="str">
            <v>Data split-2;Reg-12</v>
          </cell>
          <cell r="B5227">
            <v>-4.7</v>
          </cell>
          <cell r="C5227">
            <v>3.1</v>
          </cell>
          <cell r="D5227">
            <v>0</v>
          </cell>
          <cell r="E5227">
            <v>-2.4</v>
          </cell>
          <cell r="F5227">
            <v>0</v>
          </cell>
          <cell r="G5227">
            <v>0</v>
          </cell>
          <cell r="H5227">
            <v>1.5</v>
          </cell>
          <cell r="I5227">
            <v>0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 t="b">
            <v>0</v>
          </cell>
        </row>
        <row r="5228">
          <cell r="A5228" t="str">
            <v>Data split-2;Reg-13</v>
          </cell>
          <cell r="B5228">
            <v>-3.9</v>
          </cell>
          <cell r="C5228">
            <v>2.2000000000000002</v>
          </cell>
          <cell r="D5228">
            <v>0</v>
          </cell>
          <cell r="E5228">
            <v>0</v>
          </cell>
          <cell r="F5228">
            <v>2.4</v>
          </cell>
          <cell r="G5228">
            <v>-2.1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 t="b">
            <v>0</v>
          </cell>
        </row>
        <row r="5229">
          <cell r="A5229" t="str">
            <v>Data split-2;Reg-14</v>
          </cell>
          <cell r="B5229">
            <v>-3.6</v>
          </cell>
          <cell r="C5229">
            <v>2.2999999999999998</v>
          </cell>
          <cell r="D5229">
            <v>0</v>
          </cell>
          <cell r="E5229">
            <v>0</v>
          </cell>
          <cell r="F5229">
            <v>2.5</v>
          </cell>
          <cell r="G5229">
            <v>0</v>
          </cell>
          <cell r="H5229">
            <v>-3.6</v>
          </cell>
          <cell r="I5229">
            <v>0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 t="b">
            <v>0</v>
          </cell>
        </row>
        <row r="5230">
          <cell r="A5230" t="str">
            <v>Data split-2;Reg-15</v>
          </cell>
          <cell r="B5230">
            <v>-4.4000000000000004</v>
          </cell>
          <cell r="C5230">
            <v>3.2</v>
          </cell>
          <cell r="D5230">
            <v>0</v>
          </cell>
          <cell r="E5230">
            <v>-1.6</v>
          </cell>
          <cell r="F5230">
            <v>0</v>
          </cell>
          <cell r="G5230">
            <v>0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0</v>
          </cell>
          <cell r="M5230">
            <v>1.7000000000000001E-2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 t="b">
            <v>0</v>
          </cell>
        </row>
        <row r="5231">
          <cell r="A5231" t="str">
            <v>Data split-2;Reg-16</v>
          </cell>
          <cell r="B5231">
            <v>-4.7</v>
          </cell>
          <cell r="C5231">
            <v>3.2</v>
          </cell>
          <cell r="D5231">
            <v>0</v>
          </cell>
          <cell r="E5231">
            <v>-1.3</v>
          </cell>
          <cell r="F5231">
            <v>0</v>
          </cell>
          <cell r="G5231">
            <v>0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-1.1999999999999999E-3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 t="b">
            <v>0</v>
          </cell>
        </row>
        <row r="5232">
          <cell r="A5232" t="str">
            <v>Data split-2;Reg-17</v>
          </cell>
          <cell r="B5232">
            <v>-6.7</v>
          </cell>
          <cell r="C5232">
            <v>2.1</v>
          </cell>
          <cell r="D5232">
            <v>0</v>
          </cell>
          <cell r="E5232">
            <v>0</v>
          </cell>
          <cell r="F5232">
            <v>1.9</v>
          </cell>
          <cell r="G5232">
            <v>0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>
            <v>0</v>
          </cell>
          <cell r="M5232">
            <v>-0.15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 t="b">
            <v>1</v>
          </cell>
        </row>
        <row r="5233">
          <cell r="A5233" t="str">
            <v>Data split-2;Reg-18</v>
          </cell>
          <cell r="B5233">
            <v>-7</v>
          </cell>
          <cell r="C5233">
            <v>2.2999999999999998</v>
          </cell>
          <cell r="D5233">
            <v>0</v>
          </cell>
          <cell r="E5233">
            <v>0</v>
          </cell>
          <cell r="F5233">
            <v>1.9</v>
          </cell>
          <cell r="G5233">
            <v>0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0</v>
          </cell>
          <cell r="M5233">
            <v>0</v>
          </cell>
          <cell r="N5233">
            <v>-3.2000000000000001E-2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 t="b">
            <v>1</v>
          </cell>
        </row>
        <row r="5234">
          <cell r="A5234" t="str">
            <v>Data split-2;Reg-19</v>
          </cell>
          <cell r="B5234">
            <v>-6.2</v>
          </cell>
          <cell r="C5234">
            <v>3</v>
          </cell>
          <cell r="D5234">
            <v>0</v>
          </cell>
          <cell r="E5234">
            <v>0</v>
          </cell>
          <cell r="F5234">
            <v>0</v>
          </cell>
          <cell r="G5234">
            <v>-0.35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-3.6999999999999998E-2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 t="b">
            <v>0</v>
          </cell>
        </row>
        <row r="5235">
          <cell r="A5235" t="str">
            <v>Data split-2;Reg-20</v>
          </cell>
          <cell r="B5235">
            <v>-6.2</v>
          </cell>
          <cell r="C5235">
            <v>3</v>
          </cell>
          <cell r="D5235">
            <v>0</v>
          </cell>
          <cell r="E5235">
            <v>0</v>
          </cell>
          <cell r="F5235">
            <v>0</v>
          </cell>
          <cell r="G5235">
            <v>-0.44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-5.7000000000000002E-3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 t="b">
            <v>0</v>
          </cell>
        </row>
        <row r="5236">
          <cell r="A5236" t="str">
            <v>Data split-2;Reg-21</v>
          </cell>
          <cell r="B5236">
            <v>-5.6</v>
          </cell>
          <cell r="C5236">
            <v>3.1</v>
          </cell>
          <cell r="D5236">
            <v>0</v>
          </cell>
          <cell r="E5236">
            <v>0</v>
          </cell>
          <cell r="F5236">
            <v>0</v>
          </cell>
          <cell r="G5236">
            <v>0</v>
          </cell>
          <cell r="H5236">
            <v>-1.3</v>
          </cell>
          <cell r="I5236">
            <v>0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-4.3E-3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 t="b">
            <v>0</v>
          </cell>
        </row>
        <row r="5237">
          <cell r="A5237" t="str">
            <v>Data split-2;Reg-22</v>
          </cell>
          <cell r="B5237">
            <v>-5.4</v>
          </cell>
          <cell r="C5237">
            <v>3.2</v>
          </cell>
          <cell r="D5237">
            <v>0</v>
          </cell>
          <cell r="E5237">
            <v>0</v>
          </cell>
          <cell r="F5237">
            <v>0</v>
          </cell>
          <cell r="G5237">
            <v>0</v>
          </cell>
          <cell r="H5237">
            <v>-1.6</v>
          </cell>
          <cell r="I5237">
            <v>0</v>
          </cell>
          <cell r="J5237">
            <v>0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2.8E-3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 t="b">
            <v>0</v>
          </cell>
        </row>
        <row r="5238">
          <cell r="A5238" t="str">
            <v>Data split-2;Reg-23</v>
          </cell>
          <cell r="B5238">
            <v>-4.8</v>
          </cell>
          <cell r="C5238">
            <v>0</v>
          </cell>
          <cell r="D5238">
            <v>3.3</v>
          </cell>
          <cell r="E5238">
            <v>-3.1</v>
          </cell>
          <cell r="F5238">
            <v>0</v>
          </cell>
          <cell r="G5238">
            <v>1.4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 t="b">
            <v>0</v>
          </cell>
        </row>
        <row r="5239">
          <cell r="A5239" t="str">
            <v>Data split-2;Reg-24</v>
          </cell>
          <cell r="B5239">
            <v>-4.7</v>
          </cell>
          <cell r="C5239">
            <v>0</v>
          </cell>
          <cell r="D5239">
            <v>3.2</v>
          </cell>
          <cell r="E5239">
            <v>-2.6</v>
          </cell>
          <cell r="F5239">
            <v>0</v>
          </cell>
          <cell r="G5239">
            <v>0</v>
          </cell>
          <cell r="H5239">
            <v>1.6</v>
          </cell>
          <cell r="I5239">
            <v>0</v>
          </cell>
          <cell r="J5239">
            <v>0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 t="b">
            <v>0</v>
          </cell>
        </row>
        <row r="5240">
          <cell r="A5240" t="str">
            <v>Data split-2;Reg-25</v>
          </cell>
          <cell r="B5240">
            <v>-4</v>
          </cell>
          <cell r="C5240">
            <v>0</v>
          </cell>
          <cell r="D5240">
            <v>2.2999999999999998</v>
          </cell>
          <cell r="E5240">
            <v>0</v>
          </cell>
          <cell r="F5240">
            <v>2.2999999999999998</v>
          </cell>
          <cell r="G5240">
            <v>-2.1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 t="b">
            <v>0</v>
          </cell>
        </row>
        <row r="5241">
          <cell r="A5241" t="str">
            <v>Data split-2;Reg-26</v>
          </cell>
          <cell r="B5241">
            <v>-3.8</v>
          </cell>
          <cell r="C5241">
            <v>0</v>
          </cell>
          <cell r="D5241">
            <v>2.4</v>
          </cell>
          <cell r="E5241">
            <v>0</v>
          </cell>
          <cell r="F5241">
            <v>2.4</v>
          </cell>
          <cell r="G5241">
            <v>0</v>
          </cell>
          <cell r="H5241">
            <v>-3.6</v>
          </cell>
          <cell r="I5241">
            <v>0</v>
          </cell>
          <cell r="J5241">
            <v>0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 t="b">
            <v>0</v>
          </cell>
        </row>
        <row r="5242">
          <cell r="A5242" t="str">
            <v>Data split-2;Reg-27</v>
          </cell>
          <cell r="B5242">
            <v>-4.4000000000000004</v>
          </cell>
          <cell r="C5242">
            <v>0</v>
          </cell>
          <cell r="D5242">
            <v>3.3</v>
          </cell>
          <cell r="E5242">
            <v>-1.8</v>
          </cell>
          <cell r="F5242">
            <v>0</v>
          </cell>
          <cell r="G5242">
            <v>0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>
            <v>0</v>
          </cell>
          <cell r="M5242">
            <v>0.02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 t="b">
            <v>0</v>
          </cell>
        </row>
        <row r="5243">
          <cell r="A5243" t="str">
            <v>Data split-2;Reg-28</v>
          </cell>
          <cell r="B5243">
            <v>-4.5999999999999996</v>
          </cell>
          <cell r="C5243">
            <v>0</v>
          </cell>
          <cell r="D5243">
            <v>3.3</v>
          </cell>
          <cell r="E5243">
            <v>-1.5</v>
          </cell>
          <cell r="F5243">
            <v>0</v>
          </cell>
          <cell r="G5243">
            <v>0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>
            <v>0</v>
          </cell>
          <cell r="M5243">
            <v>0</v>
          </cell>
          <cell r="N5243">
            <v>-8.3999999999999995E-5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 t="b">
            <v>0</v>
          </cell>
        </row>
        <row r="5244">
          <cell r="A5244" t="str">
            <v>Data split-2;Reg-29</v>
          </cell>
          <cell r="B5244">
            <v>-6.8</v>
          </cell>
          <cell r="C5244">
            <v>0</v>
          </cell>
          <cell r="D5244">
            <v>2.2000000000000002</v>
          </cell>
          <cell r="E5244">
            <v>0</v>
          </cell>
          <cell r="F5244">
            <v>1.8</v>
          </cell>
          <cell r="G5244">
            <v>0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>
            <v>0</v>
          </cell>
          <cell r="M5244">
            <v>-0.15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 t="b">
            <v>1</v>
          </cell>
        </row>
        <row r="5245">
          <cell r="A5245" t="str">
            <v>Data split-2;Reg-30</v>
          </cell>
          <cell r="B5245">
            <v>-7.1</v>
          </cell>
          <cell r="C5245">
            <v>0</v>
          </cell>
          <cell r="D5245">
            <v>2.4</v>
          </cell>
          <cell r="E5245">
            <v>0</v>
          </cell>
          <cell r="F5245">
            <v>1.8</v>
          </cell>
          <cell r="G5245">
            <v>0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>
            <v>0</v>
          </cell>
          <cell r="M5245">
            <v>0</v>
          </cell>
          <cell r="N5245">
            <v>-3.2000000000000001E-2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 t="b">
            <v>1</v>
          </cell>
        </row>
        <row r="5246">
          <cell r="A5246" t="str">
            <v>Data split-2;Reg-31</v>
          </cell>
          <cell r="B5246">
            <v>-6.2</v>
          </cell>
          <cell r="C5246">
            <v>0</v>
          </cell>
          <cell r="D5246">
            <v>3</v>
          </cell>
          <cell r="E5246">
            <v>0</v>
          </cell>
          <cell r="F5246">
            <v>0</v>
          </cell>
          <cell r="G5246">
            <v>-0.54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-2.8000000000000001E-2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 t="b">
            <v>0</v>
          </cell>
        </row>
        <row r="5247">
          <cell r="A5247" t="str">
            <v>Data split-2;Reg-32</v>
          </cell>
          <cell r="B5247">
            <v>-6.1</v>
          </cell>
          <cell r="C5247">
            <v>0</v>
          </cell>
          <cell r="D5247">
            <v>3.1</v>
          </cell>
          <cell r="E5247">
            <v>0</v>
          </cell>
          <cell r="F5247">
            <v>0</v>
          </cell>
          <cell r="G5247">
            <v>-0.7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-2.7000000000000001E-3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 t="b">
            <v>0</v>
          </cell>
        </row>
        <row r="5248">
          <cell r="A5248" t="str">
            <v>Data split-2;Reg-33</v>
          </cell>
          <cell r="B5248">
            <v>-5.6</v>
          </cell>
          <cell r="C5248">
            <v>0</v>
          </cell>
          <cell r="D5248">
            <v>3.2</v>
          </cell>
          <cell r="E5248">
            <v>0</v>
          </cell>
          <cell r="F5248">
            <v>0</v>
          </cell>
          <cell r="G5248">
            <v>0</v>
          </cell>
          <cell r="H5248">
            <v>-1.5</v>
          </cell>
          <cell r="I5248">
            <v>0</v>
          </cell>
          <cell r="J5248">
            <v>0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7.1000000000000002E-4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 t="b">
            <v>0</v>
          </cell>
        </row>
        <row r="5249">
          <cell r="A5249" t="str">
            <v>Data split-2;Reg-34</v>
          </cell>
          <cell r="B5249">
            <v>-5.4</v>
          </cell>
          <cell r="C5249">
            <v>0</v>
          </cell>
          <cell r="D5249">
            <v>3.2</v>
          </cell>
          <cell r="E5249">
            <v>0</v>
          </cell>
          <cell r="F5249">
            <v>0</v>
          </cell>
          <cell r="G5249">
            <v>0</v>
          </cell>
          <cell r="H5249">
            <v>-1.9</v>
          </cell>
          <cell r="I5249">
            <v>0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4.7000000000000002E-3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 t="b">
            <v>0</v>
          </cell>
        </row>
        <row r="5250">
          <cell r="A5250" t="str">
            <v>Data split-2;Reg-35</v>
          </cell>
          <cell r="B5250">
            <v>-5.7</v>
          </cell>
          <cell r="C5250">
            <v>3.1</v>
          </cell>
          <cell r="D5250">
            <v>0</v>
          </cell>
          <cell r="E5250">
            <v>-2.9</v>
          </cell>
          <cell r="F5250">
            <v>0</v>
          </cell>
          <cell r="G5250">
            <v>2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0</v>
          </cell>
          <cell r="M5250">
            <v>-6.3E-2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 t="b">
            <v>0</v>
          </cell>
        </row>
        <row r="5251">
          <cell r="A5251" t="str">
            <v>Data split-2;Reg-36</v>
          </cell>
          <cell r="B5251">
            <v>-6.4</v>
          </cell>
          <cell r="C5251">
            <v>3.2</v>
          </cell>
          <cell r="D5251">
            <v>0</v>
          </cell>
          <cell r="E5251">
            <v>-2.7</v>
          </cell>
          <cell r="F5251">
            <v>0</v>
          </cell>
          <cell r="G5251">
            <v>2.2999999999999998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>
            <v>0</v>
          </cell>
          <cell r="M5251">
            <v>0</v>
          </cell>
          <cell r="N5251">
            <v>-0.02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 t="b">
            <v>0</v>
          </cell>
        </row>
        <row r="5252">
          <cell r="A5252" t="str">
            <v>Data split-2;Reg-37</v>
          </cell>
          <cell r="B5252">
            <v>-5.4</v>
          </cell>
          <cell r="C5252">
            <v>3</v>
          </cell>
          <cell r="D5252">
            <v>0</v>
          </cell>
          <cell r="E5252">
            <v>-2.5</v>
          </cell>
          <cell r="F5252">
            <v>0</v>
          </cell>
          <cell r="G5252">
            <v>0</v>
          </cell>
          <cell r="H5252">
            <v>2.6</v>
          </cell>
          <cell r="I5252">
            <v>0</v>
          </cell>
          <cell r="J5252">
            <v>0</v>
          </cell>
          <cell r="K5252">
            <v>0</v>
          </cell>
          <cell r="L5252">
            <v>0</v>
          </cell>
          <cell r="M5252">
            <v>-5.8000000000000003E-2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 t="b">
            <v>0</v>
          </cell>
        </row>
        <row r="5253">
          <cell r="A5253" t="str">
            <v>Data split-2;Reg-38</v>
          </cell>
          <cell r="B5253">
            <v>-7.3</v>
          </cell>
          <cell r="C5253">
            <v>3</v>
          </cell>
          <cell r="D5253">
            <v>0</v>
          </cell>
          <cell r="E5253">
            <v>-2.7</v>
          </cell>
          <cell r="F5253">
            <v>0</v>
          </cell>
          <cell r="G5253">
            <v>0</v>
          </cell>
          <cell r="H5253">
            <v>5</v>
          </cell>
          <cell r="I5253">
            <v>0</v>
          </cell>
          <cell r="J5253">
            <v>0</v>
          </cell>
          <cell r="K5253">
            <v>0</v>
          </cell>
          <cell r="L5253">
            <v>0</v>
          </cell>
          <cell r="M5253">
            <v>0</v>
          </cell>
          <cell r="N5253">
            <v>-3.5999999999999997E-2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 t="b">
            <v>0</v>
          </cell>
        </row>
        <row r="5254">
          <cell r="A5254" t="str">
            <v>Data split-2;Reg-39</v>
          </cell>
          <cell r="B5254">
            <v>-4.8</v>
          </cell>
          <cell r="C5254">
            <v>2.1</v>
          </cell>
          <cell r="D5254">
            <v>0</v>
          </cell>
          <cell r="E5254">
            <v>0</v>
          </cell>
          <cell r="F5254">
            <v>2.2999999999999998</v>
          </cell>
          <cell r="G5254">
            <v>-1.3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0</v>
          </cell>
          <cell r="M5254">
            <v>-7.1999999999999995E-2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 t="b">
            <v>0</v>
          </cell>
        </row>
        <row r="5255">
          <cell r="A5255" t="str">
            <v>Data split-2;Reg-40</v>
          </cell>
          <cell r="B5255">
            <v>-5.4</v>
          </cell>
          <cell r="C5255">
            <v>2.2000000000000002</v>
          </cell>
          <cell r="D5255">
            <v>0</v>
          </cell>
          <cell r="E5255">
            <v>0</v>
          </cell>
          <cell r="F5255">
            <v>2.2000000000000002</v>
          </cell>
          <cell r="G5255">
            <v>-1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-1.9E-2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 t="b">
            <v>0</v>
          </cell>
        </row>
        <row r="5256">
          <cell r="A5256" t="str">
            <v>Data split-2;Reg-41</v>
          </cell>
          <cell r="B5256">
            <v>-3.5</v>
          </cell>
          <cell r="C5256">
            <v>2.2999999999999998</v>
          </cell>
          <cell r="D5256">
            <v>0</v>
          </cell>
          <cell r="E5256">
            <v>0</v>
          </cell>
          <cell r="F5256">
            <v>2.5</v>
          </cell>
          <cell r="G5256">
            <v>0</v>
          </cell>
          <cell r="H5256">
            <v>-3.7</v>
          </cell>
          <cell r="I5256">
            <v>0</v>
          </cell>
          <cell r="J5256">
            <v>0</v>
          </cell>
          <cell r="K5256">
            <v>0</v>
          </cell>
          <cell r="L5256">
            <v>0</v>
          </cell>
          <cell r="M5256">
            <v>7.4000000000000003E-3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 t="b">
            <v>0</v>
          </cell>
        </row>
        <row r="5257">
          <cell r="A5257" t="str">
            <v>Data split-2;Reg-42</v>
          </cell>
          <cell r="B5257">
            <v>-3</v>
          </cell>
          <cell r="C5257">
            <v>2.2999999999999998</v>
          </cell>
          <cell r="D5257">
            <v>0</v>
          </cell>
          <cell r="E5257">
            <v>0</v>
          </cell>
          <cell r="F5257">
            <v>2.6</v>
          </cell>
          <cell r="G5257">
            <v>0</v>
          </cell>
          <cell r="H5257">
            <v>-4.4000000000000004</v>
          </cell>
          <cell r="I5257">
            <v>0</v>
          </cell>
          <cell r="J5257">
            <v>0</v>
          </cell>
          <cell r="K5257">
            <v>0</v>
          </cell>
          <cell r="L5257">
            <v>0</v>
          </cell>
          <cell r="M5257">
            <v>0</v>
          </cell>
          <cell r="N5257">
            <v>7.7999999999999996E-3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 t="b">
            <v>0</v>
          </cell>
        </row>
        <row r="5258">
          <cell r="A5258" t="str">
            <v>Data split-2;Reg-43</v>
          </cell>
          <cell r="B5258">
            <v>-5.3</v>
          </cell>
          <cell r="C5258">
            <v>3.1</v>
          </cell>
          <cell r="D5258">
            <v>0</v>
          </cell>
          <cell r="E5258">
            <v>-3.1</v>
          </cell>
          <cell r="F5258">
            <v>0</v>
          </cell>
          <cell r="G5258">
            <v>2.1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-5.6000000000000001E-2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 t="b">
            <v>0</v>
          </cell>
        </row>
        <row r="5259">
          <cell r="A5259" t="str">
            <v>Data split-2;Reg-44</v>
          </cell>
          <cell r="B5259">
            <v>-5.5</v>
          </cell>
          <cell r="C5259">
            <v>3.1</v>
          </cell>
          <cell r="D5259">
            <v>0</v>
          </cell>
          <cell r="E5259">
            <v>-3.1</v>
          </cell>
          <cell r="F5259">
            <v>0</v>
          </cell>
          <cell r="G5259">
            <v>2.2000000000000002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-1.2E-2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 t="b">
            <v>0</v>
          </cell>
        </row>
        <row r="5260">
          <cell r="A5260" t="str">
            <v>Data split-2;Reg-45</v>
          </cell>
          <cell r="B5260">
            <v>-4.7</v>
          </cell>
          <cell r="C5260">
            <v>3.1</v>
          </cell>
          <cell r="D5260">
            <v>0</v>
          </cell>
          <cell r="E5260">
            <v>-2.4</v>
          </cell>
          <cell r="F5260">
            <v>0</v>
          </cell>
          <cell r="G5260">
            <v>0</v>
          </cell>
          <cell r="H5260">
            <v>1.6</v>
          </cell>
          <cell r="I5260">
            <v>0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-8.5000000000000006E-3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 t="b">
            <v>0</v>
          </cell>
        </row>
        <row r="5261">
          <cell r="A5261" t="str">
            <v>Data split-2;Reg-46</v>
          </cell>
          <cell r="B5261">
            <v>-4.7</v>
          </cell>
          <cell r="C5261">
            <v>3.1</v>
          </cell>
          <cell r="D5261">
            <v>0</v>
          </cell>
          <cell r="E5261">
            <v>-2.4</v>
          </cell>
          <cell r="F5261">
            <v>0</v>
          </cell>
          <cell r="G5261">
            <v>0</v>
          </cell>
          <cell r="H5261">
            <v>1.5</v>
          </cell>
          <cell r="I5261">
            <v>0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-2.7E-4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 t="b">
            <v>0</v>
          </cell>
        </row>
        <row r="5262">
          <cell r="A5262" t="str">
            <v>Data split-2;Reg-47</v>
          </cell>
          <cell r="B5262">
            <v>-4.4000000000000004</v>
          </cell>
          <cell r="C5262">
            <v>2.1</v>
          </cell>
          <cell r="D5262">
            <v>0</v>
          </cell>
          <cell r="E5262">
            <v>0</v>
          </cell>
          <cell r="F5262">
            <v>2.4</v>
          </cell>
          <cell r="G5262">
            <v>-1.5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-5.0999999999999997E-2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 t="b">
            <v>0</v>
          </cell>
        </row>
        <row r="5263">
          <cell r="A5263" t="str">
            <v>Data split-2;Reg-48</v>
          </cell>
          <cell r="B5263">
            <v>-4.2</v>
          </cell>
          <cell r="C5263">
            <v>2.1</v>
          </cell>
          <cell r="D5263">
            <v>0</v>
          </cell>
          <cell r="E5263">
            <v>0</v>
          </cell>
          <cell r="F5263">
            <v>2.4</v>
          </cell>
          <cell r="G5263">
            <v>-1.8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-5.7999999999999996E-3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 t="b">
            <v>0</v>
          </cell>
        </row>
        <row r="5264">
          <cell r="A5264" t="str">
            <v>Data split-2;Reg-49</v>
          </cell>
          <cell r="B5264">
            <v>-3.8</v>
          </cell>
          <cell r="C5264">
            <v>2.2000000000000002</v>
          </cell>
          <cell r="D5264">
            <v>0</v>
          </cell>
          <cell r="E5264">
            <v>0</v>
          </cell>
          <cell r="F5264">
            <v>2.6</v>
          </cell>
          <cell r="G5264">
            <v>0</v>
          </cell>
          <cell r="H5264">
            <v>-3.1</v>
          </cell>
          <cell r="I5264">
            <v>0</v>
          </cell>
          <cell r="J5264">
            <v>0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-3.1E-2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 t="b">
            <v>0</v>
          </cell>
        </row>
        <row r="5265">
          <cell r="A5265" t="str">
            <v>Data split-2;Reg-50</v>
          </cell>
          <cell r="B5265">
            <v>-3.6</v>
          </cell>
          <cell r="C5265">
            <v>2.2999999999999998</v>
          </cell>
          <cell r="D5265">
            <v>0</v>
          </cell>
          <cell r="E5265">
            <v>0</v>
          </cell>
          <cell r="F5265">
            <v>2.5</v>
          </cell>
          <cell r="G5265">
            <v>0</v>
          </cell>
          <cell r="H5265">
            <v>-3.6</v>
          </cell>
          <cell r="I5265">
            <v>0</v>
          </cell>
          <cell r="J5265">
            <v>0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-2.5999999999999998E-4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 t="b">
            <v>0</v>
          </cell>
        </row>
        <row r="5266">
          <cell r="A5266" t="str">
            <v>Data split-2;Reg-51</v>
          </cell>
          <cell r="B5266">
            <v>-5.6</v>
          </cell>
          <cell r="C5266">
            <v>0</v>
          </cell>
          <cell r="D5266">
            <v>3.2</v>
          </cell>
          <cell r="E5266">
            <v>-3</v>
          </cell>
          <cell r="F5266">
            <v>0</v>
          </cell>
          <cell r="G5266">
            <v>2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-5.7000000000000002E-2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 t="b">
            <v>0</v>
          </cell>
        </row>
        <row r="5267">
          <cell r="A5267" t="str">
            <v>Data split-2;Reg-52</v>
          </cell>
          <cell r="B5267">
            <v>-6.2</v>
          </cell>
          <cell r="C5267">
            <v>0</v>
          </cell>
          <cell r="D5267">
            <v>3.2</v>
          </cell>
          <cell r="E5267">
            <v>-2.8</v>
          </cell>
          <cell r="F5267">
            <v>0</v>
          </cell>
          <cell r="G5267">
            <v>2.2000000000000002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>
            <v>0</v>
          </cell>
          <cell r="M5267">
            <v>0</v>
          </cell>
          <cell r="N5267">
            <v>-1.7999999999999999E-2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 t="b">
            <v>0</v>
          </cell>
        </row>
        <row r="5268">
          <cell r="A5268" t="str">
            <v>Data split-2;Reg-53</v>
          </cell>
          <cell r="B5268">
            <v>-5.3</v>
          </cell>
          <cell r="C5268">
            <v>0</v>
          </cell>
          <cell r="D5268">
            <v>3.1</v>
          </cell>
          <cell r="E5268">
            <v>-2.7</v>
          </cell>
          <cell r="F5268">
            <v>0</v>
          </cell>
          <cell r="G5268">
            <v>0</v>
          </cell>
          <cell r="H5268">
            <v>2.6</v>
          </cell>
          <cell r="I5268">
            <v>0</v>
          </cell>
          <cell r="J5268">
            <v>0</v>
          </cell>
          <cell r="K5268">
            <v>0</v>
          </cell>
          <cell r="L5268">
            <v>0</v>
          </cell>
          <cell r="M5268">
            <v>-5.3999999999999999E-2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 t="b">
            <v>0</v>
          </cell>
        </row>
        <row r="5269">
          <cell r="A5269" t="str">
            <v>Data split-2;Reg-54</v>
          </cell>
          <cell r="B5269">
            <v>-7.2</v>
          </cell>
          <cell r="C5269">
            <v>0</v>
          </cell>
          <cell r="D5269">
            <v>3</v>
          </cell>
          <cell r="E5269">
            <v>-2.9</v>
          </cell>
          <cell r="F5269">
            <v>0</v>
          </cell>
          <cell r="G5269">
            <v>0</v>
          </cell>
          <cell r="H5269">
            <v>4.9000000000000004</v>
          </cell>
          <cell r="I5269">
            <v>0</v>
          </cell>
          <cell r="J5269">
            <v>0</v>
          </cell>
          <cell r="K5269">
            <v>0</v>
          </cell>
          <cell r="L5269">
            <v>0</v>
          </cell>
          <cell r="M5269">
            <v>0</v>
          </cell>
          <cell r="N5269">
            <v>-3.5000000000000003E-2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 t="b">
            <v>0</v>
          </cell>
        </row>
        <row r="5270">
          <cell r="A5270" t="str">
            <v>Data split-2;Reg-55</v>
          </cell>
          <cell r="B5270">
            <v>-4.9000000000000004</v>
          </cell>
          <cell r="C5270">
            <v>0</v>
          </cell>
          <cell r="D5270">
            <v>2.2000000000000002</v>
          </cell>
          <cell r="E5270">
            <v>0</v>
          </cell>
          <cell r="F5270">
            <v>2.2000000000000002</v>
          </cell>
          <cell r="G5270">
            <v>-1.3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0</v>
          </cell>
          <cell r="M5270">
            <v>-6.9000000000000006E-2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 t="b">
            <v>0</v>
          </cell>
        </row>
        <row r="5271">
          <cell r="A5271" t="str">
            <v>Data split-2;Reg-56</v>
          </cell>
          <cell r="B5271">
            <v>-5.5</v>
          </cell>
          <cell r="C5271">
            <v>0</v>
          </cell>
          <cell r="D5271">
            <v>2.2999999999999998</v>
          </cell>
          <cell r="E5271">
            <v>0</v>
          </cell>
          <cell r="F5271">
            <v>2.1</v>
          </cell>
          <cell r="G5271">
            <v>-1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0</v>
          </cell>
          <cell r="M5271">
            <v>0</v>
          </cell>
          <cell r="N5271">
            <v>-1.9E-2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 t="b">
            <v>0</v>
          </cell>
        </row>
        <row r="5272">
          <cell r="A5272" t="str">
            <v>Data split-2;Reg-57</v>
          </cell>
          <cell r="B5272">
            <v>-3.7</v>
          </cell>
          <cell r="C5272">
            <v>0</v>
          </cell>
          <cell r="D5272">
            <v>2.4</v>
          </cell>
          <cell r="E5272">
            <v>0</v>
          </cell>
          <cell r="F5272">
            <v>2.4</v>
          </cell>
          <cell r="G5272">
            <v>0</v>
          </cell>
          <cell r="H5272">
            <v>-3.7</v>
          </cell>
          <cell r="I5272">
            <v>0</v>
          </cell>
          <cell r="J5272">
            <v>0</v>
          </cell>
          <cell r="K5272">
            <v>0</v>
          </cell>
          <cell r="L5272">
            <v>0</v>
          </cell>
          <cell r="M5272">
            <v>7.4000000000000003E-3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 t="b">
            <v>0</v>
          </cell>
        </row>
        <row r="5273">
          <cell r="A5273" t="str">
            <v>Data split-2;Reg-58</v>
          </cell>
          <cell r="B5273">
            <v>-3.1</v>
          </cell>
          <cell r="C5273">
            <v>0</v>
          </cell>
          <cell r="D5273">
            <v>2.4</v>
          </cell>
          <cell r="E5273">
            <v>0</v>
          </cell>
          <cell r="F5273">
            <v>2.5</v>
          </cell>
          <cell r="G5273">
            <v>0</v>
          </cell>
          <cell r="H5273">
            <v>-4.3</v>
          </cell>
          <cell r="I5273">
            <v>0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7.4000000000000003E-3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 t="b">
            <v>0</v>
          </cell>
        </row>
        <row r="5274">
          <cell r="A5274" t="str">
            <v>Data split-2;Reg-59</v>
          </cell>
          <cell r="B5274">
            <v>-5.3</v>
          </cell>
          <cell r="C5274">
            <v>0</v>
          </cell>
          <cell r="D5274">
            <v>3.2</v>
          </cell>
          <cell r="E5274">
            <v>-3.2</v>
          </cell>
          <cell r="F5274">
            <v>0</v>
          </cell>
          <cell r="G5274">
            <v>2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-4.5999999999999999E-2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 t="b">
            <v>0</v>
          </cell>
        </row>
        <row r="5275">
          <cell r="A5275" t="str">
            <v>Data split-2;Reg-60</v>
          </cell>
          <cell r="B5275">
            <v>-5.4</v>
          </cell>
          <cell r="C5275">
            <v>0</v>
          </cell>
          <cell r="D5275">
            <v>3.2</v>
          </cell>
          <cell r="E5275">
            <v>-3.2</v>
          </cell>
          <cell r="F5275">
            <v>0</v>
          </cell>
          <cell r="G5275">
            <v>2.1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-9.4000000000000004E-3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 t="b">
            <v>0</v>
          </cell>
        </row>
        <row r="5276">
          <cell r="A5276" t="str">
            <v>Data split-2;Reg-61</v>
          </cell>
          <cell r="B5276">
            <v>-4.7</v>
          </cell>
          <cell r="C5276">
            <v>0</v>
          </cell>
          <cell r="D5276">
            <v>3.2</v>
          </cell>
          <cell r="E5276">
            <v>-2.6</v>
          </cell>
          <cell r="F5276">
            <v>0</v>
          </cell>
          <cell r="G5276">
            <v>0</v>
          </cell>
          <cell r="H5276">
            <v>1.6</v>
          </cell>
          <cell r="I5276">
            <v>0</v>
          </cell>
          <cell r="J5276">
            <v>0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-2.8999999999999998E-3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 t="b">
            <v>0</v>
          </cell>
        </row>
        <row r="5277">
          <cell r="A5277" t="str">
            <v>Data split-2;Reg-62</v>
          </cell>
          <cell r="B5277">
            <v>-4.5999999999999996</v>
          </cell>
          <cell r="C5277">
            <v>0</v>
          </cell>
          <cell r="D5277">
            <v>3.2</v>
          </cell>
          <cell r="E5277">
            <v>-2.6</v>
          </cell>
          <cell r="F5277">
            <v>0</v>
          </cell>
          <cell r="G5277">
            <v>0</v>
          </cell>
          <cell r="H5277">
            <v>1.4</v>
          </cell>
          <cell r="I5277">
            <v>0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1.5E-3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 t="b">
            <v>0</v>
          </cell>
        </row>
        <row r="5278">
          <cell r="A5278" t="str">
            <v>Data split-2;Reg-63</v>
          </cell>
          <cell r="B5278">
            <v>-4.4000000000000004</v>
          </cell>
          <cell r="C5278">
            <v>0</v>
          </cell>
          <cell r="D5278">
            <v>2.2000000000000002</v>
          </cell>
          <cell r="E5278">
            <v>0</v>
          </cell>
          <cell r="F5278">
            <v>2.2999999999999998</v>
          </cell>
          <cell r="G5278">
            <v>-1.6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-4.2999999999999997E-2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 t="b">
            <v>0</v>
          </cell>
        </row>
        <row r="5279">
          <cell r="A5279" t="str">
            <v>Data split-2;Reg-64</v>
          </cell>
          <cell r="B5279">
            <v>-4.2</v>
          </cell>
          <cell r="C5279">
            <v>0</v>
          </cell>
          <cell r="D5279">
            <v>2.2000000000000002</v>
          </cell>
          <cell r="E5279">
            <v>0</v>
          </cell>
          <cell r="F5279">
            <v>2.2999999999999998</v>
          </cell>
          <cell r="G5279">
            <v>-1.9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-3.5999999999999999E-3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 t="b">
            <v>0</v>
          </cell>
        </row>
        <row r="5280">
          <cell r="A5280" t="str">
            <v>Data split-2;Reg-65</v>
          </cell>
          <cell r="B5280">
            <v>-3.9</v>
          </cell>
          <cell r="C5280">
            <v>0</v>
          </cell>
          <cell r="D5280">
            <v>2.2999999999999998</v>
          </cell>
          <cell r="E5280">
            <v>0</v>
          </cell>
          <cell r="F5280">
            <v>2.4</v>
          </cell>
          <cell r="G5280">
            <v>0</v>
          </cell>
          <cell r="H5280">
            <v>-3.2</v>
          </cell>
          <cell r="I5280">
            <v>0</v>
          </cell>
          <cell r="J5280">
            <v>0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-2.5999999999999999E-2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 t="b">
            <v>0</v>
          </cell>
        </row>
        <row r="5281">
          <cell r="A5281" t="str">
            <v>Data split-2;Reg-66</v>
          </cell>
          <cell r="B5281">
            <v>-3.7</v>
          </cell>
          <cell r="C5281">
            <v>0</v>
          </cell>
          <cell r="D5281">
            <v>2.4</v>
          </cell>
          <cell r="E5281">
            <v>0</v>
          </cell>
          <cell r="F5281">
            <v>2.4</v>
          </cell>
          <cell r="G5281">
            <v>0</v>
          </cell>
          <cell r="H5281">
            <v>-3.7</v>
          </cell>
          <cell r="I5281">
            <v>0</v>
          </cell>
          <cell r="J5281">
            <v>0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1.2999999999999999E-3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 t="b">
            <v>0</v>
          </cell>
        </row>
        <row r="5282">
          <cell r="A5282" t="str">
            <v>Data split-2;Reg-67</v>
          </cell>
          <cell r="B5282">
            <v>-5.9</v>
          </cell>
          <cell r="C5282">
            <v>3</v>
          </cell>
          <cell r="D5282">
            <v>0</v>
          </cell>
          <cell r="E5282">
            <v>0</v>
          </cell>
          <cell r="F5282">
            <v>0</v>
          </cell>
          <cell r="G5282">
            <v>-0.77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 t="b">
            <v>0</v>
          </cell>
        </row>
        <row r="5283">
          <cell r="A5283" t="str">
            <v>Data split-2;Reg-68</v>
          </cell>
          <cell r="B5283">
            <v>-3.9</v>
          </cell>
          <cell r="C5283">
            <v>2.2000000000000002</v>
          </cell>
          <cell r="D5283">
            <v>0</v>
          </cell>
          <cell r="E5283">
            <v>0</v>
          </cell>
          <cell r="F5283">
            <v>2.4</v>
          </cell>
          <cell r="G5283">
            <v>-2.1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 t="b">
            <v>0</v>
          </cell>
        </row>
        <row r="5284">
          <cell r="A5284" t="str">
            <v>Data split-2;Reg-69</v>
          </cell>
          <cell r="B5284">
            <v>-9.9</v>
          </cell>
          <cell r="C5284">
            <v>3.1</v>
          </cell>
          <cell r="D5284">
            <v>0</v>
          </cell>
          <cell r="E5284">
            <v>0</v>
          </cell>
          <cell r="F5284">
            <v>0</v>
          </cell>
          <cell r="G5284">
            <v>-1.6</v>
          </cell>
          <cell r="H5284">
            <v>0</v>
          </cell>
          <cell r="I5284">
            <v>0</v>
          </cell>
          <cell r="J5284">
            <v>38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 t="b">
            <v>0</v>
          </cell>
        </row>
        <row r="5285">
          <cell r="A5285" t="str">
            <v>Data split-2;Reg-70</v>
          </cell>
          <cell r="B5285">
            <v>-10.1</v>
          </cell>
          <cell r="C5285">
            <v>3</v>
          </cell>
          <cell r="D5285">
            <v>0</v>
          </cell>
          <cell r="E5285">
            <v>0</v>
          </cell>
          <cell r="F5285">
            <v>0</v>
          </cell>
          <cell r="G5285">
            <v>-0.33</v>
          </cell>
          <cell r="H5285">
            <v>0</v>
          </cell>
          <cell r="I5285">
            <v>0</v>
          </cell>
          <cell r="J5285">
            <v>31.4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-0.11</v>
          </cell>
          <cell r="T5285">
            <v>0</v>
          </cell>
          <cell r="U5285" t="b">
            <v>0</v>
          </cell>
        </row>
        <row r="5286">
          <cell r="A5286" t="str">
            <v>Data split-2;Reg-71</v>
          </cell>
          <cell r="B5286">
            <v>-4.9000000000000004</v>
          </cell>
          <cell r="C5286">
            <v>2.2000000000000002</v>
          </cell>
          <cell r="D5286">
            <v>0</v>
          </cell>
          <cell r="E5286">
            <v>0</v>
          </cell>
          <cell r="F5286">
            <v>2.2999999999999998</v>
          </cell>
          <cell r="G5286">
            <v>0</v>
          </cell>
          <cell r="H5286">
            <v>-1.5</v>
          </cell>
          <cell r="I5286">
            <v>0</v>
          </cell>
          <cell r="J5286">
            <v>0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-0.12</v>
          </cell>
          <cell r="T5286">
            <v>0</v>
          </cell>
          <cell r="U5286" t="b">
            <v>0</v>
          </cell>
        </row>
        <row r="5287">
          <cell r="A5287" t="str">
            <v>Data split-2;Reg-72</v>
          </cell>
          <cell r="B5287">
            <v>-4.5999999999999996</v>
          </cell>
          <cell r="C5287">
            <v>3.2</v>
          </cell>
          <cell r="D5287">
            <v>0</v>
          </cell>
          <cell r="E5287">
            <v>-1.4</v>
          </cell>
          <cell r="F5287">
            <v>0</v>
          </cell>
          <cell r="G5287">
            <v>0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 t="b">
            <v>0</v>
          </cell>
        </row>
        <row r="5288">
          <cell r="A5288" t="str">
            <v>Data split-2;Reg-73</v>
          </cell>
          <cell r="B5288">
            <v>-8.5</v>
          </cell>
          <cell r="C5288">
            <v>2.4</v>
          </cell>
          <cell r="D5288">
            <v>0</v>
          </cell>
          <cell r="E5288">
            <v>0</v>
          </cell>
          <cell r="F5288">
            <v>0.56999999999999995</v>
          </cell>
          <cell r="G5288">
            <v>0</v>
          </cell>
          <cell r="H5288">
            <v>0</v>
          </cell>
          <cell r="I5288">
            <v>0</v>
          </cell>
          <cell r="J5288">
            <v>0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 t="b">
            <v>1</v>
          </cell>
        </row>
        <row r="5289">
          <cell r="A5289" t="str">
            <v>Data split-2;Reg-74</v>
          </cell>
          <cell r="B5289">
            <v>-4.5999999999999996</v>
          </cell>
          <cell r="C5289">
            <v>0</v>
          </cell>
          <cell r="D5289">
            <v>3.3</v>
          </cell>
          <cell r="E5289">
            <v>-1.5</v>
          </cell>
          <cell r="F5289">
            <v>0</v>
          </cell>
          <cell r="G5289">
            <v>0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 t="b">
            <v>0</v>
          </cell>
        </row>
        <row r="5290">
          <cell r="A5290" t="str">
            <v>Data split-2;Reg-75</v>
          </cell>
          <cell r="B5290">
            <v>-8.6</v>
          </cell>
          <cell r="C5290">
            <v>0</v>
          </cell>
          <cell r="D5290">
            <v>2.4</v>
          </cell>
          <cell r="E5290">
            <v>0</v>
          </cell>
          <cell r="F5290">
            <v>0.46</v>
          </cell>
          <cell r="G5290">
            <v>0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 t="b">
            <v>1</v>
          </cell>
        </row>
        <row r="5291">
          <cell r="A5291" t="str">
            <v>Data split-2;Reg-76</v>
          </cell>
          <cell r="B5291">
            <v>-5.9</v>
          </cell>
          <cell r="C5291">
            <v>3</v>
          </cell>
          <cell r="D5291">
            <v>0</v>
          </cell>
          <cell r="E5291">
            <v>0</v>
          </cell>
          <cell r="F5291">
            <v>0</v>
          </cell>
          <cell r="G5291">
            <v>-0.77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 t="b">
            <v>0</v>
          </cell>
        </row>
        <row r="5292">
          <cell r="A5292" t="str">
            <v>Data split-2;Reg-77</v>
          </cell>
          <cell r="B5292">
            <v>-5.6</v>
          </cell>
          <cell r="C5292">
            <v>3.1</v>
          </cell>
          <cell r="D5292">
            <v>0</v>
          </cell>
          <cell r="E5292">
            <v>0</v>
          </cell>
          <cell r="F5292">
            <v>0</v>
          </cell>
          <cell r="G5292">
            <v>0</v>
          </cell>
          <cell r="H5292">
            <v>-1.4</v>
          </cell>
          <cell r="I5292">
            <v>0</v>
          </cell>
          <cell r="J5292">
            <v>0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 t="b">
            <v>0</v>
          </cell>
        </row>
        <row r="5293">
          <cell r="A5293" t="str">
            <v>Data split-2;Reg-78</v>
          </cell>
          <cell r="B5293">
            <v>-5.9</v>
          </cell>
          <cell r="C5293">
            <v>0</v>
          </cell>
          <cell r="D5293">
            <v>3.1</v>
          </cell>
          <cell r="E5293">
            <v>0</v>
          </cell>
          <cell r="F5293">
            <v>0</v>
          </cell>
          <cell r="G5293">
            <v>-0.85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 t="b">
            <v>0</v>
          </cell>
        </row>
        <row r="5294">
          <cell r="A5294" t="str">
            <v>Data split-2;Reg-79</v>
          </cell>
          <cell r="B5294">
            <v>-5.7</v>
          </cell>
          <cell r="C5294">
            <v>0</v>
          </cell>
          <cell r="D5294">
            <v>3.2</v>
          </cell>
          <cell r="E5294">
            <v>0</v>
          </cell>
          <cell r="F5294">
            <v>0</v>
          </cell>
          <cell r="G5294">
            <v>0</v>
          </cell>
          <cell r="H5294">
            <v>-1.5</v>
          </cell>
          <cell r="I5294">
            <v>0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 t="b">
            <v>0</v>
          </cell>
        </row>
        <row r="5295">
          <cell r="A5295" t="str">
            <v>Data split-2;Reg-80</v>
          </cell>
          <cell r="B5295">
            <v>-8.6999999999999993</v>
          </cell>
          <cell r="C5295">
            <v>2.6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  <cell r="H5295">
            <v>0</v>
          </cell>
          <cell r="I5295">
            <v>0.72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 t="b">
            <v>0</v>
          </cell>
        </row>
        <row r="5296">
          <cell r="A5296" t="str">
            <v>Data split-2;Reg-81</v>
          </cell>
          <cell r="B5296">
            <v>-10.6</v>
          </cell>
          <cell r="C5296">
            <v>2.6</v>
          </cell>
          <cell r="D5296">
            <v>0</v>
          </cell>
          <cell r="E5296">
            <v>0</v>
          </cell>
          <cell r="F5296">
            <v>0</v>
          </cell>
          <cell r="G5296">
            <v>0</v>
          </cell>
          <cell r="H5296">
            <v>0</v>
          </cell>
          <cell r="I5296">
            <v>0</v>
          </cell>
          <cell r="J5296">
            <v>15.5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 t="b">
            <v>0</v>
          </cell>
        </row>
        <row r="5297">
          <cell r="A5297" t="str">
            <v>Data split-2;Reg-82</v>
          </cell>
          <cell r="B5297">
            <v>-8.6999999999999993</v>
          </cell>
          <cell r="C5297">
            <v>0</v>
          </cell>
          <cell r="D5297">
            <v>2.7</v>
          </cell>
          <cell r="E5297">
            <v>0</v>
          </cell>
          <cell r="F5297">
            <v>0</v>
          </cell>
          <cell r="G5297">
            <v>0</v>
          </cell>
          <cell r="H5297">
            <v>0</v>
          </cell>
          <cell r="I5297">
            <v>0.49</v>
          </cell>
          <cell r="J5297">
            <v>0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 t="b">
            <v>0</v>
          </cell>
        </row>
        <row r="5298">
          <cell r="A5298" t="str">
            <v>Data split-2;Reg-83</v>
          </cell>
          <cell r="B5298">
            <v>-10.199999999999999</v>
          </cell>
          <cell r="C5298">
            <v>0</v>
          </cell>
          <cell r="D5298">
            <v>2.6</v>
          </cell>
          <cell r="E5298">
            <v>0</v>
          </cell>
          <cell r="F5298">
            <v>0</v>
          </cell>
          <cell r="G5298">
            <v>0</v>
          </cell>
          <cell r="H5298">
            <v>0</v>
          </cell>
          <cell r="I5298">
            <v>0</v>
          </cell>
          <cell r="J5298">
            <v>12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 t="b">
            <v>0</v>
          </cell>
        </row>
        <row r="5299">
          <cell r="A5299" t="str">
            <v>Data split-2;Reg-84</v>
          </cell>
          <cell r="B5299">
            <v>-7.2</v>
          </cell>
          <cell r="C5299">
            <v>2.9</v>
          </cell>
          <cell r="D5299">
            <v>0</v>
          </cell>
          <cell r="E5299">
            <v>0</v>
          </cell>
          <cell r="F5299">
            <v>0</v>
          </cell>
          <cell r="G5299">
            <v>0</v>
          </cell>
          <cell r="H5299">
            <v>0</v>
          </cell>
          <cell r="I5299">
            <v>0</v>
          </cell>
          <cell r="J5299">
            <v>0</v>
          </cell>
          <cell r="K5299">
            <v>-1.2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 t="b">
            <v>1</v>
          </cell>
        </row>
        <row r="5300">
          <cell r="A5300" t="str">
            <v>Data split-2;Reg-85</v>
          </cell>
          <cell r="B5300">
            <v>-6.7</v>
          </cell>
          <cell r="C5300">
            <v>2.8</v>
          </cell>
          <cell r="D5300">
            <v>0</v>
          </cell>
          <cell r="E5300">
            <v>0</v>
          </cell>
          <cell r="F5300">
            <v>0</v>
          </cell>
          <cell r="G5300">
            <v>0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-9.9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 t="b">
            <v>1</v>
          </cell>
        </row>
        <row r="5301">
          <cell r="A5301" t="str">
            <v>Data split-2;Reg-86</v>
          </cell>
          <cell r="B5301">
            <v>-7.3</v>
          </cell>
          <cell r="C5301">
            <v>0</v>
          </cell>
          <cell r="D5301">
            <v>2.9</v>
          </cell>
          <cell r="E5301">
            <v>0</v>
          </cell>
          <cell r="F5301">
            <v>0</v>
          </cell>
          <cell r="G5301">
            <v>0</v>
          </cell>
          <cell r="H5301">
            <v>0</v>
          </cell>
          <cell r="I5301">
            <v>0</v>
          </cell>
          <cell r="J5301">
            <v>0</v>
          </cell>
          <cell r="K5301">
            <v>-1.4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 t="b">
            <v>1</v>
          </cell>
        </row>
        <row r="5302">
          <cell r="A5302" t="str">
            <v>Data split-2;Reg-87</v>
          </cell>
          <cell r="B5302">
            <v>-6.8</v>
          </cell>
          <cell r="C5302">
            <v>0</v>
          </cell>
          <cell r="D5302">
            <v>2.9</v>
          </cell>
          <cell r="E5302">
            <v>0</v>
          </cell>
          <cell r="F5302">
            <v>0</v>
          </cell>
          <cell r="G5302">
            <v>0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>
            <v>-10.8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 t="b">
            <v>1</v>
          </cell>
        </row>
        <row r="5303">
          <cell r="A5303" t="str">
            <v>Data split-2;Reg-88</v>
          </cell>
          <cell r="B5303">
            <v>-6.7</v>
          </cell>
          <cell r="C5303">
            <v>3</v>
          </cell>
          <cell r="D5303">
            <v>0</v>
          </cell>
          <cell r="E5303">
            <v>0</v>
          </cell>
          <cell r="F5303">
            <v>0</v>
          </cell>
          <cell r="G5303">
            <v>0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>
            <v>0</v>
          </cell>
          <cell r="M5303">
            <v>-7.3999999999999996E-2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 t="b">
            <v>1</v>
          </cell>
        </row>
        <row r="5304">
          <cell r="A5304" t="str">
            <v>Data split-2;Reg-89</v>
          </cell>
          <cell r="B5304">
            <v>-6.7</v>
          </cell>
          <cell r="C5304">
            <v>3.1</v>
          </cell>
          <cell r="D5304">
            <v>0</v>
          </cell>
          <cell r="E5304">
            <v>0</v>
          </cell>
          <cell r="F5304">
            <v>0</v>
          </cell>
          <cell r="G5304">
            <v>0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-1.7000000000000001E-2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 t="b">
            <v>1</v>
          </cell>
        </row>
        <row r="5305">
          <cell r="A5305" t="str">
            <v>Data split-2;Reg-90</v>
          </cell>
          <cell r="B5305">
            <v>-6.9</v>
          </cell>
          <cell r="C5305">
            <v>0</v>
          </cell>
          <cell r="D5305">
            <v>3</v>
          </cell>
          <cell r="E5305">
            <v>0</v>
          </cell>
          <cell r="F5305">
            <v>0</v>
          </cell>
          <cell r="G5305">
            <v>0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>
            <v>0</v>
          </cell>
          <cell r="M5305">
            <v>-0.08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 t="b">
            <v>1</v>
          </cell>
        </row>
        <row r="5306">
          <cell r="A5306" t="str">
            <v>Data split-2;Reg-91</v>
          </cell>
          <cell r="B5306">
            <v>-6.9</v>
          </cell>
          <cell r="C5306">
            <v>0</v>
          </cell>
          <cell r="D5306">
            <v>3.1</v>
          </cell>
          <cell r="E5306">
            <v>0</v>
          </cell>
          <cell r="F5306">
            <v>0</v>
          </cell>
          <cell r="G5306">
            <v>0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-1.7999999999999999E-2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 t="b">
            <v>1</v>
          </cell>
        </row>
        <row r="5307">
          <cell r="A5307" t="str">
            <v>Data split-2;Reg-92</v>
          </cell>
          <cell r="B5307">
            <v>-6.7</v>
          </cell>
          <cell r="C5307">
            <v>2.9</v>
          </cell>
          <cell r="D5307">
            <v>0</v>
          </cell>
          <cell r="E5307">
            <v>0</v>
          </cell>
          <cell r="F5307">
            <v>0</v>
          </cell>
          <cell r="G5307">
            <v>0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-6.2E-2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 t="b">
            <v>1</v>
          </cell>
        </row>
        <row r="5308">
          <cell r="A5308" t="str">
            <v>Data split-2;Reg-93</v>
          </cell>
          <cell r="B5308">
            <v>-6.8</v>
          </cell>
          <cell r="C5308">
            <v>2.9</v>
          </cell>
          <cell r="D5308">
            <v>0</v>
          </cell>
          <cell r="E5308">
            <v>0</v>
          </cell>
          <cell r="F5308">
            <v>0</v>
          </cell>
          <cell r="G5308">
            <v>0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-1.2E-2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 t="b">
            <v>1</v>
          </cell>
        </row>
        <row r="5309">
          <cell r="A5309" t="str">
            <v>Data split-2;Reg-94</v>
          </cell>
          <cell r="B5309">
            <v>-6.9</v>
          </cell>
          <cell r="C5309">
            <v>0</v>
          </cell>
          <cell r="D5309">
            <v>2.9</v>
          </cell>
          <cell r="E5309">
            <v>0</v>
          </cell>
          <cell r="F5309">
            <v>0</v>
          </cell>
          <cell r="G5309">
            <v>0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-6.5000000000000002E-2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 t="b">
            <v>1</v>
          </cell>
        </row>
        <row r="5310">
          <cell r="A5310" t="str">
            <v>Data split-2;Reg-95</v>
          </cell>
          <cell r="B5310">
            <v>-7</v>
          </cell>
          <cell r="C5310">
            <v>0</v>
          </cell>
          <cell r="D5310">
            <v>3</v>
          </cell>
          <cell r="E5310">
            <v>0</v>
          </cell>
          <cell r="F5310">
            <v>0</v>
          </cell>
          <cell r="G5310">
            <v>0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-1.2999999999999999E-2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 t="b">
            <v>1</v>
          </cell>
        </row>
        <row r="5311">
          <cell r="A5311" t="str">
            <v>Data split-2;Reg-96</v>
          </cell>
          <cell r="B5311">
            <v>-5.5</v>
          </cell>
          <cell r="C5311">
            <v>3.2</v>
          </cell>
          <cell r="D5311">
            <v>0</v>
          </cell>
          <cell r="E5311">
            <v>-2.5</v>
          </cell>
          <cell r="F5311">
            <v>0</v>
          </cell>
          <cell r="G5311">
            <v>0</v>
          </cell>
          <cell r="H5311">
            <v>0</v>
          </cell>
          <cell r="I5311">
            <v>3.8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 t="b">
            <v>0</v>
          </cell>
        </row>
        <row r="5312">
          <cell r="A5312" t="str">
            <v>Data split-2;Reg-97</v>
          </cell>
          <cell r="B5312">
            <v>-9.5</v>
          </cell>
          <cell r="C5312">
            <v>3.3</v>
          </cell>
          <cell r="D5312">
            <v>0</v>
          </cell>
          <cell r="E5312">
            <v>-2.7</v>
          </cell>
          <cell r="F5312">
            <v>0</v>
          </cell>
          <cell r="G5312">
            <v>0</v>
          </cell>
          <cell r="H5312">
            <v>0</v>
          </cell>
          <cell r="I5312">
            <v>0</v>
          </cell>
          <cell r="J5312">
            <v>48.9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 t="b">
            <v>0</v>
          </cell>
        </row>
        <row r="5313">
          <cell r="A5313" t="str">
            <v>Data split-2;Reg-98</v>
          </cell>
          <cell r="B5313">
            <v>-8.4</v>
          </cell>
          <cell r="C5313">
            <v>2.4</v>
          </cell>
          <cell r="D5313">
            <v>0</v>
          </cell>
          <cell r="E5313">
            <v>0</v>
          </cell>
          <cell r="F5313">
            <v>0.56999999999999995</v>
          </cell>
          <cell r="G5313">
            <v>0</v>
          </cell>
          <cell r="H5313">
            <v>0</v>
          </cell>
          <cell r="I5313">
            <v>-1.7999999999999999E-2</v>
          </cell>
          <cell r="J5313">
            <v>0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 t="b">
            <v>1</v>
          </cell>
        </row>
        <row r="5314">
          <cell r="A5314" t="str">
            <v>Data split-2;Reg-99</v>
          </cell>
          <cell r="B5314">
            <v>-10.3</v>
          </cell>
          <cell r="C5314">
            <v>2.5</v>
          </cell>
          <cell r="D5314">
            <v>0</v>
          </cell>
          <cell r="E5314">
            <v>0</v>
          </cell>
          <cell r="F5314">
            <v>0.25</v>
          </cell>
          <cell r="G5314">
            <v>0</v>
          </cell>
          <cell r="H5314">
            <v>0</v>
          </cell>
          <cell r="I5314">
            <v>0</v>
          </cell>
          <cell r="J5314">
            <v>12.7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 t="b">
            <v>0</v>
          </cell>
        </row>
        <row r="5315">
          <cell r="A5315" t="str">
            <v>Data split-2;Reg-100</v>
          </cell>
          <cell r="B5315">
            <v>-5.4</v>
          </cell>
          <cell r="C5315">
            <v>0</v>
          </cell>
          <cell r="D5315">
            <v>3.2</v>
          </cell>
          <cell r="E5315">
            <v>-2.6</v>
          </cell>
          <cell r="F5315">
            <v>0</v>
          </cell>
          <cell r="G5315">
            <v>0</v>
          </cell>
          <cell r="H5315">
            <v>0</v>
          </cell>
          <cell r="I5315">
            <v>3.6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 t="b">
            <v>0</v>
          </cell>
        </row>
        <row r="5316">
          <cell r="A5316" t="str">
            <v>Data split-2;Reg-101</v>
          </cell>
          <cell r="B5316">
            <v>-9</v>
          </cell>
          <cell r="C5316">
            <v>0</v>
          </cell>
          <cell r="D5316">
            <v>3.3</v>
          </cell>
          <cell r="E5316">
            <v>-2.7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44.1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 t="b">
            <v>0</v>
          </cell>
        </row>
        <row r="5317">
          <cell r="A5317" t="str">
            <v>Data split-2;Reg-102</v>
          </cell>
          <cell r="B5317">
            <v>-8.5</v>
          </cell>
          <cell r="C5317">
            <v>0</v>
          </cell>
          <cell r="D5317">
            <v>2.4</v>
          </cell>
          <cell r="E5317">
            <v>0</v>
          </cell>
          <cell r="F5317">
            <v>0.5</v>
          </cell>
          <cell r="G5317">
            <v>0</v>
          </cell>
          <cell r="H5317">
            <v>0</v>
          </cell>
          <cell r="I5317">
            <v>-0.14000000000000001</v>
          </cell>
          <cell r="J5317">
            <v>0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 t="b">
            <v>1</v>
          </cell>
        </row>
        <row r="5318">
          <cell r="A5318" t="str">
            <v>Data split-2;Reg-103</v>
          </cell>
          <cell r="B5318">
            <v>-10</v>
          </cell>
          <cell r="C5318">
            <v>0</v>
          </cell>
          <cell r="D5318">
            <v>2.5</v>
          </cell>
          <cell r="E5318">
            <v>0</v>
          </cell>
          <cell r="F5318">
            <v>0.23</v>
          </cell>
          <cell r="G5318">
            <v>0</v>
          </cell>
          <cell r="H5318">
            <v>0</v>
          </cell>
          <cell r="I5318">
            <v>0</v>
          </cell>
          <cell r="J5318">
            <v>9.6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 t="b">
            <v>0</v>
          </cell>
        </row>
        <row r="5319">
          <cell r="A5319" t="str">
            <v>Data split-2;Reg-104</v>
          </cell>
          <cell r="B5319">
            <v>-4.5999999999999996</v>
          </cell>
          <cell r="C5319">
            <v>3.2</v>
          </cell>
          <cell r="D5319">
            <v>0</v>
          </cell>
          <cell r="E5319">
            <v>-1.6</v>
          </cell>
          <cell r="F5319">
            <v>0</v>
          </cell>
          <cell r="G5319">
            <v>0</v>
          </cell>
          <cell r="H5319">
            <v>0</v>
          </cell>
          <cell r="I5319">
            <v>0</v>
          </cell>
          <cell r="J5319">
            <v>0</v>
          </cell>
          <cell r="K5319">
            <v>0.65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 t="b">
            <v>0</v>
          </cell>
        </row>
        <row r="5320">
          <cell r="A5320" t="str">
            <v>Data split-2;Reg-105</v>
          </cell>
          <cell r="B5320">
            <v>-4.3</v>
          </cell>
          <cell r="C5320">
            <v>3.2</v>
          </cell>
          <cell r="D5320">
            <v>0</v>
          </cell>
          <cell r="E5320">
            <v>-1.3</v>
          </cell>
          <cell r="F5320">
            <v>0</v>
          </cell>
          <cell r="G5320">
            <v>0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-4.2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 t="b">
            <v>0</v>
          </cell>
        </row>
        <row r="5321">
          <cell r="A5321" t="str">
            <v>Data split-2;Reg-106</v>
          </cell>
          <cell r="B5321">
            <v>-7.2</v>
          </cell>
          <cell r="C5321">
            <v>2.4</v>
          </cell>
          <cell r="D5321">
            <v>0</v>
          </cell>
          <cell r="E5321">
            <v>0</v>
          </cell>
          <cell r="F5321">
            <v>1.2</v>
          </cell>
          <cell r="G5321">
            <v>0</v>
          </cell>
          <cell r="H5321">
            <v>0</v>
          </cell>
          <cell r="I5321">
            <v>0</v>
          </cell>
          <cell r="J5321">
            <v>0</v>
          </cell>
          <cell r="K5321">
            <v>-2.4</v>
          </cell>
          <cell r="L5321">
            <v>0</v>
          </cell>
          <cell r="M5321">
            <v>0</v>
          </cell>
          <cell r="N5321">
            <v>0</v>
          </cell>
          <cell r="O5321">
            <v>0</v>
          </cell>
          <cell r="P5321">
            <v>0</v>
          </cell>
          <cell r="Q5321">
            <v>0</v>
          </cell>
          <cell r="R5321">
            <v>0</v>
          </cell>
          <cell r="S5321">
            <v>0</v>
          </cell>
          <cell r="T5321">
            <v>0</v>
          </cell>
          <cell r="U5321" t="b">
            <v>1</v>
          </cell>
        </row>
        <row r="5322">
          <cell r="A5322" t="str">
            <v>Data split-2;Reg-107</v>
          </cell>
          <cell r="B5322">
            <v>-7</v>
          </cell>
          <cell r="C5322">
            <v>2.5</v>
          </cell>
          <cell r="D5322">
            <v>0</v>
          </cell>
          <cell r="E5322">
            <v>0</v>
          </cell>
          <cell r="F5322">
            <v>0.66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-10.9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 t="b">
            <v>1</v>
          </cell>
        </row>
        <row r="5323">
          <cell r="A5323" t="str">
            <v>Data split-2;Reg-108</v>
          </cell>
          <cell r="B5323">
            <v>-4.5999999999999996</v>
          </cell>
          <cell r="C5323">
            <v>0</v>
          </cell>
          <cell r="D5323">
            <v>3.2</v>
          </cell>
          <cell r="E5323">
            <v>-1.7</v>
          </cell>
          <cell r="F5323">
            <v>0</v>
          </cell>
          <cell r="G5323">
            <v>0</v>
          </cell>
          <cell r="H5323">
            <v>0</v>
          </cell>
          <cell r="I5323">
            <v>0</v>
          </cell>
          <cell r="J5323">
            <v>0</v>
          </cell>
          <cell r="K5323">
            <v>0.62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 t="b">
            <v>0</v>
          </cell>
        </row>
        <row r="5324">
          <cell r="A5324" t="str">
            <v>Data split-2;Reg-109</v>
          </cell>
          <cell r="B5324">
            <v>-4.2</v>
          </cell>
          <cell r="C5324">
            <v>0</v>
          </cell>
          <cell r="D5324">
            <v>3.3</v>
          </cell>
          <cell r="E5324">
            <v>-1.4</v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-4.8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 t="b">
            <v>0</v>
          </cell>
        </row>
        <row r="5325">
          <cell r="A5325" t="str">
            <v>Data split-2;Reg-110</v>
          </cell>
          <cell r="B5325">
            <v>-7.4</v>
          </cell>
          <cell r="C5325">
            <v>0</v>
          </cell>
          <cell r="D5325">
            <v>2.4</v>
          </cell>
          <cell r="E5325">
            <v>0</v>
          </cell>
          <cell r="F5325">
            <v>1.1000000000000001</v>
          </cell>
          <cell r="G5325">
            <v>0</v>
          </cell>
          <cell r="H5325">
            <v>0</v>
          </cell>
          <cell r="I5325">
            <v>0</v>
          </cell>
          <cell r="J5325">
            <v>0</v>
          </cell>
          <cell r="K5325">
            <v>-2.4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 t="b">
            <v>1</v>
          </cell>
        </row>
        <row r="5326">
          <cell r="A5326" t="str">
            <v>Data split-2;Reg-111</v>
          </cell>
          <cell r="B5326">
            <v>-7</v>
          </cell>
          <cell r="C5326">
            <v>0</v>
          </cell>
          <cell r="D5326">
            <v>2.5</v>
          </cell>
          <cell r="E5326">
            <v>0</v>
          </cell>
          <cell r="F5326">
            <v>0.54</v>
          </cell>
          <cell r="G5326">
            <v>0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>
            <v>-11.6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 t="b">
            <v>1</v>
          </cell>
        </row>
        <row r="5327">
          <cell r="A5327" t="str">
            <v>Data split-2;Reg-112</v>
          </cell>
          <cell r="B5327">
            <v>-6.6</v>
          </cell>
          <cell r="C5327">
            <v>3</v>
          </cell>
          <cell r="D5327">
            <v>0</v>
          </cell>
          <cell r="E5327">
            <v>0</v>
          </cell>
          <cell r="F5327">
            <v>0</v>
          </cell>
          <cell r="G5327">
            <v>-1.6</v>
          </cell>
          <cell r="H5327">
            <v>0</v>
          </cell>
          <cell r="I5327">
            <v>3.2</v>
          </cell>
          <cell r="J5327">
            <v>0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 t="b">
            <v>0</v>
          </cell>
        </row>
        <row r="5328">
          <cell r="A5328" t="str">
            <v>Data split-2;Reg-113</v>
          </cell>
          <cell r="B5328">
            <v>-9.9</v>
          </cell>
          <cell r="C5328">
            <v>3.1</v>
          </cell>
          <cell r="D5328">
            <v>0</v>
          </cell>
          <cell r="E5328">
            <v>0</v>
          </cell>
          <cell r="F5328">
            <v>0</v>
          </cell>
          <cell r="G5328">
            <v>-1.6</v>
          </cell>
          <cell r="H5328">
            <v>0</v>
          </cell>
          <cell r="I5328">
            <v>0</v>
          </cell>
          <cell r="J5328">
            <v>38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 t="b">
            <v>0</v>
          </cell>
        </row>
        <row r="5329">
          <cell r="A5329" t="str">
            <v>Data split-2;Reg-114</v>
          </cell>
          <cell r="B5329">
            <v>-6.5</v>
          </cell>
          <cell r="C5329">
            <v>3.1</v>
          </cell>
          <cell r="D5329">
            <v>0</v>
          </cell>
          <cell r="E5329">
            <v>0</v>
          </cell>
          <cell r="F5329">
            <v>0</v>
          </cell>
          <cell r="G5329">
            <v>0</v>
          </cell>
          <cell r="H5329">
            <v>-2.6</v>
          </cell>
          <cell r="I5329">
            <v>3.1</v>
          </cell>
          <cell r="J5329">
            <v>0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 t="b">
            <v>0</v>
          </cell>
        </row>
        <row r="5330">
          <cell r="A5330" t="str">
            <v>Data split-2;Reg-115</v>
          </cell>
          <cell r="B5330">
            <v>-9.9</v>
          </cell>
          <cell r="C5330">
            <v>3.2</v>
          </cell>
          <cell r="D5330">
            <v>0</v>
          </cell>
          <cell r="E5330">
            <v>0</v>
          </cell>
          <cell r="F5330">
            <v>0</v>
          </cell>
          <cell r="G5330">
            <v>0</v>
          </cell>
          <cell r="H5330">
            <v>-2.7</v>
          </cell>
          <cell r="I5330">
            <v>0</v>
          </cell>
          <cell r="J5330">
            <v>39.6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 t="b">
            <v>0</v>
          </cell>
        </row>
        <row r="5331">
          <cell r="A5331" t="str">
            <v>Data split-2;Reg-116</v>
          </cell>
          <cell r="B5331">
            <v>-6.5</v>
          </cell>
          <cell r="C5331">
            <v>0</v>
          </cell>
          <cell r="D5331">
            <v>3</v>
          </cell>
          <cell r="E5331">
            <v>0</v>
          </cell>
          <cell r="F5331">
            <v>0</v>
          </cell>
          <cell r="G5331">
            <v>-1.6</v>
          </cell>
          <cell r="H5331">
            <v>0</v>
          </cell>
          <cell r="I5331">
            <v>3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 t="b">
            <v>0</v>
          </cell>
        </row>
        <row r="5332">
          <cell r="A5332" t="str">
            <v>Data split-2;Reg-117</v>
          </cell>
          <cell r="B5332">
            <v>-9.4</v>
          </cell>
          <cell r="C5332">
            <v>0</v>
          </cell>
          <cell r="D5332">
            <v>3.1</v>
          </cell>
          <cell r="E5332">
            <v>0</v>
          </cell>
          <cell r="F5332">
            <v>0</v>
          </cell>
          <cell r="G5332">
            <v>-1.5</v>
          </cell>
          <cell r="H5332">
            <v>0</v>
          </cell>
          <cell r="I5332">
            <v>0</v>
          </cell>
          <cell r="J5332">
            <v>33.6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 t="b">
            <v>0</v>
          </cell>
        </row>
        <row r="5333">
          <cell r="A5333" t="str">
            <v>Data split-2;Reg-118</v>
          </cell>
          <cell r="B5333">
            <v>-6.5</v>
          </cell>
          <cell r="C5333">
            <v>0</v>
          </cell>
          <cell r="D5333">
            <v>3.2</v>
          </cell>
          <cell r="E5333">
            <v>0</v>
          </cell>
          <cell r="F5333">
            <v>0</v>
          </cell>
          <cell r="G5333">
            <v>0</v>
          </cell>
          <cell r="H5333">
            <v>-2.6</v>
          </cell>
          <cell r="I5333">
            <v>2.9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 t="b">
            <v>0</v>
          </cell>
        </row>
        <row r="5334">
          <cell r="A5334" t="str">
            <v>Data split-2;Reg-119</v>
          </cell>
          <cell r="B5334">
            <v>-9.4</v>
          </cell>
          <cell r="C5334">
            <v>0</v>
          </cell>
          <cell r="D5334">
            <v>3.2</v>
          </cell>
          <cell r="E5334">
            <v>0</v>
          </cell>
          <cell r="F5334">
            <v>0</v>
          </cell>
          <cell r="G5334">
            <v>0</v>
          </cell>
          <cell r="H5334">
            <v>-2.6</v>
          </cell>
          <cell r="I5334">
            <v>0</v>
          </cell>
          <cell r="J5334">
            <v>34.700000000000003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 t="b">
            <v>0</v>
          </cell>
        </row>
        <row r="5335">
          <cell r="A5335" t="str">
            <v>Data split-2;Reg-120</v>
          </cell>
          <cell r="B5335">
            <v>-5.8</v>
          </cell>
          <cell r="C5335">
            <v>3.1</v>
          </cell>
          <cell r="D5335">
            <v>0</v>
          </cell>
          <cell r="E5335">
            <v>0</v>
          </cell>
          <cell r="F5335">
            <v>0</v>
          </cell>
          <cell r="G5335">
            <v>-0.67</v>
          </cell>
          <cell r="H5335">
            <v>0</v>
          </cell>
          <cell r="I5335">
            <v>0</v>
          </cell>
          <cell r="J5335">
            <v>0</v>
          </cell>
          <cell r="K5335">
            <v>-0.53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 t="b">
            <v>0</v>
          </cell>
        </row>
        <row r="5336">
          <cell r="A5336" t="str">
            <v>Data split-2;Reg-121</v>
          </cell>
          <cell r="B5336">
            <v>-4.7</v>
          </cell>
          <cell r="C5336">
            <v>3.1</v>
          </cell>
          <cell r="D5336">
            <v>0</v>
          </cell>
          <cell r="E5336">
            <v>0</v>
          </cell>
          <cell r="F5336">
            <v>0</v>
          </cell>
          <cell r="G5336">
            <v>-0.73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-9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 t="b">
            <v>0</v>
          </cell>
        </row>
        <row r="5337">
          <cell r="A5337" t="str">
            <v>Data split-2;Reg-122</v>
          </cell>
          <cell r="B5337">
            <v>-5.5</v>
          </cell>
          <cell r="C5337">
            <v>3.1</v>
          </cell>
          <cell r="D5337">
            <v>0</v>
          </cell>
          <cell r="E5337">
            <v>0</v>
          </cell>
          <cell r="F5337">
            <v>0</v>
          </cell>
          <cell r="G5337">
            <v>0</v>
          </cell>
          <cell r="H5337">
            <v>-1.3</v>
          </cell>
          <cell r="I5337">
            <v>0</v>
          </cell>
          <cell r="J5337">
            <v>0</v>
          </cell>
          <cell r="K5337">
            <v>-0.26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 t="b">
            <v>0</v>
          </cell>
        </row>
        <row r="5338">
          <cell r="A5338" t="str">
            <v>Data split-2;Reg-123</v>
          </cell>
          <cell r="B5338">
            <v>-4.7</v>
          </cell>
          <cell r="C5338">
            <v>3.2</v>
          </cell>
          <cell r="D5338">
            <v>0</v>
          </cell>
          <cell r="E5338">
            <v>0</v>
          </cell>
          <cell r="F5338">
            <v>0</v>
          </cell>
          <cell r="G5338">
            <v>0</v>
          </cell>
          <cell r="H5338">
            <v>-1.3</v>
          </cell>
          <cell r="I5338">
            <v>0</v>
          </cell>
          <cell r="J5338">
            <v>0</v>
          </cell>
          <cell r="K5338">
            <v>0</v>
          </cell>
          <cell r="L5338">
            <v>-7.7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 t="b">
            <v>0</v>
          </cell>
        </row>
        <row r="5339">
          <cell r="A5339" t="str">
            <v>Data split-2;Reg-124</v>
          </cell>
          <cell r="B5339">
            <v>-5.8</v>
          </cell>
          <cell r="C5339">
            <v>0</v>
          </cell>
          <cell r="D5339">
            <v>3.1</v>
          </cell>
          <cell r="E5339">
            <v>0</v>
          </cell>
          <cell r="F5339">
            <v>0</v>
          </cell>
          <cell r="G5339">
            <v>-0.74</v>
          </cell>
          <cell r="H5339">
            <v>0</v>
          </cell>
          <cell r="I5339">
            <v>0</v>
          </cell>
          <cell r="J5339">
            <v>0</v>
          </cell>
          <cell r="K5339">
            <v>-0.61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 t="b">
            <v>0</v>
          </cell>
        </row>
        <row r="5340">
          <cell r="A5340" t="str">
            <v>Data split-2;Reg-125</v>
          </cell>
          <cell r="B5340">
            <v>-4.5999999999999996</v>
          </cell>
          <cell r="C5340">
            <v>0</v>
          </cell>
          <cell r="D5340">
            <v>3.2</v>
          </cell>
          <cell r="E5340">
            <v>0</v>
          </cell>
          <cell r="F5340">
            <v>0</v>
          </cell>
          <cell r="G5340">
            <v>-0.81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>
            <v>-10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 t="b">
            <v>0</v>
          </cell>
        </row>
        <row r="5341">
          <cell r="A5341" t="str">
            <v>Data split-2;Reg-126</v>
          </cell>
          <cell r="B5341">
            <v>-5.6</v>
          </cell>
          <cell r="C5341">
            <v>0</v>
          </cell>
          <cell r="D5341">
            <v>3.2</v>
          </cell>
          <cell r="E5341">
            <v>0</v>
          </cell>
          <cell r="F5341">
            <v>0</v>
          </cell>
          <cell r="G5341">
            <v>0</v>
          </cell>
          <cell r="H5341">
            <v>-1.4</v>
          </cell>
          <cell r="I5341">
            <v>0</v>
          </cell>
          <cell r="J5341">
            <v>0</v>
          </cell>
          <cell r="K5341">
            <v>-0.34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 t="b">
            <v>0</v>
          </cell>
        </row>
        <row r="5342">
          <cell r="A5342" t="str">
            <v>Data split-2;Reg-127</v>
          </cell>
          <cell r="B5342">
            <v>-4.7</v>
          </cell>
          <cell r="C5342">
            <v>0</v>
          </cell>
          <cell r="D5342">
            <v>3.3</v>
          </cell>
          <cell r="E5342">
            <v>0</v>
          </cell>
          <cell r="F5342">
            <v>0</v>
          </cell>
          <cell r="G5342">
            <v>0</v>
          </cell>
          <cell r="H5342">
            <v>-1.4</v>
          </cell>
          <cell r="I5342">
            <v>0</v>
          </cell>
          <cell r="J5342">
            <v>0</v>
          </cell>
          <cell r="K5342">
            <v>0</v>
          </cell>
          <cell r="L5342">
            <v>-8.5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 t="b">
            <v>0</v>
          </cell>
        </row>
        <row r="5343">
          <cell r="A5343" t="str">
            <v>Data split-3;Reg-1</v>
          </cell>
          <cell r="B5343">
            <v>-5.4</v>
          </cell>
          <cell r="C5343">
            <v>2.9</v>
          </cell>
          <cell r="D5343">
            <v>0</v>
          </cell>
          <cell r="E5343">
            <v>0</v>
          </cell>
          <cell r="F5343">
            <v>-3.5999999999999997E-2</v>
          </cell>
          <cell r="G5343">
            <v>0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>
            <v>-14.9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 t="b">
            <v>0</v>
          </cell>
        </row>
        <row r="5344">
          <cell r="A5344" t="str">
            <v>Data split-3;Reg-2</v>
          </cell>
          <cell r="B5344">
            <v>-3.7</v>
          </cell>
          <cell r="C5344">
            <v>3.2</v>
          </cell>
          <cell r="D5344">
            <v>0</v>
          </cell>
          <cell r="E5344">
            <v>0</v>
          </cell>
          <cell r="F5344">
            <v>1.8E-3</v>
          </cell>
          <cell r="G5344">
            <v>-1.6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>
            <v>0</v>
          </cell>
          <cell r="M5344">
            <v>1.9E-2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 t="b">
            <v>0</v>
          </cell>
        </row>
        <row r="5345">
          <cell r="A5345" t="str">
            <v>Data split-3;Reg-3</v>
          </cell>
          <cell r="B5345">
            <v>-3.5</v>
          </cell>
          <cell r="C5345">
            <v>3.2</v>
          </cell>
          <cell r="D5345">
            <v>0</v>
          </cell>
          <cell r="E5345">
            <v>0</v>
          </cell>
          <cell r="F5345">
            <v>7.9000000000000008E-3</v>
          </cell>
          <cell r="G5345">
            <v>-1.3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-4.3E-3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 t="b">
            <v>0</v>
          </cell>
        </row>
        <row r="5346">
          <cell r="A5346" t="str">
            <v>Data split-3;Reg-4</v>
          </cell>
          <cell r="B5346">
            <v>-3.2</v>
          </cell>
          <cell r="C5346">
            <v>3.4</v>
          </cell>
          <cell r="D5346">
            <v>0</v>
          </cell>
          <cell r="E5346">
            <v>0</v>
          </cell>
          <cell r="F5346">
            <v>5.8000000000000003E-2</v>
          </cell>
          <cell r="G5346">
            <v>0</v>
          </cell>
          <cell r="H5346">
            <v>-3.7</v>
          </cell>
          <cell r="I5346">
            <v>0</v>
          </cell>
          <cell r="J5346">
            <v>0</v>
          </cell>
          <cell r="K5346">
            <v>0</v>
          </cell>
          <cell r="L5346">
            <v>0</v>
          </cell>
          <cell r="M5346">
            <v>0.1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 t="b">
            <v>0</v>
          </cell>
        </row>
        <row r="5347">
          <cell r="A5347" t="str">
            <v>Data split-3;Reg-5</v>
          </cell>
          <cell r="B5347">
            <v>-3.1</v>
          </cell>
          <cell r="C5347">
            <v>0</v>
          </cell>
          <cell r="D5347">
            <v>3.4</v>
          </cell>
          <cell r="E5347">
            <v>0</v>
          </cell>
          <cell r="F5347">
            <v>5.6000000000000001E-2</v>
          </cell>
          <cell r="G5347">
            <v>0</v>
          </cell>
          <cell r="H5347">
            <v>-3.7</v>
          </cell>
          <cell r="I5347">
            <v>0</v>
          </cell>
          <cell r="J5347">
            <v>0</v>
          </cell>
          <cell r="K5347">
            <v>0</v>
          </cell>
          <cell r="L5347">
            <v>0</v>
          </cell>
          <cell r="M5347">
            <v>0.1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 t="b">
            <v>0</v>
          </cell>
        </row>
        <row r="5348">
          <cell r="A5348" t="str">
            <v>Data split-3;Reg-6</v>
          </cell>
          <cell r="B5348">
            <v>-3.2</v>
          </cell>
          <cell r="C5348">
            <v>3.4</v>
          </cell>
          <cell r="D5348">
            <v>0</v>
          </cell>
          <cell r="E5348">
            <v>-2.1</v>
          </cell>
          <cell r="F5348">
            <v>0</v>
          </cell>
          <cell r="G5348">
            <v>0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>
            <v>-8.9</v>
          </cell>
          <cell r="M5348">
            <v>5.2999999999999999E-2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 t="b">
            <v>0</v>
          </cell>
        </row>
        <row r="5349">
          <cell r="A5349" t="str">
            <v>Data split-3;Reg-7</v>
          </cell>
          <cell r="B5349">
            <v>-3.3</v>
          </cell>
          <cell r="C5349">
            <v>3.1</v>
          </cell>
          <cell r="D5349">
            <v>0</v>
          </cell>
          <cell r="E5349">
            <v>0</v>
          </cell>
          <cell r="F5349">
            <v>-2.1000000000000001E-2</v>
          </cell>
          <cell r="G5349">
            <v>0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-15.1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-7.0000000000000007E-2</v>
          </cell>
          <cell r="T5349">
            <v>0</v>
          </cell>
          <cell r="U5349" t="b">
            <v>0</v>
          </cell>
        </row>
        <row r="5350">
          <cell r="A5350" t="str">
            <v>Data split-3;Reg-8</v>
          </cell>
          <cell r="B5350">
            <v>-0.65</v>
          </cell>
          <cell r="C5350">
            <v>3.4</v>
          </cell>
          <cell r="D5350">
            <v>0</v>
          </cell>
          <cell r="E5350">
            <v>0</v>
          </cell>
          <cell r="F5350">
            <v>0</v>
          </cell>
          <cell r="G5350">
            <v>-1.7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>
            <v>-17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2.1999999999999999E-2</v>
          </cell>
          <cell r="T5350">
            <v>0</v>
          </cell>
          <cell r="U5350" t="b">
            <v>0</v>
          </cell>
        </row>
        <row r="5351">
          <cell r="A5351" t="str">
            <v>Data split-3;Reg-9</v>
          </cell>
          <cell r="B5351">
            <v>-1.1000000000000001</v>
          </cell>
          <cell r="C5351">
            <v>0</v>
          </cell>
          <cell r="D5351">
            <v>3.5</v>
          </cell>
          <cell r="E5351">
            <v>0</v>
          </cell>
          <cell r="F5351">
            <v>0</v>
          </cell>
          <cell r="G5351">
            <v>0</v>
          </cell>
          <cell r="H5351">
            <v>-3.2</v>
          </cell>
          <cell r="I5351">
            <v>0</v>
          </cell>
          <cell r="J5351">
            <v>0</v>
          </cell>
          <cell r="K5351">
            <v>0</v>
          </cell>
          <cell r="L5351">
            <v>-15.2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7.3999999999999996E-2</v>
          </cell>
          <cell r="T5351">
            <v>0</v>
          </cell>
          <cell r="U5351" t="b">
            <v>0</v>
          </cell>
        </row>
        <row r="5352">
          <cell r="A5352" t="str">
            <v>Data split-3;Reg-10</v>
          </cell>
          <cell r="B5352">
            <v>-1.1000000000000001</v>
          </cell>
          <cell r="C5352">
            <v>0</v>
          </cell>
          <cell r="D5352">
            <v>3.5</v>
          </cell>
          <cell r="E5352">
            <v>0</v>
          </cell>
          <cell r="F5352">
            <v>0</v>
          </cell>
          <cell r="G5352">
            <v>0</v>
          </cell>
          <cell r="H5352">
            <v>-3.2</v>
          </cell>
          <cell r="I5352">
            <v>0</v>
          </cell>
          <cell r="J5352">
            <v>0</v>
          </cell>
          <cell r="K5352">
            <v>0</v>
          </cell>
          <cell r="L5352">
            <v>-15.2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7.3999999999999996E-2</v>
          </cell>
          <cell r="T5352">
            <v>0</v>
          </cell>
          <cell r="U5352" t="b">
            <v>0</v>
          </cell>
        </row>
        <row r="5353">
          <cell r="A5353" t="str">
            <v>Data split-3;Reg-11</v>
          </cell>
          <cell r="B5353">
            <v>-3.5</v>
          </cell>
          <cell r="C5353">
            <v>3.4</v>
          </cell>
          <cell r="D5353">
            <v>0</v>
          </cell>
          <cell r="E5353">
            <v>-1.4</v>
          </cell>
          <cell r="F5353">
            <v>0</v>
          </cell>
          <cell r="G5353">
            <v>-0.42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 t="b">
            <v>0</v>
          </cell>
        </row>
        <row r="5354">
          <cell r="A5354" t="str">
            <v>Data split-3;Reg-12</v>
          </cell>
          <cell r="B5354">
            <v>-5.5</v>
          </cell>
          <cell r="C5354">
            <v>3.2</v>
          </cell>
          <cell r="D5354">
            <v>0</v>
          </cell>
          <cell r="E5354">
            <v>-3.2</v>
          </cell>
          <cell r="F5354">
            <v>0</v>
          </cell>
          <cell r="G5354">
            <v>0</v>
          </cell>
          <cell r="H5354">
            <v>2.4</v>
          </cell>
          <cell r="I5354">
            <v>0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 t="b">
            <v>0</v>
          </cell>
        </row>
        <row r="5355">
          <cell r="A5355" t="str">
            <v>Data split-3;Reg-13</v>
          </cell>
          <cell r="B5355">
            <v>-3.6</v>
          </cell>
          <cell r="C5355">
            <v>3.2</v>
          </cell>
          <cell r="D5355">
            <v>0</v>
          </cell>
          <cell r="E5355">
            <v>0</v>
          </cell>
          <cell r="F5355">
            <v>4.1000000000000003E-3</v>
          </cell>
          <cell r="G5355">
            <v>-1.4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 t="b">
            <v>0</v>
          </cell>
        </row>
        <row r="5356">
          <cell r="A5356" t="str">
            <v>Data split-3;Reg-14</v>
          </cell>
          <cell r="B5356">
            <v>-3.7</v>
          </cell>
          <cell r="C5356">
            <v>3.2</v>
          </cell>
          <cell r="D5356">
            <v>0</v>
          </cell>
          <cell r="E5356">
            <v>0</v>
          </cell>
          <cell r="F5356">
            <v>3.9E-2</v>
          </cell>
          <cell r="G5356">
            <v>0</v>
          </cell>
          <cell r="H5356">
            <v>-2.1</v>
          </cell>
          <cell r="I5356">
            <v>0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 t="b">
            <v>0</v>
          </cell>
        </row>
        <row r="5357">
          <cell r="A5357" t="str">
            <v>Data split-3;Reg-15</v>
          </cell>
          <cell r="B5357">
            <v>-4.5</v>
          </cell>
          <cell r="C5357">
            <v>3.3</v>
          </cell>
          <cell r="D5357">
            <v>0</v>
          </cell>
          <cell r="E5357">
            <v>-2.4</v>
          </cell>
          <cell r="F5357">
            <v>0</v>
          </cell>
          <cell r="G5357">
            <v>0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>
            <v>0</v>
          </cell>
          <cell r="M5357">
            <v>7.0000000000000007E-2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 t="b">
            <v>0</v>
          </cell>
        </row>
        <row r="5358">
          <cell r="A5358" t="str">
            <v>Data split-3;Reg-16</v>
          </cell>
          <cell r="B5358">
            <v>-4.2</v>
          </cell>
          <cell r="C5358">
            <v>3.3</v>
          </cell>
          <cell r="D5358">
            <v>0</v>
          </cell>
          <cell r="E5358">
            <v>-2.1</v>
          </cell>
          <cell r="F5358">
            <v>0</v>
          </cell>
          <cell r="G5358">
            <v>0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0</v>
          </cell>
          <cell r="M5358">
            <v>0</v>
          </cell>
          <cell r="N5358">
            <v>8.8999999999999999E-3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 t="b">
            <v>0</v>
          </cell>
        </row>
        <row r="5359">
          <cell r="A5359" t="str">
            <v>Data split-3;Reg-17</v>
          </cell>
          <cell r="B5359">
            <v>-6.1</v>
          </cell>
          <cell r="C5359">
            <v>2.9</v>
          </cell>
          <cell r="D5359">
            <v>0</v>
          </cell>
          <cell r="E5359">
            <v>0</v>
          </cell>
          <cell r="F5359">
            <v>-8.4999999999999995E-4</v>
          </cell>
          <cell r="G5359">
            <v>0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0</v>
          </cell>
          <cell r="M5359">
            <v>-6.8000000000000005E-2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 t="b">
            <v>0</v>
          </cell>
        </row>
        <row r="5360">
          <cell r="A5360" t="str">
            <v>Data split-3;Reg-18</v>
          </cell>
          <cell r="B5360">
            <v>-5.4</v>
          </cell>
          <cell r="C5360">
            <v>3</v>
          </cell>
          <cell r="D5360">
            <v>0</v>
          </cell>
          <cell r="E5360">
            <v>0</v>
          </cell>
          <cell r="F5360">
            <v>1.2999999999999999E-2</v>
          </cell>
          <cell r="G5360">
            <v>0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-2.1000000000000001E-2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 t="b">
            <v>1</v>
          </cell>
        </row>
        <row r="5361">
          <cell r="A5361" t="str">
            <v>Data split-3;Reg-19</v>
          </cell>
          <cell r="B5361">
            <v>-3.8</v>
          </cell>
          <cell r="C5361">
            <v>3.2</v>
          </cell>
          <cell r="D5361">
            <v>0</v>
          </cell>
          <cell r="E5361">
            <v>0</v>
          </cell>
          <cell r="F5361">
            <v>0</v>
          </cell>
          <cell r="G5361">
            <v>-1.7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3.3000000000000002E-2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 t="b">
            <v>0</v>
          </cell>
        </row>
        <row r="5362">
          <cell r="A5362" t="str">
            <v>Data split-3;Reg-20</v>
          </cell>
          <cell r="B5362">
            <v>-3.6</v>
          </cell>
          <cell r="C5362">
            <v>3.2</v>
          </cell>
          <cell r="D5362">
            <v>0</v>
          </cell>
          <cell r="E5362">
            <v>0</v>
          </cell>
          <cell r="F5362">
            <v>0</v>
          </cell>
          <cell r="G5362">
            <v>-1.6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3.7000000000000002E-3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 t="b">
            <v>0</v>
          </cell>
        </row>
        <row r="5363">
          <cell r="A5363" t="str">
            <v>Data split-3;Reg-21</v>
          </cell>
          <cell r="B5363">
            <v>-3.8</v>
          </cell>
          <cell r="C5363">
            <v>3.3</v>
          </cell>
          <cell r="D5363">
            <v>0</v>
          </cell>
          <cell r="E5363">
            <v>0</v>
          </cell>
          <cell r="F5363">
            <v>0</v>
          </cell>
          <cell r="G5363">
            <v>0</v>
          </cell>
          <cell r="H5363">
            <v>-2</v>
          </cell>
          <cell r="I5363">
            <v>0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-1.9E-3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 t="b">
            <v>0</v>
          </cell>
        </row>
        <row r="5364">
          <cell r="A5364" t="str">
            <v>Data split-3;Reg-22</v>
          </cell>
          <cell r="B5364">
            <v>-3.7</v>
          </cell>
          <cell r="C5364">
            <v>3.3</v>
          </cell>
          <cell r="D5364">
            <v>0</v>
          </cell>
          <cell r="E5364">
            <v>0</v>
          </cell>
          <cell r="F5364">
            <v>0</v>
          </cell>
          <cell r="G5364">
            <v>0</v>
          </cell>
          <cell r="H5364">
            <v>-1.8</v>
          </cell>
          <cell r="I5364">
            <v>0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-3.3E-3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 t="b">
            <v>0</v>
          </cell>
        </row>
        <row r="5365">
          <cell r="A5365" t="str">
            <v>Data split-3;Reg-23</v>
          </cell>
          <cell r="B5365">
            <v>-3.4</v>
          </cell>
          <cell r="C5365">
            <v>0</v>
          </cell>
          <cell r="D5365">
            <v>3.4</v>
          </cell>
          <cell r="E5365">
            <v>-1.4</v>
          </cell>
          <cell r="F5365">
            <v>0</v>
          </cell>
          <cell r="G5365">
            <v>-0.43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 t="b">
            <v>0</v>
          </cell>
        </row>
        <row r="5366">
          <cell r="A5366" t="str">
            <v>Data split-3;Reg-24</v>
          </cell>
          <cell r="B5366">
            <v>-5.4</v>
          </cell>
          <cell r="C5366">
            <v>0</v>
          </cell>
          <cell r="D5366">
            <v>3.2</v>
          </cell>
          <cell r="E5366">
            <v>-3.2</v>
          </cell>
          <cell r="F5366">
            <v>0</v>
          </cell>
          <cell r="G5366">
            <v>0</v>
          </cell>
          <cell r="H5366">
            <v>2.2999999999999998</v>
          </cell>
          <cell r="I5366">
            <v>0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 t="b">
            <v>0</v>
          </cell>
        </row>
        <row r="5367">
          <cell r="A5367" t="str">
            <v>Data split-3;Reg-25</v>
          </cell>
          <cell r="B5367">
            <v>-3.5</v>
          </cell>
          <cell r="C5367">
            <v>0</v>
          </cell>
          <cell r="D5367">
            <v>3.2</v>
          </cell>
          <cell r="E5367">
            <v>0</v>
          </cell>
          <cell r="F5367">
            <v>2.3999999999999998E-3</v>
          </cell>
          <cell r="G5367">
            <v>-1.4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 t="b">
            <v>0</v>
          </cell>
        </row>
        <row r="5368">
          <cell r="A5368" t="str">
            <v>Data split-3;Reg-26</v>
          </cell>
          <cell r="B5368">
            <v>-3.6</v>
          </cell>
          <cell r="C5368">
            <v>0</v>
          </cell>
          <cell r="D5368">
            <v>3.2</v>
          </cell>
          <cell r="E5368">
            <v>0</v>
          </cell>
          <cell r="F5368">
            <v>3.6999999999999998E-2</v>
          </cell>
          <cell r="G5368">
            <v>0</v>
          </cell>
          <cell r="H5368">
            <v>-2.1</v>
          </cell>
          <cell r="I5368">
            <v>0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 t="b">
            <v>0</v>
          </cell>
        </row>
        <row r="5369">
          <cell r="A5369" t="str">
            <v>Data split-3;Reg-27</v>
          </cell>
          <cell r="B5369">
            <v>-4.4000000000000004</v>
          </cell>
          <cell r="C5369">
            <v>0</v>
          </cell>
          <cell r="D5369">
            <v>3.3</v>
          </cell>
          <cell r="E5369">
            <v>-2.2999999999999998</v>
          </cell>
          <cell r="F5369">
            <v>0</v>
          </cell>
          <cell r="G5369">
            <v>0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>
            <v>0</v>
          </cell>
          <cell r="M5369">
            <v>6.9000000000000006E-2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 t="b">
            <v>0</v>
          </cell>
        </row>
        <row r="5370">
          <cell r="A5370" t="str">
            <v>Data split-3;Reg-28</v>
          </cell>
          <cell r="B5370">
            <v>-4.0999999999999996</v>
          </cell>
          <cell r="C5370">
            <v>0</v>
          </cell>
          <cell r="D5370">
            <v>3.3</v>
          </cell>
          <cell r="E5370">
            <v>-2.1</v>
          </cell>
          <cell r="F5370">
            <v>0</v>
          </cell>
          <cell r="G5370">
            <v>0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0</v>
          </cell>
          <cell r="M5370">
            <v>0</v>
          </cell>
          <cell r="N5370">
            <v>8.8999999999999999E-3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 t="b">
            <v>0</v>
          </cell>
        </row>
        <row r="5371">
          <cell r="A5371" t="str">
            <v>Data split-3;Reg-29</v>
          </cell>
          <cell r="B5371">
            <v>-6</v>
          </cell>
          <cell r="C5371">
            <v>0</v>
          </cell>
          <cell r="D5371">
            <v>2.9</v>
          </cell>
          <cell r="E5371">
            <v>0</v>
          </cell>
          <cell r="F5371">
            <v>-2.3999999999999998E-3</v>
          </cell>
          <cell r="G5371">
            <v>0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>
            <v>0</v>
          </cell>
          <cell r="M5371">
            <v>-6.9000000000000006E-2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 t="b">
            <v>0</v>
          </cell>
        </row>
        <row r="5372">
          <cell r="A5372" t="str">
            <v>Data split-3;Reg-30</v>
          </cell>
          <cell r="B5372">
            <v>-5.3</v>
          </cell>
          <cell r="C5372">
            <v>0</v>
          </cell>
          <cell r="D5372">
            <v>3</v>
          </cell>
          <cell r="E5372">
            <v>0</v>
          </cell>
          <cell r="F5372">
            <v>1.0999999999999999E-2</v>
          </cell>
          <cell r="G5372">
            <v>0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-2.1000000000000001E-2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 t="b">
            <v>1</v>
          </cell>
        </row>
        <row r="5373">
          <cell r="A5373" t="str">
            <v>Data split-3;Reg-31</v>
          </cell>
          <cell r="B5373">
            <v>-3.7</v>
          </cell>
          <cell r="C5373">
            <v>0</v>
          </cell>
          <cell r="D5373">
            <v>3.2</v>
          </cell>
          <cell r="E5373">
            <v>0</v>
          </cell>
          <cell r="F5373">
            <v>0</v>
          </cell>
          <cell r="G5373">
            <v>-1.7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3.6999999999999998E-2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 t="b">
            <v>0</v>
          </cell>
        </row>
        <row r="5374">
          <cell r="A5374" t="str">
            <v>Data split-3;Reg-32</v>
          </cell>
          <cell r="B5374">
            <v>-3.5</v>
          </cell>
          <cell r="C5374">
            <v>0</v>
          </cell>
          <cell r="D5374">
            <v>3.2</v>
          </cell>
          <cell r="E5374">
            <v>0</v>
          </cell>
          <cell r="F5374">
            <v>0</v>
          </cell>
          <cell r="G5374">
            <v>-1.6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4.7000000000000002E-3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 t="b">
            <v>0</v>
          </cell>
        </row>
        <row r="5375">
          <cell r="A5375" t="str">
            <v>Data split-3;Reg-33</v>
          </cell>
          <cell r="B5375">
            <v>-3.7</v>
          </cell>
          <cell r="C5375">
            <v>0</v>
          </cell>
          <cell r="D5375">
            <v>3.3</v>
          </cell>
          <cell r="E5375">
            <v>0</v>
          </cell>
          <cell r="F5375">
            <v>0</v>
          </cell>
          <cell r="G5375">
            <v>0</v>
          </cell>
          <cell r="H5375">
            <v>-2</v>
          </cell>
          <cell r="I5375">
            <v>0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9.1E-4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 t="b">
            <v>0</v>
          </cell>
        </row>
        <row r="5376">
          <cell r="A5376" t="str">
            <v>Data split-3;Reg-34</v>
          </cell>
          <cell r="B5376">
            <v>-3.7</v>
          </cell>
          <cell r="C5376">
            <v>0</v>
          </cell>
          <cell r="D5376">
            <v>3.3</v>
          </cell>
          <cell r="E5376">
            <v>0</v>
          </cell>
          <cell r="F5376">
            <v>0</v>
          </cell>
          <cell r="G5376">
            <v>0</v>
          </cell>
          <cell r="H5376">
            <v>-1.9</v>
          </cell>
          <cell r="I5376">
            <v>0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-2.5000000000000001E-3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 t="b">
            <v>0</v>
          </cell>
        </row>
        <row r="5377">
          <cell r="A5377" t="str">
            <v>Data split-3;Reg-35</v>
          </cell>
          <cell r="B5377">
            <v>-3.9</v>
          </cell>
          <cell r="C5377">
            <v>3.4</v>
          </cell>
          <cell r="D5377">
            <v>0</v>
          </cell>
          <cell r="E5377">
            <v>-1.9</v>
          </cell>
          <cell r="F5377">
            <v>0</v>
          </cell>
          <cell r="G5377">
            <v>-0.6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>
            <v>0</v>
          </cell>
          <cell r="M5377">
            <v>7.8E-2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 t="b">
            <v>0</v>
          </cell>
        </row>
        <row r="5378">
          <cell r="A5378" t="str">
            <v>Data split-3;Reg-36</v>
          </cell>
          <cell r="B5378">
            <v>-3.6</v>
          </cell>
          <cell r="C5378">
            <v>3.3</v>
          </cell>
          <cell r="D5378">
            <v>0</v>
          </cell>
          <cell r="E5378">
            <v>-1.8</v>
          </cell>
          <cell r="F5378">
            <v>0</v>
          </cell>
          <cell r="G5378">
            <v>-0.54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1.0999999999999999E-2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 t="b">
            <v>0</v>
          </cell>
        </row>
        <row r="5379">
          <cell r="A5379" t="str">
            <v>Data split-3;Reg-37</v>
          </cell>
          <cell r="B5379">
            <v>-5.2</v>
          </cell>
          <cell r="C5379">
            <v>3.2</v>
          </cell>
          <cell r="D5379">
            <v>0</v>
          </cell>
          <cell r="E5379">
            <v>-3</v>
          </cell>
          <cell r="F5379">
            <v>0</v>
          </cell>
          <cell r="G5379">
            <v>0</v>
          </cell>
          <cell r="H5379">
            <v>1.5</v>
          </cell>
          <cell r="I5379">
            <v>0</v>
          </cell>
          <cell r="J5379">
            <v>0</v>
          </cell>
          <cell r="K5379">
            <v>0</v>
          </cell>
          <cell r="L5379">
            <v>0</v>
          </cell>
          <cell r="M5379">
            <v>3.5999999999999997E-2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 t="b">
            <v>0</v>
          </cell>
        </row>
        <row r="5380">
          <cell r="A5380" t="str">
            <v>Data split-3;Reg-38</v>
          </cell>
          <cell r="B5380">
            <v>-5.9</v>
          </cell>
          <cell r="C5380">
            <v>3.2</v>
          </cell>
          <cell r="D5380">
            <v>0</v>
          </cell>
          <cell r="E5380">
            <v>-3.4</v>
          </cell>
          <cell r="F5380">
            <v>0</v>
          </cell>
          <cell r="G5380">
            <v>0</v>
          </cell>
          <cell r="H5380">
            <v>3.3</v>
          </cell>
          <cell r="I5380">
            <v>0</v>
          </cell>
          <cell r="J5380">
            <v>0</v>
          </cell>
          <cell r="K5380">
            <v>0</v>
          </cell>
          <cell r="L5380">
            <v>0</v>
          </cell>
          <cell r="M5380">
            <v>0</v>
          </cell>
          <cell r="N5380">
            <v>-9.4999999999999998E-3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 t="b">
            <v>0</v>
          </cell>
        </row>
        <row r="5381">
          <cell r="A5381" t="str">
            <v>Data split-3;Reg-39</v>
          </cell>
          <cell r="B5381">
            <v>-3.7</v>
          </cell>
          <cell r="C5381">
            <v>3.2</v>
          </cell>
          <cell r="D5381">
            <v>0</v>
          </cell>
          <cell r="E5381">
            <v>0</v>
          </cell>
          <cell r="F5381">
            <v>1.8E-3</v>
          </cell>
          <cell r="G5381">
            <v>-1.6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>
            <v>0</v>
          </cell>
          <cell r="M5381">
            <v>1.9E-2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 t="b">
            <v>0</v>
          </cell>
        </row>
        <row r="5382">
          <cell r="A5382" t="str">
            <v>Data split-3;Reg-40</v>
          </cell>
          <cell r="B5382">
            <v>-3.5</v>
          </cell>
          <cell r="C5382">
            <v>3.2</v>
          </cell>
          <cell r="D5382">
            <v>0</v>
          </cell>
          <cell r="E5382">
            <v>0</v>
          </cell>
          <cell r="F5382">
            <v>7.9000000000000008E-3</v>
          </cell>
          <cell r="G5382">
            <v>-1.3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-4.3E-3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 t="b">
            <v>0</v>
          </cell>
        </row>
        <row r="5383">
          <cell r="A5383" t="str">
            <v>Data split-3;Reg-41</v>
          </cell>
          <cell r="B5383">
            <v>-3.2</v>
          </cell>
          <cell r="C5383">
            <v>3.4</v>
          </cell>
          <cell r="D5383">
            <v>0</v>
          </cell>
          <cell r="E5383">
            <v>0</v>
          </cell>
          <cell r="F5383">
            <v>5.8000000000000003E-2</v>
          </cell>
          <cell r="G5383">
            <v>0</v>
          </cell>
          <cell r="H5383">
            <v>-3.7</v>
          </cell>
          <cell r="I5383">
            <v>0</v>
          </cell>
          <cell r="J5383">
            <v>0</v>
          </cell>
          <cell r="K5383">
            <v>0</v>
          </cell>
          <cell r="L5383">
            <v>0</v>
          </cell>
          <cell r="M5383">
            <v>0.1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 t="b">
            <v>0</v>
          </cell>
        </row>
        <row r="5384">
          <cell r="A5384" t="str">
            <v>Data split-3;Reg-42</v>
          </cell>
          <cell r="B5384">
            <v>-3.4</v>
          </cell>
          <cell r="C5384">
            <v>3.3</v>
          </cell>
          <cell r="D5384">
            <v>0</v>
          </cell>
          <cell r="E5384">
            <v>0</v>
          </cell>
          <cell r="F5384">
            <v>4.3999999999999997E-2</v>
          </cell>
          <cell r="G5384">
            <v>0</v>
          </cell>
          <cell r="H5384">
            <v>-2.7</v>
          </cell>
          <cell r="I5384">
            <v>0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7.3000000000000001E-3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 t="b">
            <v>0</v>
          </cell>
        </row>
        <row r="5385">
          <cell r="A5385" t="str">
            <v>Data split-3;Reg-43</v>
          </cell>
          <cell r="B5385">
            <v>-3.8</v>
          </cell>
          <cell r="C5385">
            <v>3.4</v>
          </cell>
          <cell r="D5385">
            <v>0</v>
          </cell>
          <cell r="E5385">
            <v>-1.4</v>
          </cell>
          <cell r="F5385">
            <v>0</v>
          </cell>
          <cell r="G5385">
            <v>-0.69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4.1000000000000002E-2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 t="b">
            <v>0</v>
          </cell>
        </row>
        <row r="5386">
          <cell r="A5386" t="str">
            <v>Data split-3;Reg-44</v>
          </cell>
          <cell r="B5386">
            <v>-3.6</v>
          </cell>
          <cell r="C5386">
            <v>3.4</v>
          </cell>
          <cell r="D5386">
            <v>0</v>
          </cell>
          <cell r="E5386">
            <v>-1.4</v>
          </cell>
          <cell r="F5386">
            <v>0</v>
          </cell>
          <cell r="G5386">
            <v>-0.61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5.3E-3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 t="b">
            <v>0</v>
          </cell>
        </row>
        <row r="5387">
          <cell r="A5387" t="str">
            <v>Data split-3;Reg-45</v>
          </cell>
          <cell r="B5387">
            <v>-5.5</v>
          </cell>
          <cell r="C5387">
            <v>3.2</v>
          </cell>
          <cell r="D5387">
            <v>0</v>
          </cell>
          <cell r="E5387">
            <v>-3.2</v>
          </cell>
          <cell r="F5387">
            <v>0</v>
          </cell>
          <cell r="G5387">
            <v>0</v>
          </cell>
          <cell r="H5387">
            <v>2.4</v>
          </cell>
          <cell r="I5387">
            <v>0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-5.7000000000000002E-3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 t="b">
            <v>0</v>
          </cell>
        </row>
        <row r="5388">
          <cell r="A5388" t="str">
            <v>Data split-3;Reg-46</v>
          </cell>
          <cell r="B5388">
            <v>-5.5</v>
          </cell>
          <cell r="C5388">
            <v>3.2</v>
          </cell>
          <cell r="D5388">
            <v>0</v>
          </cell>
          <cell r="E5388">
            <v>-3.2</v>
          </cell>
          <cell r="F5388">
            <v>0</v>
          </cell>
          <cell r="G5388">
            <v>0</v>
          </cell>
          <cell r="H5388">
            <v>2.5</v>
          </cell>
          <cell r="I5388">
            <v>0</v>
          </cell>
          <cell r="J5388">
            <v>0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-3.0999999999999999E-3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 t="b">
            <v>0</v>
          </cell>
        </row>
        <row r="5389">
          <cell r="A5389" t="str">
            <v>Data split-3;Reg-47</v>
          </cell>
          <cell r="B5389">
            <v>-3.8</v>
          </cell>
          <cell r="C5389">
            <v>3.2</v>
          </cell>
          <cell r="D5389">
            <v>0</v>
          </cell>
          <cell r="E5389">
            <v>0</v>
          </cell>
          <cell r="F5389">
            <v>-3.2000000000000002E-3</v>
          </cell>
          <cell r="G5389">
            <v>-1.7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3.4000000000000002E-2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 t="b">
            <v>0</v>
          </cell>
        </row>
        <row r="5390">
          <cell r="A5390" t="str">
            <v>Data split-3;Reg-48</v>
          </cell>
          <cell r="B5390">
            <v>-3.6</v>
          </cell>
          <cell r="C5390">
            <v>3.2</v>
          </cell>
          <cell r="D5390">
            <v>0</v>
          </cell>
          <cell r="E5390">
            <v>0</v>
          </cell>
          <cell r="F5390">
            <v>-1.5E-3</v>
          </cell>
          <cell r="G5390">
            <v>-1.6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3.7000000000000002E-3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 t="b">
            <v>0</v>
          </cell>
        </row>
        <row r="5391">
          <cell r="A5391" t="str">
            <v>Data split-3;Reg-49</v>
          </cell>
          <cell r="B5391">
            <v>-3.6</v>
          </cell>
          <cell r="C5391">
            <v>3.2</v>
          </cell>
          <cell r="D5391">
            <v>0</v>
          </cell>
          <cell r="E5391">
            <v>0</v>
          </cell>
          <cell r="F5391">
            <v>3.9E-2</v>
          </cell>
          <cell r="G5391">
            <v>0</v>
          </cell>
          <cell r="H5391">
            <v>-2.1</v>
          </cell>
          <cell r="I5391">
            <v>0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-2.7000000000000001E-3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 t="b">
            <v>0</v>
          </cell>
        </row>
        <row r="5392">
          <cell r="A5392" t="str">
            <v>Data split-3;Reg-50</v>
          </cell>
          <cell r="B5392">
            <v>-3.6</v>
          </cell>
          <cell r="C5392">
            <v>3.2</v>
          </cell>
          <cell r="D5392">
            <v>0</v>
          </cell>
          <cell r="E5392">
            <v>0</v>
          </cell>
          <cell r="F5392">
            <v>4.1000000000000002E-2</v>
          </cell>
          <cell r="G5392">
            <v>0</v>
          </cell>
          <cell r="H5392">
            <v>-1.9</v>
          </cell>
          <cell r="I5392">
            <v>0</v>
          </cell>
          <cell r="J5392">
            <v>0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-3.7000000000000002E-3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 t="b">
            <v>0</v>
          </cell>
        </row>
        <row r="5393">
          <cell r="A5393" t="str">
            <v>Data split-3;Reg-51</v>
          </cell>
          <cell r="B5393">
            <v>-3.8</v>
          </cell>
          <cell r="C5393">
            <v>0</v>
          </cell>
          <cell r="D5393">
            <v>3.4</v>
          </cell>
          <cell r="E5393">
            <v>-1.9</v>
          </cell>
          <cell r="F5393">
            <v>0</v>
          </cell>
          <cell r="G5393">
            <v>-0.6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7.6999999999999999E-2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 t="b">
            <v>0</v>
          </cell>
        </row>
        <row r="5394">
          <cell r="A5394" t="str">
            <v>Data split-3;Reg-52</v>
          </cell>
          <cell r="B5394">
            <v>-3.5</v>
          </cell>
          <cell r="C5394">
            <v>0</v>
          </cell>
          <cell r="D5394">
            <v>3.3</v>
          </cell>
          <cell r="E5394">
            <v>-1.8</v>
          </cell>
          <cell r="F5394">
            <v>0</v>
          </cell>
          <cell r="G5394">
            <v>-0.54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1.0999999999999999E-2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 t="b">
            <v>0</v>
          </cell>
        </row>
        <row r="5395">
          <cell r="A5395" t="str">
            <v>Data split-3;Reg-53</v>
          </cell>
          <cell r="B5395">
            <v>-5.0999999999999996</v>
          </cell>
          <cell r="C5395">
            <v>0</v>
          </cell>
          <cell r="D5395">
            <v>3.3</v>
          </cell>
          <cell r="E5395">
            <v>-3</v>
          </cell>
          <cell r="F5395">
            <v>0</v>
          </cell>
          <cell r="G5395">
            <v>0</v>
          </cell>
          <cell r="H5395">
            <v>1.5</v>
          </cell>
          <cell r="I5395">
            <v>0</v>
          </cell>
          <cell r="J5395">
            <v>0</v>
          </cell>
          <cell r="K5395">
            <v>0</v>
          </cell>
          <cell r="L5395">
            <v>0</v>
          </cell>
          <cell r="M5395">
            <v>3.5999999999999997E-2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 t="b">
            <v>0</v>
          </cell>
        </row>
        <row r="5396">
          <cell r="A5396" t="str">
            <v>Data split-3;Reg-54</v>
          </cell>
          <cell r="B5396">
            <v>-5.8</v>
          </cell>
          <cell r="C5396">
            <v>0</v>
          </cell>
          <cell r="D5396">
            <v>3.2</v>
          </cell>
          <cell r="E5396">
            <v>-3.4</v>
          </cell>
          <cell r="F5396">
            <v>0</v>
          </cell>
          <cell r="G5396">
            <v>0</v>
          </cell>
          <cell r="H5396">
            <v>3.2</v>
          </cell>
          <cell r="I5396">
            <v>0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-9.1000000000000004E-3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 t="b">
            <v>0</v>
          </cell>
        </row>
        <row r="5397">
          <cell r="A5397" t="str">
            <v>Data split-3;Reg-55</v>
          </cell>
          <cell r="B5397">
            <v>-3.6</v>
          </cell>
          <cell r="C5397">
            <v>0</v>
          </cell>
          <cell r="D5397">
            <v>3.2</v>
          </cell>
          <cell r="E5397">
            <v>0</v>
          </cell>
          <cell r="F5397">
            <v>1.9000000000000001E-4</v>
          </cell>
          <cell r="G5397">
            <v>-1.6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0</v>
          </cell>
          <cell r="M5397">
            <v>1.7999999999999999E-2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 t="b">
            <v>0</v>
          </cell>
        </row>
        <row r="5398">
          <cell r="A5398" t="str">
            <v>Data split-3;Reg-56</v>
          </cell>
          <cell r="B5398">
            <v>-3.5</v>
          </cell>
          <cell r="C5398">
            <v>0</v>
          </cell>
          <cell r="D5398">
            <v>3.2</v>
          </cell>
          <cell r="E5398">
            <v>0</v>
          </cell>
          <cell r="F5398">
            <v>6.1000000000000004E-3</v>
          </cell>
          <cell r="G5398">
            <v>-1.3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-4.1999999999999997E-3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 t="b">
            <v>0</v>
          </cell>
        </row>
        <row r="5399">
          <cell r="A5399" t="str">
            <v>Data split-3;Reg-57</v>
          </cell>
          <cell r="B5399">
            <v>-3.1</v>
          </cell>
          <cell r="C5399">
            <v>0</v>
          </cell>
          <cell r="D5399">
            <v>3.4</v>
          </cell>
          <cell r="E5399">
            <v>0</v>
          </cell>
          <cell r="F5399">
            <v>5.6000000000000001E-2</v>
          </cell>
          <cell r="G5399">
            <v>0</v>
          </cell>
          <cell r="H5399">
            <v>-3.7</v>
          </cell>
          <cell r="I5399">
            <v>0</v>
          </cell>
          <cell r="J5399">
            <v>0</v>
          </cell>
          <cell r="K5399">
            <v>0</v>
          </cell>
          <cell r="L5399">
            <v>0</v>
          </cell>
          <cell r="M5399">
            <v>0.1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 t="b">
            <v>0</v>
          </cell>
        </row>
        <row r="5400">
          <cell r="A5400" t="str">
            <v>Data split-3;Reg-58</v>
          </cell>
          <cell r="B5400">
            <v>-3.3</v>
          </cell>
          <cell r="C5400">
            <v>0</v>
          </cell>
          <cell r="D5400">
            <v>3.3</v>
          </cell>
          <cell r="E5400">
            <v>0</v>
          </cell>
          <cell r="F5400">
            <v>4.2000000000000003E-2</v>
          </cell>
          <cell r="G5400">
            <v>0</v>
          </cell>
          <cell r="H5400">
            <v>-2.7</v>
          </cell>
          <cell r="I5400">
            <v>0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7.4999999999999997E-3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 t="b">
            <v>0</v>
          </cell>
        </row>
        <row r="5401">
          <cell r="A5401" t="str">
            <v>Data split-3;Reg-59</v>
          </cell>
          <cell r="B5401">
            <v>-3.7</v>
          </cell>
          <cell r="C5401">
            <v>0</v>
          </cell>
          <cell r="D5401">
            <v>3.4</v>
          </cell>
          <cell r="E5401">
            <v>-1.4</v>
          </cell>
          <cell r="F5401">
            <v>0</v>
          </cell>
          <cell r="G5401">
            <v>-0.72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4.3999999999999997E-2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 t="b">
            <v>0</v>
          </cell>
        </row>
        <row r="5402">
          <cell r="A5402" t="str">
            <v>Data split-3;Reg-60</v>
          </cell>
          <cell r="B5402">
            <v>-3.5</v>
          </cell>
          <cell r="C5402">
            <v>0</v>
          </cell>
          <cell r="D5402">
            <v>3.4</v>
          </cell>
          <cell r="E5402">
            <v>-1.4</v>
          </cell>
          <cell r="F5402">
            <v>0</v>
          </cell>
          <cell r="G5402">
            <v>-0.66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6.3E-3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 t="b">
            <v>0</v>
          </cell>
        </row>
        <row r="5403">
          <cell r="A5403" t="str">
            <v>Data split-3;Reg-61</v>
          </cell>
          <cell r="B5403">
            <v>-5.4</v>
          </cell>
          <cell r="C5403">
            <v>0</v>
          </cell>
          <cell r="D5403">
            <v>3.2</v>
          </cell>
          <cell r="E5403">
            <v>-3.2</v>
          </cell>
          <cell r="F5403">
            <v>0</v>
          </cell>
          <cell r="G5403">
            <v>0</v>
          </cell>
          <cell r="H5403">
            <v>2.4</v>
          </cell>
          <cell r="I5403">
            <v>0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-2.8999999999999998E-3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 t="b">
            <v>0</v>
          </cell>
        </row>
        <row r="5404">
          <cell r="A5404" t="str">
            <v>Data split-3;Reg-62</v>
          </cell>
          <cell r="B5404">
            <v>-5.4</v>
          </cell>
          <cell r="C5404">
            <v>0</v>
          </cell>
          <cell r="D5404">
            <v>3.2</v>
          </cell>
          <cell r="E5404">
            <v>-3.2</v>
          </cell>
          <cell r="F5404">
            <v>0</v>
          </cell>
          <cell r="G5404">
            <v>0</v>
          </cell>
          <cell r="H5404">
            <v>2.5</v>
          </cell>
          <cell r="I5404">
            <v>0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-2.3E-3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 t="b">
            <v>0</v>
          </cell>
        </row>
        <row r="5405">
          <cell r="A5405" t="str">
            <v>Data split-3;Reg-63</v>
          </cell>
          <cell r="B5405">
            <v>-3.7</v>
          </cell>
          <cell r="C5405">
            <v>0</v>
          </cell>
          <cell r="D5405">
            <v>3.2</v>
          </cell>
          <cell r="E5405">
            <v>0</v>
          </cell>
          <cell r="F5405">
            <v>-5.7999999999999996E-3</v>
          </cell>
          <cell r="G5405">
            <v>-1.7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3.6999999999999998E-2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 t="b">
            <v>0</v>
          </cell>
        </row>
        <row r="5406">
          <cell r="A5406" t="str">
            <v>Data split-3;Reg-64</v>
          </cell>
          <cell r="B5406">
            <v>-3.6</v>
          </cell>
          <cell r="C5406">
            <v>0</v>
          </cell>
          <cell r="D5406">
            <v>3.2</v>
          </cell>
          <cell r="E5406">
            <v>0</v>
          </cell>
          <cell r="F5406">
            <v>-4.8999999999999998E-3</v>
          </cell>
          <cell r="G5406">
            <v>-1.6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4.7999999999999996E-3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 t="b">
            <v>0</v>
          </cell>
        </row>
        <row r="5407">
          <cell r="A5407" t="str">
            <v>Data split-3;Reg-65</v>
          </cell>
          <cell r="B5407">
            <v>-3.6</v>
          </cell>
          <cell r="C5407">
            <v>0</v>
          </cell>
          <cell r="D5407">
            <v>3.2</v>
          </cell>
          <cell r="E5407">
            <v>0</v>
          </cell>
          <cell r="F5407">
            <v>3.6999999999999998E-2</v>
          </cell>
          <cell r="G5407">
            <v>0</v>
          </cell>
          <cell r="H5407">
            <v>-2.1</v>
          </cell>
          <cell r="I5407">
            <v>0</v>
          </cell>
          <cell r="J5407">
            <v>0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1.2999999999999999E-4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 t="b">
            <v>0</v>
          </cell>
        </row>
        <row r="5408">
          <cell r="A5408" t="str">
            <v>Data split-3;Reg-66</v>
          </cell>
          <cell r="B5408">
            <v>-3.5</v>
          </cell>
          <cell r="C5408">
            <v>0</v>
          </cell>
          <cell r="D5408">
            <v>3.2</v>
          </cell>
          <cell r="E5408">
            <v>0</v>
          </cell>
          <cell r="F5408">
            <v>3.9E-2</v>
          </cell>
          <cell r="G5408">
            <v>0</v>
          </cell>
          <cell r="H5408">
            <v>-1.9</v>
          </cell>
          <cell r="I5408">
            <v>0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-2.8E-3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 t="b">
            <v>0</v>
          </cell>
        </row>
        <row r="5409">
          <cell r="A5409" t="str">
            <v>Data split-3;Reg-67</v>
          </cell>
          <cell r="B5409">
            <v>-3.6</v>
          </cell>
          <cell r="C5409">
            <v>3.2</v>
          </cell>
          <cell r="D5409">
            <v>0</v>
          </cell>
          <cell r="E5409">
            <v>0</v>
          </cell>
          <cell r="F5409">
            <v>0</v>
          </cell>
          <cell r="G5409">
            <v>-1.4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 t="b">
            <v>0</v>
          </cell>
        </row>
        <row r="5410">
          <cell r="A5410" t="str">
            <v>Data split-3;Reg-68</v>
          </cell>
          <cell r="B5410">
            <v>-3.6</v>
          </cell>
          <cell r="C5410">
            <v>3.2</v>
          </cell>
          <cell r="D5410">
            <v>0</v>
          </cell>
          <cell r="E5410">
            <v>0</v>
          </cell>
          <cell r="F5410">
            <v>4.1000000000000003E-3</v>
          </cell>
          <cell r="G5410">
            <v>-1.4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 t="b">
            <v>0</v>
          </cell>
        </row>
        <row r="5411">
          <cell r="A5411" t="str">
            <v>Data split-3;Reg-69</v>
          </cell>
          <cell r="B5411">
            <v>-6.1</v>
          </cell>
          <cell r="C5411">
            <v>3.2</v>
          </cell>
          <cell r="D5411">
            <v>0</v>
          </cell>
          <cell r="E5411">
            <v>0</v>
          </cell>
          <cell r="F5411">
            <v>0</v>
          </cell>
          <cell r="G5411">
            <v>-1.7</v>
          </cell>
          <cell r="H5411">
            <v>0</v>
          </cell>
          <cell r="I5411">
            <v>0</v>
          </cell>
          <cell r="J5411">
            <v>18.8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 t="b">
            <v>0</v>
          </cell>
        </row>
        <row r="5412">
          <cell r="A5412" t="str">
            <v>Data split-3;Reg-70</v>
          </cell>
          <cell r="B5412">
            <v>-6.1</v>
          </cell>
          <cell r="C5412">
            <v>3.2</v>
          </cell>
          <cell r="D5412">
            <v>0</v>
          </cell>
          <cell r="E5412">
            <v>0</v>
          </cell>
          <cell r="F5412">
            <v>0</v>
          </cell>
          <cell r="G5412">
            <v>-1.8</v>
          </cell>
          <cell r="H5412">
            <v>0</v>
          </cell>
          <cell r="I5412">
            <v>0</v>
          </cell>
          <cell r="J5412">
            <v>18.5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1.2E-2</v>
          </cell>
          <cell r="T5412">
            <v>0</v>
          </cell>
          <cell r="U5412" t="b">
            <v>0</v>
          </cell>
        </row>
        <row r="5413">
          <cell r="A5413" t="str">
            <v>Data split-3;Reg-71</v>
          </cell>
          <cell r="B5413">
            <v>-3.4</v>
          </cell>
          <cell r="C5413">
            <v>3.4</v>
          </cell>
          <cell r="D5413">
            <v>0</v>
          </cell>
          <cell r="E5413">
            <v>0</v>
          </cell>
          <cell r="F5413">
            <v>5.1999999999999998E-2</v>
          </cell>
          <cell r="G5413">
            <v>0</v>
          </cell>
          <cell r="H5413">
            <v>-3.3</v>
          </cell>
          <cell r="I5413">
            <v>0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8.2000000000000003E-2</v>
          </cell>
          <cell r="T5413">
            <v>0</v>
          </cell>
          <cell r="U5413" t="b">
            <v>0</v>
          </cell>
        </row>
        <row r="5414">
          <cell r="A5414" t="str">
            <v>Data split-3;Reg-72</v>
          </cell>
          <cell r="B5414">
            <v>-4</v>
          </cell>
          <cell r="C5414">
            <v>3.3</v>
          </cell>
          <cell r="D5414">
            <v>0</v>
          </cell>
          <cell r="E5414">
            <v>-1.8</v>
          </cell>
          <cell r="F5414">
            <v>0</v>
          </cell>
          <cell r="G5414">
            <v>0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 t="b">
            <v>0</v>
          </cell>
        </row>
        <row r="5415">
          <cell r="A5415" t="str">
            <v>Data split-3;Reg-73</v>
          </cell>
          <cell r="B5415">
            <v>-7.8</v>
          </cell>
          <cell r="C5415">
            <v>2.7</v>
          </cell>
          <cell r="D5415">
            <v>0</v>
          </cell>
          <cell r="E5415">
            <v>0</v>
          </cell>
          <cell r="F5415">
            <v>-1.6E-2</v>
          </cell>
          <cell r="G5415">
            <v>0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 t="b">
            <v>0</v>
          </cell>
        </row>
        <row r="5416">
          <cell r="A5416" t="str">
            <v>Data split-3;Reg-74</v>
          </cell>
          <cell r="B5416">
            <v>-3.9</v>
          </cell>
          <cell r="C5416">
            <v>0</v>
          </cell>
          <cell r="D5416">
            <v>3.3</v>
          </cell>
          <cell r="E5416">
            <v>-1.8</v>
          </cell>
          <cell r="F5416">
            <v>0</v>
          </cell>
          <cell r="G5416">
            <v>0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 t="b">
            <v>0</v>
          </cell>
        </row>
        <row r="5417">
          <cell r="A5417" t="str">
            <v>Data split-3;Reg-75</v>
          </cell>
          <cell r="B5417">
            <v>-7.8</v>
          </cell>
          <cell r="C5417">
            <v>0</v>
          </cell>
          <cell r="D5417">
            <v>2.7</v>
          </cell>
          <cell r="E5417">
            <v>0</v>
          </cell>
          <cell r="F5417">
            <v>-1.7000000000000001E-2</v>
          </cell>
          <cell r="G5417">
            <v>0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 t="b">
            <v>0</v>
          </cell>
        </row>
        <row r="5418">
          <cell r="A5418" t="str">
            <v>Data split-3;Reg-76</v>
          </cell>
          <cell r="B5418">
            <v>-3.6</v>
          </cell>
          <cell r="C5418">
            <v>3.2</v>
          </cell>
          <cell r="D5418">
            <v>0</v>
          </cell>
          <cell r="E5418">
            <v>0</v>
          </cell>
          <cell r="F5418">
            <v>0</v>
          </cell>
          <cell r="G5418">
            <v>-1.4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 t="b">
            <v>0</v>
          </cell>
        </row>
        <row r="5419">
          <cell r="A5419" t="str">
            <v>Data split-3;Reg-77</v>
          </cell>
          <cell r="B5419">
            <v>-3.8</v>
          </cell>
          <cell r="C5419">
            <v>3.3</v>
          </cell>
          <cell r="D5419">
            <v>0</v>
          </cell>
          <cell r="E5419">
            <v>0</v>
          </cell>
          <cell r="F5419">
            <v>0</v>
          </cell>
          <cell r="G5419">
            <v>0</v>
          </cell>
          <cell r="H5419">
            <v>-2</v>
          </cell>
          <cell r="I5419">
            <v>0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 t="b">
            <v>0</v>
          </cell>
        </row>
        <row r="5420">
          <cell r="A5420" t="str">
            <v>Data split-3;Reg-78</v>
          </cell>
          <cell r="B5420">
            <v>-3.5</v>
          </cell>
          <cell r="C5420">
            <v>0</v>
          </cell>
          <cell r="D5420">
            <v>3.2</v>
          </cell>
          <cell r="E5420">
            <v>0</v>
          </cell>
          <cell r="F5420">
            <v>0</v>
          </cell>
          <cell r="G5420">
            <v>-1.4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 t="b">
            <v>0</v>
          </cell>
        </row>
        <row r="5421">
          <cell r="A5421" t="str">
            <v>Data split-3;Reg-79</v>
          </cell>
          <cell r="B5421">
            <v>-3.7</v>
          </cell>
          <cell r="C5421">
            <v>0</v>
          </cell>
          <cell r="D5421">
            <v>3.3</v>
          </cell>
          <cell r="E5421">
            <v>0</v>
          </cell>
          <cell r="F5421">
            <v>0</v>
          </cell>
          <cell r="G5421">
            <v>0</v>
          </cell>
          <cell r="H5421">
            <v>-2</v>
          </cell>
          <cell r="I5421">
            <v>0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 t="b">
            <v>0</v>
          </cell>
        </row>
        <row r="5422">
          <cell r="A5422" t="str">
            <v>Data split-3;Reg-80</v>
          </cell>
          <cell r="B5422">
            <v>-8.3000000000000007</v>
          </cell>
          <cell r="C5422">
            <v>2.6</v>
          </cell>
          <cell r="D5422">
            <v>0</v>
          </cell>
          <cell r="E5422">
            <v>0</v>
          </cell>
          <cell r="F5422">
            <v>0</v>
          </cell>
          <cell r="G5422">
            <v>0</v>
          </cell>
          <cell r="H5422">
            <v>0</v>
          </cell>
          <cell r="I5422">
            <v>0.43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 t="b">
            <v>0</v>
          </cell>
        </row>
        <row r="5423">
          <cell r="A5423" t="str">
            <v>Data split-3;Reg-81</v>
          </cell>
          <cell r="B5423">
            <v>-7.3</v>
          </cell>
          <cell r="C5423">
            <v>2.7</v>
          </cell>
          <cell r="D5423">
            <v>0</v>
          </cell>
          <cell r="E5423">
            <v>0</v>
          </cell>
          <cell r="F5423">
            <v>0</v>
          </cell>
          <cell r="G5423">
            <v>0</v>
          </cell>
          <cell r="H5423">
            <v>0</v>
          </cell>
          <cell r="I5423">
            <v>0</v>
          </cell>
          <cell r="J5423">
            <v>-3.2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 t="b">
            <v>1</v>
          </cell>
        </row>
        <row r="5424">
          <cell r="A5424" t="str">
            <v>Data split-3;Reg-82</v>
          </cell>
          <cell r="B5424">
            <v>-8.1999999999999993</v>
          </cell>
          <cell r="C5424">
            <v>0</v>
          </cell>
          <cell r="D5424">
            <v>2.6</v>
          </cell>
          <cell r="E5424">
            <v>0</v>
          </cell>
          <cell r="F5424">
            <v>0</v>
          </cell>
          <cell r="G5424">
            <v>0</v>
          </cell>
          <cell r="H5424">
            <v>0</v>
          </cell>
          <cell r="I5424">
            <v>0.45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 t="b">
            <v>0</v>
          </cell>
        </row>
        <row r="5425">
          <cell r="A5425" t="str">
            <v>Data split-3;Reg-83</v>
          </cell>
          <cell r="B5425">
            <v>-7.3</v>
          </cell>
          <cell r="C5425">
            <v>0</v>
          </cell>
          <cell r="D5425">
            <v>2.7</v>
          </cell>
          <cell r="E5425">
            <v>0</v>
          </cell>
          <cell r="F5425">
            <v>0</v>
          </cell>
          <cell r="G5425">
            <v>0</v>
          </cell>
          <cell r="H5425">
            <v>0</v>
          </cell>
          <cell r="I5425">
            <v>0</v>
          </cell>
          <cell r="J5425">
            <v>-3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 t="b">
            <v>1</v>
          </cell>
        </row>
        <row r="5426">
          <cell r="A5426" t="str">
            <v>Data split-3;Reg-84</v>
          </cell>
          <cell r="B5426">
            <v>-6.7</v>
          </cell>
          <cell r="C5426">
            <v>2.8</v>
          </cell>
          <cell r="D5426">
            <v>0</v>
          </cell>
          <cell r="E5426">
            <v>0</v>
          </cell>
          <cell r="F5426">
            <v>0</v>
          </cell>
          <cell r="G5426">
            <v>0</v>
          </cell>
          <cell r="H5426">
            <v>0</v>
          </cell>
          <cell r="I5426">
            <v>0</v>
          </cell>
          <cell r="J5426">
            <v>0</v>
          </cell>
          <cell r="K5426">
            <v>-1.3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 t="b">
            <v>1</v>
          </cell>
        </row>
        <row r="5427">
          <cell r="A5427" t="str">
            <v>Data split-3;Reg-85</v>
          </cell>
          <cell r="B5427">
            <v>-5.4</v>
          </cell>
          <cell r="C5427">
            <v>2.8</v>
          </cell>
          <cell r="D5427">
            <v>0</v>
          </cell>
          <cell r="E5427">
            <v>0</v>
          </cell>
          <cell r="F5427">
            <v>0</v>
          </cell>
          <cell r="G5427">
            <v>0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>
            <v>-14.6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 t="b">
            <v>1</v>
          </cell>
        </row>
        <row r="5428">
          <cell r="A5428" t="str">
            <v>Data split-3;Reg-86</v>
          </cell>
          <cell r="B5428">
            <v>-6.6</v>
          </cell>
          <cell r="C5428">
            <v>0</v>
          </cell>
          <cell r="D5428">
            <v>2.8</v>
          </cell>
          <cell r="E5428">
            <v>0</v>
          </cell>
          <cell r="F5428">
            <v>0</v>
          </cell>
          <cell r="G5428">
            <v>0</v>
          </cell>
          <cell r="H5428">
            <v>0</v>
          </cell>
          <cell r="I5428">
            <v>0</v>
          </cell>
          <cell r="J5428">
            <v>0</v>
          </cell>
          <cell r="K5428">
            <v>-1.3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 t="b">
            <v>1</v>
          </cell>
        </row>
        <row r="5429">
          <cell r="A5429" t="str">
            <v>Data split-3;Reg-87</v>
          </cell>
          <cell r="B5429">
            <v>-5.3</v>
          </cell>
          <cell r="C5429">
            <v>0</v>
          </cell>
          <cell r="D5429">
            <v>2.8</v>
          </cell>
          <cell r="E5429">
            <v>0</v>
          </cell>
          <cell r="F5429">
            <v>0</v>
          </cell>
          <cell r="G5429">
            <v>0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>
            <v>-14.9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 t="b">
            <v>1</v>
          </cell>
        </row>
        <row r="5430">
          <cell r="A5430" t="str">
            <v>Data split-3;Reg-88</v>
          </cell>
          <cell r="B5430">
            <v>-6.1</v>
          </cell>
          <cell r="C5430">
            <v>2.9</v>
          </cell>
          <cell r="D5430">
            <v>0</v>
          </cell>
          <cell r="E5430">
            <v>0</v>
          </cell>
          <cell r="F5430">
            <v>0</v>
          </cell>
          <cell r="G5430">
            <v>0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0</v>
          </cell>
          <cell r="M5430">
            <v>-6.8000000000000005E-2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 t="b">
            <v>1</v>
          </cell>
        </row>
        <row r="5431">
          <cell r="A5431" t="str">
            <v>Data split-3;Reg-89</v>
          </cell>
          <cell r="B5431">
            <v>-5.4</v>
          </cell>
          <cell r="C5431">
            <v>3.1</v>
          </cell>
          <cell r="D5431">
            <v>0</v>
          </cell>
          <cell r="E5431">
            <v>0</v>
          </cell>
          <cell r="F5431">
            <v>0</v>
          </cell>
          <cell r="G5431">
            <v>0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-2.1000000000000001E-2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 t="b">
            <v>1</v>
          </cell>
        </row>
        <row r="5432">
          <cell r="A5432" t="str">
            <v>Data split-3;Reg-90</v>
          </cell>
          <cell r="B5432">
            <v>-6</v>
          </cell>
          <cell r="C5432">
            <v>0</v>
          </cell>
          <cell r="D5432">
            <v>2.9</v>
          </cell>
          <cell r="E5432">
            <v>0</v>
          </cell>
          <cell r="F5432">
            <v>0</v>
          </cell>
          <cell r="G5432">
            <v>0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>
            <v>0</v>
          </cell>
          <cell r="M5432">
            <v>-6.9000000000000006E-2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 t="b">
            <v>1</v>
          </cell>
        </row>
        <row r="5433">
          <cell r="A5433" t="str">
            <v>Data split-3;Reg-91</v>
          </cell>
          <cell r="B5433">
            <v>-5.3</v>
          </cell>
          <cell r="C5433">
            <v>0</v>
          </cell>
          <cell r="D5433">
            <v>3.1</v>
          </cell>
          <cell r="E5433">
            <v>0</v>
          </cell>
          <cell r="F5433">
            <v>0</v>
          </cell>
          <cell r="G5433">
            <v>0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-2.1000000000000001E-2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 t="b">
            <v>1</v>
          </cell>
        </row>
        <row r="5434">
          <cell r="A5434" t="str">
            <v>Data split-3;Reg-92</v>
          </cell>
          <cell r="B5434">
            <v>-5.8</v>
          </cell>
          <cell r="C5434">
            <v>2.9</v>
          </cell>
          <cell r="D5434">
            <v>0</v>
          </cell>
          <cell r="E5434">
            <v>0</v>
          </cell>
          <cell r="F5434">
            <v>0</v>
          </cell>
          <cell r="G5434">
            <v>0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-7.8E-2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 t="b">
            <v>1</v>
          </cell>
        </row>
        <row r="5435">
          <cell r="A5435" t="str">
            <v>Data split-3;Reg-93</v>
          </cell>
          <cell r="B5435">
            <v>-5.8</v>
          </cell>
          <cell r="C5435">
            <v>2.9</v>
          </cell>
          <cell r="D5435">
            <v>0</v>
          </cell>
          <cell r="E5435">
            <v>0</v>
          </cell>
          <cell r="F5435">
            <v>0</v>
          </cell>
          <cell r="G5435">
            <v>0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-1.7000000000000001E-2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 t="b">
            <v>1</v>
          </cell>
        </row>
        <row r="5436">
          <cell r="A5436" t="str">
            <v>Data split-3;Reg-94</v>
          </cell>
          <cell r="B5436">
            <v>-5.7</v>
          </cell>
          <cell r="C5436">
            <v>0</v>
          </cell>
          <cell r="D5436">
            <v>2.9</v>
          </cell>
          <cell r="E5436">
            <v>0</v>
          </cell>
          <cell r="F5436">
            <v>0</v>
          </cell>
          <cell r="G5436">
            <v>0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-7.6999999999999999E-2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 t="b">
            <v>1</v>
          </cell>
        </row>
        <row r="5437">
          <cell r="A5437" t="str">
            <v>Data split-3;Reg-95</v>
          </cell>
          <cell r="B5437">
            <v>-5.8</v>
          </cell>
          <cell r="C5437">
            <v>0</v>
          </cell>
          <cell r="D5437">
            <v>2.9</v>
          </cell>
          <cell r="E5437">
            <v>0</v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-1.6E-2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 t="b">
            <v>1</v>
          </cell>
        </row>
        <row r="5438">
          <cell r="A5438" t="str">
            <v>Data split-3;Reg-96</v>
          </cell>
          <cell r="B5438">
            <v>-5.7</v>
          </cell>
          <cell r="C5438">
            <v>3.3</v>
          </cell>
          <cell r="D5438">
            <v>0</v>
          </cell>
          <cell r="E5438">
            <v>-2.5</v>
          </cell>
          <cell r="F5438">
            <v>0</v>
          </cell>
          <cell r="G5438">
            <v>0</v>
          </cell>
          <cell r="H5438">
            <v>0</v>
          </cell>
          <cell r="I5438">
            <v>3.5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 t="b">
            <v>0</v>
          </cell>
        </row>
        <row r="5439">
          <cell r="A5439" t="str">
            <v>Data split-3;Reg-97</v>
          </cell>
          <cell r="B5439">
            <v>-8</v>
          </cell>
          <cell r="C5439">
            <v>3.3</v>
          </cell>
          <cell r="D5439">
            <v>0</v>
          </cell>
          <cell r="E5439">
            <v>-2.2999999999999998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30.7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 t="b">
            <v>0</v>
          </cell>
        </row>
        <row r="5440">
          <cell r="A5440" t="str">
            <v>Data split-3;Reg-98</v>
          </cell>
          <cell r="B5440">
            <v>-8.3000000000000007</v>
          </cell>
          <cell r="C5440">
            <v>2.6</v>
          </cell>
          <cell r="D5440">
            <v>0</v>
          </cell>
          <cell r="E5440">
            <v>0</v>
          </cell>
          <cell r="F5440">
            <v>-1.9E-2</v>
          </cell>
          <cell r="G5440">
            <v>0</v>
          </cell>
          <cell r="H5440">
            <v>0</v>
          </cell>
          <cell r="I5440">
            <v>0.45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 t="b">
            <v>0</v>
          </cell>
        </row>
        <row r="5441">
          <cell r="A5441" t="str">
            <v>Data split-3;Reg-99</v>
          </cell>
          <cell r="B5441">
            <v>-7.3</v>
          </cell>
          <cell r="C5441">
            <v>2.7</v>
          </cell>
          <cell r="D5441">
            <v>0</v>
          </cell>
          <cell r="E5441">
            <v>0</v>
          </cell>
          <cell r="F5441">
            <v>-1.6E-2</v>
          </cell>
          <cell r="G5441">
            <v>0</v>
          </cell>
          <cell r="H5441">
            <v>0</v>
          </cell>
          <cell r="I5441">
            <v>0</v>
          </cell>
          <cell r="J5441">
            <v>-3.2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 t="b">
            <v>0</v>
          </cell>
        </row>
        <row r="5442">
          <cell r="A5442" t="str">
            <v>Data split-3;Reg-100</v>
          </cell>
          <cell r="B5442">
            <v>-5.7</v>
          </cell>
          <cell r="C5442">
            <v>0</v>
          </cell>
          <cell r="D5442">
            <v>3.3</v>
          </cell>
          <cell r="E5442">
            <v>-2.5</v>
          </cell>
          <cell r="F5442">
            <v>0</v>
          </cell>
          <cell r="G5442">
            <v>0</v>
          </cell>
          <cell r="H5442">
            <v>0</v>
          </cell>
          <cell r="I5442">
            <v>3.5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 t="b">
            <v>0</v>
          </cell>
        </row>
        <row r="5443">
          <cell r="A5443" t="str">
            <v>Data split-3;Reg-101</v>
          </cell>
          <cell r="B5443">
            <v>-8</v>
          </cell>
          <cell r="C5443">
            <v>0</v>
          </cell>
          <cell r="D5443">
            <v>3.3</v>
          </cell>
          <cell r="E5443">
            <v>-2.2999999999999998</v>
          </cell>
          <cell r="F5443">
            <v>0</v>
          </cell>
          <cell r="G5443">
            <v>0</v>
          </cell>
          <cell r="H5443">
            <v>0</v>
          </cell>
          <cell r="I5443">
            <v>0</v>
          </cell>
          <cell r="J5443">
            <v>30.9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 t="b">
            <v>0</v>
          </cell>
        </row>
        <row r="5444">
          <cell r="A5444" t="str">
            <v>Data split-3;Reg-102</v>
          </cell>
          <cell r="B5444">
            <v>-8.1999999999999993</v>
          </cell>
          <cell r="C5444">
            <v>0</v>
          </cell>
          <cell r="D5444">
            <v>2.6</v>
          </cell>
          <cell r="E5444">
            <v>0</v>
          </cell>
          <cell r="F5444">
            <v>-0.02</v>
          </cell>
          <cell r="G5444">
            <v>0</v>
          </cell>
          <cell r="H5444">
            <v>0</v>
          </cell>
          <cell r="I5444">
            <v>0.47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 t="b">
            <v>0</v>
          </cell>
        </row>
        <row r="5445">
          <cell r="A5445" t="str">
            <v>Data split-3;Reg-103</v>
          </cell>
          <cell r="B5445">
            <v>-7.3</v>
          </cell>
          <cell r="C5445">
            <v>0</v>
          </cell>
          <cell r="D5445">
            <v>2.7</v>
          </cell>
          <cell r="E5445">
            <v>0</v>
          </cell>
          <cell r="F5445">
            <v>-1.7000000000000001E-2</v>
          </cell>
          <cell r="G5445">
            <v>0</v>
          </cell>
          <cell r="H5445">
            <v>0</v>
          </cell>
          <cell r="I5445">
            <v>0</v>
          </cell>
          <cell r="J5445">
            <v>-3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 t="b">
            <v>0</v>
          </cell>
        </row>
        <row r="5446">
          <cell r="A5446" t="str">
            <v>Data split-3;Reg-104</v>
          </cell>
          <cell r="B5446">
            <v>-4.2</v>
          </cell>
          <cell r="C5446">
            <v>3.3</v>
          </cell>
          <cell r="D5446">
            <v>0</v>
          </cell>
          <cell r="E5446">
            <v>-1.9</v>
          </cell>
          <cell r="F5446">
            <v>0</v>
          </cell>
          <cell r="G5446">
            <v>0</v>
          </cell>
          <cell r="H5446">
            <v>0</v>
          </cell>
          <cell r="I5446">
            <v>0</v>
          </cell>
          <cell r="J5446">
            <v>0</v>
          </cell>
          <cell r="K5446">
            <v>0.48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 t="b">
            <v>0</v>
          </cell>
        </row>
        <row r="5447">
          <cell r="A5447" t="str">
            <v>Data split-3;Reg-105</v>
          </cell>
          <cell r="B5447">
            <v>-2.6</v>
          </cell>
          <cell r="C5447">
            <v>3.4</v>
          </cell>
          <cell r="D5447">
            <v>0</v>
          </cell>
          <cell r="E5447">
            <v>-1.6</v>
          </cell>
          <cell r="F5447">
            <v>0</v>
          </cell>
          <cell r="G5447">
            <v>0</v>
          </cell>
          <cell r="H5447">
            <v>0</v>
          </cell>
          <cell r="I5447">
            <v>0</v>
          </cell>
          <cell r="J5447">
            <v>0</v>
          </cell>
          <cell r="K5447">
            <v>0</v>
          </cell>
          <cell r="L5447">
            <v>-10.3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 t="b">
            <v>0</v>
          </cell>
        </row>
        <row r="5448">
          <cell r="A5448" t="str">
            <v>Data split-3;Reg-106</v>
          </cell>
          <cell r="B5448">
            <v>-6.7</v>
          </cell>
          <cell r="C5448">
            <v>2.9</v>
          </cell>
          <cell r="D5448">
            <v>0</v>
          </cell>
          <cell r="E5448">
            <v>0</v>
          </cell>
          <cell r="F5448">
            <v>-1.7000000000000001E-2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-1.3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 t="b">
            <v>0</v>
          </cell>
        </row>
        <row r="5449">
          <cell r="A5449" t="str">
            <v>Data split-3;Reg-107</v>
          </cell>
          <cell r="B5449">
            <v>-5.4</v>
          </cell>
          <cell r="C5449">
            <v>2.9</v>
          </cell>
          <cell r="D5449">
            <v>0</v>
          </cell>
          <cell r="E5449">
            <v>0</v>
          </cell>
          <cell r="F5449">
            <v>-3.5999999999999997E-2</v>
          </cell>
          <cell r="G5449">
            <v>0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>
            <v>-14.9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 t="b">
            <v>0</v>
          </cell>
        </row>
        <row r="5450">
          <cell r="A5450" t="str">
            <v>Data split-3;Reg-108</v>
          </cell>
          <cell r="B5450">
            <v>-4.0999999999999996</v>
          </cell>
          <cell r="C5450">
            <v>0</v>
          </cell>
          <cell r="D5450">
            <v>3.3</v>
          </cell>
          <cell r="E5450">
            <v>-1.9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0.45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 t="b">
            <v>0</v>
          </cell>
        </row>
        <row r="5451">
          <cell r="A5451" t="str">
            <v>Data split-3;Reg-109</v>
          </cell>
          <cell r="B5451">
            <v>-2.5</v>
          </cell>
          <cell r="C5451">
            <v>0</v>
          </cell>
          <cell r="D5451">
            <v>3.4</v>
          </cell>
          <cell r="E5451">
            <v>-1.6</v>
          </cell>
          <cell r="F5451">
            <v>0</v>
          </cell>
          <cell r="G5451">
            <v>0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-10.6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 t="b">
            <v>0</v>
          </cell>
        </row>
        <row r="5452">
          <cell r="A5452" t="str">
            <v>Data split-3;Reg-110</v>
          </cell>
          <cell r="B5452">
            <v>-6.6</v>
          </cell>
          <cell r="C5452">
            <v>0</v>
          </cell>
          <cell r="D5452">
            <v>2.9</v>
          </cell>
          <cell r="E5452">
            <v>0</v>
          </cell>
          <cell r="F5452">
            <v>-1.9E-2</v>
          </cell>
          <cell r="G5452">
            <v>0</v>
          </cell>
          <cell r="H5452">
            <v>0</v>
          </cell>
          <cell r="I5452">
            <v>0</v>
          </cell>
          <cell r="J5452">
            <v>0</v>
          </cell>
          <cell r="K5452">
            <v>-1.3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 t="b">
            <v>0</v>
          </cell>
        </row>
        <row r="5453">
          <cell r="A5453" t="str">
            <v>Data split-3;Reg-111</v>
          </cell>
          <cell r="B5453">
            <v>-5.3</v>
          </cell>
          <cell r="C5453">
            <v>0</v>
          </cell>
          <cell r="D5453">
            <v>2.9</v>
          </cell>
          <cell r="E5453">
            <v>0</v>
          </cell>
          <cell r="F5453">
            <v>-3.7999999999999999E-2</v>
          </cell>
          <cell r="G5453">
            <v>0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>
            <v>-15.2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 t="b">
            <v>0</v>
          </cell>
        </row>
        <row r="5454">
          <cell r="A5454" t="str">
            <v>Data split-3;Reg-112</v>
          </cell>
          <cell r="B5454">
            <v>-4.8</v>
          </cell>
          <cell r="C5454">
            <v>3.2</v>
          </cell>
          <cell r="D5454">
            <v>0</v>
          </cell>
          <cell r="E5454">
            <v>0</v>
          </cell>
          <cell r="F5454">
            <v>0</v>
          </cell>
          <cell r="G5454">
            <v>-2.1</v>
          </cell>
          <cell r="H5454">
            <v>0</v>
          </cell>
          <cell r="I5454">
            <v>3.1</v>
          </cell>
          <cell r="J5454">
            <v>0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 t="b">
            <v>0</v>
          </cell>
        </row>
        <row r="5455">
          <cell r="A5455" t="str">
            <v>Data split-3;Reg-113</v>
          </cell>
          <cell r="B5455">
            <v>-6.1</v>
          </cell>
          <cell r="C5455">
            <v>3.2</v>
          </cell>
          <cell r="D5455">
            <v>0</v>
          </cell>
          <cell r="E5455">
            <v>0</v>
          </cell>
          <cell r="F5455">
            <v>0</v>
          </cell>
          <cell r="G5455">
            <v>-1.7</v>
          </cell>
          <cell r="H5455">
            <v>0</v>
          </cell>
          <cell r="I5455">
            <v>0</v>
          </cell>
          <cell r="J5455">
            <v>18.8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 t="b">
            <v>0</v>
          </cell>
        </row>
        <row r="5456">
          <cell r="A5456" t="str">
            <v>Data split-3;Reg-114</v>
          </cell>
          <cell r="B5456">
            <v>-4.7</v>
          </cell>
          <cell r="C5456">
            <v>3.2</v>
          </cell>
          <cell r="D5456">
            <v>0</v>
          </cell>
          <cell r="E5456">
            <v>0</v>
          </cell>
          <cell r="F5456">
            <v>0</v>
          </cell>
          <cell r="G5456">
            <v>0</v>
          </cell>
          <cell r="H5456">
            <v>-2.9</v>
          </cell>
          <cell r="I5456">
            <v>2.9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 t="b">
            <v>0</v>
          </cell>
        </row>
        <row r="5457">
          <cell r="A5457" t="str">
            <v>Data split-3;Reg-115</v>
          </cell>
          <cell r="B5457">
            <v>-6.1</v>
          </cell>
          <cell r="C5457">
            <v>3.2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H5457">
            <v>-2.4</v>
          </cell>
          <cell r="I5457">
            <v>0</v>
          </cell>
          <cell r="J5457">
            <v>18.2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 t="b">
            <v>0</v>
          </cell>
        </row>
        <row r="5458">
          <cell r="A5458" t="str">
            <v>Data split-3;Reg-116</v>
          </cell>
          <cell r="B5458">
            <v>-4.7</v>
          </cell>
          <cell r="C5458">
            <v>0</v>
          </cell>
          <cell r="D5458">
            <v>3.2</v>
          </cell>
          <cell r="E5458">
            <v>0</v>
          </cell>
          <cell r="F5458">
            <v>0</v>
          </cell>
          <cell r="G5458">
            <v>-2.1</v>
          </cell>
          <cell r="H5458">
            <v>0</v>
          </cell>
          <cell r="I5458">
            <v>3.2</v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 t="b">
            <v>0</v>
          </cell>
        </row>
        <row r="5459">
          <cell r="A5459" t="str">
            <v>Data split-3;Reg-117</v>
          </cell>
          <cell r="B5459">
            <v>-6</v>
          </cell>
          <cell r="C5459">
            <v>0</v>
          </cell>
          <cell r="D5459">
            <v>3.2</v>
          </cell>
          <cell r="E5459">
            <v>0</v>
          </cell>
          <cell r="F5459">
            <v>0</v>
          </cell>
          <cell r="G5459">
            <v>-1.7</v>
          </cell>
          <cell r="H5459">
            <v>0</v>
          </cell>
          <cell r="I5459">
            <v>0</v>
          </cell>
          <cell r="J5459">
            <v>19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 t="b">
            <v>0</v>
          </cell>
        </row>
        <row r="5460">
          <cell r="A5460" t="str">
            <v>Data split-3;Reg-118</v>
          </cell>
          <cell r="B5460">
            <v>-4.7</v>
          </cell>
          <cell r="C5460">
            <v>0</v>
          </cell>
          <cell r="D5460">
            <v>3.2</v>
          </cell>
          <cell r="E5460">
            <v>0</v>
          </cell>
          <cell r="F5460">
            <v>0</v>
          </cell>
          <cell r="G5460">
            <v>0</v>
          </cell>
          <cell r="H5460">
            <v>-3</v>
          </cell>
          <cell r="I5460">
            <v>2.9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 t="b">
            <v>0</v>
          </cell>
        </row>
        <row r="5461">
          <cell r="A5461" t="str">
            <v>Data split-3;Reg-119</v>
          </cell>
          <cell r="B5461">
            <v>-6</v>
          </cell>
          <cell r="C5461">
            <v>0</v>
          </cell>
          <cell r="D5461">
            <v>3.3</v>
          </cell>
          <cell r="E5461">
            <v>0</v>
          </cell>
          <cell r="F5461">
            <v>0</v>
          </cell>
          <cell r="G5461">
            <v>0</v>
          </cell>
          <cell r="H5461">
            <v>-2.4</v>
          </cell>
          <cell r="I5461">
            <v>0</v>
          </cell>
          <cell r="J5461">
            <v>18.5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 t="b">
            <v>0</v>
          </cell>
        </row>
        <row r="5462">
          <cell r="A5462" t="str">
            <v>Data split-3;Reg-120</v>
          </cell>
          <cell r="B5462">
            <v>-3.3</v>
          </cell>
          <cell r="C5462">
            <v>3.3</v>
          </cell>
          <cell r="D5462">
            <v>0</v>
          </cell>
          <cell r="E5462">
            <v>0</v>
          </cell>
          <cell r="F5462">
            <v>0</v>
          </cell>
          <cell r="G5462">
            <v>-1.4</v>
          </cell>
          <cell r="H5462">
            <v>0</v>
          </cell>
          <cell r="I5462">
            <v>0</v>
          </cell>
          <cell r="J5462">
            <v>0</v>
          </cell>
          <cell r="K5462">
            <v>-0.49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 t="b">
            <v>0</v>
          </cell>
        </row>
        <row r="5463">
          <cell r="A5463" t="str">
            <v>Data split-3;Reg-121</v>
          </cell>
          <cell r="B5463">
            <v>-0.51</v>
          </cell>
          <cell r="C5463">
            <v>3.4</v>
          </cell>
          <cell r="D5463">
            <v>0</v>
          </cell>
          <cell r="E5463">
            <v>0</v>
          </cell>
          <cell r="F5463">
            <v>0</v>
          </cell>
          <cell r="G5463">
            <v>-1.6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-16.899999999999999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 t="b">
            <v>0</v>
          </cell>
        </row>
        <row r="5464">
          <cell r="A5464" t="str">
            <v>Data split-3;Reg-122</v>
          </cell>
          <cell r="B5464">
            <v>-3.6</v>
          </cell>
          <cell r="C5464">
            <v>3.3</v>
          </cell>
          <cell r="D5464">
            <v>0</v>
          </cell>
          <cell r="E5464">
            <v>0</v>
          </cell>
          <cell r="F5464">
            <v>0</v>
          </cell>
          <cell r="G5464">
            <v>0</v>
          </cell>
          <cell r="H5464">
            <v>-1.9</v>
          </cell>
          <cell r="I5464">
            <v>0</v>
          </cell>
          <cell r="J5464">
            <v>0</v>
          </cell>
          <cell r="K5464">
            <v>-0.42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 t="b">
            <v>0</v>
          </cell>
        </row>
        <row r="5465">
          <cell r="A5465" t="str">
            <v>Data split-3;Reg-123</v>
          </cell>
          <cell r="B5465">
            <v>-1.3</v>
          </cell>
          <cell r="C5465">
            <v>3.4</v>
          </cell>
          <cell r="D5465">
            <v>0</v>
          </cell>
          <cell r="E5465">
            <v>0</v>
          </cell>
          <cell r="F5465">
            <v>0</v>
          </cell>
          <cell r="G5465">
            <v>0</v>
          </cell>
          <cell r="H5465">
            <v>-2.1</v>
          </cell>
          <cell r="I5465">
            <v>0</v>
          </cell>
          <cell r="J5465">
            <v>0</v>
          </cell>
          <cell r="K5465">
            <v>0</v>
          </cell>
          <cell r="L5465">
            <v>-15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 t="b">
            <v>0</v>
          </cell>
        </row>
        <row r="5466">
          <cell r="A5466" t="str">
            <v>Data split-3;Reg-124</v>
          </cell>
          <cell r="B5466">
            <v>-3.2</v>
          </cell>
          <cell r="C5466">
            <v>0</v>
          </cell>
          <cell r="D5466">
            <v>3.3</v>
          </cell>
          <cell r="E5466">
            <v>0</v>
          </cell>
          <cell r="F5466">
            <v>0</v>
          </cell>
          <cell r="G5466">
            <v>-1.4</v>
          </cell>
          <cell r="H5466">
            <v>0</v>
          </cell>
          <cell r="I5466">
            <v>0</v>
          </cell>
          <cell r="J5466">
            <v>0</v>
          </cell>
          <cell r="K5466">
            <v>-0.52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 t="b">
            <v>0</v>
          </cell>
        </row>
        <row r="5467">
          <cell r="A5467" t="str">
            <v>Data split-3;Reg-125</v>
          </cell>
          <cell r="B5467">
            <v>-0.36</v>
          </cell>
          <cell r="C5467">
            <v>0</v>
          </cell>
          <cell r="D5467">
            <v>3.5</v>
          </cell>
          <cell r="E5467">
            <v>0</v>
          </cell>
          <cell r="F5467">
            <v>0</v>
          </cell>
          <cell r="G5467">
            <v>-1.6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>
            <v>-17.100000000000001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 t="b">
            <v>0</v>
          </cell>
        </row>
        <row r="5468">
          <cell r="A5468" t="str">
            <v>Data split-3;Reg-126</v>
          </cell>
          <cell r="B5468">
            <v>-3.5</v>
          </cell>
          <cell r="C5468">
            <v>0</v>
          </cell>
          <cell r="D5468">
            <v>3.3</v>
          </cell>
          <cell r="E5468">
            <v>0</v>
          </cell>
          <cell r="F5468">
            <v>0</v>
          </cell>
          <cell r="G5468">
            <v>0</v>
          </cell>
          <cell r="H5468">
            <v>-1.9</v>
          </cell>
          <cell r="I5468">
            <v>0</v>
          </cell>
          <cell r="J5468">
            <v>0</v>
          </cell>
          <cell r="K5468">
            <v>-0.45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 t="b">
            <v>0</v>
          </cell>
        </row>
        <row r="5469">
          <cell r="A5469" t="str">
            <v>Data split-3;Reg-127</v>
          </cell>
          <cell r="B5469">
            <v>-1.1000000000000001</v>
          </cell>
          <cell r="C5469">
            <v>0</v>
          </cell>
          <cell r="D5469">
            <v>3.4</v>
          </cell>
          <cell r="E5469">
            <v>0</v>
          </cell>
          <cell r="F5469">
            <v>0</v>
          </cell>
          <cell r="G5469">
            <v>0</v>
          </cell>
          <cell r="H5469">
            <v>-2.1</v>
          </cell>
          <cell r="I5469">
            <v>0</v>
          </cell>
          <cell r="J5469">
            <v>0</v>
          </cell>
          <cell r="K5469">
            <v>0</v>
          </cell>
          <cell r="L5469">
            <v>-15.3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 t="b">
            <v>0</v>
          </cell>
        </row>
        <row r="5470">
          <cell r="A5470" t="str">
            <v>Data split-4;Reg-1</v>
          </cell>
          <cell r="B5470">
            <v>-5.3</v>
          </cell>
          <cell r="C5470">
            <v>2.2999999999999998</v>
          </cell>
          <cell r="D5470">
            <v>0</v>
          </cell>
          <cell r="E5470">
            <v>0</v>
          </cell>
          <cell r="F5470">
            <v>0.8</v>
          </cell>
          <cell r="G5470">
            <v>0</v>
          </cell>
          <cell r="H5470">
            <v>0</v>
          </cell>
          <cell r="I5470">
            <v>0</v>
          </cell>
          <cell r="J5470">
            <v>0</v>
          </cell>
          <cell r="K5470">
            <v>0</v>
          </cell>
          <cell r="L5470">
            <v>-12.6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 t="b">
            <v>1</v>
          </cell>
        </row>
        <row r="5471">
          <cell r="A5471" t="str">
            <v>Data split-4;Reg-2</v>
          </cell>
          <cell r="B5471">
            <v>-3.3</v>
          </cell>
          <cell r="C5471">
            <v>2.1</v>
          </cell>
          <cell r="D5471">
            <v>0</v>
          </cell>
          <cell r="E5471">
            <v>0</v>
          </cell>
          <cell r="F5471">
            <v>2.2000000000000002</v>
          </cell>
          <cell r="G5471">
            <v>-1.2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>
            <v>0</v>
          </cell>
          <cell r="M5471">
            <v>-7.4999999999999997E-2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 t="b">
            <v>0</v>
          </cell>
        </row>
        <row r="5472">
          <cell r="A5472" t="str">
            <v>Data split-4;Reg-3</v>
          </cell>
          <cell r="B5472">
            <v>-3.8</v>
          </cell>
          <cell r="C5472">
            <v>2.2000000000000002</v>
          </cell>
          <cell r="D5472">
            <v>0</v>
          </cell>
          <cell r="E5472">
            <v>0</v>
          </cell>
          <cell r="F5472">
            <v>2.2999999999999998</v>
          </cell>
          <cell r="G5472">
            <v>-0.81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-2.5000000000000001E-2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 t="b">
            <v>0</v>
          </cell>
        </row>
        <row r="5473">
          <cell r="A5473" t="str">
            <v>Data split-4;Reg-4</v>
          </cell>
          <cell r="B5473">
            <v>-1.3</v>
          </cell>
          <cell r="C5473">
            <v>2.4</v>
          </cell>
          <cell r="D5473">
            <v>0</v>
          </cell>
          <cell r="E5473">
            <v>0</v>
          </cell>
          <cell r="F5473">
            <v>2.7</v>
          </cell>
          <cell r="G5473">
            <v>0</v>
          </cell>
          <cell r="H5473">
            <v>-4.9000000000000004</v>
          </cell>
          <cell r="I5473">
            <v>0</v>
          </cell>
          <cell r="J5473">
            <v>0</v>
          </cell>
          <cell r="K5473">
            <v>0</v>
          </cell>
          <cell r="L5473">
            <v>0</v>
          </cell>
          <cell r="M5473">
            <v>5.6000000000000001E-2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 t="b">
            <v>0</v>
          </cell>
        </row>
        <row r="5474">
          <cell r="A5474" t="str">
            <v>Data split-4;Reg-5</v>
          </cell>
          <cell r="B5474">
            <v>-1.6</v>
          </cell>
          <cell r="C5474">
            <v>0</v>
          </cell>
          <cell r="D5474">
            <v>2.4</v>
          </cell>
          <cell r="E5474">
            <v>0</v>
          </cell>
          <cell r="F5474">
            <v>2.6</v>
          </cell>
          <cell r="G5474">
            <v>0</v>
          </cell>
          <cell r="H5474">
            <v>-4.9000000000000004</v>
          </cell>
          <cell r="I5474">
            <v>0</v>
          </cell>
          <cell r="J5474">
            <v>0</v>
          </cell>
          <cell r="K5474">
            <v>0</v>
          </cell>
          <cell r="L5474">
            <v>0</v>
          </cell>
          <cell r="M5474">
            <v>5.7000000000000002E-2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 t="b">
            <v>0</v>
          </cell>
        </row>
        <row r="5475">
          <cell r="A5475" t="str">
            <v>Data split-4;Reg-6</v>
          </cell>
          <cell r="B5475">
            <v>-2.6</v>
          </cell>
          <cell r="C5475">
            <v>3.2</v>
          </cell>
          <cell r="D5475">
            <v>0</v>
          </cell>
          <cell r="E5475">
            <v>-1.9</v>
          </cell>
          <cell r="F5475">
            <v>0</v>
          </cell>
          <cell r="G5475">
            <v>0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>
            <v>-2.6</v>
          </cell>
          <cell r="M5475">
            <v>4.7E-2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 t="b">
            <v>0</v>
          </cell>
        </row>
        <row r="5476">
          <cell r="A5476" t="str">
            <v>Data split-4;Reg-7</v>
          </cell>
          <cell r="B5476">
            <v>-3.3</v>
          </cell>
          <cell r="C5476">
            <v>2.1</v>
          </cell>
          <cell r="D5476">
            <v>0</v>
          </cell>
          <cell r="E5476">
            <v>0</v>
          </cell>
          <cell r="F5476">
            <v>2.1</v>
          </cell>
          <cell r="G5476">
            <v>0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>
            <v>-11.3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-0.16</v>
          </cell>
          <cell r="T5476">
            <v>0</v>
          </cell>
          <cell r="U5476" t="b">
            <v>1</v>
          </cell>
        </row>
        <row r="5477">
          <cell r="A5477" t="str">
            <v>Data split-4;Reg-8</v>
          </cell>
          <cell r="B5477">
            <v>-2.8</v>
          </cell>
          <cell r="C5477">
            <v>3.1</v>
          </cell>
          <cell r="D5477">
            <v>0</v>
          </cell>
          <cell r="E5477">
            <v>0</v>
          </cell>
          <cell r="F5477">
            <v>0</v>
          </cell>
          <cell r="G5477">
            <v>-0.63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-9.4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-2.5999999999999999E-2</v>
          </cell>
          <cell r="T5477">
            <v>0</v>
          </cell>
          <cell r="U5477" t="b">
            <v>0</v>
          </cell>
        </row>
        <row r="5478">
          <cell r="A5478" t="str">
            <v>Data split-4;Reg-9</v>
          </cell>
          <cell r="B5478">
            <v>-3.1</v>
          </cell>
          <cell r="C5478">
            <v>0</v>
          </cell>
          <cell r="D5478">
            <v>3.2</v>
          </cell>
          <cell r="E5478">
            <v>0</v>
          </cell>
          <cell r="F5478">
            <v>0</v>
          </cell>
          <cell r="G5478">
            <v>0</v>
          </cell>
          <cell r="H5478">
            <v>-1.3</v>
          </cell>
          <cell r="I5478">
            <v>0</v>
          </cell>
          <cell r="J5478">
            <v>0</v>
          </cell>
          <cell r="K5478">
            <v>0</v>
          </cell>
          <cell r="L5478">
            <v>-9.3000000000000007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-6.6E-3</v>
          </cell>
          <cell r="T5478">
            <v>0</v>
          </cell>
          <cell r="U5478" t="b">
            <v>0</v>
          </cell>
        </row>
        <row r="5479">
          <cell r="A5479" t="str">
            <v>Data split-4;Reg-10</v>
          </cell>
          <cell r="B5479">
            <v>-3.1</v>
          </cell>
          <cell r="C5479">
            <v>0</v>
          </cell>
          <cell r="D5479">
            <v>3.2</v>
          </cell>
          <cell r="E5479">
            <v>0</v>
          </cell>
          <cell r="F5479">
            <v>0</v>
          </cell>
          <cell r="G5479">
            <v>0</v>
          </cell>
          <cell r="H5479">
            <v>-1.3</v>
          </cell>
          <cell r="I5479">
            <v>0</v>
          </cell>
          <cell r="J5479">
            <v>0</v>
          </cell>
          <cell r="K5479">
            <v>0</v>
          </cell>
          <cell r="L5479">
            <v>-9.3000000000000007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-6.6E-3</v>
          </cell>
          <cell r="T5479">
            <v>0</v>
          </cell>
          <cell r="U5479" t="b">
            <v>0</v>
          </cell>
        </row>
        <row r="5480">
          <cell r="A5480" t="str">
            <v>Data split-4;Reg-11</v>
          </cell>
          <cell r="B5480">
            <v>-3</v>
          </cell>
          <cell r="C5480">
            <v>3.1</v>
          </cell>
          <cell r="D5480">
            <v>0</v>
          </cell>
          <cell r="E5480">
            <v>-1.6</v>
          </cell>
          <cell r="F5480">
            <v>0</v>
          </cell>
          <cell r="G5480">
            <v>0.13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 t="b">
            <v>0</v>
          </cell>
        </row>
        <row r="5481">
          <cell r="A5481" t="str">
            <v>Data split-4;Reg-12</v>
          </cell>
          <cell r="B5481">
            <v>-3.2</v>
          </cell>
          <cell r="C5481">
            <v>3.1</v>
          </cell>
          <cell r="D5481">
            <v>0</v>
          </cell>
          <cell r="E5481">
            <v>-2.5</v>
          </cell>
          <cell r="F5481">
            <v>0</v>
          </cell>
          <cell r="G5481">
            <v>0</v>
          </cell>
          <cell r="H5481">
            <v>1.6</v>
          </cell>
          <cell r="I5481">
            <v>0</v>
          </cell>
          <cell r="J5481">
            <v>0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 t="b">
            <v>0</v>
          </cell>
        </row>
        <row r="5482">
          <cell r="A5482" t="str">
            <v>Data split-4;Reg-13</v>
          </cell>
          <cell r="B5482">
            <v>-3.3</v>
          </cell>
          <cell r="C5482">
            <v>2.2000000000000002</v>
          </cell>
          <cell r="D5482">
            <v>0</v>
          </cell>
          <cell r="E5482">
            <v>0</v>
          </cell>
          <cell r="F5482">
            <v>1.9</v>
          </cell>
          <cell r="G5482">
            <v>-1.8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 t="b">
            <v>0</v>
          </cell>
        </row>
        <row r="5483">
          <cell r="A5483" t="str">
            <v>Data split-4;Reg-14</v>
          </cell>
          <cell r="B5483">
            <v>-1.7</v>
          </cell>
          <cell r="C5483">
            <v>2.2999999999999998</v>
          </cell>
          <cell r="D5483">
            <v>0</v>
          </cell>
          <cell r="E5483">
            <v>0</v>
          </cell>
          <cell r="F5483">
            <v>2.7</v>
          </cell>
          <cell r="G5483">
            <v>0</v>
          </cell>
          <cell r="H5483">
            <v>-3.9</v>
          </cell>
          <cell r="I5483">
            <v>0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 t="b">
            <v>0</v>
          </cell>
        </row>
        <row r="5484">
          <cell r="A5484" t="str">
            <v>Data split-4;Reg-15</v>
          </cell>
          <cell r="B5484">
            <v>-2.7</v>
          </cell>
          <cell r="C5484">
            <v>3.2</v>
          </cell>
          <cell r="D5484">
            <v>0</v>
          </cell>
          <cell r="E5484">
            <v>-2.1</v>
          </cell>
          <cell r="F5484">
            <v>0</v>
          </cell>
          <cell r="G5484">
            <v>0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>
            <v>0</v>
          </cell>
          <cell r="M5484">
            <v>5.3999999999999999E-2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 t="b">
            <v>0</v>
          </cell>
        </row>
        <row r="5485">
          <cell r="A5485" t="str">
            <v>Data split-4;Reg-16</v>
          </cell>
          <cell r="B5485">
            <v>-2.7</v>
          </cell>
          <cell r="C5485">
            <v>3.1</v>
          </cell>
          <cell r="D5485">
            <v>0</v>
          </cell>
          <cell r="E5485">
            <v>-1.7</v>
          </cell>
          <cell r="F5485">
            <v>0</v>
          </cell>
          <cell r="G5485">
            <v>0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>
            <v>0</v>
          </cell>
          <cell r="M5485">
            <v>0</v>
          </cell>
          <cell r="N5485">
            <v>4.5999999999999999E-3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 t="b">
            <v>0</v>
          </cell>
        </row>
        <row r="5486">
          <cell r="A5486" t="str">
            <v>Data split-4;Reg-17</v>
          </cell>
          <cell r="B5486">
            <v>-4.7</v>
          </cell>
          <cell r="C5486">
            <v>2</v>
          </cell>
          <cell r="D5486">
            <v>0</v>
          </cell>
          <cell r="E5486">
            <v>0</v>
          </cell>
          <cell r="F5486">
            <v>2</v>
          </cell>
          <cell r="G5486">
            <v>0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0</v>
          </cell>
          <cell r="M5486">
            <v>-0.15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 t="b">
            <v>1</v>
          </cell>
        </row>
        <row r="5487">
          <cell r="A5487" t="str">
            <v>Data split-4;Reg-18</v>
          </cell>
          <cell r="B5487">
            <v>-4.7</v>
          </cell>
          <cell r="C5487">
            <v>2.1</v>
          </cell>
          <cell r="D5487">
            <v>0</v>
          </cell>
          <cell r="E5487">
            <v>0</v>
          </cell>
          <cell r="F5487">
            <v>2.2000000000000002</v>
          </cell>
          <cell r="G5487">
            <v>0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0</v>
          </cell>
          <cell r="M5487">
            <v>0</v>
          </cell>
          <cell r="N5487">
            <v>-3.5999999999999997E-2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 t="b">
            <v>1</v>
          </cell>
        </row>
        <row r="5488">
          <cell r="A5488" t="str">
            <v>Data split-4;Reg-19</v>
          </cell>
          <cell r="B5488">
            <v>-3.9</v>
          </cell>
          <cell r="C5488">
            <v>3</v>
          </cell>
          <cell r="D5488">
            <v>0</v>
          </cell>
          <cell r="E5488">
            <v>0</v>
          </cell>
          <cell r="F5488">
            <v>0</v>
          </cell>
          <cell r="G5488">
            <v>-1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1.4E-2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 t="b">
            <v>0</v>
          </cell>
        </row>
        <row r="5489">
          <cell r="A5489" t="str">
            <v>Data split-4;Reg-20</v>
          </cell>
          <cell r="B5489">
            <v>-3.9</v>
          </cell>
          <cell r="C5489">
            <v>3</v>
          </cell>
          <cell r="D5489">
            <v>0</v>
          </cell>
          <cell r="E5489">
            <v>0</v>
          </cell>
          <cell r="F5489">
            <v>0</v>
          </cell>
          <cell r="G5489">
            <v>-0.88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-2.7E-4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 t="b">
            <v>0</v>
          </cell>
        </row>
        <row r="5490">
          <cell r="A5490" t="str">
            <v>Data split-4;Reg-21</v>
          </cell>
          <cell r="B5490">
            <v>-3.5</v>
          </cell>
          <cell r="C5490">
            <v>3.1</v>
          </cell>
          <cell r="D5490">
            <v>0</v>
          </cell>
          <cell r="E5490">
            <v>0</v>
          </cell>
          <cell r="F5490">
            <v>0</v>
          </cell>
          <cell r="G5490">
            <v>0</v>
          </cell>
          <cell r="H5490">
            <v>-2.1</v>
          </cell>
          <cell r="I5490">
            <v>0</v>
          </cell>
          <cell r="J5490">
            <v>0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4.1000000000000002E-2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 t="b">
            <v>0</v>
          </cell>
        </row>
        <row r="5491">
          <cell r="A5491" t="str">
            <v>Data split-4;Reg-22</v>
          </cell>
          <cell r="B5491">
            <v>-3.5</v>
          </cell>
          <cell r="C5491">
            <v>3.1</v>
          </cell>
          <cell r="D5491">
            <v>0</v>
          </cell>
          <cell r="E5491">
            <v>0</v>
          </cell>
          <cell r="F5491">
            <v>0</v>
          </cell>
          <cell r="G5491">
            <v>0</v>
          </cell>
          <cell r="H5491">
            <v>-1.8</v>
          </cell>
          <cell r="I5491">
            <v>0</v>
          </cell>
          <cell r="J5491">
            <v>0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3.2000000000000002E-3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 t="b">
            <v>0</v>
          </cell>
        </row>
        <row r="5492">
          <cell r="A5492" t="str">
            <v>Data split-4;Reg-23</v>
          </cell>
          <cell r="B5492">
            <v>-3.3</v>
          </cell>
          <cell r="C5492">
            <v>0</v>
          </cell>
          <cell r="D5492">
            <v>3.2</v>
          </cell>
          <cell r="E5492">
            <v>-1.6</v>
          </cell>
          <cell r="F5492">
            <v>0</v>
          </cell>
          <cell r="G5492">
            <v>0.11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 t="b">
            <v>0</v>
          </cell>
        </row>
        <row r="5493">
          <cell r="A5493" t="str">
            <v>Data split-4;Reg-24</v>
          </cell>
          <cell r="B5493">
            <v>-3.6</v>
          </cell>
          <cell r="C5493">
            <v>0</v>
          </cell>
          <cell r="D5493">
            <v>3.1</v>
          </cell>
          <cell r="E5493">
            <v>-2.7</v>
          </cell>
          <cell r="F5493">
            <v>0</v>
          </cell>
          <cell r="G5493">
            <v>0</v>
          </cell>
          <cell r="H5493">
            <v>1.7</v>
          </cell>
          <cell r="I5493">
            <v>0</v>
          </cell>
          <cell r="J5493">
            <v>0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 t="b">
            <v>0</v>
          </cell>
        </row>
        <row r="5494">
          <cell r="A5494" t="str">
            <v>Data split-4;Reg-25</v>
          </cell>
          <cell r="B5494">
            <v>-3.6</v>
          </cell>
          <cell r="C5494">
            <v>0</v>
          </cell>
          <cell r="D5494">
            <v>2.2999999999999998</v>
          </cell>
          <cell r="E5494">
            <v>0</v>
          </cell>
          <cell r="F5494">
            <v>1.9</v>
          </cell>
          <cell r="G5494">
            <v>-1.8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 t="b">
            <v>0</v>
          </cell>
        </row>
        <row r="5495">
          <cell r="A5495" t="str">
            <v>Data split-4;Reg-26</v>
          </cell>
          <cell r="B5495">
            <v>-2.1</v>
          </cell>
          <cell r="C5495">
            <v>0</v>
          </cell>
          <cell r="D5495">
            <v>2.2999999999999998</v>
          </cell>
          <cell r="E5495">
            <v>0</v>
          </cell>
          <cell r="F5495">
            <v>2.6</v>
          </cell>
          <cell r="G5495">
            <v>0</v>
          </cell>
          <cell r="H5495">
            <v>-3.9</v>
          </cell>
          <cell r="I5495">
            <v>0</v>
          </cell>
          <cell r="J5495">
            <v>0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 t="b">
            <v>0</v>
          </cell>
        </row>
        <row r="5496">
          <cell r="A5496" t="str">
            <v>Data split-4;Reg-27</v>
          </cell>
          <cell r="B5496">
            <v>-3</v>
          </cell>
          <cell r="C5496">
            <v>0</v>
          </cell>
          <cell r="D5496">
            <v>3.2</v>
          </cell>
          <cell r="E5496">
            <v>-2.2000000000000002</v>
          </cell>
          <cell r="F5496">
            <v>0</v>
          </cell>
          <cell r="G5496">
            <v>0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0</v>
          </cell>
          <cell r="M5496">
            <v>5.8000000000000003E-2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 t="b">
            <v>0</v>
          </cell>
        </row>
        <row r="5497">
          <cell r="A5497" t="str">
            <v>Data split-4;Reg-28</v>
          </cell>
          <cell r="B5497">
            <v>-3</v>
          </cell>
          <cell r="C5497">
            <v>0</v>
          </cell>
          <cell r="D5497">
            <v>3.2</v>
          </cell>
          <cell r="E5497">
            <v>-1.9</v>
          </cell>
          <cell r="F5497">
            <v>0</v>
          </cell>
          <cell r="G5497">
            <v>0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5.5999999999999999E-3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 t="b">
            <v>0</v>
          </cell>
        </row>
        <row r="5498">
          <cell r="A5498" t="str">
            <v>Data split-4;Reg-29</v>
          </cell>
          <cell r="B5498">
            <v>-5</v>
          </cell>
          <cell r="C5498">
            <v>0</v>
          </cell>
          <cell r="D5498">
            <v>2</v>
          </cell>
          <cell r="E5498">
            <v>0</v>
          </cell>
          <cell r="F5498">
            <v>1.9</v>
          </cell>
          <cell r="G5498">
            <v>0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>
            <v>0</v>
          </cell>
          <cell r="M5498">
            <v>-0.15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 t="b">
            <v>1</v>
          </cell>
        </row>
        <row r="5499">
          <cell r="A5499" t="str">
            <v>Data split-4;Reg-30</v>
          </cell>
          <cell r="B5499">
            <v>-5</v>
          </cell>
          <cell r="C5499">
            <v>0</v>
          </cell>
          <cell r="D5499">
            <v>2.2000000000000002</v>
          </cell>
          <cell r="E5499">
            <v>0</v>
          </cell>
          <cell r="F5499">
            <v>2.1</v>
          </cell>
          <cell r="G5499">
            <v>0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-3.5999999999999997E-2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 t="b">
            <v>1</v>
          </cell>
        </row>
        <row r="5500">
          <cell r="A5500" t="str">
            <v>Data split-4;Reg-31</v>
          </cell>
          <cell r="B5500">
            <v>-4.3</v>
          </cell>
          <cell r="C5500">
            <v>0</v>
          </cell>
          <cell r="D5500">
            <v>3</v>
          </cell>
          <cell r="E5500">
            <v>0</v>
          </cell>
          <cell r="F5500">
            <v>0</v>
          </cell>
          <cell r="G5500">
            <v>-1.1000000000000001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2.1000000000000001E-2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 t="b">
            <v>0</v>
          </cell>
        </row>
        <row r="5501">
          <cell r="A5501" t="str">
            <v>Data split-4;Reg-32</v>
          </cell>
          <cell r="B5501">
            <v>-4.2</v>
          </cell>
          <cell r="C5501">
            <v>0</v>
          </cell>
          <cell r="D5501">
            <v>3</v>
          </cell>
          <cell r="E5501">
            <v>0</v>
          </cell>
          <cell r="F5501">
            <v>0</v>
          </cell>
          <cell r="G5501">
            <v>-1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1.2999999999999999E-3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 t="b">
            <v>0</v>
          </cell>
        </row>
        <row r="5502">
          <cell r="A5502" t="str">
            <v>Data split-4;Reg-33</v>
          </cell>
          <cell r="B5502">
            <v>-3.9</v>
          </cell>
          <cell r="C5502">
            <v>0</v>
          </cell>
          <cell r="D5502">
            <v>3.2</v>
          </cell>
          <cell r="E5502">
            <v>0</v>
          </cell>
          <cell r="F5502">
            <v>0</v>
          </cell>
          <cell r="G5502">
            <v>0</v>
          </cell>
          <cell r="H5502">
            <v>-2.2999999999999998</v>
          </cell>
          <cell r="I5502">
            <v>0</v>
          </cell>
          <cell r="J5502">
            <v>0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4.7E-2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 t="b">
            <v>0</v>
          </cell>
        </row>
        <row r="5503">
          <cell r="A5503" t="str">
            <v>Data split-4;Reg-34</v>
          </cell>
          <cell r="B5503">
            <v>-3.8</v>
          </cell>
          <cell r="C5503">
            <v>0</v>
          </cell>
          <cell r="D5503">
            <v>3.1</v>
          </cell>
          <cell r="E5503">
            <v>0</v>
          </cell>
          <cell r="F5503">
            <v>0</v>
          </cell>
          <cell r="G5503">
            <v>0</v>
          </cell>
          <cell r="H5503">
            <v>-2</v>
          </cell>
          <cell r="I5503">
            <v>0</v>
          </cell>
          <cell r="J5503">
            <v>0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4.7999999999999996E-3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 t="b">
            <v>0</v>
          </cell>
        </row>
        <row r="5504">
          <cell r="A5504" t="str">
            <v>Data split-4;Reg-35</v>
          </cell>
          <cell r="B5504">
            <v>-2.7</v>
          </cell>
          <cell r="C5504">
            <v>3.2</v>
          </cell>
          <cell r="D5504">
            <v>0</v>
          </cell>
          <cell r="E5504">
            <v>-2.1</v>
          </cell>
          <cell r="F5504">
            <v>0</v>
          </cell>
          <cell r="G5504">
            <v>-3.9E-2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0</v>
          </cell>
          <cell r="M5504">
            <v>5.5E-2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 t="b">
            <v>0</v>
          </cell>
        </row>
        <row r="5505">
          <cell r="A5505" t="str">
            <v>Data split-4;Reg-36</v>
          </cell>
          <cell r="B5505">
            <v>-2.8</v>
          </cell>
          <cell r="C5505">
            <v>3.1</v>
          </cell>
          <cell r="D5505">
            <v>0</v>
          </cell>
          <cell r="E5505">
            <v>-1.8</v>
          </cell>
          <cell r="F5505">
            <v>0</v>
          </cell>
          <cell r="G5505">
            <v>5.8999999999999997E-2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4.1999999999999997E-3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 t="b">
            <v>0</v>
          </cell>
        </row>
        <row r="5506">
          <cell r="A5506" t="str">
            <v>Data split-4;Reg-37</v>
          </cell>
          <cell r="B5506">
            <v>-3</v>
          </cell>
          <cell r="C5506">
            <v>3.1</v>
          </cell>
          <cell r="D5506">
            <v>0</v>
          </cell>
          <cell r="E5506">
            <v>-2.5</v>
          </cell>
          <cell r="F5506">
            <v>0</v>
          </cell>
          <cell r="G5506">
            <v>0</v>
          </cell>
          <cell r="H5506">
            <v>1</v>
          </cell>
          <cell r="I5506">
            <v>0</v>
          </cell>
          <cell r="J5506">
            <v>0</v>
          </cell>
          <cell r="K5506">
            <v>0</v>
          </cell>
          <cell r="L5506">
            <v>0</v>
          </cell>
          <cell r="M5506">
            <v>2.8000000000000001E-2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 t="b">
            <v>0</v>
          </cell>
        </row>
        <row r="5507">
          <cell r="A5507" t="str">
            <v>Data split-4;Reg-38</v>
          </cell>
          <cell r="B5507">
            <v>-4.3</v>
          </cell>
          <cell r="C5507">
            <v>2.9</v>
          </cell>
          <cell r="D5507">
            <v>0</v>
          </cell>
          <cell r="E5507">
            <v>-2.6</v>
          </cell>
          <cell r="F5507">
            <v>0</v>
          </cell>
          <cell r="G5507">
            <v>0</v>
          </cell>
          <cell r="H5507">
            <v>3.3</v>
          </cell>
          <cell r="I5507">
            <v>0</v>
          </cell>
          <cell r="J5507">
            <v>0</v>
          </cell>
          <cell r="K5507">
            <v>0</v>
          </cell>
          <cell r="L5507">
            <v>0</v>
          </cell>
          <cell r="M5507">
            <v>0</v>
          </cell>
          <cell r="N5507">
            <v>-1.9E-2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 t="b">
            <v>0</v>
          </cell>
        </row>
        <row r="5508">
          <cell r="A5508" t="str">
            <v>Data split-4;Reg-39</v>
          </cell>
          <cell r="B5508">
            <v>-3.3</v>
          </cell>
          <cell r="C5508">
            <v>2.1</v>
          </cell>
          <cell r="D5508">
            <v>0</v>
          </cell>
          <cell r="E5508">
            <v>0</v>
          </cell>
          <cell r="F5508">
            <v>2.2000000000000002</v>
          </cell>
          <cell r="G5508">
            <v>-1.2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0</v>
          </cell>
          <cell r="M5508">
            <v>-7.4999999999999997E-2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 t="b">
            <v>0</v>
          </cell>
        </row>
        <row r="5509">
          <cell r="A5509" t="str">
            <v>Data split-4;Reg-40</v>
          </cell>
          <cell r="B5509">
            <v>-3.8</v>
          </cell>
          <cell r="C5509">
            <v>2.2000000000000002</v>
          </cell>
          <cell r="D5509">
            <v>0</v>
          </cell>
          <cell r="E5509">
            <v>0</v>
          </cell>
          <cell r="F5509">
            <v>2.2999999999999998</v>
          </cell>
          <cell r="G5509">
            <v>-0.81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-2.5000000000000001E-2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 t="b">
            <v>0</v>
          </cell>
        </row>
        <row r="5510">
          <cell r="A5510" t="str">
            <v>Data split-4;Reg-41</v>
          </cell>
          <cell r="B5510">
            <v>-1.3</v>
          </cell>
          <cell r="C5510">
            <v>2.4</v>
          </cell>
          <cell r="D5510">
            <v>0</v>
          </cell>
          <cell r="E5510">
            <v>0</v>
          </cell>
          <cell r="F5510">
            <v>2.7</v>
          </cell>
          <cell r="G5510">
            <v>0</v>
          </cell>
          <cell r="H5510">
            <v>-4.9000000000000004</v>
          </cell>
          <cell r="I5510">
            <v>0</v>
          </cell>
          <cell r="J5510">
            <v>0</v>
          </cell>
          <cell r="K5510">
            <v>0</v>
          </cell>
          <cell r="L5510">
            <v>0</v>
          </cell>
          <cell r="M5510">
            <v>5.6000000000000001E-2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 t="b">
            <v>0</v>
          </cell>
        </row>
        <row r="5511">
          <cell r="A5511" t="str">
            <v>Data split-4;Reg-42</v>
          </cell>
          <cell r="B5511">
            <v>-1.5</v>
          </cell>
          <cell r="C5511">
            <v>2.2999999999999998</v>
          </cell>
          <cell r="D5511">
            <v>0</v>
          </cell>
          <cell r="E5511">
            <v>0</v>
          </cell>
          <cell r="F5511">
            <v>2.7</v>
          </cell>
          <cell r="G5511">
            <v>0</v>
          </cell>
          <cell r="H5511">
            <v>-4.2</v>
          </cell>
          <cell r="I5511">
            <v>0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2.8999999999999998E-3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 t="b">
            <v>0</v>
          </cell>
        </row>
        <row r="5512">
          <cell r="A5512" t="str">
            <v>Data split-4;Reg-43</v>
          </cell>
          <cell r="B5512">
            <v>-3</v>
          </cell>
          <cell r="C5512">
            <v>3.2</v>
          </cell>
          <cell r="D5512">
            <v>0</v>
          </cell>
          <cell r="E5512">
            <v>-1.8</v>
          </cell>
          <cell r="F5512">
            <v>0</v>
          </cell>
          <cell r="G5512">
            <v>-0.1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0.05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 t="b">
            <v>0</v>
          </cell>
        </row>
        <row r="5513">
          <cell r="A5513" t="str">
            <v>Data split-4;Reg-44</v>
          </cell>
          <cell r="B5513">
            <v>-2.8</v>
          </cell>
          <cell r="C5513">
            <v>3.1</v>
          </cell>
          <cell r="D5513">
            <v>0</v>
          </cell>
          <cell r="E5513">
            <v>-1.7</v>
          </cell>
          <cell r="F5513">
            <v>0</v>
          </cell>
          <cell r="G5513">
            <v>-5.0999999999999997E-2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6.8999999999999999E-3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 t="b">
            <v>0</v>
          </cell>
        </row>
        <row r="5514">
          <cell r="A5514" t="str">
            <v>Data split-4;Reg-45</v>
          </cell>
          <cell r="B5514">
            <v>-3.2</v>
          </cell>
          <cell r="C5514">
            <v>3.1</v>
          </cell>
          <cell r="D5514">
            <v>0</v>
          </cell>
          <cell r="E5514">
            <v>-2.5</v>
          </cell>
          <cell r="F5514">
            <v>0</v>
          </cell>
          <cell r="G5514">
            <v>0</v>
          </cell>
          <cell r="H5514">
            <v>1.2</v>
          </cell>
          <cell r="I5514">
            <v>0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2.4E-2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 t="b">
            <v>0</v>
          </cell>
        </row>
        <row r="5515">
          <cell r="A5515" t="str">
            <v>Data split-4;Reg-46</v>
          </cell>
          <cell r="B5515">
            <v>-3.2</v>
          </cell>
          <cell r="C5515">
            <v>3.1</v>
          </cell>
          <cell r="D5515">
            <v>0</v>
          </cell>
          <cell r="E5515">
            <v>-2.5</v>
          </cell>
          <cell r="F5515">
            <v>0</v>
          </cell>
          <cell r="G5515">
            <v>0</v>
          </cell>
          <cell r="H5515">
            <v>1.5</v>
          </cell>
          <cell r="I5515">
            <v>0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9.7E-5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 t="b">
            <v>0</v>
          </cell>
        </row>
        <row r="5516">
          <cell r="A5516" t="str">
            <v>Data split-4;Reg-47</v>
          </cell>
          <cell r="B5516">
            <v>-3.1</v>
          </cell>
          <cell r="C5516">
            <v>2.2000000000000002</v>
          </cell>
          <cell r="D5516">
            <v>0</v>
          </cell>
          <cell r="E5516">
            <v>0</v>
          </cell>
          <cell r="F5516">
            <v>2.1</v>
          </cell>
          <cell r="G5516">
            <v>-1.4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-5.5E-2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 t="b">
            <v>0</v>
          </cell>
        </row>
        <row r="5517">
          <cell r="A5517" t="str">
            <v>Data split-4;Reg-48</v>
          </cell>
          <cell r="B5517">
            <v>-3.4</v>
          </cell>
          <cell r="C5517">
            <v>2.2000000000000002</v>
          </cell>
          <cell r="D5517">
            <v>0</v>
          </cell>
          <cell r="E5517">
            <v>0</v>
          </cell>
          <cell r="F5517">
            <v>2.1</v>
          </cell>
          <cell r="G5517">
            <v>-1.3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-1.2999999999999999E-2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 t="b">
            <v>0</v>
          </cell>
        </row>
        <row r="5518">
          <cell r="A5518" t="str">
            <v>Data split-4;Reg-49</v>
          </cell>
          <cell r="B5518">
            <v>-1.7</v>
          </cell>
          <cell r="C5518">
            <v>2.2999999999999998</v>
          </cell>
          <cell r="D5518">
            <v>0</v>
          </cell>
          <cell r="E5518">
            <v>0</v>
          </cell>
          <cell r="F5518">
            <v>2.7</v>
          </cell>
          <cell r="G5518">
            <v>0</v>
          </cell>
          <cell r="H5518">
            <v>-4.0999999999999996</v>
          </cell>
          <cell r="I5518">
            <v>0</v>
          </cell>
          <cell r="J5518">
            <v>0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8.3000000000000001E-3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 t="b">
            <v>0</v>
          </cell>
        </row>
        <row r="5519">
          <cell r="A5519" t="str">
            <v>Data split-4;Reg-50</v>
          </cell>
          <cell r="B5519">
            <v>-1.7</v>
          </cell>
          <cell r="C5519">
            <v>2.2999999999999998</v>
          </cell>
          <cell r="D5519">
            <v>0</v>
          </cell>
          <cell r="E5519">
            <v>0</v>
          </cell>
          <cell r="F5519">
            <v>2.7</v>
          </cell>
          <cell r="G5519">
            <v>0</v>
          </cell>
          <cell r="H5519">
            <v>-3.9</v>
          </cell>
          <cell r="I5519">
            <v>0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-2.5000000000000001E-4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 t="b">
            <v>0</v>
          </cell>
        </row>
        <row r="5520">
          <cell r="A5520" t="str">
            <v>Data split-4;Reg-51</v>
          </cell>
          <cell r="B5520">
            <v>-3</v>
          </cell>
          <cell r="C5520">
            <v>0</v>
          </cell>
          <cell r="D5520">
            <v>3.3</v>
          </cell>
          <cell r="E5520">
            <v>-2.1</v>
          </cell>
          <cell r="F5520">
            <v>0</v>
          </cell>
          <cell r="G5520">
            <v>-7.8E-2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0.06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 t="b">
            <v>0</v>
          </cell>
        </row>
        <row r="5521">
          <cell r="A5521" t="str">
            <v>Data split-4;Reg-52</v>
          </cell>
          <cell r="B5521">
            <v>-3</v>
          </cell>
          <cell r="C5521">
            <v>0</v>
          </cell>
          <cell r="D5521">
            <v>3.2</v>
          </cell>
          <cell r="E5521">
            <v>-1.9</v>
          </cell>
          <cell r="F5521">
            <v>0</v>
          </cell>
          <cell r="G5521">
            <v>9.7999999999999997E-3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5.5999999999999999E-3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 t="b">
            <v>0</v>
          </cell>
        </row>
        <row r="5522">
          <cell r="A5522" t="str">
            <v>Data split-4;Reg-53</v>
          </cell>
          <cell r="B5522">
            <v>-3.3</v>
          </cell>
          <cell r="C5522">
            <v>0</v>
          </cell>
          <cell r="D5522">
            <v>3.2</v>
          </cell>
          <cell r="E5522">
            <v>-2.6</v>
          </cell>
          <cell r="F5522">
            <v>0</v>
          </cell>
          <cell r="G5522">
            <v>0</v>
          </cell>
          <cell r="H5522">
            <v>1.1000000000000001</v>
          </cell>
          <cell r="I5522">
            <v>0</v>
          </cell>
          <cell r="J5522">
            <v>0</v>
          </cell>
          <cell r="K5522">
            <v>0</v>
          </cell>
          <cell r="L5522">
            <v>0</v>
          </cell>
          <cell r="M5522">
            <v>0.03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 t="b">
            <v>0</v>
          </cell>
        </row>
        <row r="5523">
          <cell r="A5523" t="str">
            <v>Data split-4;Reg-54</v>
          </cell>
          <cell r="B5523">
            <v>-4.5999999999999996</v>
          </cell>
          <cell r="C5523">
            <v>0</v>
          </cell>
          <cell r="D5523">
            <v>3</v>
          </cell>
          <cell r="E5523">
            <v>-2.7</v>
          </cell>
          <cell r="F5523">
            <v>0</v>
          </cell>
          <cell r="G5523">
            <v>0</v>
          </cell>
          <cell r="H5523">
            <v>3.3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-1.7999999999999999E-2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 t="b">
            <v>0</v>
          </cell>
        </row>
        <row r="5524">
          <cell r="A5524" t="str">
            <v>Data split-4;Reg-55</v>
          </cell>
          <cell r="B5524">
            <v>-3.5</v>
          </cell>
          <cell r="C5524">
            <v>0</v>
          </cell>
          <cell r="D5524">
            <v>2.2000000000000002</v>
          </cell>
          <cell r="E5524">
            <v>0</v>
          </cell>
          <cell r="F5524">
            <v>2.2000000000000002</v>
          </cell>
          <cell r="G5524">
            <v>-1.3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>
            <v>0</v>
          </cell>
          <cell r="M5524">
            <v>-7.1999999999999995E-2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 t="b">
            <v>0</v>
          </cell>
        </row>
        <row r="5525">
          <cell r="A5525" t="str">
            <v>Data split-4;Reg-56</v>
          </cell>
          <cell r="B5525">
            <v>-4</v>
          </cell>
          <cell r="C5525">
            <v>0</v>
          </cell>
          <cell r="D5525">
            <v>2.2000000000000002</v>
          </cell>
          <cell r="E5525">
            <v>0</v>
          </cell>
          <cell r="F5525">
            <v>2.2000000000000002</v>
          </cell>
          <cell r="G5525">
            <v>-0.85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-2.4E-2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 t="b">
            <v>0</v>
          </cell>
        </row>
        <row r="5526">
          <cell r="A5526" t="str">
            <v>Data split-4;Reg-57</v>
          </cell>
          <cell r="B5526">
            <v>-1.6</v>
          </cell>
          <cell r="C5526">
            <v>0</v>
          </cell>
          <cell r="D5526">
            <v>2.4</v>
          </cell>
          <cell r="E5526">
            <v>0</v>
          </cell>
          <cell r="F5526">
            <v>2.6</v>
          </cell>
          <cell r="G5526">
            <v>0</v>
          </cell>
          <cell r="H5526">
            <v>-4.9000000000000004</v>
          </cell>
          <cell r="I5526">
            <v>0</v>
          </cell>
          <cell r="J5526">
            <v>0</v>
          </cell>
          <cell r="K5526">
            <v>0</v>
          </cell>
          <cell r="L5526">
            <v>0</v>
          </cell>
          <cell r="M5526">
            <v>5.7000000000000002E-2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 t="b">
            <v>0</v>
          </cell>
        </row>
        <row r="5527">
          <cell r="A5527" t="str">
            <v>Data split-4;Reg-58</v>
          </cell>
          <cell r="B5527">
            <v>-1.9</v>
          </cell>
          <cell r="C5527">
            <v>0</v>
          </cell>
          <cell r="D5527">
            <v>2.2999999999999998</v>
          </cell>
          <cell r="E5527">
            <v>0</v>
          </cell>
          <cell r="F5527">
            <v>2.6</v>
          </cell>
          <cell r="G5527">
            <v>0</v>
          </cell>
          <cell r="H5527">
            <v>-4.2</v>
          </cell>
          <cell r="I5527">
            <v>0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3.0000000000000001E-3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 t="b">
            <v>0</v>
          </cell>
        </row>
        <row r="5528">
          <cell r="A5528" t="str">
            <v>Data split-4;Reg-59</v>
          </cell>
          <cell r="B5528">
            <v>-3.3</v>
          </cell>
          <cell r="C5528">
            <v>0</v>
          </cell>
          <cell r="D5528">
            <v>3.2</v>
          </cell>
          <cell r="E5528">
            <v>-1.9</v>
          </cell>
          <cell r="F5528">
            <v>0</v>
          </cell>
          <cell r="G5528">
            <v>-0.17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5.8999999999999997E-2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 t="b">
            <v>0</v>
          </cell>
        </row>
        <row r="5529">
          <cell r="A5529" t="str">
            <v>Data split-4;Reg-60</v>
          </cell>
          <cell r="B5529">
            <v>-3.1</v>
          </cell>
          <cell r="C5529">
            <v>0</v>
          </cell>
          <cell r="D5529">
            <v>3.2</v>
          </cell>
          <cell r="E5529">
            <v>-1.8</v>
          </cell>
          <cell r="F5529">
            <v>0</v>
          </cell>
          <cell r="G5529">
            <v>-0.13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8.8999999999999999E-3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 t="b">
            <v>0</v>
          </cell>
        </row>
        <row r="5530">
          <cell r="A5530" t="str">
            <v>Data split-4;Reg-61</v>
          </cell>
          <cell r="B5530">
            <v>-3.5</v>
          </cell>
          <cell r="C5530">
            <v>0</v>
          </cell>
          <cell r="D5530">
            <v>3.1</v>
          </cell>
          <cell r="E5530">
            <v>-2.6</v>
          </cell>
          <cell r="F5530">
            <v>0</v>
          </cell>
          <cell r="G5530">
            <v>0</v>
          </cell>
          <cell r="H5530">
            <v>1.2</v>
          </cell>
          <cell r="I5530">
            <v>0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0.03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 t="b">
            <v>0</v>
          </cell>
        </row>
        <row r="5531">
          <cell r="A5531" t="str">
            <v>Data split-4;Reg-62</v>
          </cell>
          <cell r="B5531">
            <v>-3.5</v>
          </cell>
          <cell r="C5531">
            <v>0</v>
          </cell>
          <cell r="D5531">
            <v>3.1</v>
          </cell>
          <cell r="E5531">
            <v>-2.6</v>
          </cell>
          <cell r="F5531">
            <v>0</v>
          </cell>
          <cell r="G5531">
            <v>0</v>
          </cell>
          <cell r="H5531">
            <v>1.5</v>
          </cell>
          <cell r="I5531">
            <v>0</v>
          </cell>
          <cell r="J5531">
            <v>0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1.6000000000000001E-3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 t="b">
            <v>0</v>
          </cell>
        </row>
        <row r="5532">
          <cell r="A5532" t="str">
            <v>Data split-4;Reg-63</v>
          </cell>
          <cell r="B5532">
            <v>-3.4</v>
          </cell>
          <cell r="C5532">
            <v>0</v>
          </cell>
          <cell r="D5532">
            <v>2.2000000000000002</v>
          </cell>
          <cell r="E5532">
            <v>0</v>
          </cell>
          <cell r="F5532">
            <v>2</v>
          </cell>
          <cell r="G5532">
            <v>-1.5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-4.8000000000000001E-2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 t="b">
            <v>0</v>
          </cell>
        </row>
        <row r="5533">
          <cell r="A5533" t="str">
            <v>Data split-4;Reg-64</v>
          </cell>
          <cell r="B5533">
            <v>-3.7</v>
          </cell>
          <cell r="C5533">
            <v>0</v>
          </cell>
          <cell r="D5533">
            <v>2.2999999999999998</v>
          </cell>
          <cell r="E5533">
            <v>0</v>
          </cell>
          <cell r="F5533">
            <v>2.1</v>
          </cell>
          <cell r="G5533">
            <v>-1.4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-1.0999999999999999E-2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 t="b">
            <v>0</v>
          </cell>
        </row>
        <row r="5534">
          <cell r="A5534" t="str">
            <v>Data split-4;Reg-65</v>
          </cell>
          <cell r="B5534">
            <v>-2</v>
          </cell>
          <cell r="C5534">
            <v>0</v>
          </cell>
          <cell r="D5534">
            <v>2.4</v>
          </cell>
          <cell r="E5534">
            <v>0</v>
          </cell>
          <cell r="F5534">
            <v>2.6</v>
          </cell>
          <cell r="G5534">
            <v>0</v>
          </cell>
          <cell r="H5534">
            <v>-4.0999999999999996</v>
          </cell>
          <cell r="I5534">
            <v>0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1.4E-2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 t="b">
            <v>0</v>
          </cell>
        </row>
        <row r="5535">
          <cell r="A5535" t="str">
            <v>Data split-4;Reg-66</v>
          </cell>
          <cell r="B5535">
            <v>-2</v>
          </cell>
          <cell r="C5535">
            <v>0</v>
          </cell>
          <cell r="D5535">
            <v>2.2999999999999998</v>
          </cell>
          <cell r="E5535">
            <v>0</v>
          </cell>
          <cell r="F5535">
            <v>2.6</v>
          </cell>
          <cell r="G5535">
            <v>0</v>
          </cell>
          <cell r="H5535">
            <v>-4</v>
          </cell>
          <cell r="I5535">
            <v>0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1.1000000000000001E-3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 t="b">
            <v>0</v>
          </cell>
        </row>
        <row r="5536">
          <cell r="A5536" t="str">
            <v>Data split-4;Reg-67</v>
          </cell>
          <cell r="B5536">
            <v>-3.9</v>
          </cell>
          <cell r="C5536">
            <v>3</v>
          </cell>
          <cell r="D5536">
            <v>0</v>
          </cell>
          <cell r="E5536">
            <v>0</v>
          </cell>
          <cell r="F5536">
            <v>0</v>
          </cell>
          <cell r="G5536">
            <v>-0.89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 t="b">
            <v>0</v>
          </cell>
        </row>
        <row r="5537">
          <cell r="A5537" t="str">
            <v>Data split-4;Reg-68</v>
          </cell>
          <cell r="B5537">
            <v>-3.3</v>
          </cell>
          <cell r="C5537">
            <v>2.2000000000000002</v>
          </cell>
          <cell r="D5537">
            <v>0</v>
          </cell>
          <cell r="E5537">
            <v>0</v>
          </cell>
          <cell r="F5537">
            <v>1.9</v>
          </cell>
          <cell r="G5537">
            <v>-1.8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 t="b">
            <v>0</v>
          </cell>
        </row>
        <row r="5538">
          <cell r="A5538" t="str">
            <v>Data split-4;Reg-69</v>
          </cell>
          <cell r="B5538">
            <v>-7.9</v>
          </cell>
          <cell r="C5538">
            <v>3</v>
          </cell>
          <cell r="D5538">
            <v>0</v>
          </cell>
          <cell r="E5538">
            <v>0</v>
          </cell>
          <cell r="F5538">
            <v>0</v>
          </cell>
          <cell r="G5538">
            <v>-1.4</v>
          </cell>
          <cell r="H5538">
            <v>0</v>
          </cell>
          <cell r="I5538">
            <v>0</v>
          </cell>
          <cell r="J5538">
            <v>28.9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 t="b">
            <v>0</v>
          </cell>
        </row>
        <row r="5539">
          <cell r="A5539" t="str">
            <v>Data split-4;Reg-70</v>
          </cell>
          <cell r="B5539">
            <v>-7.8</v>
          </cell>
          <cell r="C5539">
            <v>3</v>
          </cell>
          <cell r="D5539">
            <v>0</v>
          </cell>
          <cell r="E5539">
            <v>0</v>
          </cell>
          <cell r="F5539">
            <v>0</v>
          </cell>
          <cell r="G5539">
            <v>-1.1000000000000001</v>
          </cell>
          <cell r="H5539">
            <v>0</v>
          </cell>
          <cell r="I5539">
            <v>0</v>
          </cell>
          <cell r="J5539">
            <v>28.7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-3.1E-2</v>
          </cell>
          <cell r="T5539">
            <v>0</v>
          </cell>
          <cell r="U5539" t="b">
            <v>0</v>
          </cell>
        </row>
        <row r="5540">
          <cell r="A5540" t="str">
            <v>Data split-4;Reg-71</v>
          </cell>
          <cell r="B5540">
            <v>-2.1</v>
          </cell>
          <cell r="C5540">
            <v>2.2999999999999998</v>
          </cell>
          <cell r="D5540">
            <v>0</v>
          </cell>
          <cell r="E5540">
            <v>0</v>
          </cell>
          <cell r="F5540">
            <v>2.6</v>
          </cell>
          <cell r="G5540">
            <v>0</v>
          </cell>
          <cell r="H5540">
            <v>-3.8</v>
          </cell>
          <cell r="I5540">
            <v>0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-5.0000000000000001E-3</v>
          </cell>
          <cell r="T5540">
            <v>0</v>
          </cell>
          <cell r="U5540" t="b">
            <v>0</v>
          </cell>
        </row>
        <row r="5541">
          <cell r="A5541" t="str">
            <v>Data split-4;Reg-72</v>
          </cell>
          <cell r="B5541">
            <v>-2.9</v>
          </cell>
          <cell r="C5541">
            <v>3.1</v>
          </cell>
          <cell r="D5541">
            <v>0</v>
          </cell>
          <cell r="E5541">
            <v>-1.5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 t="b">
            <v>0</v>
          </cell>
        </row>
        <row r="5542">
          <cell r="A5542" t="str">
            <v>Data split-4;Reg-73</v>
          </cell>
          <cell r="B5542">
            <v>-6.9</v>
          </cell>
          <cell r="C5542">
            <v>2.2000000000000002</v>
          </cell>
          <cell r="D5542">
            <v>0</v>
          </cell>
          <cell r="E5542">
            <v>0</v>
          </cell>
          <cell r="F5542">
            <v>0.65</v>
          </cell>
          <cell r="G5542">
            <v>0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 t="b">
            <v>1</v>
          </cell>
        </row>
        <row r="5543">
          <cell r="A5543" t="str">
            <v>Data split-4;Reg-74</v>
          </cell>
          <cell r="B5543">
            <v>-3.3</v>
          </cell>
          <cell r="C5543">
            <v>0</v>
          </cell>
          <cell r="D5543">
            <v>3.2</v>
          </cell>
          <cell r="E5543">
            <v>-1.5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 t="b">
            <v>0</v>
          </cell>
        </row>
        <row r="5544">
          <cell r="A5544" t="str">
            <v>Data split-4;Reg-75</v>
          </cell>
          <cell r="B5544">
            <v>-7.2</v>
          </cell>
          <cell r="C5544">
            <v>0</v>
          </cell>
          <cell r="D5544">
            <v>2.2999999999999998</v>
          </cell>
          <cell r="E5544">
            <v>0</v>
          </cell>
          <cell r="F5544">
            <v>0.56999999999999995</v>
          </cell>
          <cell r="G5544">
            <v>0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 t="b">
            <v>1</v>
          </cell>
        </row>
        <row r="5545">
          <cell r="A5545" t="str">
            <v>Data split-4;Reg-76</v>
          </cell>
          <cell r="B5545">
            <v>-3.9</v>
          </cell>
          <cell r="C5545">
            <v>3</v>
          </cell>
          <cell r="D5545">
            <v>0</v>
          </cell>
          <cell r="E5545">
            <v>0</v>
          </cell>
          <cell r="F5545">
            <v>0</v>
          </cell>
          <cell r="G5545">
            <v>-0.89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 t="b">
            <v>0</v>
          </cell>
        </row>
        <row r="5546">
          <cell r="A5546" t="str">
            <v>Data split-4;Reg-77</v>
          </cell>
          <cell r="B5546">
            <v>-3.6</v>
          </cell>
          <cell r="C5546">
            <v>3.1</v>
          </cell>
          <cell r="D5546">
            <v>0</v>
          </cell>
          <cell r="E5546">
            <v>0</v>
          </cell>
          <cell r="F5546">
            <v>0</v>
          </cell>
          <cell r="G5546">
            <v>0</v>
          </cell>
          <cell r="H5546">
            <v>-1.5</v>
          </cell>
          <cell r="I5546">
            <v>0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 t="b">
            <v>0</v>
          </cell>
        </row>
        <row r="5547">
          <cell r="A5547" t="str">
            <v>Data split-4;Reg-78</v>
          </cell>
          <cell r="B5547">
            <v>-4.2</v>
          </cell>
          <cell r="C5547">
            <v>0</v>
          </cell>
          <cell r="D5547">
            <v>3</v>
          </cell>
          <cell r="E5547">
            <v>0</v>
          </cell>
          <cell r="F5547">
            <v>0</v>
          </cell>
          <cell r="G5547">
            <v>-0.94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 t="b">
            <v>0</v>
          </cell>
        </row>
        <row r="5548">
          <cell r="A5548" t="str">
            <v>Data split-4;Reg-79</v>
          </cell>
          <cell r="B5548">
            <v>-4</v>
          </cell>
          <cell r="C5548">
            <v>0</v>
          </cell>
          <cell r="D5548">
            <v>3.1</v>
          </cell>
          <cell r="E5548">
            <v>0</v>
          </cell>
          <cell r="F5548">
            <v>0</v>
          </cell>
          <cell r="G5548">
            <v>0</v>
          </cell>
          <cell r="H5548">
            <v>-1.6</v>
          </cell>
          <cell r="I5548">
            <v>0</v>
          </cell>
          <cell r="J5548">
            <v>0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 t="b">
            <v>0</v>
          </cell>
        </row>
        <row r="5549">
          <cell r="A5549" t="str">
            <v>Data split-4;Reg-80</v>
          </cell>
          <cell r="B5549">
            <v>-6.9</v>
          </cell>
          <cell r="C5549">
            <v>2.5</v>
          </cell>
          <cell r="D5549">
            <v>0</v>
          </cell>
          <cell r="E5549">
            <v>0</v>
          </cell>
          <cell r="F5549">
            <v>0</v>
          </cell>
          <cell r="G5549">
            <v>0</v>
          </cell>
          <cell r="H5549">
            <v>0</v>
          </cell>
          <cell r="I5549">
            <v>0.56000000000000005</v>
          </cell>
          <cell r="J5549">
            <v>0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 t="b">
            <v>0</v>
          </cell>
        </row>
        <row r="5550">
          <cell r="A5550" t="str">
            <v>Data split-4;Reg-81</v>
          </cell>
          <cell r="B5550">
            <v>-7.6</v>
          </cell>
          <cell r="C5550">
            <v>2.5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7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 t="b">
            <v>0</v>
          </cell>
        </row>
        <row r="5551">
          <cell r="A5551" t="str">
            <v>Data split-4;Reg-82</v>
          </cell>
          <cell r="B5551">
            <v>-7.1</v>
          </cell>
          <cell r="C5551">
            <v>0</v>
          </cell>
          <cell r="D5551">
            <v>2.6</v>
          </cell>
          <cell r="E5551">
            <v>0</v>
          </cell>
          <cell r="F5551">
            <v>0</v>
          </cell>
          <cell r="G5551">
            <v>0</v>
          </cell>
          <cell r="H5551">
            <v>0</v>
          </cell>
          <cell r="I5551">
            <v>0.35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 t="b">
            <v>0</v>
          </cell>
        </row>
        <row r="5552">
          <cell r="A5552" t="str">
            <v>Data split-4;Reg-83</v>
          </cell>
          <cell r="B5552">
            <v>-7.4</v>
          </cell>
          <cell r="C5552">
            <v>0</v>
          </cell>
          <cell r="D5552">
            <v>2.6</v>
          </cell>
          <cell r="E5552">
            <v>0</v>
          </cell>
          <cell r="F5552">
            <v>0</v>
          </cell>
          <cell r="G5552">
            <v>0</v>
          </cell>
          <cell r="H5552">
            <v>0</v>
          </cell>
          <cell r="I5552">
            <v>0</v>
          </cell>
          <cell r="J5552">
            <v>3.6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 t="b">
            <v>0</v>
          </cell>
        </row>
        <row r="5553">
          <cell r="A5553" t="str">
            <v>Data split-4;Reg-84</v>
          </cell>
          <cell r="B5553">
            <v>-5.6</v>
          </cell>
          <cell r="C5553">
            <v>2.8</v>
          </cell>
          <cell r="D5553">
            <v>0</v>
          </cell>
          <cell r="E5553">
            <v>0</v>
          </cell>
          <cell r="F5553">
            <v>0</v>
          </cell>
          <cell r="G5553">
            <v>0</v>
          </cell>
          <cell r="H5553">
            <v>0</v>
          </cell>
          <cell r="I5553">
            <v>0</v>
          </cell>
          <cell r="J5553">
            <v>0</v>
          </cell>
          <cell r="K5553">
            <v>-1.1000000000000001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 t="b">
            <v>1</v>
          </cell>
        </row>
        <row r="5554">
          <cell r="A5554" t="str">
            <v>Data split-4;Reg-85</v>
          </cell>
          <cell r="B5554">
            <v>-4.8</v>
          </cell>
          <cell r="C5554">
            <v>2.7</v>
          </cell>
          <cell r="D5554">
            <v>0</v>
          </cell>
          <cell r="E5554">
            <v>0</v>
          </cell>
          <cell r="F5554">
            <v>0</v>
          </cell>
          <cell r="G5554">
            <v>0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>
            <v>-11.1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 t="b">
            <v>1</v>
          </cell>
        </row>
        <row r="5555">
          <cell r="A5555" t="str">
            <v>Data split-4;Reg-86</v>
          </cell>
          <cell r="B5555">
            <v>-6</v>
          </cell>
          <cell r="C5555">
            <v>0</v>
          </cell>
          <cell r="D5555">
            <v>2.8</v>
          </cell>
          <cell r="E5555">
            <v>0</v>
          </cell>
          <cell r="F5555">
            <v>0</v>
          </cell>
          <cell r="G5555">
            <v>0</v>
          </cell>
          <cell r="H5555">
            <v>0</v>
          </cell>
          <cell r="I5555">
            <v>0</v>
          </cell>
          <cell r="J5555">
            <v>0</v>
          </cell>
          <cell r="K5555">
            <v>-1.2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 t="b">
            <v>1</v>
          </cell>
        </row>
        <row r="5556">
          <cell r="A5556" t="str">
            <v>Data split-4;Reg-87</v>
          </cell>
          <cell r="B5556">
            <v>-5.2</v>
          </cell>
          <cell r="C5556">
            <v>0</v>
          </cell>
          <cell r="D5556">
            <v>2.8</v>
          </cell>
          <cell r="E5556">
            <v>0</v>
          </cell>
          <cell r="F5556">
            <v>0</v>
          </cell>
          <cell r="G5556">
            <v>0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>
            <v>-11.8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 t="b">
            <v>1</v>
          </cell>
        </row>
        <row r="5557">
          <cell r="A5557" t="str">
            <v>Data split-4;Reg-88</v>
          </cell>
          <cell r="B5557">
            <v>-4.9000000000000004</v>
          </cell>
          <cell r="C5557">
            <v>2.8</v>
          </cell>
          <cell r="D5557">
            <v>0</v>
          </cell>
          <cell r="E5557">
            <v>0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0</v>
          </cell>
          <cell r="M5557">
            <v>-6.4000000000000001E-2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 t="b">
            <v>1</v>
          </cell>
        </row>
        <row r="5558">
          <cell r="A5558" t="str">
            <v>Data split-4;Reg-89</v>
          </cell>
          <cell r="B5558">
            <v>-4.5999999999999996</v>
          </cell>
          <cell r="C5558">
            <v>3</v>
          </cell>
          <cell r="D5558">
            <v>0</v>
          </cell>
          <cell r="E5558">
            <v>0</v>
          </cell>
          <cell r="F5558">
            <v>0</v>
          </cell>
          <cell r="G5558">
            <v>0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0</v>
          </cell>
          <cell r="M5558">
            <v>0</v>
          </cell>
          <cell r="N5558">
            <v>-1.7000000000000001E-2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 t="b">
            <v>1</v>
          </cell>
        </row>
        <row r="5559">
          <cell r="A5559" t="str">
            <v>Data split-4;Reg-90</v>
          </cell>
          <cell r="B5559">
            <v>-5.2</v>
          </cell>
          <cell r="C5559">
            <v>0</v>
          </cell>
          <cell r="D5559">
            <v>2.9</v>
          </cell>
          <cell r="E5559">
            <v>0</v>
          </cell>
          <cell r="F5559">
            <v>0</v>
          </cell>
          <cell r="G5559">
            <v>0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0</v>
          </cell>
          <cell r="M5559">
            <v>-6.7000000000000004E-2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 t="b">
            <v>1</v>
          </cell>
        </row>
        <row r="5560">
          <cell r="A5560" t="str">
            <v>Data split-4;Reg-91</v>
          </cell>
          <cell r="B5560">
            <v>-5.0999999999999996</v>
          </cell>
          <cell r="C5560">
            <v>0</v>
          </cell>
          <cell r="D5560">
            <v>3</v>
          </cell>
          <cell r="E5560">
            <v>0</v>
          </cell>
          <cell r="F5560">
            <v>0</v>
          </cell>
          <cell r="G5560">
            <v>0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0</v>
          </cell>
          <cell r="M5560">
            <v>0</v>
          </cell>
          <cell r="N5560">
            <v>-1.7999999999999999E-2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 t="b">
            <v>1</v>
          </cell>
        </row>
        <row r="5561">
          <cell r="A5561" t="str">
            <v>Data split-4;Reg-92</v>
          </cell>
          <cell r="B5561">
            <v>-4.9000000000000004</v>
          </cell>
          <cell r="C5561">
            <v>2.8</v>
          </cell>
          <cell r="D5561">
            <v>0</v>
          </cell>
          <cell r="E5561">
            <v>0</v>
          </cell>
          <cell r="F5561">
            <v>0</v>
          </cell>
          <cell r="G5561">
            <v>0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-6.0999999999999999E-2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 t="b">
            <v>1</v>
          </cell>
        </row>
        <row r="5562">
          <cell r="A5562" t="str">
            <v>Data split-4;Reg-93</v>
          </cell>
          <cell r="B5562">
            <v>-5</v>
          </cell>
          <cell r="C5562">
            <v>2.8</v>
          </cell>
          <cell r="D5562">
            <v>0</v>
          </cell>
          <cell r="E5562">
            <v>0</v>
          </cell>
          <cell r="F5562">
            <v>0</v>
          </cell>
          <cell r="G5562">
            <v>0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-1.4E-2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 t="b">
            <v>1</v>
          </cell>
        </row>
        <row r="5563">
          <cell r="A5563" t="str">
            <v>Data split-4;Reg-94</v>
          </cell>
          <cell r="B5563">
            <v>-5.3</v>
          </cell>
          <cell r="C5563">
            <v>0</v>
          </cell>
          <cell r="D5563">
            <v>2.8</v>
          </cell>
          <cell r="E5563">
            <v>0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-6.2E-2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 t="b">
            <v>1</v>
          </cell>
        </row>
        <row r="5564">
          <cell r="A5564" t="str">
            <v>Data split-4;Reg-95</v>
          </cell>
          <cell r="B5564">
            <v>-5.4</v>
          </cell>
          <cell r="C5564">
            <v>0</v>
          </cell>
          <cell r="D5564">
            <v>2.9</v>
          </cell>
          <cell r="E5564">
            <v>0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-1.4E-2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 t="b">
            <v>1</v>
          </cell>
        </row>
        <row r="5565">
          <cell r="A5565" t="str">
            <v>Data split-4;Reg-96</v>
          </cell>
          <cell r="B5565">
            <v>-5.0999999999999996</v>
          </cell>
          <cell r="C5565">
            <v>3.2</v>
          </cell>
          <cell r="D5565">
            <v>0</v>
          </cell>
          <cell r="E5565">
            <v>-3</v>
          </cell>
          <cell r="F5565">
            <v>0</v>
          </cell>
          <cell r="G5565">
            <v>0</v>
          </cell>
          <cell r="H5565">
            <v>0</v>
          </cell>
          <cell r="I5565">
            <v>5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 t="b">
            <v>0</v>
          </cell>
        </row>
        <row r="5566">
          <cell r="A5566" t="str">
            <v>Data split-4;Reg-97</v>
          </cell>
          <cell r="B5566">
            <v>-8.8000000000000007</v>
          </cell>
          <cell r="C5566">
            <v>3.3</v>
          </cell>
          <cell r="D5566">
            <v>0</v>
          </cell>
          <cell r="E5566">
            <v>-2.7</v>
          </cell>
          <cell r="F5566">
            <v>0</v>
          </cell>
          <cell r="G5566">
            <v>0</v>
          </cell>
          <cell r="H5566">
            <v>0</v>
          </cell>
          <cell r="I5566">
            <v>0</v>
          </cell>
          <cell r="J5566">
            <v>48.1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 t="b">
            <v>0</v>
          </cell>
        </row>
        <row r="5567">
          <cell r="A5567" t="str">
            <v>Data split-4;Reg-98</v>
          </cell>
          <cell r="B5567">
            <v>-6.5</v>
          </cell>
          <cell r="C5567">
            <v>2.2000000000000002</v>
          </cell>
          <cell r="D5567">
            <v>0</v>
          </cell>
          <cell r="E5567">
            <v>0</v>
          </cell>
          <cell r="F5567">
            <v>0.77</v>
          </cell>
          <cell r="G5567">
            <v>0</v>
          </cell>
          <cell r="H5567">
            <v>0</v>
          </cell>
          <cell r="I5567">
            <v>-0.45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 t="b">
            <v>1</v>
          </cell>
        </row>
        <row r="5568">
          <cell r="A5568" t="str">
            <v>Data split-4;Reg-99</v>
          </cell>
          <cell r="B5568">
            <v>-6.8</v>
          </cell>
          <cell r="C5568">
            <v>2.2000000000000002</v>
          </cell>
          <cell r="D5568">
            <v>0</v>
          </cell>
          <cell r="E5568">
            <v>0</v>
          </cell>
          <cell r="F5568">
            <v>0.66</v>
          </cell>
          <cell r="G5568">
            <v>0</v>
          </cell>
          <cell r="H5568">
            <v>0</v>
          </cell>
          <cell r="I5568">
            <v>0</v>
          </cell>
          <cell r="J5568">
            <v>-0.5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 t="b">
            <v>1</v>
          </cell>
        </row>
        <row r="5569">
          <cell r="A5569" t="str">
            <v>Data split-4;Reg-100</v>
          </cell>
          <cell r="B5569">
            <v>-5.3</v>
          </cell>
          <cell r="C5569">
            <v>0</v>
          </cell>
          <cell r="D5569">
            <v>3.3</v>
          </cell>
          <cell r="E5569">
            <v>-2.9</v>
          </cell>
          <cell r="F5569">
            <v>0</v>
          </cell>
          <cell r="G5569">
            <v>0</v>
          </cell>
          <cell r="H5569">
            <v>0</v>
          </cell>
          <cell r="I5569">
            <v>4.8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 t="b">
            <v>0</v>
          </cell>
        </row>
        <row r="5570">
          <cell r="A5570" t="str">
            <v>Data split-4;Reg-101</v>
          </cell>
          <cell r="B5570">
            <v>-8.4</v>
          </cell>
          <cell r="C5570">
            <v>0</v>
          </cell>
          <cell r="D5570">
            <v>3.3</v>
          </cell>
          <cell r="E5570">
            <v>-2.6</v>
          </cell>
          <cell r="F5570">
            <v>0</v>
          </cell>
          <cell r="G5570">
            <v>0</v>
          </cell>
          <cell r="H5570">
            <v>0</v>
          </cell>
          <cell r="I5570">
            <v>0</v>
          </cell>
          <cell r="J5570">
            <v>42.4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 t="b">
            <v>0</v>
          </cell>
        </row>
        <row r="5571">
          <cell r="A5571" t="str">
            <v>Data split-4;Reg-102</v>
          </cell>
          <cell r="B5571">
            <v>-6.6</v>
          </cell>
          <cell r="C5571">
            <v>0</v>
          </cell>
          <cell r="D5571">
            <v>2.2000000000000002</v>
          </cell>
          <cell r="E5571">
            <v>0</v>
          </cell>
          <cell r="F5571">
            <v>0.73</v>
          </cell>
          <cell r="G5571">
            <v>0</v>
          </cell>
          <cell r="H5571">
            <v>0</v>
          </cell>
          <cell r="I5571">
            <v>-0.6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 t="b">
            <v>1</v>
          </cell>
        </row>
        <row r="5572">
          <cell r="A5572" t="str">
            <v>Data split-4;Reg-103</v>
          </cell>
          <cell r="B5572">
            <v>-6.6</v>
          </cell>
          <cell r="C5572">
            <v>0</v>
          </cell>
          <cell r="D5572">
            <v>2.2999999999999998</v>
          </cell>
          <cell r="E5572">
            <v>0</v>
          </cell>
          <cell r="F5572">
            <v>0.64</v>
          </cell>
          <cell r="G5572">
            <v>0</v>
          </cell>
          <cell r="H5572">
            <v>0</v>
          </cell>
          <cell r="I5572">
            <v>0</v>
          </cell>
          <cell r="J5572">
            <v>-3.4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 t="b">
            <v>1</v>
          </cell>
        </row>
        <row r="5573">
          <cell r="A5573" t="str">
            <v>Data split-4;Reg-104</v>
          </cell>
          <cell r="B5573">
            <v>-2.6</v>
          </cell>
          <cell r="C5573">
            <v>3.1</v>
          </cell>
          <cell r="D5573">
            <v>0</v>
          </cell>
          <cell r="E5573">
            <v>-1.9</v>
          </cell>
          <cell r="F5573">
            <v>0</v>
          </cell>
          <cell r="G5573">
            <v>0</v>
          </cell>
          <cell r="H5573">
            <v>0</v>
          </cell>
          <cell r="I5573">
            <v>0</v>
          </cell>
          <cell r="J5573">
            <v>0</v>
          </cell>
          <cell r="K5573">
            <v>0.98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 t="b">
            <v>0</v>
          </cell>
        </row>
        <row r="5574">
          <cell r="A5574" t="str">
            <v>Data split-4;Reg-105</v>
          </cell>
          <cell r="B5574">
            <v>-2.7</v>
          </cell>
          <cell r="C5574">
            <v>3.1</v>
          </cell>
          <cell r="D5574">
            <v>0</v>
          </cell>
          <cell r="E5574">
            <v>-1.3</v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-4.3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 t="b">
            <v>0</v>
          </cell>
        </row>
        <row r="5575">
          <cell r="A5575" t="str">
            <v>Data split-4;Reg-106</v>
          </cell>
          <cell r="B5575">
            <v>-6.1</v>
          </cell>
          <cell r="C5575">
            <v>2.2000000000000002</v>
          </cell>
          <cell r="D5575">
            <v>0</v>
          </cell>
          <cell r="E5575">
            <v>0</v>
          </cell>
          <cell r="F5575">
            <v>1.2</v>
          </cell>
          <cell r="G5575">
            <v>0</v>
          </cell>
          <cell r="H5575">
            <v>0</v>
          </cell>
          <cell r="I5575">
            <v>0</v>
          </cell>
          <cell r="J5575">
            <v>0</v>
          </cell>
          <cell r="K5575">
            <v>-1.9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 t="b">
            <v>1</v>
          </cell>
        </row>
        <row r="5576">
          <cell r="A5576" t="str">
            <v>Data split-4;Reg-107</v>
          </cell>
          <cell r="B5576">
            <v>-5.3</v>
          </cell>
          <cell r="C5576">
            <v>2.2999999999999998</v>
          </cell>
          <cell r="D5576">
            <v>0</v>
          </cell>
          <cell r="E5576">
            <v>0</v>
          </cell>
          <cell r="F5576">
            <v>0.8</v>
          </cell>
          <cell r="G5576">
            <v>0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-12.6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 t="b">
            <v>1</v>
          </cell>
        </row>
        <row r="5577">
          <cell r="A5577" t="str">
            <v>Data split-4;Reg-108</v>
          </cell>
          <cell r="B5577">
            <v>-3</v>
          </cell>
          <cell r="C5577">
            <v>0</v>
          </cell>
          <cell r="D5577">
            <v>3.2</v>
          </cell>
          <cell r="E5577">
            <v>-1.9</v>
          </cell>
          <cell r="F5577">
            <v>0</v>
          </cell>
          <cell r="G5577">
            <v>0</v>
          </cell>
          <cell r="H5577">
            <v>0</v>
          </cell>
          <cell r="I5577">
            <v>0</v>
          </cell>
          <cell r="J5577">
            <v>0</v>
          </cell>
          <cell r="K5577">
            <v>0.95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 t="b">
            <v>0</v>
          </cell>
        </row>
        <row r="5578">
          <cell r="A5578" t="str">
            <v>Data split-4;Reg-109</v>
          </cell>
          <cell r="B5578">
            <v>-3</v>
          </cell>
          <cell r="C5578">
            <v>0</v>
          </cell>
          <cell r="D5578">
            <v>3.2</v>
          </cell>
          <cell r="E5578">
            <v>-1.4</v>
          </cell>
          <cell r="F5578">
            <v>0</v>
          </cell>
          <cell r="G5578">
            <v>0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>
            <v>-4.8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 t="b">
            <v>0</v>
          </cell>
        </row>
        <row r="5579">
          <cell r="A5579" t="str">
            <v>Data split-4;Reg-110</v>
          </cell>
          <cell r="B5579">
            <v>-6.4</v>
          </cell>
          <cell r="C5579">
            <v>0</v>
          </cell>
          <cell r="D5579">
            <v>2.2999999999999998</v>
          </cell>
          <cell r="E5579">
            <v>0</v>
          </cell>
          <cell r="F5579">
            <v>1.1000000000000001</v>
          </cell>
          <cell r="G5579">
            <v>0</v>
          </cell>
          <cell r="H5579">
            <v>0</v>
          </cell>
          <cell r="I5579">
            <v>0</v>
          </cell>
          <cell r="J5579">
            <v>0</v>
          </cell>
          <cell r="K5579">
            <v>-2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 t="b">
            <v>1</v>
          </cell>
        </row>
        <row r="5580">
          <cell r="A5580" t="str">
            <v>Data split-4;Reg-111</v>
          </cell>
          <cell r="B5580">
            <v>-5.6</v>
          </cell>
          <cell r="C5580">
            <v>0</v>
          </cell>
          <cell r="D5580">
            <v>2.4</v>
          </cell>
          <cell r="E5580">
            <v>0</v>
          </cell>
          <cell r="F5580">
            <v>0.72</v>
          </cell>
          <cell r="G5580">
            <v>0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-13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 t="b">
            <v>1</v>
          </cell>
        </row>
        <row r="5581">
          <cell r="A5581" t="str">
            <v>Data split-4;Reg-112</v>
          </cell>
          <cell r="B5581">
            <v>-5.9</v>
          </cell>
          <cell r="C5581">
            <v>3</v>
          </cell>
          <cell r="D5581">
            <v>0</v>
          </cell>
          <cell r="E5581">
            <v>0</v>
          </cell>
          <cell r="F5581">
            <v>0</v>
          </cell>
          <cell r="G5581">
            <v>-1.7</v>
          </cell>
          <cell r="H5581">
            <v>0</v>
          </cell>
          <cell r="I5581">
            <v>3.7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 t="b">
            <v>0</v>
          </cell>
        </row>
        <row r="5582">
          <cell r="A5582" t="str">
            <v>Data split-4;Reg-113</v>
          </cell>
          <cell r="B5582">
            <v>-7.9</v>
          </cell>
          <cell r="C5582">
            <v>3</v>
          </cell>
          <cell r="D5582">
            <v>0</v>
          </cell>
          <cell r="E5582">
            <v>0</v>
          </cell>
          <cell r="F5582">
            <v>0</v>
          </cell>
          <cell r="G5582">
            <v>-1.4</v>
          </cell>
          <cell r="H5582">
            <v>0</v>
          </cell>
          <cell r="I5582">
            <v>0</v>
          </cell>
          <cell r="J5582">
            <v>28.9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 t="b">
            <v>0</v>
          </cell>
        </row>
        <row r="5583">
          <cell r="A5583" t="str">
            <v>Data split-4;Reg-114</v>
          </cell>
          <cell r="B5583">
            <v>-5.3</v>
          </cell>
          <cell r="C5583">
            <v>3.2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  <cell r="H5583">
            <v>-2.9</v>
          </cell>
          <cell r="I5583">
            <v>3.7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 t="b">
            <v>0</v>
          </cell>
        </row>
        <row r="5584">
          <cell r="A5584" t="str">
            <v>Data split-4;Reg-115</v>
          </cell>
          <cell r="B5584">
            <v>-7.5</v>
          </cell>
          <cell r="C5584">
            <v>3.2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  <cell r="H5584">
            <v>-2.4</v>
          </cell>
          <cell r="I5584">
            <v>0</v>
          </cell>
          <cell r="J5584">
            <v>29.7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 t="b">
            <v>0</v>
          </cell>
        </row>
        <row r="5585">
          <cell r="A5585" t="str">
            <v>Data split-4;Reg-116</v>
          </cell>
          <cell r="B5585">
            <v>-6.1</v>
          </cell>
          <cell r="C5585">
            <v>0</v>
          </cell>
          <cell r="D5585">
            <v>3</v>
          </cell>
          <cell r="E5585">
            <v>0</v>
          </cell>
          <cell r="F5585">
            <v>0</v>
          </cell>
          <cell r="G5585">
            <v>-1.7</v>
          </cell>
          <cell r="H5585">
            <v>0</v>
          </cell>
          <cell r="I5585">
            <v>3.4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 t="b">
            <v>0</v>
          </cell>
        </row>
        <row r="5586">
          <cell r="A5586" t="str">
            <v>Data split-4;Reg-117</v>
          </cell>
          <cell r="B5586">
            <v>-7.6</v>
          </cell>
          <cell r="C5586">
            <v>0</v>
          </cell>
          <cell r="D5586">
            <v>3.1</v>
          </cell>
          <cell r="E5586">
            <v>0</v>
          </cell>
          <cell r="F5586">
            <v>0</v>
          </cell>
          <cell r="G5586">
            <v>-1.3</v>
          </cell>
          <cell r="H5586">
            <v>0</v>
          </cell>
          <cell r="I5586">
            <v>0</v>
          </cell>
          <cell r="J5586">
            <v>24.4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 t="b">
            <v>0</v>
          </cell>
        </row>
        <row r="5587">
          <cell r="A5587" t="str">
            <v>Data split-4;Reg-118</v>
          </cell>
          <cell r="B5587">
            <v>-5.5</v>
          </cell>
          <cell r="C5587">
            <v>0</v>
          </cell>
          <cell r="D5587">
            <v>3.2</v>
          </cell>
          <cell r="E5587">
            <v>0</v>
          </cell>
          <cell r="F5587">
            <v>0</v>
          </cell>
          <cell r="G5587">
            <v>0</v>
          </cell>
          <cell r="H5587">
            <v>-2.9</v>
          </cell>
          <cell r="I5587">
            <v>3.4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 t="b">
            <v>0</v>
          </cell>
        </row>
        <row r="5588">
          <cell r="A5588" t="str">
            <v>Data split-4;Reg-119</v>
          </cell>
          <cell r="B5588">
            <v>-7.2</v>
          </cell>
          <cell r="C5588">
            <v>0</v>
          </cell>
          <cell r="D5588">
            <v>3.2</v>
          </cell>
          <cell r="E5588">
            <v>0</v>
          </cell>
          <cell r="F5588">
            <v>0</v>
          </cell>
          <cell r="G5588">
            <v>0</v>
          </cell>
          <cell r="H5588">
            <v>-2.2999999999999998</v>
          </cell>
          <cell r="I5588">
            <v>0</v>
          </cell>
          <cell r="J5588">
            <v>24.6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 t="b">
            <v>0</v>
          </cell>
        </row>
        <row r="5589">
          <cell r="A5589" t="str">
            <v>Data split-4;Reg-120</v>
          </cell>
          <cell r="B5589">
            <v>-3.9</v>
          </cell>
          <cell r="C5589">
            <v>3</v>
          </cell>
          <cell r="D5589">
            <v>0</v>
          </cell>
          <cell r="E5589">
            <v>0</v>
          </cell>
          <cell r="F5589">
            <v>0</v>
          </cell>
          <cell r="G5589">
            <v>-0.82</v>
          </cell>
          <cell r="H5589">
            <v>0</v>
          </cell>
          <cell r="I5589">
            <v>0</v>
          </cell>
          <cell r="J5589">
            <v>0</v>
          </cell>
          <cell r="K5589">
            <v>-0.34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 t="b">
            <v>0</v>
          </cell>
        </row>
        <row r="5590">
          <cell r="A5590" t="str">
            <v>Data split-4;Reg-121</v>
          </cell>
          <cell r="B5590">
            <v>-2.8</v>
          </cell>
          <cell r="C5590">
            <v>3.1</v>
          </cell>
          <cell r="D5590">
            <v>0</v>
          </cell>
          <cell r="E5590">
            <v>0</v>
          </cell>
          <cell r="F5590">
            <v>0</v>
          </cell>
          <cell r="G5590">
            <v>-0.83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-9.6999999999999993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 t="b">
            <v>0</v>
          </cell>
        </row>
        <row r="5591">
          <cell r="A5591" t="str">
            <v>Data split-4;Reg-122</v>
          </cell>
          <cell r="B5591">
            <v>-3.6</v>
          </cell>
          <cell r="C5591">
            <v>3.1</v>
          </cell>
          <cell r="D5591">
            <v>0</v>
          </cell>
          <cell r="E5591">
            <v>0</v>
          </cell>
          <cell r="F5591">
            <v>0</v>
          </cell>
          <cell r="G5591">
            <v>0</v>
          </cell>
          <cell r="H5591">
            <v>-1.5</v>
          </cell>
          <cell r="I5591">
            <v>0</v>
          </cell>
          <cell r="J5591">
            <v>0</v>
          </cell>
          <cell r="K5591">
            <v>-0.17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 t="b">
            <v>0</v>
          </cell>
        </row>
        <row r="5592">
          <cell r="A5592" t="str">
            <v>Data split-4;Reg-123</v>
          </cell>
          <cell r="B5592">
            <v>-2.8</v>
          </cell>
          <cell r="C5592">
            <v>3.1</v>
          </cell>
          <cell r="D5592">
            <v>0</v>
          </cell>
          <cell r="E5592">
            <v>0</v>
          </cell>
          <cell r="F5592">
            <v>0</v>
          </cell>
          <cell r="G5592">
            <v>0</v>
          </cell>
          <cell r="H5592">
            <v>-1.3</v>
          </cell>
          <cell r="I5592">
            <v>0</v>
          </cell>
          <cell r="J5592">
            <v>0</v>
          </cell>
          <cell r="K5592">
            <v>0</v>
          </cell>
          <cell r="L5592">
            <v>-8.6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 t="b">
            <v>0</v>
          </cell>
        </row>
        <row r="5593">
          <cell r="A5593" t="str">
            <v>Data split-4;Reg-124</v>
          </cell>
          <cell r="B5593">
            <v>-4.2</v>
          </cell>
          <cell r="C5593">
            <v>0</v>
          </cell>
          <cell r="D5593">
            <v>3.1</v>
          </cell>
          <cell r="E5593">
            <v>0</v>
          </cell>
          <cell r="F5593">
            <v>0</v>
          </cell>
          <cell r="G5593">
            <v>-0.86</v>
          </cell>
          <cell r="H5593">
            <v>0</v>
          </cell>
          <cell r="I5593">
            <v>0</v>
          </cell>
          <cell r="J5593">
            <v>0</v>
          </cell>
          <cell r="K5593">
            <v>-0.39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 t="b">
            <v>0</v>
          </cell>
        </row>
        <row r="5594">
          <cell r="A5594" t="str">
            <v>Data split-4;Reg-125</v>
          </cell>
          <cell r="B5594">
            <v>-3</v>
          </cell>
          <cell r="C5594">
            <v>0</v>
          </cell>
          <cell r="D5594">
            <v>3.2</v>
          </cell>
          <cell r="E5594">
            <v>0</v>
          </cell>
          <cell r="F5594">
            <v>0</v>
          </cell>
          <cell r="G5594">
            <v>-0.88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-10.4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 t="b">
            <v>0</v>
          </cell>
        </row>
        <row r="5595">
          <cell r="A5595" t="str">
            <v>Data split-4;Reg-126</v>
          </cell>
          <cell r="B5595">
            <v>-4</v>
          </cell>
          <cell r="C5595">
            <v>0</v>
          </cell>
          <cell r="D5595">
            <v>3.1</v>
          </cell>
          <cell r="E5595">
            <v>0</v>
          </cell>
          <cell r="F5595">
            <v>0</v>
          </cell>
          <cell r="G5595">
            <v>0</v>
          </cell>
          <cell r="H5595">
            <v>-1.5</v>
          </cell>
          <cell r="I5595">
            <v>0</v>
          </cell>
          <cell r="J5595">
            <v>0</v>
          </cell>
          <cell r="K5595">
            <v>-0.24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 t="b">
            <v>0</v>
          </cell>
        </row>
        <row r="5596">
          <cell r="A5596" t="str">
            <v>Data split-4;Reg-127</v>
          </cell>
          <cell r="B5596">
            <v>-3.1</v>
          </cell>
          <cell r="C5596">
            <v>0</v>
          </cell>
          <cell r="D5596">
            <v>3.2</v>
          </cell>
          <cell r="E5596">
            <v>0</v>
          </cell>
          <cell r="F5596">
            <v>0</v>
          </cell>
          <cell r="G5596">
            <v>0</v>
          </cell>
          <cell r="H5596">
            <v>-1.4</v>
          </cell>
          <cell r="I5596">
            <v>0</v>
          </cell>
          <cell r="J5596">
            <v>0</v>
          </cell>
          <cell r="K5596">
            <v>0</v>
          </cell>
          <cell r="L5596">
            <v>-9.1999999999999993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 t="b">
            <v>0</v>
          </cell>
        </row>
        <row r="5597">
          <cell r="A5597" t="str">
            <v>Data split-5;Reg-1</v>
          </cell>
          <cell r="B5597">
            <v>-6.1</v>
          </cell>
          <cell r="C5597">
            <v>3.3</v>
          </cell>
          <cell r="D5597">
            <v>0</v>
          </cell>
          <cell r="E5597">
            <v>0</v>
          </cell>
          <cell r="F5597">
            <v>-0.98</v>
          </cell>
          <cell r="G5597">
            <v>0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>
            <v>-14.9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 t="b">
            <v>0</v>
          </cell>
        </row>
        <row r="5598">
          <cell r="A5598" t="str">
            <v>Data split-5;Reg-2</v>
          </cell>
          <cell r="B5598">
            <v>-5.6</v>
          </cell>
          <cell r="C5598">
            <v>3.2</v>
          </cell>
          <cell r="D5598">
            <v>0</v>
          </cell>
          <cell r="E5598">
            <v>0</v>
          </cell>
          <cell r="F5598">
            <v>-0.47</v>
          </cell>
          <cell r="G5598">
            <v>-1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0</v>
          </cell>
          <cell r="M5598">
            <v>9.1999999999999998E-3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 t="b">
            <v>0</v>
          </cell>
        </row>
        <row r="5599">
          <cell r="A5599" t="str">
            <v>Data split-5;Reg-3</v>
          </cell>
          <cell r="B5599">
            <v>-5.4</v>
          </cell>
          <cell r="C5599">
            <v>3.2</v>
          </cell>
          <cell r="D5599">
            <v>0</v>
          </cell>
          <cell r="E5599">
            <v>0</v>
          </cell>
          <cell r="F5599">
            <v>-0.5</v>
          </cell>
          <cell r="G5599">
            <v>-1.2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6.1000000000000004E-3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 t="b">
            <v>0</v>
          </cell>
        </row>
        <row r="5600">
          <cell r="A5600" t="str">
            <v>Data split-5;Reg-4</v>
          </cell>
          <cell r="B5600">
            <v>-5.4</v>
          </cell>
          <cell r="C5600">
            <v>3.3</v>
          </cell>
          <cell r="D5600">
            <v>0</v>
          </cell>
          <cell r="E5600">
            <v>0</v>
          </cell>
          <cell r="F5600">
            <v>-0.36</v>
          </cell>
          <cell r="G5600">
            <v>0</v>
          </cell>
          <cell r="H5600">
            <v>-2.1</v>
          </cell>
          <cell r="I5600">
            <v>0</v>
          </cell>
          <cell r="J5600">
            <v>0</v>
          </cell>
          <cell r="K5600">
            <v>0</v>
          </cell>
          <cell r="L5600">
            <v>0</v>
          </cell>
          <cell r="M5600">
            <v>3.3000000000000002E-2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 t="b">
            <v>0</v>
          </cell>
        </row>
        <row r="5601">
          <cell r="A5601" t="str">
            <v>Data split-5;Reg-5</v>
          </cell>
          <cell r="B5601">
            <v>-5.4</v>
          </cell>
          <cell r="C5601">
            <v>0</v>
          </cell>
          <cell r="D5601">
            <v>3.3</v>
          </cell>
          <cell r="E5601">
            <v>0</v>
          </cell>
          <cell r="F5601">
            <v>-0.31</v>
          </cell>
          <cell r="G5601">
            <v>0</v>
          </cell>
          <cell r="H5601">
            <v>-2</v>
          </cell>
          <cell r="I5601">
            <v>0</v>
          </cell>
          <cell r="J5601">
            <v>0</v>
          </cell>
          <cell r="K5601">
            <v>0</v>
          </cell>
          <cell r="L5601">
            <v>0</v>
          </cell>
          <cell r="M5601">
            <v>2.5999999999999999E-2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 t="b">
            <v>0</v>
          </cell>
        </row>
        <row r="5602">
          <cell r="A5602" t="str">
            <v>Data split-5;Reg-6</v>
          </cell>
          <cell r="B5602">
            <v>-2.4</v>
          </cell>
          <cell r="C5602">
            <v>3.5</v>
          </cell>
          <cell r="D5602">
            <v>0</v>
          </cell>
          <cell r="E5602">
            <v>-3.7</v>
          </cell>
          <cell r="F5602">
            <v>0</v>
          </cell>
          <cell r="G5602">
            <v>0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>
            <v>-2.7</v>
          </cell>
          <cell r="M5602">
            <v>0.12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 t="b">
            <v>0</v>
          </cell>
        </row>
        <row r="5603">
          <cell r="A5603" t="str">
            <v>Data split-5;Reg-7</v>
          </cell>
          <cell r="B5603">
            <v>-4.9000000000000004</v>
          </cell>
          <cell r="C5603">
            <v>3.2</v>
          </cell>
          <cell r="D5603">
            <v>0</v>
          </cell>
          <cell r="E5603">
            <v>0</v>
          </cell>
          <cell r="F5603">
            <v>-0.24</v>
          </cell>
          <cell r="G5603">
            <v>0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-13.5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-7.8E-2</v>
          </cell>
          <cell r="T5603">
            <v>0</v>
          </cell>
          <cell r="U5603" t="b">
            <v>0</v>
          </cell>
        </row>
        <row r="5604">
          <cell r="A5604" t="str">
            <v>Data split-5;Reg-8</v>
          </cell>
          <cell r="B5604">
            <v>-4</v>
          </cell>
          <cell r="C5604">
            <v>3.2</v>
          </cell>
          <cell r="D5604">
            <v>0</v>
          </cell>
          <cell r="E5604">
            <v>0</v>
          </cell>
          <cell r="F5604">
            <v>0</v>
          </cell>
          <cell r="G5604">
            <v>-0.73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-13.4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-4.1000000000000002E-2</v>
          </cell>
          <cell r="T5604">
            <v>0</v>
          </cell>
          <cell r="U5604" t="b">
            <v>0</v>
          </cell>
        </row>
        <row r="5605">
          <cell r="A5605" t="str">
            <v>Data split-5;Reg-9</v>
          </cell>
          <cell r="B5605">
            <v>-4.5999999999999996</v>
          </cell>
          <cell r="C5605">
            <v>0</v>
          </cell>
          <cell r="D5605">
            <v>3.1</v>
          </cell>
          <cell r="E5605">
            <v>0</v>
          </cell>
          <cell r="F5605">
            <v>0</v>
          </cell>
          <cell r="G5605">
            <v>0</v>
          </cell>
          <cell r="H5605">
            <v>-0.22</v>
          </cell>
          <cell r="I5605">
            <v>0</v>
          </cell>
          <cell r="J5605">
            <v>0</v>
          </cell>
          <cell r="K5605">
            <v>0</v>
          </cell>
          <cell r="L5605">
            <v>-13.2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-7.9000000000000001E-2</v>
          </cell>
          <cell r="T5605">
            <v>0</v>
          </cell>
          <cell r="U5605" t="b">
            <v>0</v>
          </cell>
        </row>
        <row r="5606">
          <cell r="A5606" t="str">
            <v>Data split-5;Reg-10</v>
          </cell>
          <cell r="B5606">
            <v>-4.5999999999999996</v>
          </cell>
          <cell r="C5606">
            <v>0</v>
          </cell>
          <cell r="D5606">
            <v>3.1</v>
          </cell>
          <cell r="E5606">
            <v>0</v>
          </cell>
          <cell r="F5606">
            <v>0</v>
          </cell>
          <cell r="G5606">
            <v>0</v>
          </cell>
          <cell r="H5606">
            <v>-0.22</v>
          </cell>
          <cell r="I5606">
            <v>0</v>
          </cell>
          <cell r="J5606">
            <v>0</v>
          </cell>
          <cell r="K5606">
            <v>0</v>
          </cell>
          <cell r="L5606">
            <v>-13.2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-7.9000000000000001E-2</v>
          </cell>
          <cell r="T5606">
            <v>0</v>
          </cell>
          <cell r="U5606" t="b">
            <v>0</v>
          </cell>
        </row>
        <row r="5607">
          <cell r="A5607" t="str">
            <v>Data split-5;Reg-11</v>
          </cell>
          <cell r="B5607">
            <v>-3.9</v>
          </cell>
          <cell r="C5607">
            <v>3.3</v>
          </cell>
          <cell r="D5607">
            <v>0</v>
          </cell>
          <cell r="E5607">
            <v>-2.5</v>
          </cell>
          <cell r="F5607">
            <v>0</v>
          </cell>
          <cell r="G5607">
            <v>0.33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 t="b">
            <v>0</v>
          </cell>
        </row>
        <row r="5608">
          <cell r="A5608" t="str">
            <v>Data split-5;Reg-12</v>
          </cell>
          <cell r="B5608">
            <v>-3.5</v>
          </cell>
          <cell r="C5608">
            <v>3.2</v>
          </cell>
          <cell r="D5608">
            <v>0</v>
          </cell>
          <cell r="E5608">
            <v>-6.5</v>
          </cell>
          <cell r="F5608">
            <v>0</v>
          </cell>
          <cell r="G5608">
            <v>0</v>
          </cell>
          <cell r="H5608">
            <v>5.5</v>
          </cell>
          <cell r="I5608">
            <v>0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 t="b">
            <v>0</v>
          </cell>
        </row>
        <row r="5609">
          <cell r="A5609" t="str">
            <v>Data split-5;Reg-13</v>
          </cell>
          <cell r="B5609">
            <v>-5.6</v>
          </cell>
          <cell r="C5609">
            <v>3.2</v>
          </cell>
          <cell r="D5609">
            <v>0</v>
          </cell>
          <cell r="E5609">
            <v>0</v>
          </cell>
          <cell r="F5609">
            <v>-0.42</v>
          </cell>
          <cell r="G5609">
            <v>-0.96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 t="b">
            <v>0</v>
          </cell>
        </row>
        <row r="5610">
          <cell r="A5610" t="str">
            <v>Data split-5;Reg-14</v>
          </cell>
          <cell r="B5610">
            <v>-5.7</v>
          </cell>
          <cell r="C5610">
            <v>3.2</v>
          </cell>
          <cell r="D5610">
            <v>0</v>
          </cell>
          <cell r="E5610">
            <v>0</v>
          </cell>
          <cell r="F5610">
            <v>-0.28999999999999998</v>
          </cell>
          <cell r="G5610">
            <v>0</v>
          </cell>
          <cell r="H5610">
            <v>-1.5</v>
          </cell>
          <cell r="I5610">
            <v>0</v>
          </cell>
          <cell r="J5610">
            <v>0</v>
          </cell>
          <cell r="K5610">
            <v>0</v>
          </cell>
          <cell r="L5610">
            <v>0</v>
          </cell>
          <cell r="M5610">
            <v>0</v>
          </cell>
          <cell r="N5610">
            <v>0</v>
          </cell>
          <cell r="O5610">
            <v>0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0</v>
          </cell>
          <cell r="U5610" t="b">
            <v>0</v>
          </cell>
        </row>
        <row r="5611">
          <cell r="A5611" t="str">
            <v>Data split-5;Reg-15</v>
          </cell>
          <cell r="B5611">
            <v>-2.4</v>
          </cell>
          <cell r="C5611">
            <v>3.5</v>
          </cell>
          <cell r="D5611">
            <v>0</v>
          </cell>
          <cell r="E5611">
            <v>-3.9</v>
          </cell>
          <cell r="F5611">
            <v>0</v>
          </cell>
          <cell r="G5611">
            <v>0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0</v>
          </cell>
          <cell r="M5611">
            <v>0.13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 t="b">
            <v>0</v>
          </cell>
        </row>
        <row r="5612">
          <cell r="A5612" t="str">
            <v>Data split-5;Reg-16</v>
          </cell>
          <cell r="B5612">
            <v>-0.65</v>
          </cell>
          <cell r="C5612">
            <v>3.5</v>
          </cell>
          <cell r="D5612">
            <v>0</v>
          </cell>
          <cell r="E5612">
            <v>-5.2</v>
          </cell>
          <cell r="F5612">
            <v>0</v>
          </cell>
          <cell r="G5612">
            <v>0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4.3999999999999997E-2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 t="b">
            <v>0</v>
          </cell>
        </row>
        <row r="5613">
          <cell r="A5613" t="str">
            <v>Data split-5;Reg-17</v>
          </cell>
          <cell r="B5613">
            <v>-6.9</v>
          </cell>
          <cell r="C5613">
            <v>3</v>
          </cell>
          <cell r="D5613">
            <v>0</v>
          </cell>
          <cell r="E5613">
            <v>0</v>
          </cell>
          <cell r="F5613">
            <v>-0.36</v>
          </cell>
          <cell r="G5613">
            <v>0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>
            <v>0</v>
          </cell>
          <cell r="M5613">
            <v>-6.5000000000000002E-2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 t="b">
            <v>0</v>
          </cell>
        </row>
        <row r="5614">
          <cell r="A5614" t="str">
            <v>Data split-5;Reg-18</v>
          </cell>
          <cell r="B5614">
            <v>-7.1</v>
          </cell>
          <cell r="C5614">
            <v>3.1</v>
          </cell>
          <cell r="D5614">
            <v>0</v>
          </cell>
          <cell r="E5614">
            <v>0</v>
          </cell>
          <cell r="F5614">
            <v>-0.5</v>
          </cell>
          <cell r="G5614">
            <v>0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-1.2E-2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 t="b">
            <v>0</v>
          </cell>
        </row>
        <row r="5615">
          <cell r="A5615" t="str">
            <v>Data split-5;Reg-19</v>
          </cell>
          <cell r="B5615">
            <v>-5.5</v>
          </cell>
          <cell r="C5615">
            <v>3</v>
          </cell>
          <cell r="D5615">
            <v>0</v>
          </cell>
          <cell r="E5615">
            <v>0</v>
          </cell>
          <cell r="F5615">
            <v>0</v>
          </cell>
          <cell r="G5615">
            <v>-0.68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-4.9000000000000002E-2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 t="b">
            <v>0</v>
          </cell>
        </row>
        <row r="5616">
          <cell r="A5616" t="str">
            <v>Data split-5;Reg-20</v>
          </cell>
          <cell r="B5616">
            <v>-5.7</v>
          </cell>
          <cell r="C5616">
            <v>3</v>
          </cell>
          <cell r="D5616">
            <v>0</v>
          </cell>
          <cell r="E5616">
            <v>0</v>
          </cell>
          <cell r="F5616">
            <v>0</v>
          </cell>
          <cell r="G5616">
            <v>-0.87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-4.8999999999999998E-3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 t="b">
            <v>0</v>
          </cell>
        </row>
        <row r="5617">
          <cell r="A5617" t="str">
            <v>Data split-5;Reg-21</v>
          </cell>
          <cell r="B5617">
            <v>-5.9</v>
          </cell>
          <cell r="C5617">
            <v>3</v>
          </cell>
          <cell r="D5617">
            <v>0</v>
          </cell>
          <cell r="E5617">
            <v>0</v>
          </cell>
          <cell r="F5617">
            <v>0</v>
          </cell>
          <cell r="G5617">
            <v>0</v>
          </cell>
          <cell r="H5617">
            <v>-0.75</v>
          </cell>
          <cell r="I5617">
            <v>0</v>
          </cell>
          <cell r="J5617">
            <v>0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-0.06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 t="b">
            <v>0</v>
          </cell>
        </row>
        <row r="5618">
          <cell r="A5618" t="str">
            <v>Data split-5;Reg-22</v>
          </cell>
          <cell r="B5618">
            <v>-5.8</v>
          </cell>
          <cell r="C5618">
            <v>3.1</v>
          </cell>
          <cell r="D5618">
            <v>0</v>
          </cell>
          <cell r="E5618">
            <v>0</v>
          </cell>
          <cell r="F5618">
            <v>0</v>
          </cell>
          <cell r="G5618">
            <v>0</v>
          </cell>
          <cell r="H5618">
            <v>-1.2</v>
          </cell>
          <cell r="I5618">
            <v>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-6.1999999999999998E-3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 t="b">
            <v>0</v>
          </cell>
        </row>
        <row r="5619">
          <cell r="A5619" t="str">
            <v>Data split-5;Reg-23</v>
          </cell>
          <cell r="B5619">
            <v>-3.9</v>
          </cell>
          <cell r="C5619">
            <v>0</v>
          </cell>
          <cell r="D5619">
            <v>3.3</v>
          </cell>
          <cell r="E5619">
            <v>-2.4</v>
          </cell>
          <cell r="F5619">
            <v>0</v>
          </cell>
          <cell r="G5619">
            <v>0.3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 t="b">
            <v>0</v>
          </cell>
        </row>
        <row r="5620">
          <cell r="A5620" t="str">
            <v>Data split-5;Reg-24</v>
          </cell>
          <cell r="B5620">
            <v>-3.4</v>
          </cell>
          <cell r="C5620">
            <v>0</v>
          </cell>
          <cell r="D5620">
            <v>3.2</v>
          </cell>
          <cell r="E5620">
            <v>-6.4</v>
          </cell>
          <cell r="F5620">
            <v>0</v>
          </cell>
          <cell r="G5620">
            <v>0</v>
          </cell>
          <cell r="H5620">
            <v>5.4</v>
          </cell>
          <cell r="I5620">
            <v>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 t="b">
            <v>0</v>
          </cell>
        </row>
        <row r="5621">
          <cell r="A5621" t="str">
            <v>Data split-5;Reg-25</v>
          </cell>
          <cell r="B5621">
            <v>-5.6</v>
          </cell>
          <cell r="C5621">
            <v>0</v>
          </cell>
          <cell r="D5621">
            <v>3.2</v>
          </cell>
          <cell r="E5621">
            <v>0</v>
          </cell>
          <cell r="F5621">
            <v>-0.39</v>
          </cell>
          <cell r="G5621">
            <v>-0.97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 t="b">
            <v>0</v>
          </cell>
        </row>
        <row r="5622">
          <cell r="A5622" t="str">
            <v>Data split-5;Reg-26</v>
          </cell>
          <cell r="B5622">
            <v>-5.6</v>
          </cell>
          <cell r="C5622">
            <v>0</v>
          </cell>
          <cell r="D5622">
            <v>3.2</v>
          </cell>
          <cell r="E5622">
            <v>0</v>
          </cell>
          <cell r="F5622">
            <v>-0.26</v>
          </cell>
          <cell r="G5622">
            <v>0</v>
          </cell>
          <cell r="H5622">
            <v>-1.5</v>
          </cell>
          <cell r="I5622">
            <v>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 t="b">
            <v>0</v>
          </cell>
        </row>
        <row r="5623">
          <cell r="A5623" t="str">
            <v>Data split-5;Reg-27</v>
          </cell>
          <cell r="B5623">
            <v>-2.4</v>
          </cell>
          <cell r="C5623">
            <v>0</v>
          </cell>
          <cell r="D5623">
            <v>3.5</v>
          </cell>
          <cell r="E5623">
            <v>-3.9</v>
          </cell>
          <cell r="F5623">
            <v>0</v>
          </cell>
          <cell r="G5623">
            <v>0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0</v>
          </cell>
          <cell r="M5623">
            <v>0.12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 t="b">
            <v>0</v>
          </cell>
        </row>
        <row r="5624">
          <cell r="A5624" t="str">
            <v>Data split-5;Reg-28</v>
          </cell>
          <cell r="B5624">
            <v>-0.66</v>
          </cell>
          <cell r="C5624">
            <v>0</v>
          </cell>
          <cell r="D5624">
            <v>3.5</v>
          </cell>
          <cell r="E5624">
            <v>-5.2</v>
          </cell>
          <cell r="F5624">
            <v>0</v>
          </cell>
          <cell r="G5624">
            <v>0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4.2999999999999997E-2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 t="b">
            <v>0</v>
          </cell>
        </row>
        <row r="5625">
          <cell r="A5625" t="str">
            <v>Data split-5;Reg-29</v>
          </cell>
          <cell r="B5625">
            <v>-6.8</v>
          </cell>
          <cell r="C5625">
            <v>0</v>
          </cell>
          <cell r="D5625">
            <v>3</v>
          </cell>
          <cell r="E5625">
            <v>0</v>
          </cell>
          <cell r="F5625">
            <v>-0.32</v>
          </cell>
          <cell r="G5625">
            <v>0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>
            <v>0</v>
          </cell>
          <cell r="M5625">
            <v>-6.7000000000000004E-2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 t="b">
            <v>0</v>
          </cell>
        </row>
        <row r="5626">
          <cell r="A5626" t="str">
            <v>Data split-5;Reg-30</v>
          </cell>
          <cell r="B5626">
            <v>-7</v>
          </cell>
          <cell r="C5626">
            <v>0</v>
          </cell>
          <cell r="D5626">
            <v>3.1</v>
          </cell>
          <cell r="E5626">
            <v>0</v>
          </cell>
          <cell r="F5626">
            <v>-0.46</v>
          </cell>
          <cell r="G5626">
            <v>0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-1.2999999999999999E-2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 t="b">
            <v>0</v>
          </cell>
        </row>
        <row r="5627">
          <cell r="A5627" t="str">
            <v>Data split-5;Reg-31</v>
          </cell>
          <cell r="B5627">
            <v>-5.5</v>
          </cell>
          <cell r="C5627">
            <v>0</v>
          </cell>
          <cell r="D5627">
            <v>3</v>
          </cell>
          <cell r="E5627">
            <v>0</v>
          </cell>
          <cell r="F5627">
            <v>0</v>
          </cell>
          <cell r="G5627">
            <v>-0.7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-4.7E-2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 t="b">
            <v>0</v>
          </cell>
        </row>
        <row r="5628">
          <cell r="A5628" t="str">
            <v>Data split-5;Reg-32</v>
          </cell>
          <cell r="B5628">
            <v>-5.6</v>
          </cell>
          <cell r="C5628">
            <v>0</v>
          </cell>
          <cell r="D5628">
            <v>3</v>
          </cell>
          <cell r="E5628">
            <v>0</v>
          </cell>
          <cell r="F5628">
            <v>0</v>
          </cell>
          <cell r="G5628">
            <v>-0.91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-4.1999999999999997E-3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 t="b">
            <v>0</v>
          </cell>
        </row>
        <row r="5629">
          <cell r="A5629" t="str">
            <v>Data split-5;Reg-33</v>
          </cell>
          <cell r="B5629">
            <v>-5.8</v>
          </cell>
          <cell r="C5629">
            <v>0</v>
          </cell>
          <cell r="D5629">
            <v>3</v>
          </cell>
          <cell r="E5629">
            <v>0</v>
          </cell>
          <cell r="F5629">
            <v>0</v>
          </cell>
          <cell r="G5629">
            <v>0</v>
          </cell>
          <cell r="H5629">
            <v>-0.77</v>
          </cell>
          <cell r="I5629">
            <v>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-5.8999999999999997E-2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 t="b">
            <v>0</v>
          </cell>
        </row>
        <row r="5630">
          <cell r="A5630" t="str">
            <v>Data split-5;Reg-34</v>
          </cell>
          <cell r="B5630">
            <v>-5.7</v>
          </cell>
          <cell r="C5630">
            <v>0</v>
          </cell>
          <cell r="D5630">
            <v>3.1</v>
          </cell>
          <cell r="E5630">
            <v>0</v>
          </cell>
          <cell r="F5630">
            <v>0</v>
          </cell>
          <cell r="G5630">
            <v>0</v>
          </cell>
          <cell r="H5630">
            <v>-1.3</v>
          </cell>
          <cell r="I5630">
            <v>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-5.4000000000000003E-3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 t="b">
            <v>0</v>
          </cell>
        </row>
        <row r="5631">
          <cell r="A5631" t="str">
            <v>Data split-5;Reg-35</v>
          </cell>
          <cell r="B5631">
            <v>-2.5</v>
          </cell>
          <cell r="C5631">
            <v>3.5</v>
          </cell>
          <cell r="D5631">
            <v>0</v>
          </cell>
          <cell r="E5631">
            <v>-4.0999999999999996</v>
          </cell>
          <cell r="F5631">
            <v>0</v>
          </cell>
          <cell r="G5631">
            <v>0.12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>
            <v>0</v>
          </cell>
          <cell r="M5631">
            <v>0.13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 t="b">
            <v>0</v>
          </cell>
        </row>
        <row r="5632">
          <cell r="A5632" t="str">
            <v>Data split-5;Reg-36</v>
          </cell>
          <cell r="B5632">
            <v>-0.48</v>
          </cell>
          <cell r="C5632">
            <v>3.5</v>
          </cell>
          <cell r="D5632">
            <v>0</v>
          </cell>
          <cell r="E5632">
            <v>-5</v>
          </cell>
          <cell r="F5632">
            <v>0</v>
          </cell>
          <cell r="G5632">
            <v>-0.3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4.5999999999999999E-2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 t="b">
            <v>0</v>
          </cell>
        </row>
        <row r="5633">
          <cell r="A5633" t="str">
            <v>Data split-5;Reg-37</v>
          </cell>
          <cell r="B5633">
            <v>-3.2</v>
          </cell>
          <cell r="C5633">
            <v>3.2</v>
          </cell>
          <cell r="D5633">
            <v>0</v>
          </cell>
          <cell r="E5633">
            <v>-6.5</v>
          </cell>
          <cell r="F5633">
            <v>0</v>
          </cell>
          <cell r="G5633">
            <v>0</v>
          </cell>
          <cell r="H5633">
            <v>5.0999999999999996</v>
          </cell>
          <cell r="I5633">
            <v>0</v>
          </cell>
          <cell r="J5633">
            <v>0</v>
          </cell>
          <cell r="K5633">
            <v>0</v>
          </cell>
          <cell r="L5633">
            <v>0</v>
          </cell>
          <cell r="M5633">
            <v>2.3E-2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 t="b">
            <v>0</v>
          </cell>
        </row>
        <row r="5634">
          <cell r="A5634" t="str">
            <v>Data split-5;Reg-38</v>
          </cell>
          <cell r="B5634">
            <v>-2</v>
          </cell>
          <cell r="C5634">
            <v>3.3</v>
          </cell>
          <cell r="D5634">
            <v>0</v>
          </cell>
          <cell r="E5634">
            <v>-6.4</v>
          </cell>
          <cell r="F5634">
            <v>0</v>
          </cell>
          <cell r="G5634">
            <v>0</v>
          </cell>
          <cell r="H5634">
            <v>3.4</v>
          </cell>
          <cell r="I5634">
            <v>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2.1999999999999999E-2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 t="b">
            <v>0</v>
          </cell>
        </row>
        <row r="5635">
          <cell r="A5635" t="str">
            <v>Data split-5;Reg-39</v>
          </cell>
          <cell r="B5635">
            <v>-5.6</v>
          </cell>
          <cell r="C5635">
            <v>3.2</v>
          </cell>
          <cell r="D5635">
            <v>0</v>
          </cell>
          <cell r="E5635">
            <v>0</v>
          </cell>
          <cell r="F5635">
            <v>-0.47</v>
          </cell>
          <cell r="G5635">
            <v>-1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>
            <v>0</v>
          </cell>
          <cell r="M5635">
            <v>9.1999999999999998E-3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 t="b">
            <v>0</v>
          </cell>
        </row>
        <row r="5636">
          <cell r="A5636" t="str">
            <v>Data split-5;Reg-40</v>
          </cell>
          <cell r="B5636">
            <v>-5.4</v>
          </cell>
          <cell r="C5636">
            <v>3.2</v>
          </cell>
          <cell r="D5636">
            <v>0</v>
          </cell>
          <cell r="E5636">
            <v>0</v>
          </cell>
          <cell r="F5636">
            <v>-0.5</v>
          </cell>
          <cell r="G5636">
            <v>-1.2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0</v>
          </cell>
          <cell r="M5636">
            <v>0</v>
          </cell>
          <cell r="N5636">
            <v>6.1000000000000004E-3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 t="b">
            <v>0</v>
          </cell>
        </row>
        <row r="5637">
          <cell r="A5637" t="str">
            <v>Data split-5;Reg-41</v>
          </cell>
          <cell r="B5637">
            <v>-5.4</v>
          </cell>
          <cell r="C5637">
            <v>3.3</v>
          </cell>
          <cell r="D5637">
            <v>0</v>
          </cell>
          <cell r="E5637">
            <v>0</v>
          </cell>
          <cell r="F5637">
            <v>-0.36</v>
          </cell>
          <cell r="G5637">
            <v>0</v>
          </cell>
          <cell r="H5637">
            <v>-2.1</v>
          </cell>
          <cell r="I5637">
            <v>0</v>
          </cell>
          <cell r="J5637">
            <v>0</v>
          </cell>
          <cell r="K5637">
            <v>0</v>
          </cell>
          <cell r="L5637">
            <v>0</v>
          </cell>
          <cell r="M5637">
            <v>3.3000000000000002E-2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 t="b">
            <v>0</v>
          </cell>
        </row>
        <row r="5638">
          <cell r="A5638" t="str">
            <v>Data split-5;Reg-42</v>
          </cell>
          <cell r="B5638">
            <v>-3.9</v>
          </cell>
          <cell r="C5638">
            <v>3.3</v>
          </cell>
          <cell r="D5638">
            <v>0</v>
          </cell>
          <cell r="E5638">
            <v>0</v>
          </cell>
          <cell r="F5638">
            <v>-0.21</v>
          </cell>
          <cell r="G5638">
            <v>0</v>
          </cell>
          <cell r="H5638">
            <v>-3.9</v>
          </cell>
          <cell r="I5638">
            <v>0</v>
          </cell>
          <cell r="J5638">
            <v>0</v>
          </cell>
          <cell r="K5638">
            <v>0</v>
          </cell>
          <cell r="L5638">
            <v>0</v>
          </cell>
          <cell r="M5638">
            <v>0</v>
          </cell>
          <cell r="N5638">
            <v>2.5000000000000001E-2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 t="b">
            <v>0</v>
          </cell>
        </row>
        <row r="5639">
          <cell r="A5639" t="str">
            <v>Data split-5;Reg-43</v>
          </cell>
          <cell r="B5639">
            <v>-3.9</v>
          </cell>
          <cell r="C5639">
            <v>3.3</v>
          </cell>
          <cell r="D5639">
            <v>0</v>
          </cell>
          <cell r="E5639">
            <v>-2.5</v>
          </cell>
          <cell r="F5639">
            <v>0</v>
          </cell>
          <cell r="G5639">
            <v>0.33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-5.8E-5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 t="b">
            <v>0</v>
          </cell>
        </row>
        <row r="5640">
          <cell r="A5640" t="str">
            <v>Data split-5;Reg-44</v>
          </cell>
          <cell r="B5640">
            <v>-3.6</v>
          </cell>
          <cell r="C5640">
            <v>3.3</v>
          </cell>
          <cell r="D5640">
            <v>0</v>
          </cell>
          <cell r="E5640">
            <v>-2.7</v>
          </cell>
          <cell r="F5640">
            <v>0</v>
          </cell>
          <cell r="G5640">
            <v>0.18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6.1000000000000004E-3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 t="b">
            <v>0</v>
          </cell>
        </row>
        <row r="5641">
          <cell r="A5641" t="str">
            <v>Data split-5;Reg-45</v>
          </cell>
          <cell r="B5641">
            <v>-3.9</v>
          </cell>
          <cell r="C5641">
            <v>3.1</v>
          </cell>
          <cell r="D5641">
            <v>0</v>
          </cell>
          <cell r="E5641">
            <v>-6.7</v>
          </cell>
          <cell r="F5641">
            <v>0</v>
          </cell>
          <cell r="G5641">
            <v>0</v>
          </cell>
          <cell r="H5641">
            <v>7</v>
          </cell>
          <cell r="I5641">
            <v>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-7.9000000000000001E-2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 t="b">
            <v>0</v>
          </cell>
        </row>
        <row r="5642">
          <cell r="A5642" t="str">
            <v>Data split-5;Reg-46</v>
          </cell>
          <cell r="B5642">
            <v>-4.2</v>
          </cell>
          <cell r="C5642">
            <v>3.1</v>
          </cell>
          <cell r="D5642">
            <v>0</v>
          </cell>
          <cell r="E5642">
            <v>-6.9</v>
          </cell>
          <cell r="F5642">
            <v>0</v>
          </cell>
          <cell r="G5642">
            <v>0</v>
          </cell>
          <cell r="H5642">
            <v>7.5</v>
          </cell>
          <cell r="I5642">
            <v>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-1.7999999999999999E-2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 t="b">
            <v>0</v>
          </cell>
        </row>
        <row r="5643">
          <cell r="A5643" t="str">
            <v>Data split-5;Reg-47</v>
          </cell>
          <cell r="B5643">
            <v>-5.6</v>
          </cell>
          <cell r="C5643">
            <v>3.1</v>
          </cell>
          <cell r="D5643">
            <v>0</v>
          </cell>
          <cell r="E5643">
            <v>0</v>
          </cell>
          <cell r="F5643">
            <v>-0.11</v>
          </cell>
          <cell r="G5643">
            <v>-0.7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-4.2999999999999997E-2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 t="b">
            <v>0</v>
          </cell>
        </row>
        <row r="5644">
          <cell r="A5644" t="str">
            <v>Data split-5;Reg-48</v>
          </cell>
          <cell r="B5644">
            <v>-5.7</v>
          </cell>
          <cell r="C5644">
            <v>3.2</v>
          </cell>
          <cell r="D5644">
            <v>0</v>
          </cell>
          <cell r="E5644">
            <v>0</v>
          </cell>
          <cell r="F5644">
            <v>-0.39</v>
          </cell>
          <cell r="G5644">
            <v>-0.92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-1.1000000000000001E-3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 t="b">
            <v>0</v>
          </cell>
        </row>
        <row r="5645">
          <cell r="A5645" t="str">
            <v>Data split-5;Reg-49</v>
          </cell>
          <cell r="B5645">
            <v>-5.9</v>
          </cell>
          <cell r="C5645">
            <v>3</v>
          </cell>
          <cell r="D5645">
            <v>0</v>
          </cell>
          <cell r="E5645">
            <v>0</v>
          </cell>
          <cell r="F5645">
            <v>5.4999999999999997E-3</v>
          </cell>
          <cell r="G5645">
            <v>0</v>
          </cell>
          <cell r="H5645">
            <v>-0.75</v>
          </cell>
          <cell r="I5645">
            <v>0</v>
          </cell>
          <cell r="J5645">
            <v>0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-0.06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 t="b">
            <v>0</v>
          </cell>
        </row>
        <row r="5646">
          <cell r="A5646" t="str">
            <v>Data split-5;Reg-50</v>
          </cell>
          <cell r="B5646">
            <v>-5.9</v>
          </cell>
          <cell r="C5646">
            <v>3.2</v>
          </cell>
          <cell r="D5646">
            <v>0</v>
          </cell>
          <cell r="E5646">
            <v>0</v>
          </cell>
          <cell r="F5646">
            <v>-0.23</v>
          </cell>
          <cell r="G5646">
            <v>0</v>
          </cell>
          <cell r="H5646">
            <v>-1.2</v>
          </cell>
          <cell r="I5646">
            <v>0</v>
          </cell>
          <cell r="J5646">
            <v>0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-4.7000000000000002E-3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 t="b">
            <v>0</v>
          </cell>
        </row>
        <row r="5647">
          <cell r="A5647" t="str">
            <v>Data split-5;Reg-51</v>
          </cell>
          <cell r="B5647">
            <v>-2.5</v>
          </cell>
          <cell r="C5647">
            <v>0</v>
          </cell>
          <cell r="D5647">
            <v>3.5</v>
          </cell>
          <cell r="E5647">
            <v>-3.9</v>
          </cell>
          <cell r="F5647">
            <v>0</v>
          </cell>
          <cell r="G5647">
            <v>9.5000000000000001E-2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0.12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 t="b">
            <v>0</v>
          </cell>
        </row>
        <row r="5648">
          <cell r="A5648" t="str">
            <v>Data split-5;Reg-52</v>
          </cell>
          <cell r="B5648">
            <v>-0.47</v>
          </cell>
          <cell r="C5648">
            <v>0</v>
          </cell>
          <cell r="D5648">
            <v>3.5</v>
          </cell>
          <cell r="E5648">
            <v>-4.9000000000000004</v>
          </cell>
          <cell r="F5648">
            <v>0</v>
          </cell>
          <cell r="G5648">
            <v>-0.32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4.4999999999999998E-2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 t="b">
            <v>0</v>
          </cell>
        </row>
        <row r="5649">
          <cell r="A5649" t="str">
            <v>Data split-5;Reg-53</v>
          </cell>
          <cell r="B5649">
            <v>-3.3</v>
          </cell>
          <cell r="C5649">
            <v>0</v>
          </cell>
          <cell r="D5649">
            <v>3.2</v>
          </cell>
          <cell r="E5649">
            <v>-6.4</v>
          </cell>
          <cell r="F5649">
            <v>0</v>
          </cell>
          <cell r="G5649">
            <v>0</v>
          </cell>
          <cell r="H5649">
            <v>5.0999999999999996</v>
          </cell>
          <cell r="I5649">
            <v>0</v>
          </cell>
          <cell r="J5649">
            <v>0</v>
          </cell>
          <cell r="K5649">
            <v>0</v>
          </cell>
          <cell r="L5649">
            <v>0</v>
          </cell>
          <cell r="M5649">
            <v>1.7000000000000001E-2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 t="b">
            <v>0</v>
          </cell>
        </row>
        <row r="5650">
          <cell r="A5650" t="str">
            <v>Data split-5;Reg-54</v>
          </cell>
          <cell r="B5650">
            <v>-2</v>
          </cell>
          <cell r="C5650">
            <v>0</v>
          </cell>
          <cell r="D5650">
            <v>3.3</v>
          </cell>
          <cell r="E5650">
            <v>-6.3</v>
          </cell>
          <cell r="F5650">
            <v>0</v>
          </cell>
          <cell r="G5650">
            <v>0</v>
          </cell>
          <cell r="H5650">
            <v>3.4</v>
          </cell>
          <cell r="I5650">
            <v>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2.1999999999999999E-2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 t="b">
            <v>0</v>
          </cell>
        </row>
        <row r="5651">
          <cell r="A5651" t="str">
            <v>Data split-5;Reg-55</v>
          </cell>
          <cell r="B5651">
            <v>-5.5</v>
          </cell>
          <cell r="C5651">
            <v>0</v>
          </cell>
          <cell r="D5651">
            <v>3.2</v>
          </cell>
          <cell r="E5651">
            <v>0</v>
          </cell>
          <cell r="F5651">
            <v>-0.42</v>
          </cell>
          <cell r="G5651">
            <v>-1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0</v>
          </cell>
          <cell r="M5651">
            <v>6.3E-3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 t="b">
            <v>0</v>
          </cell>
        </row>
        <row r="5652">
          <cell r="A5652" t="str">
            <v>Data split-5;Reg-56</v>
          </cell>
          <cell r="B5652">
            <v>-5.3</v>
          </cell>
          <cell r="C5652">
            <v>0</v>
          </cell>
          <cell r="D5652">
            <v>3.2</v>
          </cell>
          <cell r="E5652">
            <v>0</v>
          </cell>
          <cell r="F5652">
            <v>-0.47</v>
          </cell>
          <cell r="G5652">
            <v>-1.2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0</v>
          </cell>
          <cell r="M5652">
            <v>0</v>
          </cell>
          <cell r="N5652">
            <v>5.8999999999999999E-3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 t="b">
            <v>0</v>
          </cell>
        </row>
        <row r="5653">
          <cell r="A5653" t="str">
            <v>Data split-5;Reg-57</v>
          </cell>
          <cell r="B5653">
            <v>-5.4</v>
          </cell>
          <cell r="C5653">
            <v>0</v>
          </cell>
          <cell r="D5653">
            <v>3.3</v>
          </cell>
          <cell r="E5653">
            <v>0</v>
          </cell>
          <cell r="F5653">
            <v>-0.31</v>
          </cell>
          <cell r="G5653">
            <v>0</v>
          </cell>
          <cell r="H5653">
            <v>-2</v>
          </cell>
          <cell r="I5653">
            <v>0</v>
          </cell>
          <cell r="J5653">
            <v>0</v>
          </cell>
          <cell r="K5653">
            <v>0</v>
          </cell>
          <cell r="L5653">
            <v>0</v>
          </cell>
          <cell r="M5653">
            <v>2.5999999999999999E-2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 t="b">
            <v>0</v>
          </cell>
        </row>
        <row r="5654">
          <cell r="A5654" t="str">
            <v>Data split-5;Reg-58</v>
          </cell>
          <cell r="B5654">
            <v>-3.9</v>
          </cell>
          <cell r="C5654">
            <v>0</v>
          </cell>
          <cell r="D5654">
            <v>3.3</v>
          </cell>
          <cell r="E5654">
            <v>0</v>
          </cell>
          <cell r="F5654">
            <v>-0.17</v>
          </cell>
          <cell r="G5654">
            <v>0</v>
          </cell>
          <cell r="H5654">
            <v>-3.9</v>
          </cell>
          <cell r="I5654">
            <v>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2.5000000000000001E-2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 t="b">
            <v>0</v>
          </cell>
        </row>
        <row r="5655">
          <cell r="A5655" t="str">
            <v>Data split-5;Reg-59</v>
          </cell>
          <cell r="B5655">
            <v>-3.9</v>
          </cell>
          <cell r="C5655">
            <v>0</v>
          </cell>
          <cell r="D5655">
            <v>3.3</v>
          </cell>
          <cell r="E5655">
            <v>-2.4</v>
          </cell>
          <cell r="F5655">
            <v>0</v>
          </cell>
          <cell r="G5655">
            <v>0.3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6.2E-4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 t="b">
            <v>0</v>
          </cell>
        </row>
        <row r="5656">
          <cell r="A5656" t="str">
            <v>Data split-5;Reg-60</v>
          </cell>
          <cell r="B5656">
            <v>-3.5</v>
          </cell>
          <cell r="C5656">
            <v>0</v>
          </cell>
          <cell r="D5656">
            <v>3.3</v>
          </cell>
          <cell r="E5656">
            <v>-2.7</v>
          </cell>
          <cell r="F5656">
            <v>0</v>
          </cell>
          <cell r="G5656">
            <v>0.13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6.8999999999999999E-3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 t="b">
            <v>0</v>
          </cell>
        </row>
        <row r="5657">
          <cell r="A5657" t="str">
            <v>Data split-5;Reg-61</v>
          </cell>
          <cell r="B5657">
            <v>-3.8</v>
          </cell>
          <cell r="C5657">
            <v>0</v>
          </cell>
          <cell r="D5657">
            <v>3.1</v>
          </cell>
          <cell r="E5657">
            <v>-6.6</v>
          </cell>
          <cell r="F5657">
            <v>0</v>
          </cell>
          <cell r="G5657">
            <v>0</v>
          </cell>
          <cell r="H5657">
            <v>7</v>
          </cell>
          <cell r="I5657">
            <v>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-7.8E-2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 t="b">
            <v>0</v>
          </cell>
        </row>
        <row r="5658">
          <cell r="A5658" t="str">
            <v>Data split-5;Reg-62</v>
          </cell>
          <cell r="B5658">
            <v>-4.0999999999999996</v>
          </cell>
          <cell r="C5658">
            <v>0</v>
          </cell>
          <cell r="D5658">
            <v>3.1</v>
          </cell>
          <cell r="E5658">
            <v>-6.9</v>
          </cell>
          <cell r="F5658">
            <v>0</v>
          </cell>
          <cell r="G5658">
            <v>0</v>
          </cell>
          <cell r="H5658">
            <v>7.4</v>
          </cell>
          <cell r="I5658">
            <v>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-1.7000000000000001E-2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 t="b">
            <v>0</v>
          </cell>
        </row>
        <row r="5659">
          <cell r="A5659" t="str">
            <v>Data split-5;Reg-63</v>
          </cell>
          <cell r="B5659">
            <v>-5.5</v>
          </cell>
          <cell r="C5659">
            <v>0</v>
          </cell>
          <cell r="D5659">
            <v>3.1</v>
          </cell>
          <cell r="E5659">
            <v>0</v>
          </cell>
          <cell r="F5659">
            <v>-8.1000000000000003E-2</v>
          </cell>
          <cell r="G5659">
            <v>-0.71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-4.2999999999999997E-2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 t="b">
            <v>0</v>
          </cell>
        </row>
        <row r="5660">
          <cell r="A5660" t="str">
            <v>Data split-5;Reg-64</v>
          </cell>
          <cell r="B5660">
            <v>-5.6</v>
          </cell>
          <cell r="C5660">
            <v>0</v>
          </cell>
          <cell r="D5660">
            <v>3.2</v>
          </cell>
          <cell r="E5660">
            <v>0</v>
          </cell>
          <cell r="F5660">
            <v>-0.38</v>
          </cell>
          <cell r="G5660">
            <v>-0.95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-4.4000000000000002E-4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 t="b">
            <v>0</v>
          </cell>
        </row>
        <row r="5661">
          <cell r="A5661" t="str">
            <v>Data split-5;Reg-65</v>
          </cell>
          <cell r="B5661">
            <v>-5.8</v>
          </cell>
          <cell r="C5661">
            <v>0</v>
          </cell>
          <cell r="D5661">
            <v>3</v>
          </cell>
          <cell r="E5661">
            <v>0</v>
          </cell>
          <cell r="F5661">
            <v>3.9E-2</v>
          </cell>
          <cell r="G5661">
            <v>0</v>
          </cell>
          <cell r="H5661">
            <v>-0.77</v>
          </cell>
          <cell r="I5661">
            <v>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-0.06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 t="b">
            <v>0</v>
          </cell>
        </row>
        <row r="5662">
          <cell r="A5662" t="str">
            <v>Data split-5;Reg-66</v>
          </cell>
          <cell r="B5662">
            <v>-5.8</v>
          </cell>
          <cell r="C5662">
            <v>0</v>
          </cell>
          <cell r="D5662">
            <v>3.2</v>
          </cell>
          <cell r="E5662">
            <v>0</v>
          </cell>
          <cell r="F5662">
            <v>-0.21</v>
          </cell>
          <cell r="G5662">
            <v>0</v>
          </cell>
          <cell r="H5662">
            <v>-1.2</v>
          </cell>
          <cell r="I5662">
            <v>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-4.0000000000000001E-3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 t="b">
            <v>0</v>
          </cell>
        </row>
        <row r="5663">
          <cell r="A5663" t="str">
            <v>Data split-5;Reg-67</v>
          </cell>
          <cell r="B5663">
            <v>-5.5</v>
          </cell>
          <cell r="C5663">
            <v>3</v>
          </cell>
          <cell r="D5663">
            <v>0</v>
          </cell>
          <cell r="E5663">
            <v>0</v>
          </cell>
          <cell r="F5663">
            <v>0</v>
          </cell>
          <cell r="G5663">
            <v>-1.1000000000000001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 t="b">
            <v>0</v>
          </cell>
        </row>
        <row r="5664">
          <cell r="A5664" t="str">
            <v>Data split-5;Reg-68</v>
          </cell>
          <cell r="B5664">
            <v>-5.6</v>
          </cell>
          <cell r="C5664">
            <v>3.2</v>
          </cell>
          <cell r="D5664">
            <v>0</v>
          </cell>
          <cell r="E5664">
            <v>0</v>
          </cell>
          <cell r="F5664">
            <v>-0.42</v>
          </cell>
          <cell r="G5664">
            <v>-0.96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 t="b">
            <v>0</v>
          </cell>
        </row>
        <row r="5665">
          <cell r="A5665" t="str">
            <v>Data split-5;Reg-69</v>
          </cell>
          <cell r="B5665">
            <v>-4.7</v>
          </cell>
          <cell r="C5665">
            <v>3</v>
          </cell>
          <cell r="D5665">
            <v>0</v>
          </cell>
          <cell r="E5665">
            <v>0</v>
          </cell>
          <cell r="F5665">
            <v>0</v>
          </cell>
          <cell r="G5665">
            <v>-0.97</v>
          </cell>
          <cell r="H5665">
            <v>0</v>
          </cell>
          <cell r="I5665">
            <v>0</v>
          </cell>
          <cell r="J5665">
            <v>-8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 t="b">
            <v>0</v>
          </cell>
        </row>
        <row r="5666">
          <cell r="A5666" t="str">
            <v>Data split-5;Reg-70</v>
          </cell>
          <cell r="B5666">
            <v>-4.7</v>
          </cell>
          <cell r="C5666">
            <v>3</v>
          </cell>
          <cell r="D5666">
            <v>0</v>
          </cell>
          <cell r="E5666">
            <v>0</v>
          </cell>
          <cell r="F5666">
            <v>0</v>
          </cell>
          <cell r="G5666">
            <v>-0.62</v>
          </cell>
          <cell r="H5666">
            <v>0</v>
          </cell>
          <cell r="I5666">
            <v>0</v>
          </cell>
          <cell r="J5666">
            <v>-6.7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-4.7E-2</v>
          </cell>
          <cell r="T5666">
            <v>0</v>
          </cell>
          <cell r="U5666" t="b">
            <v>0</v>
          </cell>
        </row>
        <row r="5667">
          <cell r="A5667" t="str">
            <v>Data split-5;Reg-71</v>
          </cell>
          <cell r="B5667">
            <v>-5.8</v>
          </cell>
          <cell r="C5667">
            <v>3</v>
          </cell>
          <cell r="D5667">
            <v>0</v>
          </cell>
          <cell r="E5667">
            <v>0</v>
          </cell>
          <cell r="F5667">
            <v>-5.5E-2</v>
          </cell>
          <cell r="G5667">
            <v>0</v>
          </cell>
          <cell r="H5667">
            <v>-0.77</v>
          </cell>
          <cell r="I5667">
            <v>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-5.7000000000000002E-2</v>
          </cell>
          <cell r="T5667">
            <v>0</v>
          </cell>
          <cell r="U5667" t="b">
            <v>0</v>
          </cell>
        </row>
        <row r="5668">
          <cell r="A5668" t="str">
            <v>Data split-5;Reg-72</v>
          </cell>
          <cell r="B5668">
            <v>-3.9</v>
          </cell>
          <cell r="C5668">
            <v>3.3</v>
          </cell>
          <cell r="D5668">
            <v>0</v>
          </cell>
          <cell r="E5668">
            <v>-2.1</v>
          </cell>
          <cell r="F5668">
            <v>0</v>
          </cell>
          <cell r="G5668">
            <v>0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 t="b">
            <v>0</v>
          </cell>
        </row>
        <row r="5669">
          <cell r="A5669" t="str">
            <v>Data split-5;Reg-73</v>
          </cell>
          <cell r="B5669">
            <v>-7.9</v>
          </cell>
          <cell r="C5669">
            <v>3.1</v>
          </cell>
          <cell r="D5669">
            <v>0</v>
          </cell>
          <cell r="E5669">
            <v>0</v>
          </cell>
          <cell r="F5669">
            <v>-0.95</v>
          </cell>
          <cell r="G5669">
            <v>0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 t="b">
            <v>0</v>
          </cell>
        </row>
        <row r="5670">
          <cell r="A5670" t="str">
            <v>Data split-5;Reg-74</v>
          </cell>
          <cell r="B5670">
            <v>-3.9</v>
          </cell>
          <cell r="C5670">
            <v>0</v>
          </cell>
          <cell r="D5670">
            <v>3.3</v>
          </cell>
          <cell r="E5670">
            <v>-2.1</v>
          </cell>
          <cell r="F5670">
            <v>0</v>
          </cell>
          <cell r="G5670">
            <v>0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 t="b">
            <v>0</v>
          </cell>
        </row>
        <row r="5671">
          <cell r="A5671" t="str">
            <v>Data split-5;Reg-75</v>
          </cell>
          <cell r="B5671">
            <v>-7.8</v>
          </cell>
          <cell r="C5671">
            <v>0</v>
          </cell>
          <cell r="D5671">
            <v>3.1</v>
          </cell>
          <cell r="E5671">
            <v>0</v>
          </cell>
          <cell r="F5671">
            <v>-0.92</v>
          </cell>
          <cell r="G5671">
            <v>0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 t="b">
            <v>0</v>
          </cell>
        </row>
        <row r="5672">
          <cell r="A5672" t="str">
            <v>Data split-5;Reg-76</v>
          </cell>
          <cell r="B5672">
            <v>-5.5</v>
          </cell>
          <cell r="C5672">
            <v>3</v>
          </cell>
          <cell r="D5672">
            <v>0</v>
          </cell>
          <cell r="E5672">
            <v>0</v>
          </cell>
          <cell r="F5672">
            <v>0</v>
          </cell>
          <cell r="G5672">
            <v>-1.1000000000000001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 t="b">
            <v>0</v>
          </cell>
        </row>
        <row r="5673">
          <cell r="A5673" t="str">
            <v>Data split-5;Reg-77</v>
          </cell>
          <cell r="B5673">
            <v>-5.5</v>
          </cell>
          <cell r="C5673">
            <v>3.1</v>
          </cell>
          <cell r="D5673">
            <v>0</v>
          </cell>
          <cell r="E5673">
            <v>0</v>
          </cell>
          <cell r="F5673">
            <v>0</v>
          </cell>
          <cell r="G5673">
            <v>0</v>
          </cell>
          <cell r="H5673">
            <v>-1.7</v>
          </cell>
          <cell r="I5673">
            <v>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 t="b">
            <v>0</v>
          </cell>
        </row>
        <row r="5674">
          <cell r="A5674" t="str">
            <v>Data split-5;Reg-78</v>
          </cell>
          <cell r="B5674">
            <v>-5.5</v>
          </cell>
          <cell r="C5674">
            <v>0</v>
          </cell>
          <cell r="D5674">
            <v>3</v>
          </cell>
          <cell r="E5674">
            <v>0</v>
          </cell>
          <cell r="F5674">
            <v>0</v>
          </cell>
          <cell r="G5674">
            <v>-1.1000000000000001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 t="b">
            <v>0</v>
          </cell>
        </row>
        <row r="5675">
          <cell r="A5675" t="str">
            <v>Data split-5;Reg-79</v>
          </cell>
          <cell r="B5675">
            <v>-5.5</v>
          </cell>
          <cell r="C5675">
            <v>0</v>
          </cell>
          <cell r="D5675">
            <v>3.1</v>
          </cell>
          <cell r="E5675">
            <v>0</v>
          </cell>
          <cell r="F5675">
            <v>0</v>
          </cell>
          <cell r="G5675">
            <v>0</v>
          </cell>
          <cell r="H5675">
            <v>-1.7</v>
          </cell>
          <cell r="I5675">
            <v>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 t="b">
            <v>0</v>
          </cell>
        </row>
        <row r="5676">
          <cell r="A5676" t="str">
            <v>Data split-5;Reg-80</v>
          </cell>
          <cell r="B5676">
            <v>-5.6</v>
          </cell>
          <cell r="C5676">
            <v>2.9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  <cell r="H5676">
            <v>0</v>
          </cell>
          <cell r="I5676">
            <v>-3.3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 t="b">
            <v>1</v>
          </cell>
        </row>
        <row r="5677">
          <cell r="A5677" t="str">
            <v>Data split-5;Reg-81</v>
          </cell>
          <cell r="B5677">
            <v>-4.5999999999999996</v>
          </cell>
          <cell r="C5677">
            <v>2.7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-26.2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 t="b">
            <v>1</v>
          </cell>
        </row>
        <row r="5678">
          <cell r="A5678" t="str">
            <v>Data split-5;Reg-82</v>
          </cell>
          <cell r="B5678">
            <v>-5.5</v>
          </cell>
          <cell r="C5678">
            <v>0</v>
          </cell>
          <cell r="D5678">
            <v>2.9</v>
          </cell>
          <cell r="E5678">
            <v>0</v>
          </cell>
          <cell r="F5678">
            <v>0</v>
          </cell>
          <cell r="G5678">
            <v>0</v>
          </cell>
          <cell r="H5678">
            <v>0</v>
          </cell>
          <cell r="I5678">
            <v>-3.3</v>
          </cell>
          <cell r="J5678">
            <v>0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 t="b">
            <v>1</v>
          </cell>
        </row>
        <row r="5679">
          <cell r="A5679" t="str">
            <v>Data split-5;Reg-83</v>
          </cell>
          <cell r="B5679">
            <v>-4.5999999999999996</v>
          </cell>
          <cell r="C5679">
            <v>0</v>
          </cell>
          <cell r="D5679">
            <v>2.7</v>
          </cell>
          <cell r="E5679">
            <v>0</v>
          </cell>
          <cell r="F5679">
            <v>0</v>
          </cell>
          <cell r="G5679">
            <v>0</v>
          </cell>
          <cell r="H5679">
            <v>0</v>
          </cell>
          <cell r="I5679">
            <v>0</v>
          </cell>
          <cell r="J5679">
            <v>-25.9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 t="b">
            <v>1</v>
          </cell>
        </row>
        <row r="5680">
          <cell r="A5680" t="str">
            <v>Data split-5;Reg-84</v>
          </cell>
          <cell r="B5680">
            <v>-7</v>
          </cell>
          <cell r="C5680">
            <v>2.9</v>
          </cell>
          <cell r="D5680">
            <v>0</v>
          </cell>
          <cell r="E5680">
            <v>0</v>
          </cell>
          <cell r="F5680">
            <v>0</v>
          </cell>
          <cell r="G5680">
            <v>0</v>
          </cell>
          <cell r="H5680">
            <v>0</v>
          </cell>
          <cell r="I5680">
            <v>0</v>
          </cell>
          <cell r="J5680">
            <v>0</v>
          </cell>
          <cell r="K5680">
            <v>-2.5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 t="b">
            <v>1</v>
          </cell>
        </row>
        <row r="5681">
          <cell r="A5681" t="str">
            <v>Data split-5;Reg-85</v>
          </cell>
          <cell r="B5681">
            <v>-6.7</v>
          </cell>
          <cell r="C5681">
            <v>2.8</v>
          </cell>
          <cell r="D5681">
            <v>0</v>
          </cell>
          <cell r="E5681">
            <v>0</v>
          </cell>
          <cell r="F5681">
            <v>0</v>
          </cell>
          <cell r="G5681">
            <v>0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-14.6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 t="b">
            <v>1</v>
          </cell>
        </row>
        <row r="5682">
          <cell r="A5682" t="str">
            <v>Data split-5;Reg-86</v>
          </cell>
          <cell r="B5682">
            <v>-7</v>
          </cell>
          <cell r="C5682">
            <v>0</v>
          </cell>
          <cell r="D5682">
            <v>2.9</v>
          </cell>
          <cell r="E5682">
            <v>0</v>
          </cell>
          <cell r="F5682">
            <v>0</v>
          </cell>
          <cell r="G5682">
            <v>0</v>
          </cell>
          <cell r="H5682">
            <v>0</v>
          </cell>
          <cell r="I5682">
            <v>0</v>
          </cell>
          <cell r="J5682">
            <v>0</v>
          </cell>
          <cell r="K5682">
            <v>-2.5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 t="b">
            <v>1</v>
          </cell>
        </row>
        <row r="5683">
          <cell r="A5683" t="str">
            <v>Data split-5;Reg-87</v>
          </cell>
          <cell r="B5683">
            <v>-6.7</v>
          </cell>
          <cell r="C5683">
            <v>0</v>
          </cell>
          <cell r="D5683">
            <v>2.8</v>
          </cell>
          <cell r="E5683">
            <v>0</v>
          </cell>
          <cell r="F5683">
            <v>0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-14.7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 t="b">
            <v>1</v>
          </cell>
        </row>
        <row r="5684">
          <cell r="A5684" t="str">
            <v>Data split-5;Reg-88</v>
          </cell>
          <cell r="B5684">
            <v>-6.8</v>
          </cell>
          <cell r="C5684">
            <v>2.9</v>
          </cell>
          <cell r="D5684">
            <v>0</v>
          </cell>
          <cell r="E5684">
            <v>0</v>
          </cell>
          <cell r="F5684">
            <v>0</v>
          </cell>
          <cell r="G5684">
            <v>0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>
            <v>0</v>
          </cell>
          <cell r="M5684">
            <v>-0.08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 t="b">
            <v>1</v>
          </cell>
        </row>
        <row r="5685">
          <cell r="A5685" t="str">
            <v>Data split-5;Reg-89</v>
          </cell>
          <cell r="B5685">
            <v>-7.1</v>
          </cell>
          <cell r="C5685">
            <v>2.9</v>
          </cell>
          <cell r="D5685">
            <v>0</v>
          </cell>
          <cell r="E5685">
            <v>0</v>
          </cell>
          <cell r="F5685">
            <v>0</v>
          </cell>
          <cell r="G5685">
            <v>0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-1.6E-2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 t="b">
            <v>1</v>
          </cell>
        </row>
        <row r="5686">
          <cell r="A5686" t="str">
            <v>Data split-5;Reg-90</v>
          </cell>
          <cell r="B5686">
            <v>-6.8</v>
          </cell>
          <cell r="C5686">
            <v>0</v>
          </cell>
          <cell r="D5686">
            <v>2.9</v>
          </cell>
          <cell r="E5686">
            <v>0</v>
          </cell>
          <cell r="F5686">
            <v>0</v>
          </cell>
          <cell r="G5686">
            <v>0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0</v>
          </cell>
          <cell r="M5686">
            <v>-8.1000000000000003E-2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 t="b">
            <v>1</v>
          </cell>
        </row>
        <row r="5687">
          <cell r="A5687" t="str">
            <v>Data split-5;Reg-91</v>
          </cell>
          <cell r="B5687">
            <v>-7.1</v>
          </cell>
          <cell r="C5687">
            <v>0</v>
          </cell>
          <cell r="D5687">
            <v>2.9</v>
          </cell>
          <cell r="E5687">
            <v>0</v>
          </cell>
          <cell r="F5687">
            <v>0</v>
          </cell>
          <cell r="G5687">
            <v>0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-1.6E-2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 t="b">
            <v>1</v>
          </cell>
        </row>
        <row r="5688">
          <cell r="A5688" t="str">
            <v>Data split-5;Reg-92</v>
          </cell>
          <cell r="B5688">
            <v>-6.4</v>
          </cell>
          <cell r="C5688">
            <v>2.9</v>
          </cell>
          <cell r="D5688">
            <v>0</v>
          </cell>
          <cell r="E5688">
            <v>0</v>
          </cell>
          <cell r="F5688">
            <v>0</v>
          </cell>
          <cell r="G5688">
            <v>0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-0.09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 t="b">
            <v>1</v>
          </cell>
        </row>
        <row r="5689">
          <cell r="A5689" t="str">
            <v>Data split-5;Reg-93</v>
          </cell>
          <cell r="B5689">
            <v>-6.8</v>
          </cell>
          <cell r="C5689">
            <v>2.9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-1.7000000000000001E-2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 t="b">
            <v>1</v>
          </cell>
        </row>
        <row r="5690">
          <cell r="A5690" t="str">
            <v>Data split-5;Reg-94</v>
          </cell>
          <cell r="B5690">
            <v>-6.4</v>
          </cell>
          <cell r="C5690">
            <v>0</v>
          </cell>
          <cell r="D5690">
            <v>2.9</v>
          </cell>
          <cell r="E5690">
            <v>0</v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-0.09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 t="b">
            <v>1</v>
          </cell>
        </row>
        <row r="5691">
          <cell r="A5691" t="str">
            <v>Data split-5;Reg-95</v>
          </cell>
          <cell r="B5691">
            <v>-6.8</v>
          </cell>
          <cell r="C5691">
            <v>0</v>
          </cell>
          <cell r="D5691">
            <v>2.9</v>
          </cell>
          <cell r="E5691">
            <v>0</v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-1.7000000000000001E-2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 t="b">
            <v>1</v>
          </cell>
        </row>
        <row r="5692">
          <cell r="A5692" t="str">
            <v>Data split-5;Reg-96</v>
          </cell>
          <cell r="B5692">
            <v>-3.8</v>
          </cell>
          <cell r="C5692">
            <v>3.3</v>
          </cell>
          <cell r="D5692">
            <v>0</v>
          </cell>
          <cell r="E5692">
            <v>-1.9</v>
          </cell>
          <cell r="F5692">
            <v>0</v>
          </cell>
          <cell r="G5692">
            <v>0</v>
          </cell>
          <cell r="H5692">
            <v>0</v>
          </cell>
          <cell r="I5692">
            <v>-0.56999999999999995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 t="b">
            <v>0</v>
          </cell>
        </row>
        <row r="5693">
          <cell r="A5693" t="str">
            <v>Data split-5;Reg-97</v>
          </cell>
          <cell r="B5693">
            <v>-4.9000000000000004</v>
          </cell>
          <cell r="C5693">
            <v>3.3</v>
          </cell>
          <cell r="D5693">
            <v>0</v>
          </cell>
          <cell r="E5693">
            <v>-2.4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11.4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 t="b">
            <v>0</v>
          </cell>
        </row>
        <row r="5694">
          <cell r="A5694" t="str">
            <v>Data split-5;Reg-98</v>
          </cell>
          <cell r="B5694">
            <v>-5.7</v>
          </cell>
          <cell r="C5694">
            <v>3.1</v>
          </cell>
          <cell r="D5694">
            <v>0</v>
          </cell>
          <cell r="E5694">
            <v>0</v>
          </cell>
          <cell r="F5694">
            <v>-0.36</v>
          </cell>
          <cell r="G5694">
            <v>0</v>
          </cell>
          <cell r="H5694">
            <v>0</v>
          </cell>
          <cell r="I5694">
            <v>-2.9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 t="b">
            <v>0</v>
          </cell>
        </row>
        <row r="5695">
          <cell r="A5695" t="str">
            <v>Data split-5;Reg-99</v>
          </cell>
          <cell r="B5695">
            <v>-4.9000000000000004</v>
          </cell>
          <cell r="C5695">
            <v>3.1</v>
          </cell>
          <cell r="D5695">
            <v>0</v>
          </cell>
          <cell r="E5695">
            <v>0</v>
          </cell>
          <cell r="F5695">
            <v>-0.74</v>
          </cell>
          <cell r="G5695">
            <v>0</v>
          </cell>
          <cell r="H5695">
            <v>0</v>
          </cell>
          <cell r="I5695">
            <v>0</v>
          </cell>
          <cell r="J5695">
            <v>-20.9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 t="b">
            <v>0</v>
          </cell>
        </row>
        <row r="5696">
          <cell r="A5696" t="str">
            <v>Data split-5;Reg-100</v>
          </cell>
          <cell r="B5696">
            <v>-3.8</v>
          </cell>
          <cell r="C5696">
            <v>0</v>
          </cell>
          <cell r="D5696">
            <v>3.3</v>
          </cell>
          <cell r="E5696">
            <v>-1.9</v>
          </cell>
          <cell r="F5696">
            <v>0</v>
          </cell>
          <cell r="G5696">
            <v>0</v>
          </cell>
          <cell r="H5696">
            <v>0</v>
          </cell>
          <cell r="I5696">
            <v>-0.55000000000000004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 t="b">
            <v>0</v>
          </cell>
        </row>
        <row r="5697">
          <cell r="A5697" t="str">
            <v>Data split-5;Reg-101</v>
          </cell>
          <cell r="B5697">
            <v>-4.9000000000000004</v>
          </cell>
          <cell r="C5697">
            <v>0</v>
          </cell>
          <cell r="D5697">
            <v>3.3</v>
          </cell>
          <cell r="E5697">
            <v>-2.4</v>
          </cell>
          <cell r="F5697">
            <v>0</v>
          </cell>
          <cell r="G5697">
            <v>0</v>
          </cell>
          <cell r="H5697">
            <v>0</v>
          </cell>
          <cell r="I5697">
            <v>0</v>
          </cell>
          <cell r="J5697">
            <v>11.7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 t="b">
            <v>0</v>
          </cell>
        </row>
        <row r="5698">
          <cell r="A5698" t="str">
            <v>Data split-5;Reg-102</v>
          </cell>
          <cell r="B5698">
            <v>-5.6</v>
          </cell>
          <cell r="C5698">
            <v>0</v>
          </cell>
          <cell r="D5698">
            <v>3</v>
          </cell>
          <cell r="E5698">
            <v>0</v>
          </cell>
          <cell r="F5698">
            <v>-0.33</v>
          </cell>
          <cell r="G5698">
            <v>0</v>
          </cell>
          <cell r="H5698">
            <v>0</v>
          </cell>
          <cell r="I5698">
            <v>-2.9</v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 t="b">
            <v>0</v>
          </cell>
        </row>
        <row r="5699">
          <cell r="A5699" t="str">
            <v>Data split-5;Reg-103</v>
          </cell>
          <cell r="B5699">
            <v>-4.9000000000000004</v>
          </cell>
          <cell r="C5699">
            <v>0</v>
          </cell>
          <cell r="D5699">
            <v>3.1</v>
          </cell>
          <cell r="E5699">
            <v>0</v>
          </cell>
          <cell r="F5699">
            <v>-0.71</v>
          </cell>
          <cell r="G5699">
            <v>0</v>
          </cell>
          <cell r="H5699">
            <v>0</v>
          </cell>
          <cell r="I5699">
            <v>0</v>
          </cell>
          <cell r="J5699">
            <v>-20.7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 t="b">
            <v>0</v>
          </cell>
        </row>
        <row r="5700">
          <cell r="A5700" t="str">
            <v>Data split-5;Reg-104</v>
          </cell>
          <cell r="B5700">
            <v>-4.3</v>
          </cell>
          <cell r="C5700">
            <v>3.3</v>
          </cell>
          <cell r="D5700">
            <v>0</v>
          </cell>
          <cell r="E5700">
            <v>-1.6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-1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 t="b">
            <v>0</v>
          </cell>
        </row>
        <row r="5701">
          <cell r="A5701" t="str">
            <v>Data split-5;Reg-105</v>
          </cell>
          <cell r="B5701">
            <v>-3.6</v>
          </cell>
          <cell r="C5701">
            <v>3.3</v>
          </cell>
          <cell r="D5701">
            <v>0</v>
          </cell>
          <cell r="E5701">
            <v>-1.8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-7.3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 t="b">
            <v>0</v>
          </cell>
        </row>
        <row r="5702">
          <cell r="A5702" t="str">
            <v>Data split-5;Reg-106</v>
          </cell>
          <cell r="B5702">
            <v>-6.8</v>
          </cell>
          <cell r="C5702">
            <v>3.2</v>
          </cell>
          <cell r="D5702">
            <v>0</v>
          </cell>
          <cell r="E5702">
            <v>0</v>
          </cell>
          <cell r="F5702">
            <v>-0.56000000000000005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-2.2999999999999998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 t="b">
            <v>0</v>
          </cell>
        </row>
        <row r="5703">
          <cell r="A5703" t="str">
            <v>Data split-5;Reg-107</v>
          </cell>
          <cell r="B5703">
            <v>-6.1</v>
          </cell>
          <cell r="C5703">
            <v>3.3</v>
          </cell>
          <cell r="D5703">
            <v>0</v>
          </cell>
          <cell r="E5703">
            <v>0</v>
          </cell>
          <cell r="F5703">
            <v>-0.98</v>
          </cell>
          <cell r="G5703">
            <v>0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-14.9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 t="b">
            <v>0</v>
          </cell>
        </row>
        <row r="5704">
          <cell r="A5704" t="str">
            <v>Data split-5;Reg-108</v>
          </cell>
          <cell r="B5704">
            <v>-4.3</v>
          </cell>
          <cell r="C5704">
            <v>0</v>
          </cell>
          <cell r="D5704">
            <v>3.3</v>
          </cell>
          <cell r="E5704">
            <v>-1.6</v>
          </cell>
          <cell r="F5704">
            <v>0</v>
          </cell>
          <cell r="G5704">
            <v>0</v>
          </cell>
          <cell r="H5704">
            <v>0</v>
          </cell>
          <cell r="I5704">
            <v>0</v>
          </cell>
          <cell r="J5704">
            <v>0</v>
          </cell>
          <cell r="K5704">
            <v>-1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 t="b">
            <v>0</v>
          </cell>
        </row>
        <row r="5705">
          <cell r="A5705" t="str">
            <v>Data split-5;Reg-109</v>
          </cell>
          <cell r="B5705">
            <v>-3.5</v>
          </cell>
          <cell r="C5705">
            <v>0</v>
          </cell>
          <cell r="D5705">
            <v>3.3</v>
          </cell>
          <cell r="E5705">
            <v>-1.8</v>
          </cell>
          <cell r="F5705">
            <v>0</v>
          </cell>
          <cell r="G5705">
            <v>0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>
            <v>-7.5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 t="b">
            <v>0</v>
          </cell>
        </row>
        <row r="5706">
          <cell r="A5706" t="str">
            <v>Data split-5;Reg-110</v>
          </cell>
          <cell r="B5706">
            <v>-6.8</v>
          </cell>
          <cell r="C5706">
            <v>0</v>
          </cell>
          <cell r="D5706">
            <v>3.2</v>
          </cell>
          <cell r="E5706">
            <v>0</v>
          </cell>
          <cell r="F5706">
            <v>-0.53</v>
          </cell>
          <cell r="G5706">
            <v>0</v>
          </cell>
          <cell r="H5706">
            <v>0</v>
          </cell>
          <cell r="I5706">
            <v>0</v>
          </cell>
          <cell r="J5706">
            <v>0</v>
          </cell>
          <cell r="K5706">
            <v>-2.2999999999999998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 t="b">
            <v>0</v>
          </cell>
        </row>
        <row r="5707">
          <cell r="A5707" t="str">
            <v>Data split-5;Reg-111</v>
          </cell>
          <cell r="B5707">
            <v>-6</v>
          </cell>
          <cell r="C5707">
            <v>0</v>
          </cell>
          <cell r="D5707">
            <v>3.3</v>
          </cell>
          <cell r="E5707">
            <v>0</v>
          </cell>
          <cell r="F5707">
            <v>-0.95</v>
          </cell>
          <cell r="G5707">
            <v>0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-15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 t="b">
            <v>0</v>
          </cell>
        </row>
        <row r="5708">
          <cell r="A5708" t="str">
            <v>Data split-5;Reg-112</v>
          </cell>
          <cell r="B5708">
            <v>-4.9000000000000004</v>
          </cell>
          <cell r="C5708">
            <v>3.1</v>
          </cell>
          <cell r="D5708">
            <v>0</v>
          </cell>
          <cell r="E5708">
            <v>0</v>
          </cell>
          <cell r="F5708">
            <v>0</v>
          </cell>
          <cell r="G5708">
            <v>-0.68</v>
          </cell>
          <cell r="H5708">
            <v>0</v>
          </cell>
          <cell r="I5708">
            <v>-2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 t="b">
            <v>0</v>
          </cell>
        </row>
        <row r="5709">
          <cell r="A5709" t="str">
            <v>Data split-5;Reg-113</v>
          </cell>
          <cell r="B5709">
            <v>-4.7</v>
          </cell>
          <cell r="C5709">
            <v>3</v>
          </cell>
          <cell r="D5709">
            <v>0</v>
          </cell>
          <cell r="E5709">
            <v>0</v>
          </cell>
          <cell r="F5709">
            <v>0</v>
          </cell>
          <cell r="G5709">
            <v>-0.97</v>
          </cell>
          <cell r="H5709">
            <v>0</v>
          </cell>
          <cell r="I5709">
            <v>0</v>
          </cell>
          <cell r="J5709">
            <v>-8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 t="b">
            <v>0</v>
          </cell>
        </row>
        <row r="5710">
          <cell r="A5710" t="str">
            <v>Data split-5;Reg-114</v>
          </cell>
          <cell r="B5710">
            <v>-4.9000000000000004</v>
          </cell>
          <cell r="C5710">
            <v>3.1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H5710">
            <v>-0.93</v>
          </cell>
          <cell r="I5710">
            <v>-2.2000000000000002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 t="b">
            <v>0</v>
          </cell>
        </row>
        <row r="5711">
          <cell r="A5711" t="str">
            <v>Data split-5;Reg-115</v>
          </cell>
          <cell r="B5711">
            <v>-4.8</v>
          </cell>
          <cell r="C5711">
            <v>3.1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H5711">
            <v>-1.5</v>
          </cell>
          <cell r="I5711">
            <v>0</v>
          </cell>
          <cell r="J5711">
            <v>-7.7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 t="b">
            <v>0</v>
          </cell>
        </row>
        <row r="5712">
          <cell r="A5712" t="str">
            <v>Data split-5;Reg-116</v>
          </cell>
          <cell r="B5712">
            <v>-4.8</v>
          </cell>
          <cell r="C5712">
            <v>0</v>
          </cell>
          <cell r="D5712">
            <v>3.1</v>
          </cell>
          <cell r="E5712">
            <v>0</v>
          </cell>
          <cell r="F5712">
            <v>0</v>
          </cell>
          <cell r="G5712">
            <v>-0.69</v>
          </cell>
          <cell r="H5712">
            <v>0</v>
          </cell>
          <cell r="I5712">
            <v>-1.9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 t="b">
            <v>0</v>
          </cell>
        </row>
        <row r="5713">
          <cell r="A5713" t="str">
            <v>Data split-5;Reg-117</v>
          </cell>
          <cell r="B5713">
            <v>-4.7</v>
          </cell>
          <cell r="C5713">
            <v>0</v>
          </cell>
          <cell r="D5713">
            <v>3</v>
          </cell>
          <cell r="E5713">
            <v>0</v>
          </cell>
          <cell r="F5713">
            <v>0</v>
          </cell>
          <cell r="G5713">
            <v>-0.98</v>
          </cell>
          <cell r="H5713">
            <v>0</v>
          </cell>
          <cell r="I5713">
            <v>0</v>
          </cell>
          <cell r="J5713">
            <v>-7.5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 t="b">
            <v>0</v>
          </cell>
        </row>
        <row r="5714">
          <cell r="A5714" t="str">
            <v>Data split-5;Reg-118</v>
          </cell>
          <cell r="B5714">
            <v>-4.9000000000000004</v>
          </cell>
          <cell r="C5714">
            <v>0</v>
          </cell>
          <cell r="D5714">
            <v>3.1</v>
          </cell>
          <cell r="E5714">
            <v>0</v>
          </cell>
          <cell r="F5714">
            <v>0</v>
          </cell>
          <cell r="G5714">
            <v>0</v>
          </cell>
          <cell r="H5714">
            <v>-0.94</v>
          </cell>
          <cell r="I5714">
            <v>-2.2000000000000002</v>
          </cell>
          <cell r="J5714">
            <v>0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 t="b">
            <v>0</v>
          </cell>
        </row>
        <row r="5715">
          <cell r="A5715" t="str">
            <v>Data split-5;Reg-119</v>
          </cell>
          <cell r="B5715">
            <v>-4.8</v>
          </cell>
          <cell r="C5715">
            <v>0</v>
          </cell>
          <cell r="D5715">
            <v>3.1</v>
          </cell>
          <cell r="E5715">
            <v>0</v>
          </cell>
          <cell r="F5715">
            <v>0</v>
          </cell>
          <cell r="G5715">
            <v>0</v>
          </cell>
          <cell r="H5715">
            <v>-1.5</v>
          </cell>
          <cell r="I5715">
            <v>0</v>
          </cell>
          <cell r="J5715">
            <v>-7.3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 t="b">
            <v>0</v>
          </cell>
        </row>
        <row r="5716">
          <cell r="A5716" t="str">
            <v>Data split-5;Reg-120</v>
          </cell>
          <cell r="B5716">
            <v>-5.3</v>
          </cell>
          <cell r="C5716">
            <v>3.2</v>
          </cell>
          <cell r="D5716">
            <v>0</v>
          </cell>
          <cell r="E5716">
            <v>0</v>
          </cell>
          <cell r="F5716">
            <v>0</v>
          </cell>
          <cell r="G5716">
            <v>-0.76</v>
          </cell>
          <cell r="H5716">
            <v>0</v>
          </cell>
          <cell r="I5716">
            <v>0</v>
          </cell>
          <cell r="J5716">
            <v>0</v>
          </cell>
          <cell r="K5716">
            <v>-1.9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 t="b">
            <v>0</v>
          </cell>
        </row>
        <row r="5717">
          <cell r="A5717" t="str">
            <v>Data split-5;Reg-121</v>
          </cell>
          <cell r="B5717">
            <v>-4</v>
          </cell>
          <cell r="C5717">
            <v>3.2</v>
          </cell>
          <cell r="D5717">
            <v>0</v>
          </cell>
          <cell r="E5717">
            <v>0</v>
          </cell>
          <cell r="F5717">
            <v>0</v>
          </cell>
          <cell r="G5717">
            <v>-1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-13.7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 t="b">
            <v>0</v>
          </cell>
        </row>
        <row r="5718">
          <cell r="A5718" t="str">
            <v>Data split-5;Reg-122</v>
          </cell>
          <cell r="B5718">
            <v>-5.6</v>
          </cell>
          <cell r="C5718">
            <v>3.2</v>
          </cell>
          <cell r="D5718">
            <v>0</v>
          </cell>
          <cell r="E5718">
            <v>0</v>
          </cell>
          <cell r="F5718">
            <v>0</v>
          </cell>
          <cell r="G5718">
            <v>0</v>
          </cell>
          <cell r="H5718">
            <v>-1</v>
          </cell>
          <cell r="I5718">
            <v>0</v>
          </cell>
          <cell r="J5718">
            <v>0</v>
          </cell>
          <cell r="K5718">
            <v>-1.9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 t="b">
            <v>0</v>
          </cell>
        </row>
        <row r="5719">
          <cell r="A5719" t="str">
            <v>Data split-5;Reg-123</v>
          </cell>
          <cell r="B5719">
            <v>-4.4000000000000004</v>
          </cell>
          <cell r="C5719">
            <v>3.2</v>
          </cell>
          <cell r="D5719">
            <v>0</v>
          </cell>
          <cell r="E5719">
            <v>0</v>
          </cell>
          <cell r="F5719">
            <v>0</v>
          </cell>
          <cell r="G5719">
            <v>0</v>
          </cell>
          <cell r="H5719">
            <v>-1.5</v>
          </cell>
          <cell r="I5719">
            <v>0</v>
          </cell>
          <cell r="J5719">
            <v>0</v>
          </cell>
          <cell r="K5719">
            <v>0</v>
          </cell>
          <cell r="L5719">
            <v>-12.2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 t="b">
            <v>0</v>
          </cell>
        </row>
        <row r="5720">
          <cell r="A5720" t="str">
            <v>Data split-5;Reg-124</v>
          </cell>
          <cell r="B5720">
            <v>-5.3</v>
          </cell>
          <cell r="C5720">
            <v>0</v>
          </cell>
          <cell r="D5720">
            <v>3.2</v>
          </cell>
          <cell r="E5720">
            <v>0</v>
          </cell>
          <cell r="F5720">
            <v>0</v>
          </cell>
          <cell r="G5720">
            <v>-0.76</v>
          </cell>
          <cell r="H5720">
            <v>0</v>
          </cell>
          <cell r="I5720">
            <v>0</v>
          </cell>
          <cell r="J5720">
            <v>0</v>
          </cell>
          <cell r="K5720">
            <v>-1.9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 t="b">
            <v>0</v>
          </cell>
        </row>
        <row r="5721">
          <cell r="A5721" t="str">
            <v>Data split-5;Reg-125</v>
          </cell>
          <cell r="B5721">
            <v>-3.9</v>
          </cell>
          <cell r="C5721">
            <v>0</v>
          </cell>
          <cell r="D5721">
            <v>3.2</v>
          </cell>
          <cell r="E5721">
            <v>0</v>
          </cell>
          <cell r="F5721">
            <v>0</v>
          </cell>
          <cell r="G5721">
            <v>-1.1000000000000001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>
            <v>-13.8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 t="b">
            <v>0</v>
          </cell>
        </row>
        <row r="5722">
          <cell r="A5722" t="str">
            <v>Data split-5;Reg-126</v>
          </cell>
          <cell r="B5722">
            <v>-5.6</v>
          </cell>
          <cell r="C5722">
            <v>0</v>
          </cell>
          <cell r="D5722">
            <v>3.2</v>
          </cell>
          <cell r="E5722">
            <v>0</v>
          </cell>
          <cell r="F5722">
            <v>0</v>
          </cell>
          <cell r="G5722">
            <v>0</v>
          </cell>
          <cell r="H5722">
            <v>-1</v>
          </cell>
          <cell r="I5722">
            <v>0</v>
          </cell>
          <cell r="J5722">
            <v>0</v>
          </cell>
          <cell r="K5722">
            <v>-2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 t="b">
            <v>0</v>
          </cell>
        </row>
        <row r="5723">
          <cell r="A5723" t="str">
            <v>Data split-5;Reg-127</v>
          </cell>
          <cell r="B5723">
            <v>-4.4000000000000004</v>
          </cell>
          <cell r="C5723">
            <v>0</v>
          </cell>
          <cell r="D5723">
            <v>3.2</v>
          </cell>
          <cell r="E5723">
            <v>0</v>
          </cell>
          <cell r="F5723">
            <v>0</v>
          </cell>
          <cell r="G5723">
            <v>0</v>
          </cell>
          <cell r="H5723">
            <v>-1.5</v>
          </cell>
          <cell r="I5723">
            <v>0</v>
          </cell>
          <cell r="J5723">
            <v>0</v>
          </cell>
          <cell r="K5723">
            <v>0</v>
          </cell>
          <cell r="L5723">
            <v>-12.4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 t="b">
            <v>0</v>
          </cell>
        </row>
        <row r="5724">
          <cell r="A5724" t="str">
            <v>Data split-6;Reg-1</v>
          </cell>
          <cell r="B5724">
            <v>-3.8</v>
          </cell>
          <cell r="C5724">
            <v>2.7</v>
          </cell>
          <cell r="D5724">
            <v>0</v>
          </cell>
          <cell r="E5724">
            <v>0</v>
          </cell>
          <cell r="F5724">
            <v>0.19</v>
          </cell>
          <cell r="G5724">
            <v>0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>
            <v>-10.5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 t="b">
            <v>1</v>
          </cell>
        </row>
        <row r="5725">
          <cell r="A5725" t="str">
            <v>Data split-6;Reg-2</v>
          </cell>
          <cell r="B5725">
            <v>-3.5</v>
          </cell>
          <cell r="C5725">
            <v>2.8</v>
          </cell>
          <cell r="D5725">
            <v>0</v>
          </cell>
          <cell r="E5725">
            <v>0</v>
          </cell>
          <cell r="F5725">
            <v>0.2</v>
          </cell>
          <cell r="G5725">
            <v>-0.93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0</v>
          </cell>
          <cell r="M5725">
            <v>4.2000000000000003E-2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 t="b">
            <v>0</v>
          </cell>
        </row>
        <row r="5726">
          <cell r="A5726" t="str">
            <v>Data split-6;Reg-3</v>
          </cell>
          <cell r="B5726">
            <v>-4.0999999999999996</v>
          </cell>
          <cell r="C5726">
            <v>2.7</v>
          </cell>
          <cell r="D5726">
            <v>0</v>
          </cell>
          <cell r="E5726">
            <v>0</v>
          </cell>
          <cell r="F5726">
            <v>0.21</v>
          </cell>
          <cell r="G5726">
            <v>-9.4E-2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>
            <v>0</v>
          </cell>
          <cell r="M5726">
            <v>0</v>
          </cell>
          <cell r="N5726">
            <v>-8.6999999999999994E-3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 t="b">
            <v>0</v>
          </cell>
        </row>
        <row r="5727">
          <cell r="A5727" t="str">
            <v>Data split-6;Reg-4</v>
          </cell>
          <cell r="B5727">
            <v>-2.2000000000000002</v>
          </cell>
          <cell r="C5727">
            <v>3.2</v>
          </cell>
          <cell r="D5727">
            <v>0</v>
          </cell>
          <cell r="E5727">
            <v>0</v>
          </cell>
          <cell r="F5727">
            <v>0.25</v>
          </cell>
          <cell r="G5727">
            <v>0</v>
          </cell>
          <cell r="H5727">
            <v>-4.0999999999999996</v>
          </cell>
          <cell r="I5727">
            <v>0</v>
          </cell>
          <cell r="J5727">
            <v>0</v>
          </cell>
          <cell r="K5727">
            <v>0</v>
          </cell>
          <cell r="L5727">
            <v>0</v>
          </cell>
          <cell r="M5727">
            <v>0.18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 t="b">
            <v>0</v>
          </cell>
        </row>
        <row r="5728">
          <cell r="A5728" t="str">
            <v>Data split-6;Reg-5</v>
          </cell>
          <cell r="B5728">
            <v>-2.8</v>
          </cell>
          <cell r="C5728">
            <v>0</v>
          </cell>
          <cell r="D5728">
            <v>3.3</v>
          </cell>
          <cell r="E5728">
            <v>0</v>
          </cell>
          <cell r="F5728">
            <v>0.25</v>
          </cell>
          <cell r="G5728">
            <v>0</v>
          </cell>
          <cell r="H5728">
            <v>-4.4000000000000004</v>
          </cell>
          <cell r="I5728">
            <v>0</v>
          </cell>
          <cell r="J5728">
            <v>0</v>
          </cell>
          <cell r="K5728">
            <v>0</v>
          </cell>
          <cell r="L5728">
            <v>0</v>
          </cell>
          <cell r="M5728">
            <v>0.18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 t="b">
            <v>0</v>
          </cell>
        </row>
        <row r="5729">
          <cell r="A5729" t="str">
            <v>Data split-6;Reg-6</v>
          </cell>
          <cell r="B5729">
            <v>-2.6</v>
          </cell>
          <cell r="C5729">
            <v>3.2</v>
          </cell>
          <cell r="D5729">
            <v>0</v>
          </cell>
          <cell r="E5729">
            <v>-1.8</v>
          </cell>
          <cell r="F5729">
            <v>0</v>
          </cell>
          <cell r="G5729">
            <v>0</v>
          </cell>
          <cell r="H5729">
            <v>0</v>
          </cell>
          <cell r="I5729">
            <v>0</v>
          </cell>
          <cell r="J5729">
            <v>0</v>
          </cell>
          <cell r="K5729">
            <v>0</v>
          </cell>
          <cell r="L5729">
            <v>-5.8</v>
          </cell>
          <cell r="M5729">
            <v>9.1999999999999998E-2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 t="b">
            <v>0</v>
          </cell>
        </row>
        <row r="5730">
          <cell r="A5730" t="str">
            <v>Data split-6;Reg-7</v>
          </cell>
          <cell r="B5730">
            <v>-2.5</v>
          </cell>
          <cell r="C5730">
            <v>2.8</v>
          </cell>
          <cell r="D5730">
            <v>0</v>
          </cell>
          <cell r="E5730">
            <v>0</v>
          </cell>
          <cell r="F5730">
            <v>0.2</v>
          </cell>
          <cell r="G5730">
            <v>0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-10.1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-4.9000000000000002E-2</v>
          </cell>
          <cell r="T5730">
            <v>0</v>
          </cell>
          <cell r="U5730" t="b">
            <v>1</v>
          </cell>
        </row>
        <row r="5731">
          <cell r="A5731" t="str">
            <v>Data split-6;Reg-8</v>
          </cell>
          <cell r="B5731">
            <v>-1.8</v>
          </cell>
          <cell r="C5731">
            <v>3</v>
          </cell>
          <cell r="D5731">
            <v>0</v>
          </cell>
          <cell r="E5731">
            <v>0</v>
          </cell>
          <cell r="F5731">
            <v>0</v>
          </cell>
          <cell r="G5731">
            <v>-0.33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-11.3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-0.02</v>
          </cell>
          <cell r="T5731">
            <v>0</v>
          </cell>
          <cell r="U5731" t="b">
            <v>0</v>
          </cell>
        </row>
        <row r="5732">
          <cell r="A5732" t="str">
            <v>Data split-6;Reg-9</v>
          </cell>
          <cell r="B5732">
            <v>-1.9</v>
          </cell>
          <cell r="C5732">
            <v>0</v>
          </cell>
          <cell r="D5732">
            <v>3.3</v>
          </cell>
          <cell r="E5732">
            <v>0</v>
          </cell>
          <cell r="F5732">
            <v>0</v>
          </cell>
          <cell r="G5732">
            <v>0</v>
          </cell>
          <cell r="H5732">
            <v>-1.7</v>
          </cell>
          <cell r="I5732">
            <v>0</v>
          </cell>
          <cell r="J5732">
            <v>0</v>
          </cell>
          <cell r="K5732">
            <v>0</v>
          </cell>
          <cell r="L5732">
            <v>-12.3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4.1000000000000002E-2</v>
          </cell>
          <cell r="T5732">
            <v>0</v>
          </cell>
          <cell r="U5732" t="b">
            <v>0</v>
          </cell>
        </row>
        <row r="5733">
          <cell r="A5733" t="str">
            <v>Data split-6;Reg-10</v>
          </cell>
          <cell r="B5733">
            <v>-1.9</v>
          </cell>
          <cell r="C5733">
            <v>0</v>
          </cell>
          <cell r="D5733">
            <v>3.3</v>
          </cell>
          <cell r="E5733">
            <v>0</v>
          </cell>
          <cell r="F5733">
            <v>0</v>
          </cell>
          <cell r="G5733">
            <v>0</v>
          </cell>
          <cell r="H5733">
            <v>-1.7</v>
          </cell>
          <cell r="I5733">
            <v>0</v>
          </cell>
          <cell r="J5733">
            <v>0</v>
          </cell>
          <cell r="K5733">
            <v>0</v>
          </cell>
          <cell r="L5733">
            <v>-12.3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4.1000000000000002E-2</v>
          </cell>
          <cell r="T5733">
            <v>0</v>
          </cell>
          <cell r="U5733" t="b">
            <v>0</v>
          </cell>
        </row>
        <row r="5734">
          <cell r="A5734" t="str">
            <v>Data split-6;Reg-11</v>
          </cell>
          <cell r="B5734">
            <v>-4.4000000000000004</v>
          </cell>
          <cell r="C5734">
            <v>3</v>
          </cell>
          <cell r="D5734">
            <v>0</v>
          </cell>
          <cell r="E5734">
            <v>-2.2000000000000002</v>
          </cell>
          <cell r="F5734">
            <v>0</v>
          </cell>
          <cell r="G5734">
            <v>1.3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 t="b">
            <v>0</v>
          </cell>
        </row>
        <row r="5735">
          <cell r="A5735" t="str">
            <v>Data split-6;Reg-12</v>
          </cell>
          <cell r="B5735">
            <v>-3.7</v>
          </cell>
          <cell r="C5735">
            <v>3</v>
          </cell>
          <cell r="D5735">
            <v>0</v>
          </cell>
          <cell r="E5735">
            <v>-2.2999999999999998</v>
          </cell>
          <cell r="F5735">
            <v>0</v>
          </cell>
          <cell r="G5735">
            <v>0</v>
          </cell>
          <cell r="H5735">
            <v>2</v>
          </cell>
          <cell r="I5735">
            <v>0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 t="b">
            <v>0</v>
          </cell>
        </row>
        <row r="5736">
          <cell r="A5736" t="str">
            <v>Data split-6;Reg-13</v>
          </cell>
          <cell r="B5736">
            <v>-3.7</v>
          </cell>
          <cell r="C5736">
            <v>2.7</v>
          </cell>
          <cell r="D5736">
            <v>0</v>
          </cell>
          <cell r="E5736">
            <v>0</v>
          </cell>
          <cell r="F5736">
            <v>0.2</v>
          </cell>
          <cell r="G5736">
            <v>-0.52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 t="b">
            <v>0</v>
          </cell>
        </row>
        <row r="5737">
          <cell r="A5737" t="str">
            <v>Data split-6;Reg-14</v>
          </cell>
          <cell r="B5737">
            <v>-2.9</v>
          </cell>
          <cell r="C5737">
            <v>2.9</v>
          </cell>
          <cell r="D5737">
            <v>0</v>
          </cell>
          <cell r="E5737">
            <v>0</v>
          </cell>
          <cell r="F5737">
            <v>0.23</v>
          </cell>
          <cell r="G5737">
            <v>0</v>
          </cell>
          <cell r="H5737">
            <v>-1.3</v>
          </cell>
          <cell r="I5737">
            <v>0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 t="b">
            <v>0</v>
          </cell>
        </row>
        <row r="5738">
          <cell r="A5738" t="str">
            <v>Data split-6;Reg-15</v>
          </cell>
          <cell r="B5738">
            <v>-3.3</v>
          </cell>
          <cell r="C5738">
            <v>3.1</v>
          </cell>
          <cell r="D5738">
            <v>0</v>
          </cell>
          <cell r="E5738">
            <v>-2</v>
          </cell>
          <cell r="F5738">
            <v>0</v>
          </cell>
          <cell r="G5738">
            <v>0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>
            <v>0</v>
          </cell>
          <cell r="M5738">
            <v>0.1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 t="b">
            <v>0</v>
          </cell>
        </row>
        <row r="5739">
          <cell r="A5739" t="str">
            <v>Data split-6;Reg-16</v>
          </cell>
          <cell r="B5739">
            <v>-2.9</v>
          </cell>
          <cell r="C5739">
            <v>3.1</v>
          </cell>
          <cell r="D5739">
            <v>0</v>
          </cell>
          <cell r="E5739">
            <v>-1.7</v>
          </cell>
          <cell r="F5739">
            <v>0</v>
          </cell>
          <cell r="G5739">
            <v>0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1.2999999999999999E-2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 t="b">
            <v>0</v>
          </cell>
        </row>
        <row r="5740">
          <cell r="A5740" t="str">
            <v>Data split-6;Reg-17</v>
          </cell>
          <cell r="B5740">
            <v>-5</v>
          </cell>
          <cell r="C5740">
            <v>2.6</v>
          </cell>
          <cell r="D5740">
            <v>0</v>
          </cell>
          <cell r="E5740">
            <v>0</v>
          </cell>
          <cell r="F5740">
            <v>0.21</v>
          </cell>
          <cell r="G5740">
            <v>0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0</v>
          </cell>
          <cell r="M5740">
            <v>-2.1000000000000001E-2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 t="b">
            <v>1</v>
          </cell>
        </row>
        <row r="5741">
          <cell r="A5741" t="str">
            <v>Data split-6;Reg-18</v>
          </cell>
          <cell r="B5741">
            <v>-4.3</v>
          </cell>
          <cell r="C5741">
            <v>2.7</v>
          </cell>
          <cell r="D5741">
            <v>0</v>
          </cell>
          <cell r="E5741">
            <v>0</v>
          </cell>
          <cell r="F5741">
            <v>0.21</v>
          </cell>
          <cell r="G5741">
            <v>0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-0.01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 t="b">
            <v>1</v>
          </cell>
        </row>
        <row r="5742">
          <cell r="A5742" t="str">
            <v>Data split-6;Reg-19</v>
          </cell>
          <cell r="B5742">
            <v>-3.8</v>
          </cell>
          <cell r="C5742">
            <v>3</v>
          </cell>
          <cell r="D5742">
            <v>0</v>
          </cell>
          <cell r="E5742">
            <v>0</v>
          </cell>
          <cell r="F5742">
            <v>0</v>
          </cell>
          <cell r="G5742">
            <v>-1.9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0.17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 t="b">
            <v>0</v>
          </cell>
        </row>
        <row r="5743">
          <cell r="A5743" t="str">
            <v>Data split-6;Reg-20</v>
          </cell>
          <cell r="B5743">
            <v>-3.2</v>
          </cell>
          <cell r="C5743">
            <v>2.9</v>
          </cell>
          <cell r="D5743">
            <v>0</v>
          </cell>
          <cell r="E5743">
            <v>0</v>
          </cell>
          <cell r="F5743">
            <v>0</v>
          </cell>
          <cell r="G5743">
            <v>-1.4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0.02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 t="b">
            <v>0</v>
          </cell>
        </row>
        <row r="5744">
          <cell r="A5744" t="str">
            <v>Data split-6;Reg-21</v>
          </cell>
          <cell r="B5744">
            <v>-4.3</v>
          </cell>
          <cell r="C5744">
            <v>3.2</v>
          </cell>
          <cell r="D5744">
            <v>0</v>
          </cell>
          <cell r="E5744">
            <v>0</v>
          </cell>
          <cell r="F5744">
            <v>0</v>
          </cell>
          <cell r="G5744">
            <v>0</v>
          </cell>
          <cell r="H5744">
            <v>-2.9</v>
          </cell>
          <cell r="I5744">
            <v>0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0.16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 t="b">
            <v>0</v>
          </cell>
        </row>
        <row r="5745">
          <cell r="A5745" t="str">
            <v>Data split-6;Reg-22</v>
          </cell>
          <cell r="B5745">
            <v>-3.5</v>
          </cell>
          <cell r="C5745">
            <v>3.1</v>
          </cell>
          <cell r="D5745">
            <v>0</v>
          </cell>
          <cell r="E5745">
            <v>0</v>
          </cell>
          <cell r="F5745">
            <v>0</v>
          </cell>
          <cell r="G5745">
            <v>0</v>
          </cell>
          <cell r="H5745">
            <v>-2.2999999999999998</v>
          </cell>
          <cell r="I5745">
            <v>0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0.02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 t="b">
            <v>0</v>
          </cell>
        </row>
        <row r="5746">
          <cell r="A5746" t="str">
            <v>Data split-6;Reg-23</v>
          </cell>
          <cell r="B5746">
            <v>-4.9000000000000004</v>
          </cell>
          <cell r="C5746">
            <v>0</v>
          </cell>
          <cell r="D5746">
            <v>3.1</v>
          </cell>
          <cell r="E5746">
            <v>-2.2999999999999998</v>
          </cell>
          <cell r="F5746">
            <v>0</v>
          </cell>
          <cell r="G5746">
            <v>1.3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 t="b">
            <v>0</v>
          </cell>
        </row>
        <row r="5747">
          <cell r="A5747" t="str">
            <v>Data split-6;Reg-24</v>
          </cell>
          <cell r="B5747">
            <v>-4.2</v>
          </cell>
          <cell r="C5747">
            <v>0</v>
          </cell>
          <cell r="D5747">
            <v>3.1</v>
          </cell>
          <cell r="E5747">
            <v>-2.6</v>
          </cell>
          <cell r="F5747">
            <v>0</v>
          </cell>
          <cell r="G5747">
            <v>0</v>
          </cell>
          <cell r="H5747">
            <v>2.2000000000000002</v>
          </cell>
          <cell r="I5747">
            <v>0</v>
          </cell>
          <cell r="J5747">
            <v>0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 t="b">
            <v>0</v>
          </cell>
        </row>
        <row r="5748">
          <cell r="A5748" t="str">
            <v>Data split-6;Reg-25</v>
          </cell>
          <cell r="B5748">
            <v>-4.0999999999999996</v>
          </cell>
          <cell r="C5748">
            <v>0</v>
          </cell>
          <cell r="D5748">
            <v>2.8</v>
          </cell>
          <cell r="E5748">
            <v>0</v>
          </cell>
          <cell r="F5748">
            <v>0.2</v>
          </cell>
          <cell r="G5748">
            <v>-0.64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 t="b">
            <v>0</v>
          </cell>
        </row>
        <row r="5749">
          <cell r="A5749" t="str">
            <v>Data split-6;Reg-26</v>
          </cell>
          <cell r="B5749">
            <v>-3.4</v>
          </cell>
          <cell r="C5749">
            <v>0</v>
          </cell>
          <cell r="D5749">
            <v>3</v>
          </cell>
          <cell r="E5749">
            <v>0</v>
          </cell>
          <cell r="F5749">
            <v>0.23</v>
          </cell>
          <cell r="G5749">
            <v>0</v>
          </cell>
          <cell r="H5749">
            <v>-1.5</v>
          </cell>
          <cell r="I5749">
            <v>0</v>
          </cell>
          <cell r="J5749">
            <v>0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 t="b">
            <v>0</v>
          </cell>
        </row>
        <row r="5750">
          <cell r="A5750" t="str">
            <v>Data split-6;Reg-27</v>
          </cell>
          <cell r="B5750">
            <v>-3.9</v>
          </cell>
          <cell r="C5750">
            <v>0</v>
          </cell>
          <cell r="D5750">
            <v>3.2</v>
          </cell>
          <cell r="E5750">
            <v>-2.2000000000000002</v>
          </cell>
          <cell r="F5750">
            <v>0</v>
          </cell>
          <cell r="G5750">
            <v>0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0</v>
          </cell>
          <cell r="M5750">
            <v>0.11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 t="b">
            <v>0</v>
          </cell>
        </row>
        <row r="5751">
          <cell r="A5751" t="str">
            <v>Data split-6;Reg-28</v>
          </cell>
          <cell r="B5751">
            <v>-3.4</v>
          </cell>
          <cell r="C5751">
            <v>0</v>
          </cell>
          <cell r="D5751">
            <v>3.2</v>
          </cell>
          <cell r="E5751">
            <v>-1.9</v>
          </cell>
          <cell r="F5751">
            <v>0</v>
          </cell>
          <cell r="G5751">
            <v>0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1.4999999999999999E-2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 t="b">
            <v>0</v>
          </cell>
        </row>
        <row r="5752">
          <cell r="A5752" t="str">
            <v>Data split-6;Reg-29</v>
          </cell>
          <cell r="B5752">
            <v>-5.6</v>
          </cell>
          <cell r="C5752">
            <v>0</v>
          </cell>
          <cell r="D5752">
            <v>2.6</v>
          </cell>
          <cell r="E5752">
            <v>0</v>
          </cell>
          <cell r="F5752">
            <v>0.2</v>
          </cell>
          <cell r="G5752">
            <v>0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0</v>
          </cell>
          <cell r="M5752">
            <v>-2.5999999999999999E-2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 t="b">
            <v>1</v>
          </cell>
        </row>
        <row r="5753">
          <cell r="A5753" t="str">
            <v>Data split-6;Reg-30</v>
          </cell>
          <cell r="B5753">
            <v>-4.9000000000000004</v>
          </cell>
          <cell r="C5753">
            <v>0</v>
          </cell>
          <cell r="D5753">
            <v>2.8</v>
          </cell>
          <cell r="E5753">
            <v>0</v>
          </cell>
          <cell r="F5753">
            <v>0.21</v>
          </cell>
          <cell r="G5753">
            <v>0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-1.0999999999999999E-2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 t="b">
            <v>1</v>
          </cell>
        </row>
        <row r="5754">
          <cell r="A5754" t="str">
            <v>Data split-6;Reg-31</v>
          </cell>
          <cell r="B5754">
            <v>-4.2</v>
          </cell>
          <cell r="C5754">
            <v>0</v>
          </cell>
          <cell r="D5754">
            <v>3.2</v>
          </cell>
          <cell r="E5754">
            <v>0</v>
          </cell>
          <cell r="F5754">
            <v>0</v>
          </cell>
          <cell r="G5754">
            <v>-2.2000000000000002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0.19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 t="b">
            <v>0</v>
          </cell>
        </row>
        <row r="5755">
          <cell r="A5755" t="str">
            <v>Data split-6;Reg-32</v>
          </cell>
          <cell r="B5755">
            <v>-3.6</v>
          </cell>
          <cell r="C5755">
            <v>0</v>
          </cell>
          <cell r="D5755">
            <v>3</v>
          </cell>
          <cell r="E5755">
            <v>0</v>
          </cell>
          <cell r="F5755">
            <v>0</v>
          </cell>
          <cell r="G5755">
            <v>-1.7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2.3E-2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 t="b">
            <v>0</v>
          </cell>
        </row>
        <row r="5756">
          <cell r="A5756" t="str">
            <v>Data split-6;Reg-33</v>
          </cell>
          <cell r="B5756">
            <v>-4.9000000000000004</v>
          </cell>
          <cell r="C5756">
            <v>0</v>
          </cell>
          <cell r="D5756">
            <v>3.3</v>
          </cell>
          <cell r="E5756">
            <v>0</v>
          </cell>
          <cell r="F5756">
            <v>0</v>
          </cell>
          <cell r="G5756">
            <v>0</v>
          </cell>
          <cell r="H5756">
            <v>-3.1</v>
          </cell>
          <cell r="I5756">
            <v>0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0.16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 t="b">
            <v>0</v>
          </cell>
        </row>
        <row r="5757">
          <cell r="A5757" t="str">
            <v>Data split-6;Reg-34</v>
          </cell>
          <cell r="B5757">
            <v>-4</v>
          </cell>
          <cell r="C5757">
            <v>0</v>
          </cell>
          <cell r="D5757">
            <v>3.2</v>
          </cell>
          <cell r="E5757">
            <v>0</v>
          </cell>
          <cell r="F5757">
            <v>0</v>
          </cell>
          <cell r="G5757">
            <v>0</v>
          </cell>
          <cell r="H5757">
            <v>-2.6</v>
          </cell>
          <cell r="I5757">
            <v>0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2.1000000000000001E-2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 t="b">
            <v>0</v>
          </cell>
        </row>
        <row r="5758">
          <cell r="A5758" t="str">
            <v>Data split-6;Reg-35</v>
          </cell>
          <cell r="B5758">
            <v>-4</v>
          </cell>
          <cell r="C5758">
            <v>3.1</v>
          </cell>
          <cell r="D5758">
            <v>0</v>
          </cell>
          <cell r="E5758">
            <v>-2.2999999999999998</v>
          </cell>
          <cell r="F5758">
            <v>0</v>
          </cell>
          <cell r="G5758">
            <v>0.64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0</v>
          </cell>
          <cell r="M5758">
            <v>7.8E-2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 t="b">
            <v>0</v>
          </cell>
        </row>
        <row r="5759">
          <cell r="A5759" t="str">
            <v>Data split-6;Reg-36</v>
          </cell>
          <cell r="B5759">
            <v>-4.3</v>
          </cell>
          <cell r="C5759">
            <v>3</v>
          </cell>
          <cell r="D5759">
            <v>0</v>
          </cell>
          <cell r="E5759">
            <v>-2.2000000000000002</v>
          </cell>
          <cell r="F5759">
            <v>0</v>
          </cell>
          <cell r="G5759">
            <v>1.1000000000000001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3.8999999999999998E-3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 t="b">
            <v>0</v>
          </cell>
        </row>
        <row r="5760">
          <cell r="A5760" t="str">
            <v>Data split-6;Reg-37</v>
          </cell>
          <cell r="B5760">
            <v>-3.2</v>
          </cell>
          <cell r="C5760">
            <v>3.2</v>
          </cell>
          <cell r="D5760">
            <v>0</v>
          </cell>
          <cell r="E5760">
            <v>-1.7</v>
          </cell>
          <cell r="F5760">
            <v>0</v>
          </cell>
          <cell r="G5760">
            <v>0</v>
          </cell>
          <cell r="H5760">
            <v>-0.59</v>
          </cell>
          <cell r="I5760">
            <v>0</v>
          </cell>
          <cell r="J5760">
            <v>0</v>
          </cell>
          <cell r="K5760">
            <v>0</v>
          </cell>
          <cell r="L5760">
            <v>0</v>
          </cell>
          <cell r="M5760">
            <v>0.11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 t="b">
            <v>0</v>
          </cell>
        </row>
        <row r="5761">
          <cell r="A5761" t="str">
            <v>Data split-6;Reg-38</v>
          </cell>
          <cell r="B5761">
            <v>-3.5</v>
          </cell>
          <cell r="C5761">
            <v>3</v>
          </cell>
          <cell r="D5761">
            <v>0</v>
          </cell>
          <cell r="E5761">
            <v>-2.2000000000000002</v>
          </cell>
          <cell r="F5761">
            <v>0</v>
          </cell>
          <cell r="G5761">
            <v>0</v>
          </cell>
          <cell r="H5761">
            <v>1.5</v>
          </cell>
          <cell r="I5761">
            <v>0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4.1999999999999997E-3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 t="b">
            <v>0</v>
          </cell>
        </row>
        <row r="5762">
          <cell r="A5762" t="str">
            <v>Data split-6;Reg-39</v>
          </cell>
          <cell r="B5762">
            <v>-3.5</v>
          </cell>
          <cell r="C5762">
            <v>2.8</v>
          </cell>
          <cell r="D5762">
            <v>0</v>
          </cell>
          <cell r="E5762">
            <v>0</v>
          </cell>
          <cell r="F5762">
            <v>0.2</v>
          </cell>
          <cell r="G5762">
            <v>-0.93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>
            <v>0</v>
          </cell>
          <cell r="M5762">
            <v>4.2000000000000003E-2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 t="b">
            <v>0</v>
          </cell>
        </row>
        <row r="5763">
          <cell r="A5763" t="str">
            <v>Data split-6;Reg-40</v>
          </cell>
          <cell r="B5763">
            <v>-4.0999999999999996</v>
          </cell>
          <cell r="C5763">
            <v>2.7</v>
          </cell>
          <cell r="D5763">
            <v>0</v>
          </cell>
          <cell r="E5763">
            <v>0</v>
          </cell>
          <cell r="F5763">
            <v>0.21</v>
          </cell>
          <cell r="G5763">
            <v>-9.4E-2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-8.6999999999999994E-3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 t="b">
            <v>0</v>
          </cell>
        </row>
        <row r="5764">
          <cell r="A5764" t="str">
            <v>Data split-6;Reg-41</v>
          </cell>
          <cell r="B5764">
            <v>-2.2000000000000002</v>
          </cell>
          <cell r="C5764">
            <v>3.2</v>
          </cell>
          <cell r="D5764">
            <v>0</v>
          </cell>
          <cell r="E5764">
            <v>0</v>
          </cell>
          <cell r="F5764">
            <v>0.25</v>
          </cell>
          <cell r="G5764">
            <v>0</v>
          </cell>
          <cell r="H5764">
            <v>-4.0999999999999996</v>
          </cell>
          <cell r="I5764">
            <v>0</v>
          </cell>
          <cell r="J5764">
            <v>0</v>
          </cell>
          <cell r="K5764">
            <v>0</v>
          </cell>
          <cell r="L5764">
            <v>0</v>
          </cell>
          <cell r="M5764">
            <v>0.18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 t="b">
            <v>0</v>
          </cell>
        </row>
        <row r="5765">
          <cell r="A5765" t="str">
            <v>Data split-6;Reg-42</v>
          </cell>
          <cell r="B5765">
            <v>-2.1</v>
          </cell>
          <cell r="C5765">
            <v>3</v>
          </cell>
          <cell r="D5765">
            <v>0</v>
          </cell>
          <cell r="E5765">
            <v>0</v>
          </cell>
          <cell r="F5765">
            <v>0.24</v>
          </cell>
          <cell r="G5765">
            <v>0</v>
          </cell>
          <cell r="H5765">
            <v>-3.1</v>
          </cell>
          <cell r="I5765">
            <v>0</v>
          </cell>
          <cell r="J5765">
            <v>0</v>
          </cell>
          <cell r="K5765">
            <v>0</v>
          </cell>
          <cell r="L5765">
            <v>0</v>
          </cell>
          <cell r="M5765">
            <v>0</v>
          </cell>
          <cell r="N5765">
            <v>2.1999999999999999E-2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 t="b">
            <v>0</v>
          </cell>
        </row>
        <row r="5766">
          <cell r="A5766" t="str">
            <v>Data split-6;Reg-43</v>
          </cell>
          <cell r="B5766">
            <v>-4.4000000000000004</v>
          </cell>
          <cell r="C5766">
            <v>3.1</v>
          </cell>
          <cell r="D5766">
            <v>0</v>
          </cell>
          <cell r="E5766">
            <v>-1.9</v>
          </cell>
          <cell r="F5766">
            <v>0</v>
          </cell>
          <cell r="G5766">
            <v>-8.5000000000000006E-2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0.14000000000000001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 t="b">
            <v>0</v>
          </cell>
        </row>
        <row r="5767">
          <cell r="A5767" t="str">
            <v>Data split-6;Reg-44</v>
          </cell>
          <cell r="B5767">
            <v>-4</v>
          </cell>
          <cell r="C5767">
            <v>3.1</v>
          </cell>
          <cell r="D5767">
            <v>0</v>
          </cell>
          <cell r="E5767">
            <v>-2.1</v>
          </cell>
          <cell r="F5767">
            <v>0</v>
          </cell>
          <cell r="G5767">
            <v>0.54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1.4E-2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 t="b">
            <v>0</v>
          </cell>
        </row>
        <row r="5768">
          <cell r="A5768" t="str">
            <v>Data split-6;Reg-45</v>
          </cell>
          <cell r="B5768">
            <v>-4.4000000000000004</v>
          </cell>
          <cell r="C5768">
            <v>3.1</v>
          </cell>
          <cell r="D5768">
            <v>0</v>
          </cell>
          <cell r="E5768">
            <v>-1.9</v>
          </cell>
          <cell r="F5768">
            <v>0</v>
          </cell>
          <cell r="G5768">
            <v>0</v>
          </cell>
          <cell r="H5768">
            <v>-0.15</v>
          </cell>
          <cell r="I5768">
            <v>0</v>
          </cell>
          <cell r="J5768">
            <v>0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0.13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 t="b">
            <v>0</v>
          </cell>
        </row>
        <row r="5769">
          <cell r="A5769" t="str">
            <v>Data split-6;Reg-46</v>
          </cell>
          <cell r="B5769">
            <v>-3.7</v>
          </cell>
          <cell r="C5769">
            <v>3</v>
          </cell>
          <cell r="D5769">
            <v>0</v>
          </cell>
          <cell r="E5769">
            <v>-2.1</v>
          </cell>
          <cell r="F5769">
            <v>0</v>
          </cell>
          <cell r="G5769">
            <v>0</v>
          </cell>
          <cell r="H5769">
            <v>0.61</v>
          </cell>
          <cell r="I5769">
            <v>0</v>
          </cell>
          <cell r="J5769">
            <v>0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1.7000000000000001E-2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 t="b">
            <v>0</v>
          </cell>
        </row>
        <row r="5770">
          <cell r="A5770" t="str">
            <v>Data split-6;Reg-47</v>
          </cell>
          <cell r="B5770">
            <v>-3.8</v>
          </cell>
          <cell r="C5770">
            <v>2.9</v>
          </cell>
          <cell r="D5770">
            <v>0</v>
          </cell>
          <cell r="E5770">
            <v>0</v>
          </cell>
          <cell r="F5770">
            <v>0.17</v>
          </cell>
          <cell r="G5770">
            <v>-1.7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0.14000000000000001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 t="b">
            <v>0</v>
          </cell>
        </row>
        <row r="5771">
          <cell r="A5771" t="str">
            <v>Data split-6;Reg-48</v>
          </cell>
          <cell r="B5771">
            <v>-3.4</v>
          </cell>
          <cell r="C5771">
            <v>2.8</v>
          </cell>
          <cell r="D5771">
            <v>0</v>
          </cell>
          <cell r="E5771">
            <v>0</v>
          </cell>
          <cell r="F5771">
            <v>0.19</v>
          </cell>
          <cell r="G5771">
            <v>-1.1000000000000001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1.2E-2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 t="b">
            <v>0</v>
          </cell>
        </row>
        <row r="5772">
          <cell r="A5772" t="str">
            <v>Data split-6;Reg-49</v>
          </cell>
          <cell r="B5772">
            <v>-3.8</v>
          </cell>
          <cell r="C5772">
            <v>3.1</v>
          </cell>
          <cell r="D5772">
            <v>0</v>
          </cell>
          <cell r="E5772">
            <v>0</v>
          </cell>
          <cell r="F5772">
            <v>0.22</v>
          </cell>
          <cell r="G5772">
            <v>0</v>
          </cell>
          <cell r="H5772">
            <v>-3.1</v>
          </cell>
          <cell r="I5772">
            <v>0</v>
          </cell>
          <cell r="J5772">
            <v>0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0.15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 t="b">
            <v>0</v>
          </cell>
        </row>
        <row r="5773">
          <cell r="A5773" t="str">
            <v>Data split-6;Reg-50</v>
          </cell>
          <cell r="B5773">
            <v>-3</v>
          </cell>
          <cell r="C5773">
            <v>3</v>
          </cell>
          <cell r="D5773">
            <v>0</v>
          </cell>
          <cell r="E5773">
            <v>0</v>
          </cell>
          <cell r="F5773">
            <v>0.22</v>
          </cell>
          <cell r="G5773">
            <v>0</v>
          </cell>
          <cell r="H5773">
            <v>-2.5</v>
          </cell>
          <cell r="I5773">
            <v>0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1.7999999999999999E-2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 t="b">
            <v>0</v>
          </cell>
        </row>
        <row r="5774">
          <cell r="A5774" t="str">
            <v>Data split-6;Reg-51</v>
          </cell>
          <cell r="B5774">
            <v>-4.5</v>
          </cell>
          <cell r="C5774">
            <v>0</v>
          </cell>
          <cell r="D5774">
            <v>3.2</v>
          </cell>
          <cell r="E5774">
            <v>-2.5</v>
          </cell>
          <cell r="F5774">
            <v>0</v>
          </cell>
          <cell r="G5774">
            <v>0.53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8.7999999999999995E-2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 t="b">
            <v>0</v>
          </cell>
        </row>
        <row r="5775">
          <cell r="A5775" t="str">
            <v>Data split-6;Reg-52</v>
          </cell>
          <cell r="B5775">
            <v>-4.5999999999999996</v>
          </cell>
          <cell r="C5775">
            <v>0</v>
          </cell>
          <cell r="D5775">
            <v>3.1</v>
          </cell>
          <cell r="E5775">
            <v>-2.4</v>
          </cell>
          <cell r="F5775">
            <v>0</v>
          </cell>
          <cell r="G5775">
            <v>1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6.3E-3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 t="b">
            <v>0</v>
          </cell>
        </row>
        <row r="5776">
          <cell r="A5776" t="str">
            <v>Data split-6;Reg-53</v>
          </cell>
          <cell r="B5776">
            <v>-3.8</v>
          </cell>
          <cell r="C5776">
            <v>0</v>
          </cell>
          <cell r="D5776">
            <v>3.3</v>
          </cell>
          <cell r="E5776">
            <v>-2</v>
          </cell>
          <cell r="F5776">
            <v>0</v>
          </cell>
          <cell r="G5776">
            <v>0</v>
          </cell>
          <cell r="H5776">
            <v>-0.37</v>
          </cell>
          <cell r="I5776">
            <v>0</v>
          </cell>
          <cell r="J5776">
            <v>0</v>
          </cell>
          <cell r="K5776">
            <v>0</v>
          </cell>
          <cell r="L5776">
            <v>0</v>
          </cell>
          <cell r="M5776">
            <v>0.12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 t="b">
            <v>0</v>
          </cell>
        </row>
        <row r="5777">
          <cell r="A5777" t="str">
            <v>Data split-6;Reg-54</v>
          </cell>
          <cell r="B5777">
            <v>-4.0999999999999996</v>
          </cell>
          <cell r="C5777">
            <v>0</v>
          </cell>
          <cell r="D5777">
            <v>3.1</v>
          </cell>
          <cell r="E5777">
            <v>-2.5</v>
          </cell>
          <cell r="F5777">
            <v>0</v>
          </cell>
          <cell r="G5777">
            <v>0</v>
          </cell>
          <cell r="H5777">
            <v>1.7</v>
          </cell>
          <cell r="I5777">
            <v>0</v>
          </cell>
          <cell r="J5777">
            <v>0</v>
          </cell>
          <cell r="K5777">
            <v>0</v>
          </cell>
          <cell r="L5777">
            <v>0</v>
          </cell>
          <cell r="M5777">
            <v>0</v>
          </cell>
          <cell r="N5777">
            <v>4.7000000000000002E-3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 t="b">
            <v>0</v>
          </cell>
        </row>
        <row r="5778">
          <cell r="A5778" t="str">
            <v>Data split-6;Reg-55</v>
          </cell>
          <cell r="B5778">
            <v>-3.8</v>
          </cell>
          <cell r="C5778">
            <v>0</v>
          </cell>
          <cell r="D5778">
            <v>2.9</v>
          </cell>
          <cell r="E5778">
            <v>0</v>
          </cell>
          <cell r="F5778">
            <v>0.19</v>
          </cell>
          <cell r="G5778">
            <v>-1.1000000000000001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>
            <v>0</v>
          </cell>
          <cell r="M5778">
            <v>0.05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 t="b">
            <v>0</v>
          </cell>
        </row>
        <row r="5779">
          <cell r="A5779" t="str">
            <v>Data split-6;Reg-56</v>
          </cell>
          <cell r="B5779">
            <v>-4.4000000000000004</v>
          </cell>
          <cell r="C5779">
            <v>0</v>
          </cell>
          <cell r="D5779">
            <v>2.8</v>
          </cell>
          <cell r="E5779">
            <v>0</v>
          </cell>
          <cell r="F5779">
            <v>0.2</v>
          </cell>
          <cell r="G5779">
            <v>-0.31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-6.7000000000000002E-3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 t="b">
            <v>0</v>
          </cell>
        </row>
        <row r="5780">
          <cell r="A5780" t="str">
            <v>Data split-6;Reg-57</v>
          </cell>
          <cell r="B5780">
            <v>-2.8</v>
          </cell>
          <cell r="C5780">
            <v>0</v>
          </cell>
          <cell r="D5780">
            <v>3.3</v>
          </cell>
          <cell r="E5780">
            <v>0</v>
          </cell>
          <cell r="F5780">
            <v>0.25</v>
          </cell>
          <cell r="G5780">
            <v>0</v>
          </cell>
          <cell r="H5780">
            <v>-4.4000000000000004</v>
          </cell>
          <cell r="I5780">
            <v>0</v>
          </cell>
          <cell r="J5780">
            <v>0</v>
          </cell>
          <cell r="K5780">
            <v>0</v>
          </cell>
          <cell r="L5780">
            <v>0</v>
          </cell>
          <cell r="M5780">
            <v>0.18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 t="b">
            <v>0</v>
          </cell>
        </row>
        <row r="5781">
          <cell r="A5781" t="str">
            <v>Data split-6;Reg-58</v>
          </cell>
          <cell r="B5781">
            <v>-2.6</v>
          </cell>
          <cell r="C5781">
            <v>0</v>
          </cell>
          <cell r="D5781">
            <v>3.1</v>
          </cell>
          <cell r="E5781">
            <v>0</v>
          </cell>
          <cell r="F5781">
            <v>0.24</v>
          </cell>
          <cell r="G5781">
            <v>0</v>
          </cell>
          <cell r="H5781">
            <v>-3.3</v>
          </cell>
          <cell r="I5781">
            <v>0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2.3E-2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 t="b">
            <v>0</v>
          </cell>
        </row>
        <row r="5782">
          <cell r="A5782" t="str">
            <v>Data split-6;Reg-59</v>
          </cell>
          <cell r="B5782">
            <v>-4.9000000000000004</v>
          </cell>
          <cell r="C5782">
            <v>0</v>
          </cell>
          <cell r="D5782">
            <v>3.3</v>
          </cell>
          <cell r="E5782">
            <v>-2</v>
          </cell>
          <cell r="F5782">
            <v>0</v>
          </cell>
          <cell r="G5782">
            <v>-0.28000000000000003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0.15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 t="b">
            <v>0</v>
          </cell>
        </row>
        <row r="5783">
          <cell r="A5783" t="str">
            <v>Data split-6;Reg-60</v>
          </cell>
          <cell r="B5783">
            <v>-4.4000000000000004</v>
          </cell>
          <cell r="C5783">
            <v>0</v>
          </cell>
          <cell r="D5783">
            <v>3.2</v>
          </cell>
          <cell r="E5783">
            <v>-2.2000000000000002</v>
          </cell>
          <cell r="F5783">
            <v>0</v>
          </cell>
          <cell r="G5783">
            <v>0.34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1.7000000000000001E-2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 t="b">
            <v>0</v>
          </cell>
        </row>
        <row r="5784">
          <cell r="A5784" t="str">
            <v>Data split-6;Reg-61</v>
          </cell>
          <cell r="B5784">
            <v>-5</v>
          </cell>
          <cell r="C5784">
            <v>0</v>
          </cell>
          <cell r="D5784">
            <v>3.2</v>
          </cell>
          <cell r="E5784">
            <v>-2.2000000000000002</v>
          </cell>
          <cell r="F5784">
            <v>0</v>
          </cell>
          <cell r="G5784">
            <v>0</v>
          </cell>
          <cell r="H5784">
            <v>1.9E-2</v>
          </cell>
          <cell r="I5784">
            <v>0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0.14000000000000001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 t="b">
            <v>0</v>
          </cell>
        </row>
        <row r="5785">
          <cell r="A5785" t="str">
            <v>Data split-6;Reg-62</v>
          </cell>
          <cell r="B5785">
            <v>-4.3</v>
          </cell>
          <cell r="C5785">
            <v>0</v>
          </cell>
          <cell r="D5785">
            <v>3.1</v>
          </cell>
          <cell r="E5785">
            <v>-2.2999999999999998</v>
          </cell>
          <cell r="F5785">
            <v>0</v>
          </cell>
          <cell r="G5785">
            <v>0</v>
          </cell>
          <cell r="H5785">
            <v>0.75</v>
          </cell>
          <cell r="I5785">
            <v>0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1.7000000000000001E-2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 t="b">
            <v>0</v>
          </cell>
        </row>
        <row r="5786">
          <cell r="A5786" t="str">
            <v>Data split-6;Reg-63</v>
          </cell>
          <cell r="B5786">
            <v>-4.2</v>
          </cell>
          <cell r="C5786">
            <v>0</v>
          </cell>
          <cell r="D5786">
            <v>3</v>
          </cell>
          <cell r="E5786">
            <v>0</v>
          </cell>
          <cell r="F5786">
            <v>0.16</v>
          </cell>
          <cell r="G5786">
            <v>-2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0.16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 t="b">
            <v>0</v>
          </cell>
        </row>
        <row r="5787">
          <cell r="A5787" t="str">
            <v>Data split-6;Reg-64</v>
          </cell>
          <cell r="B5787">
            <v>-3.7</v>
          </cell>
          <cell r="C5787">
            <v>0</v>
          </cell>
          <cell r="D5787">
            <v>2.9</v>
          </cell>
          <cell r="E5787">
            <v>0</v>
          </cell>
          <cell r="F5787">
            <v>0.17</v>
          </cell>
          <cell r="G5787">
            <v>-1.3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1.4999999999999999E-2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 t="b">
            <v>0</v>
          </cell>
        </row>
        <row r="5788">
          <cell r="A5788" t="str">
            <v>Data split-6;Reg-65</v>
          </cell>
          <cell r="B5788">
            <v>-4.4000000000000004</v>
          </cell>
          <cell r="C5788">
            <v>0</v>
          </cell>
          <cell r="D5788">
            <v>3.2</v>
          </cell>
          <cell r="E5788">
            <v>0</v>
          </cell>
          <cell r="F5788">
            <v>0.22</v>
          </cell>
          <cell r="G5788">
            <v>0</v>
          </cell>
          <cell r="H5788">
            <v>-3.3</v>
          </cell>
          <cell r="I5788">
            <v>0</v>
          </cell>
          <cell r="J5788">
            <v>0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0.16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 t="b">
            <v>0</v>
          </cell>
        </row>
        <row r="5789">
          <cell r="A5789" t="str">
            <v>Data split-6;Reg-66</v>
          </cell>
          <cell r="B5789">
            <v>-3.6</v>
          </cell>
          <cell r="C5789">
            <v>0</v>
          </cell>
          <cell r="D5789">
            <v>3.1</v>
          </cell>
          <cell r="E5789">
            <v>0</v>
          </cell>
          <cell r="F5789">
            <v>0.22</v>
          </cell>
          <cell r="G5789">
            <v>0</v>
          </cell>
          <cell r="H5789">
            <v>-2.7</v>
          </cell>
          <cell r="I5789">
            <v>0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1.9E-2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 t="b">
            <v>0</v>
          </cell>
        </row>
        <row r="5790">
          <cell r="A5790" t="str">
            <v>Data split-6;Reg-67</v>
          </cell>
          <cell r="B5790">
            <v>-3.7</v>
          </cell>
          <cell r="C5790">
            <v>2.9</v>
          </cell>
          <cell r="D5790">
            <v>0</v>
          </cell>
          <cell r="E5790">
            <v>0</v>
          </cell>
          <cell r="F5790">
            <v>0</v>
          </cell>
          <cell r="G5790">
            <v>-0.49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 t="b">
            <v>0</v>
          </cell>
        </row>
        <row r="5791">
          <cell r="A5791" t="str">
            <v>Data split-6;Reg-68</v>
          </cell>
          <cell r="B5791">
            <v>-3.7</v>
          </cell>
          <cell r="C5791">
            <v>2.7</v>
          </cell>
          <cell r="D5791">
            <v>0</v>
          </cell>
          <cell r="E5791">
            <v>0</v>
          </cell>
          <cell r="F5791">
            <v>0.2</v>
          </cell>
          <cell r="G5791">
            <v>-0.52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 t="b">
            <v>0</v>
          </cell>
        </row>
        <row r="5792">
          <cell r="A5792" t="str">
            <v>Data split-6;Reg-69</v>
          </cell>
          <cell r="B5792">
            <v>-9.1</v>
          </cell>
          <cell r="C5792">
            <v>3</v>
          </cell>
          <cell r="D5792">
            <v>0</v>
          </cell>
          <cell r="E5792">
            <v>0</v>
          </cell>
          <cell r="F5792">
            <v>0</v>
          </cell>
          <cell r="G5792">
            <v>-1.5</v>
          </cell>
          <cell r="H5792">
            <v>0</v>
          </cell>
          <cell r="I5792">
            <v>0</v>
          </cell>
          <cell r="J5792">
            <v>43.6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 t="b">
            <v>0</v>
          </cell>
        </row>
        <row r="5793">
          <cell r="A5793" t="str">
            <v>Data split-6;Reg-70</v>
          </cell>
          <cell r="B5793">
            <v>-9.1999999999999993</v>
          </cell>
          <cell r="C5793">
            <v>3.1</v>
          </cell>
          <cell r="D5793">
            <v>0</v>
          </cell>
          <cell r="E5793">
            <v>0</v>
          </cell>
          <cell r="F5793">
            <v>0</v>
          </cell>
          <cell r="G5793">
            <v>-1.7</v>
          </cell>
          <cell r="H5793">
            <v>0</v>
          </cell>
          <cell r="I5793">
            <v>0</v>
          </cell>
          <cell r="J5793">
            <v>44.9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2.5000000000000001E-2</v>
          </cell>
          <cell r="T5793">
            <v>0</v>
          </cell>
          <cell r="U5793" t="b">
            <v>0</v>
          </cell>
        </row>
        <row r="5794">
          <cell r="A5794" t="str">
            <v>Data split-6;Reg-71</v>
          </cell>
          <cell r="B5794">
            <v>-3.3</v>
          </cell>
          <cell r="C5794">
            <v>3.1</v>
          </cell>
          <cell r="D5794">
            <v>0</v>
          </cell>
          <cell r="E5794">
            <v>0</v>
          </cell>
          <cell r="F5794">
            <v>0.23</v>
          </cell>
          <cell r="G5794">
            <v>0</v>
          </cell>
          <cell r="H5794">
            <v>-2.2999999999999998</v>
          </cell>
          <cell r="I5794">
            <v>0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5.3999999999999999E-2</v>
          </cell>
          <cell r="T5794">
            <v>0</v>
          </cell>
          <cell r="U5794" t="b">
            <v>0</v>
          </cell>
        </row>
        <row r="5795">
          <cell r="A5795" t="str">
            <v>Data split-6;Reg-72</v>
          </cell>
          <cell r="B5795">
            <v>-2.8</v>
          </cell>
          <cell r="C5795">
            <v>3.1</v>
          </cell>
          <cell r="D5795">
            <v>0</v>
          </cell>
          <cell r="E5795">
            <v>-1.1000000000000001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 t="b">
            <v>0</v>
          </cell>
        </row>
        <row r="5796">
          <cell r="A5796" t="str">
            <v>Data split-6;Reg-73</v>
          </cell>
          <cell r="B5796">
            <v>-5.6</v>
          </cell>
          <cell r="C5796">
            <v>2.5</v>
          </cell>
          <cell r="D5796">
            <v>0</v>
          </cell>
          <cell r="E5796">
            <v>0</v>
          </cell>
          <cell r="F5796">
            <v>0.2</v>
          </cell>
          <cell r="G5796">
            <v>0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 t="b">
            <v>1</v>
          </cell>
        </row>
        <row r="5797">
          <cell r="A5797" t="str">
            <v>Data split-6;Reg-74</v>
          </cell>
          <cell r="B5797">
            <v>-3.3</v>
          </cell>
          <cell r="C5797">
            <v>0</v>
          </cell>
          <cell r="D5797">
            <v>3.2</v>
          </cell>
          <cell r="E5797">
            <v>-1.2</v>
          </cell>
          <cell r="F5797">
            <v>0</v>
          </cell>
          <cell r="G5797">
            <v>0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 t="b">
            <v>0</v>
          </cell>
        </row>
        <row r="5798">
          <cell r="A5798" t="str">
            <v>Data split-6;Reg-75</v>
          </cell>
          <cell r="B5798">
            <v>-6.3</v>
          </cell>
          <cell r="C5798">
            <v>0</v>
          </cell>
          <cell r="D5798">
            <v>2.6</v>
          </cell>
          <cell r="E5798">
            <v>0</v>
          </cell>
          <cell r="F5798">
            <v>0.19</v>
          </cell>
          <cell r="G5798">
            <v>0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 t="b">
            <v>1</v>
          </cell>
        </row>
        <row r="5799">
          <cell r="A5799" t="str">
            <v>Data split-6;Reg-76</v>
          </cell>
          <cell r="B5799">
            <v>-3.7</v>
          </cell>
          <cell r="C5799">
            <v>2.9</v>
          </cell>
          <cell r="D5799">
            <v>0</v>
          </cell>
          <cell r="E5799">
            <v>0</v>
          </cell>
          <cell r="F5799">
            <v>0</v>
          </cell>
          <cell r="G5799">
            <v>-0.49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 t="b">
            <v>0</v>
          </cell>
        </row>
        <row r="5800">
          <cell r="A5800" t="str">
            <v>Data split-6;Reg-77</v>
          </cell>
          <cell r="B5800">
            <v>-3.3</v>
          </cell>
          <cell r="C5800">
            <v>3</v>
          </cell>
          <cell r="D5800">
            <v>0</v>
          </cell>
          <cell r="E5800">
            <v>0</v>
          </cell>
          <cell r="F5800">
            <v>0</v>
          </cell>
          <cell r="G5800">
            <v>0</v>
          </cell>
          <cell r="H5800">
            <v>-1</v>
          </cell>
          <cell r="I5800">
            <v>0</v>
          </cell>
          <cell r="J5800">
            <v>0</v>
          </cell>
          <cell r="K5800">
            <v>0</v>
          </cell>
          <cell r="L5800">
            <v>0</v>
          </cell>
          <cell r="M5800">
            <v>0</v>
          </cell>
          <cell r="N5800">
            <v>0</v>
          </cell>
          <cell r="O5800">
            <v>0</v>
          </cell>
          <cell r="P5800">
            <v>0</v>
          </cell>
          <cell r="Q5800">
            <v>0</v>
          </cell>
          <cell r="R5800">
            <v>0</v>
          </cell>
          <cell r="S5800">
            <v>0</v>
          </cell>
          <cell r="T5800">
            <v>0</v>
          </cell>
          <cell r="U5800" t="b">
            <v>0</v>
          </cell>
        </row>
        <row r="5801">
          <cell r="A5801" t="str">
            <v>Data split-6;Reg-78</v>
          </cell>
          <cell r="B5801">
            <v>-4.0999999999999996</v>
          </cell>
          <cell r="C5801">
            <v>0</v>
          </cell>
          <cell r="D5801">
            <v>3</v>
          </cell>
          <cell r="E5801">
            <v>0</v>
          </cell>
          <cell r="F5801">
            <v>0</v>
          </cell>
          <cell r="G5801">
            <v>-0.62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 t="b">
            <v>0</v>
          </cell>
        </row>
        <row r="5802">
          <cell r="A5802" t="str">
            <v>Data split-6;Reg-79</v>
          </cell>
          <cell r="B5802">
            <v>-3.9</v>
          </cell>
          <cell r="C5802">
            <v>0</v>
          </cell>
          <cell r="D5802">
            <v>3.1</v>
          </cell>
          <cell r="E5802">
            <v>0</v>
          </cell>
          <cell r="F5802">
            <v>0</v>
          </cell>
          <cell r="G5802">
            <v>0</v>
          </cell>
          <cell r="H5802">
            <v>-1.2</v>
          </cell>
          <cell r="I5802">
            <v>0</v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 t="b">
            <v>0</v>
          </cell>
        </row>
        <row r="5803">
          <cell r="A5803" t="str">
            <v>Data split-6;Reg-80</v>
          </cell>
          <cell r="B5803">
            <v>-7.9</v>
          </cell>
          <cell r="C5803">
            <v>2.5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H5803">
            <v>0</v>
          </cell>
          <cell r="I5803">
            <v>2</v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  <cell r="O5803">
            <v>0</v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 t="b">
            <v>0</v>
          </cell>
        </row>
        <row r="5804">
          <cell r="A5804" t="str">
            <v>Data split-6;Reg-81</v>
          </cell>
          <cell r="B5804">
            <v>-10.4</v>
          </cell>
          <cell r="C5804">
            <v>2.6</v>
          </cell>
          <cell r="D5804">
            <v>0</v>
          </cell>
          <cell r="E5804">
            <v>0</v>
          </cell>
          <cell r="F5804">
            <v>0</v>
          </cell>
          <cell r="G5804">
            <v>0</v>
          </cell>
          <cell r="H5804">
            <v>0</v>
          </cell>
          <cell r="I5804">
            <v>0</v>
          </cell>
          <cell r="J5804">
            <v>24.3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 t="b">
            <v>0</v>
          </cell>
        </row>
        <row r="5805">
          <cell r="A5805" t="str">
            <v>Data split-6;Reg-82</v>
          </cell>
          <cell r="B5805">
            <v>-8</v>
          </cell>
          <cell r="C5805">
            <v>0</v>
          </cell>
          <cell r="D5805">
            <v>2.6</v>
          </cell>
          <cell r="E5805">
            <v>0</v>
          </cell>
          <cell r="F5805">
            <v>0</v>
          </cell>
          <cell r="G5805">
            <v>0</v>
          </cell>
          <cell r="H5805">
            <v>0</v>
          </cell>
          <cell r="I5805">
            <v>1.5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 t="b">
            <v>0</v>
          </cell>
        </row>
        <row r="5806">
          <cell r="A5806" t="str">
            <v>Data split-6;Reg-83</v>
          </cell>
          <cell r="B5806">
            <v>-9.8000000000000007</v>
          </cell>
          <cell r="C5806">
            <v>0</v>
          </cell>
          <cell r="D5806">
            <v>2.6</v>
          </cell>
          <cell r="E5806">
            <v>0</v>
          </cell>
          <cell r="F5806">
            <v>0</v>
          </cell>
          <cell r="G5806">
            <v>0</v>
          </cell>
          <cell r="H5806">
            <v>0</v>
          </cell>
          <cell r="I5806">
            <v>0</v>
          </cell>
          <cell r="J5806">
            <v>18.2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 t="b">
            <v>0</v>
          </cell>
        </row>
        <row r="5807">
          <cell r="A5807" t="str">
            <v>Data split-6;Reg-84</v>
          </cell>
          <cell r="B5807">
            <v>-4.4000000000000004</v>
          </cell>
          <cell r="C5807">
            <v>2.8</v>
          </cell>
          <cell r="D5807">
            <v>0</v>
          </cell>
          <cell r="E5807">
            <v>0</v>
          </cell>
          <cell r="F5807">
            <v>0</v>
          </cell>
          <cell r="G5807">
            <v>0</v>
          </cell>
          <cell r="H5807">
            <v>0</v>
          </cell>
          <cell r="I5807">
            <v>0</v>
          </cell>
          <cell r="J5807">
            <v>0</v>
          </cell>
          <cell r="K5807">
            <v>-1.1000000000000001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 t="b">
            <v>1</v>
          </cell>
        </row>
        <row r="5808">
          <cell r="A5808" t="str">
            <v>Data split-6;Reg-85</v>
          </cell>
          <cell r="B5808">
            <v>-3.5</v>
          </cell>
          <cell r="C5808">
            <v>2.8</v>
          </cell>
          <cell r="D5808">
            <v>0</v>
          </cell>
          <cell r="E5808">
            <v>0</v>
          </cell>
          <cell r="F5808">
            <v>0</v>
          </cell>
          <cell r="G5808">
            <v>0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-11.5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 t="b">
            <v>1</v>
          </cell>
        </row>
        <row r="5809">
          <cell r="A5809" t="str">
            <v>Data split-6;Reg-86</v>
          </cell>
          <cell r="B5809">
            <v>-5</v>
          </cell>
          <cell r="C5809">
            <v>0</v>
          </cell>
          <cell r="D5809">
            <v>2.9</v>
          </cell>
          <cell r="E5809">
            <v>0</v>
          </cell>
          <cell r="F5809">
            <v>0</v>
          </cell>
          <cell r="G5809">
            <v>0</v>
          </cell>
          <cell r="H5809">
            <v>0</v>
          </cell>
          <cell r="I5809">
            <v>0</v>
          </cell>
          <cell r="J5809">
            <v>0</v>
          </cell>
          <cell r="K5809">
            <v>-1.3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 t="b">
            <v>1</v>
          </cell>
        </row>
        <row r="5810">
          <cell r="A5810" t="str">
            <v>Data split-6;Reg-87</v>
          </cell>
          <cell r="B5810">
            <v>-4.0999999999999996</v>
          </cell>
          <cell r="C5810">
            <v>0</v>
          </cell>
          <cell r="D5810">
            <v>2.9</v>
          </cell>
          <cell r="E5810">
            <v>0</v>
          </cell>
          <cell r="F5810">
            <v>0</v>
          </cell>
          <cell r="G5810">
            <v>0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-12.8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 t="b">
            <v>1</v>
          </cell>
        </row>
        <row r="5811">
          <cell r="A5811" t="str">
            <v>Data split-6;Reg-88</v>
          </cell>
          <cell r="B5811">
            <v>-5.0999999999999996</v>
          </cell>
          <cell r="C5811">
            <v>2.7</v>
          </cell>
          <cell r="D5811">
            <v>0</v>
          </cell>
          <cell r="E5811">
            <v>0</v>
          </cell>
          <cell r="F5811">
            <v>0</v>
          </cell>
          <cell r="G5811">
            <v>0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>
            <v>0</v>
          </cell>
          <cell r="M5811">
            <v>-1.2999999999999999E-2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 t="b">
            <v>1</v>
          </cell>
        </row>
        <row r="5812">
          <cell r="A5812" t="str">
            <v>Data split-6;Reg-89</v>
          </cell>
          <cell r="B5812">
            <v>-4.4000000000000004</v>
          </cell>
          <cell r="C5812">
            <v>2.9</v>
          </cell>
          <cell r="D5812">
            <v>0</v>
          </cell>
          <cell r="E5812">
            <v>0</v>
          </cell>
          <cell r="F5812">
            <v>0</v>
          </cell>
          <cell r="G5812">
            <v>0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-8.0999999999999996E-3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 t="b">
            <v>1</v>
          </cell>
        </row>
        <row r="5813">
          <cell r="A5813" t="str">
            <v>Data split-6;Reg-90</v>
          </cell>
          <cell r="B5813">
            <v>-5.7</v>
          </cell>
          <cell r="C5813">
            <v>0</v>
          </cell>
          <cell r="D5813">
            <v>2.8</v>
          </cell>
          <cell r="E5813">
            <v>0</v>
          </cell>
          <cell r="F5813">
            <v>0</v>
          </cell>
          <cell r="G5813">
            <v>0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>
            <v>0</v>
          </cell>
          <cell r="M5813">
            <v>-1.7999999999999999E-2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 t="b">
            <v>1</v>
          </cell>
        </row>
        <row r="5814">
          <cell r="A5814" t="str">
            <v>Data split-6;Reg-91</v>
          </cell>
          <cell r="B5814">
            <v>-5.0999999999999996</v>
          </cell>
          <cell r="C5814">
            <v>0</v>
          </cell>
          <cell r="D5814">
            <v>2.9</v>
          </cell>
          <cell r="E5814">
            <v>0</v>
          </cell>
          <cell r="F5814">
            <v>0</v>
          </cell>
          <cell r="G5814">
            <v>0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-9.2999999999999992E-3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 t="b">
            <v>1</v>
          </cell>
        </row>
        <row r="5815">
          <cell r="A5815" t="str">
            <v>Data split-6;Reg-92</v>
          </cell>
          <cell r="B5815">
            <v>-5.8</v>
          </cell>
          <cell r="C5815">
            <v>2.7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1.2E-2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 t="b">
            <v>0</v>
          </cell>
        </row>
        <row r="5816">
          <cell r="A5816" t="str">
            <v>Data split-6;Reg-93</v>
          </cell>
          <cell r="B5816">
            <v>-5.2</v>
          </cell>
          <cell r="C5816">
            <v>2.7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-1.6999999999999999E-3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 t="b">
            <v>1</v>
          </cell>
        </row>
        <row r="5817">
          <cell r="A5817" t="str">
            <v>Data split-6;Reg-94</v>
          </cell>
          <cell r="B5817">
            <v>-6.4</v>
          </cell>
          <cell r="C5817">
            <v>0</v>
          </cell>
          <cell r="D5817">
            <v>2.7</v>
          </cell>
          <cell r="E5817">
            <v>0</v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7.3000000000000001E-3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 t="b">
            <v>0</v>
          </cell>
        </row>
        <row r="5818">
          <cell r="A5818" t="str">
            <v>Data split-6;Reg-95</v>
          </cell>
          <cell r="B5818">
            <v>-5.9</v>
          </cell>
          <cell r="C5818">
            <v>0</v>
          </cell>
          <cell r="D5818">
            <v>2.8</v>
          </cell>
          <cell r="E5818">
            <v>0</v>
          </cell>
          <cell r="F5818">
            <v>0</v>
          </cell>
          <cell r="G5818">
            <v>0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-2.5999999999999999E-3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 t="b">
            <v>1</v>
          </cell>
        </row>
        <row r="5819">
          <cell r="A5819" t="str">
            <v>Data split-6;Reg-96</v>
          </cell>
          <cell r="B5819">
            <v>-6.1</v>
          </cell>
          <cell r="C5819">
            <v>3.2</v>
          </cell>
          <cell r="D5819">
            <v>0</v>
          </cell>
          <cell r="E5819">
            <v>-2.9</v>
          </cell>
          <cell r="F5819">
            <v>0</v>
          </cell>
          <cell r="G5819">
            <v>0</v>
          </cell>
          <cell r="H5819">
            <v>0</v>
          </cell>
          <cell r="I5819">
            <v>6.5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 t="b">
            <v>0</v>
          </cell>
        </row>
        <row r="5820">
          <cell r="A5820" t="str">
            <v>Data split-6;Reg-97</v>
          </cell>
          <cell r="B5820">
            <v>-10.8</v>
          </cell>
          <cell r="C5820">
            <v>3.4</v>
          </cell>
          <cell r="D5820">
            <v>0</v>
          </cell>
          <cell r="E5820">
            <v>-2.6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58.1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 t="b">
            <v>0</v>
          </cell>
        </row>
        <row r="5821">
          <cell r="A5821" t="str">
            <v>Data split-6;Reg-98</v>
          </cell>
          <cell r="B5821">
            <v>-7.6</v>
          </cell>
          <cell r="C5821">
            <v>2.4</v>
          </cell>
          <cell r="D5821">
            <v>0</v>
          </cell>
          <cell r="E5821">
            <v>0</v>
          </cell>
          <cell r="F5821">
            <v>0.18</v>
          </cell>
          <cell r="G5821">
            <v>0</v>
          </cell>
          <cell r="H5821">
            <v>0</v>
          </cell>
          <cell r="I5821">
            <v>1.7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 t="b">
            <v>0</v>
          </cell>
        </row>
        <row r="5822">
          <cell r="A5822" t="str">
            <v>Data split-6;Reg-99</v>
          </cell>
          <cell r="B5822">
            <v>-10.1</v>
          </cell>
          <cell r="C5822">
            <v>2.4</v>
          </cell>
          <cell r="D5822">
            <v>0</v>
          </cell>
          <cell r="E5822">
            <v>0</v>
          </cell>
          <cell r="F5822">
            <v>0.18</v>
          </cell>
          <cell r="G5822">
            <v>0</v>
          </cell>
          <cell r="H5822">
            <v>0</v>
          </cell>
          <cell r="I5822">
            <v>0</v>
          </cell>
          <cell r="J5822">
            <v>22.4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 t="b">
            <v>0</v>
          </cell>
        </row>
        <row r="5823">
          <cell r="A5823" t="str">
            <v>Data split-6;Reg-100</v>
          </cell>
          <cell r="B5823">
            <v>-6.3</v>
          </cell>
          <cell r="C5823">
            <v>0</v>
          </cell>
          <cell r="D5823">
            <v>3.3</v>
          </cell>
          <cell r="E5823">
            <v>-2.8</v>
          </cell>
          <cell r="F5823">
            <v>0</v>
          </cell>
          <cell r="G5823">
            <v>0</v>
          </cell>
          <cell r="H5823">
            <v>0</v>
          </cell>
          <cell r="I5823">
            <v>5.8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 t="b">
            <v>0</v>
          </cell>
        </row>
        <row r="5824">
          <cell r="A5824" t="str">
            <v>Data split-6;Reg-101</v>
          </cell>
          <cell r="B5824">
            <v>-10</v>
          </cell>
          <cell r="C5824">
            <v>0</v>
          </cell>
          <cell r="D5824">
            <v>3.4</v>
          </cell>
          <cell r="E5824">
            <v>-2.4</v>
          </cell>
          <cell r="F5824">
            <v>0</v>
          </cell>
          <cell r="G5824">
            <v>0</v>
          </cell>
          <cell r="H5824">
            <v>0</v>
          </cell>
          <cell r="I5824">
            <v>0</v>
          </cell>
          <cell r="J5824">
            <v>48.3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 t="b">
            <v>0</v>
          </cell>
        </row>
        <row r="5825">
          <cell r="A5825" t="str">
            <v>Data split-6;Reg-102</v>
          </cell>
          <cell r="B5825">
            <v>-7.7</v>
          </cell>
          <cell r="C5825">
            <v>0</v>
          </cell>
          <cell r="D5825">
            <v>2.5</v>
          </cell>
          <cell r="E5825">
            <v>0</v>
          </cell>
          <cell r="F5825">
            <v>0.18</v>
          </cell>
          <cell r="G5825">
            <v>0</v>
          </cell>
          <cell r="H5825">
            <v>0</v>
          </cell>
          <cell r="I5825">
            <v>1.2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 t="b">
            <v>0</v>
          </cell>
        </row>
        <row r="5826">
          <cell r="A5826" t="str">
            <v>Data split-6;Reg-103</v>
          </cell>
          <cell r="B5826">
            <v>-9.5</v>
          </cell>
          <cell r="C5826">
            <v>0</v>
          </cell>
          <cell r="D5826">
            <v>2.5</v>
          </cell>
          <cell r="E5826">
            <v>0</v>
          </cell>
          <cell r="F5826">
            <v>0.18</v>
          </cell>
          <cell r="G5826">
            <v>0</v>
          </cell>
          <cell r="H5826">
            <v>0</v>
          </cell>
          <cell r="I5826">
            <v>0</v>
          </cell>
          <cell r="J5826">
            <v>16.5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 t="b">
            <v>0</v>
          </cell>
        </row>
        <row r="5827">
          <cell r="A5827" t="str">
            <v>Data split-6;Reg-104</v>
          </cell>
          <cell r="B5827">
            <v>-2.9</v>
          </cell>
          <cell r="C5827">
            <v>3.1</v>
          </cell>
          <cell r="D5827">
            <v>0</v>
          </cell>
          <cell r="E5827">
            <v>-1.2</v>
          </cell>
          <cell r="F5827">
            <v>0</v>
          </cell>
          <cell r="G5827">
            <v>0</v>
          </cell>
          <cell r="H5827">
            <v>0</v>
          </cell>
          <cell r="I5827">
            <v>0</v>
          </cell>
          <cell r="J5827">
            <v>0</v>
          </cell>
          <cell r="K5827">
            <v>0.4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 t="b">
            <v>0</v>
          </cell>
        </row>
        <row r="5828">
          <cell r="A5828" t="str">
            <v>Data split-6;Reg-105</v>
          </cell>
          <cell r="B5828">
            <v>-1.8</v>
          </cell>
          <cell r="C5828">
            <v>3.1</v>
          </cell>
          <cell r="D5828">
            <v>0</v>
          </cell>
          <cell r="E5828">
            <v>-0.92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-8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 t="b">
            <v>0</v>
          </cell>
        </row>
        <row r="5829">
          <cell r="A5829" t="str">
            <v>Data split-6;Reg-106</v>
          </cell>
          <cell r="B5829">
            <v>-4.5</v>
          </cell>
          <cell r="C5829">
            <v>2.7</v>
          </cell>
          <cell r="D5829">
            <v>0</v>
          </cell>
          <cell r="E5829">
            <v>0</v>
          </cell>
          <cell r="F5829">
            <v>0.2</v>
          </cell>
          <cell r="G5829">
            <v>0</v>
          </cell>
          <cell r="H5829">
            <v>0</v>
          </cell>
          <cell r="I5829">
            <v>0</v>
          </cell>
          <cell r="J5829">
            <v>0</v>
          </cell>
          <cell r="K5829">
            <v>-1.1000000000000001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 t="b">
            <v>1</v>
          </cell>
        </row>
        <row r="5830">
          <cell r="A5830" t="str">
            <v>Data split-6;Reg-107</v>
          </cell>
          <cell r="B5830">
            <v>-3.8</v>
          </cell>
          <cell r="C5830">
            <v>2.7</v>
          </cell>
          <cell r="D5830">
            <v>0</v>
          </cell>
          <cell r="E5830">
            <v>0</v>
          </cell>
          <cell r="F5830">
            <v>0.19</v>
          </cell>
          <cell r="G5830">
            <v>0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-10.5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 t="b">
            <v>1</v>
          </cell>
        </row>
        <row r="5831">
          <cell r="A5831" t="str">
            <v>Data split-6;Reg-108</v>
          </cell>
          <cell r="B5831">
            <v>-3.4</v>
          </cell>
          <cell r="C5831">
            <v>0</v>
          </cell>
          <cell r="D5831">
            <v>3.2</v>
          </cell>
          <cell r="E5831">
            <v>-1.3</v>
          </cell>
          <cell r="F5831">
            <v>0</v>
          </cell>
          <cell r="G5831">
            <v>0</v>
          </cell>
          <cell r="H5831">
            <v>0</v>
          </cell>
          <cell r="I5831">
            <v>0</v>
          </cell>
          <cell r="J5831">
            <v>0</v>
          </cell>
          <cell r="K5831">
            <v>0.3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 t="b">
            <v>0</v>
          </cell>
        </row>
        <row r="5832">
          <cell r="A5832" t="str">
            <v>Data split-6;Reg-109</v>
          </cell>
          <cell r="B5832">
            <v>-2.2000000000000002</v>
          </cell>
          <cell r="C5832">
            <v>0</v>
          </cell>
          <cell r="D5832">
            <v>3.2</v>
          </cell>
          <cell r="E5832">
            <v>-1.1000000000000001</v>
          </cell>
          <cell r="F5832">
            <v>0</v>
          </cell>
          <cell r="G5832">
            <v>0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>
            <v>-9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 t="b">
            <v>0</v>
          </cell>
        </row>
        <row r="5833">
          <cell r="A5833" t="str">
            <v>Data split-6;Reg-110</v>
          </cell>
          <cell r="B5833">
            <v>-5</v>
          </cell>
          <cell r="C5833">
            <v>0</v>
          </cell>
          <cell r="D5833">
            <v>2.7</v>
          </cell>
          <cell r="E5833">
            <v>0</v>
          </cell>
          <cell r="F5833">
            <v>0.2</v>
          </cell>
          <cell r="G5833">
            <v>0</v>
          </cell>
          <cell r="H5833">
            <v>0</v>
          </cell>
          <cell r="I5833">
            <v>0</v>
          </cell>
          <cell r="J5833">
            <v>0</v>
          </cell>
          <cell r="K5833">
            <v>-1.4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 t="b">
            <v>1</v>
          </cell>
        </row>
        <row r="5834">
          <cell r="A5834" t="str">
            <v>Data split-6;Reg-111</v>
          </cell>
          <cell r="B5834">
            <v>-4.3</v>
          </cell>
          <cell r="C5834">
            <v>0</v>
          </cell>
          <cell r="D5834">
            <v>2.7</v>
          </cell>
          <cell r="E5834">
            <v>0</v>
          </cell>
          <cell r="F5834">
            <v>0.18</v>
          </cell>
          <cell r="G5834">
            <v>0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>
            <v>-11.8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 t="b">
            <v>1</v>
          </cell>
        </row>
        <row r="5835">
          <cell r="A5835" t="str">
            <v>Data split-6;Reg-112</v>
          </cell>
          <cell r="B5835">
            <v>-5.0999999999999996</v>
          </cell>
          <cell r="C5835">
            <v>3</v>
          </cell>
          <cell r="D5835">
            <v>0</v>
          </cell>
          <cell r="E5835">
            <v>0</v>
          </cell>
          <cell r="F5835">
            <v>0</v>
          </cell>
          <cell r="G5835">
            <v>-1.9</v>
          </cell>
          <cell r="H5835">
            <v>0</v>
          </cell>
          <cell r="I5835">
            <v>5.0999999999999996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 t="b">
            <v>0</v>
          </cell>
        </row>
        <row r="5836">
          <cell r="A5836" t="str">
            <v>Data split-6;Reg-113</v>
          </cell>
          <cell r="B5836">
            <v>-9.1</v>
          </cell>
          <cell r="C5836">
            <v>3</v>
          </cell>
          <cell r="D5836">
            <v>0</v>
          </cell>
          <cell r="E5836">
            <v>0</v>
          </cell>
          <cell r="F5836">
            <v>0</v>
          </cell>
          <cell r="G5836">
            <v>-1.5</v>
          </cell>
          <cell r="H5836">
            <v>0</v>
          </cell>
          <cell r="I5836">
            <v>0</v>
          </cell>
          <cell r="J5836">
            <v>43.6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 t="b">
            <v>0</v>
          </cell>
        </row>
        <row r="5837">
          <cell r="A5837" t="str">
            <v>Data split-6;Reg-114</v>
          </cell>
          <cell r="B5837">
            <v>-5.5</v>
          </cell>
          <cell r="C5837">
            <v>3.1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H5837">
            <v>-2.9</v>
          </cell>
          <cell r="I5837">
            <v>4.9000000000000004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 t="b">
            <v>0</v>
          </cell>
        </row>
        <row r="5838">
          <cell r="A5838" t="str">
            <v>Data split-6;Reg-115</v>
          </cell>
          <cell r="B5838">
            <v>-9.1999999999999993</v>
          </cell>
          <cell r="C5838">
            <v>3.2</v>
          </cell>
          <cell r="D5838">
            <v>0</v>
          </cell>
          <cell r="E5838">
            <v>0</v>
          </cell>
          <cell r="F5838">
            <v>0</v>
          </cell>
          <cell r="G5838">
            <v>0</v>
          </cell>
          <cell r="H5838">
            <v>-2.2999999999999998</v>
          </cell>
          <cell r="I5838">
            <v>0</v>
          </cell>
          <cell r="J5838">
            <v>41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 t="b">
            <v>0</v>
          </cell>
        </row>
        <row r="5839">
          <cell r="A5839" t="str">
            <v>Data split-6;Reg-116</v>
          </cell>
          <cell r="B5839">
            <v>-5.3</v>
          </cell>
          <cell r="C5839">
            <v>0</v>
          </cell>
          <cell r="D5839">
            <v>3</v>
          </cell>
          <cell r="E5839">
            <v>0</v>
          </cell>
          <cell r="F5839">
            <v>0</v>
          </cell>
          <cell r="G5839">
            <v>-1.8</v>
          </cell>
          <cell r="H5839">
            <v>0</v>
          </cell>
          <cell r="I5839">
            <v>4.4000000000000004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 t="b">
            <v>0</v>
          </cell>
        </row>
        <row r="5840">
          <cell r="A5840" t="str">
            <v>Data split-6;Reg-117</v>
          </cell>
          <cell r="B5840">
            <v>-8.5</v>
          </cell>
          <cell r="C5840">
            <v>0</v>
          </cell>
          <cell r="D5840">
            <v>3.1</v>
          </cell>
          <cell r="E5840">
            <v>0</v>
          </cell>
          <cell r="F5840">
            <v>0</v>
          </cell>
          <cell r="G5840">
            <v>-1.4</v>
          </cell>
          <cell r="H5840">
            <v>0</v>
          </cell>
          <cell r="I5840">
            <v>0</v>
          </cell>
          <cell r="J5840">
            <v>35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 t="b">
            <v>0</v>
          </cell>
        </row>
        <row r="5841">
          <cell r="A5841" t="str">
            <v>Data split-6;Reg-118</v>
          </cell>
          <cell r="B5841">
            <v>-5.8</v>
          </cell>
          <cell r="C5841">
            <v>0</v>
          </cell>
          <cell r="D5841">
            <v>3.2</v>
          </cell>
          <cell r="E5841">
            <v>0</v>
          </cell>
          <cell r="F5841">
            <v>0</v>
          </cell>
          <cell r="G5841">
            <v>0</v>
          </cell>
          <cell r="H5841">
            <v>-2.7</v>
          </cell>
          <cell r="I5841">
            <v>4.2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 t="b">
            <v>0</v>
          </cell>
        </row>
        <row r="5842">
          <cell r="A5842" t="str">
            <v>Data split-6;Reg-119</v>
          </cell>
          <cell r="B5842">
            <v>-8.5</v>
          </cell>
          <cell r="C5842">
            <v>0</v>
          </cell>
          <cell r="D5842">
            <v>3.2</v>
          </cell>
          <cell r="E5842">
            <v>0</v>
          </cell>
          <cell r="F5842">
            <v>0</v>
          </cell>
          <cell r="G5842">
            <v>0</v>
          </cell>
          <cell r="H5842">
            <v>-2.1</v>
          </cell>
          <cell r="I5842">
            <v>0</v>
          </cell>
          <cell r="J5842">
            <v>32.299999999999997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 t="b">
            <v>0</v>
          </cell>
        </row>
        <row r="5843">
          <cell r="A5843" t="str">
            <v>Data split-6;Reg-120</v>
          </cell>
          <cell r="B5843">
            <v>-3.4</v>
          </cell>
          <cell r="C5843">
            <v>2.9</v>
          </cell>
          <cell r="D5843">
            <v>0</v>
          </cell>
          <cell r="E5843">
            <v>0</v>
          </cell>
          <cell r="F5843">
            <v>0</v>
          </cell>
          <cell r="G5843">
            <v>-0.37</v>
          </cell>
          <cell r="H5843">
            <v>0</v>
          </cell>
          <cell r="I5843">
            <v>0</v>
          </cell>
          <cell r="J5843">
            <v>0</v>
          </cell>
          <cell r="K5843">
            <v>-0.74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 t="b">
            <v>0</v>
          </cell>
        </row>
        <row r="5844">
          <cell r="A5844" t="str">
            <v>Data split-6;Reg-121</v>
          </cell>
          <cell r="B5844">
            <v>-1.8</v>
          </cell>
          <cell r="C5844">
            <v>3</v>
          </cell>
          <cell r="D5844">
            <v>0</v>
          </cell>
          <cell r="E5844">
            <v>0</v>
          </cell>
          <cell r="F5844">
            <v>0</v>
          </cell>
          <cell r="G5844">
            <v>-0.49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>
            <v>-11.4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 t="b">
            <v>0</v>
          </cell>
        </row>
        <row r="5845">
          <cell r="A5845" t="str">
            <v>Data split-6;Reg-122</v>
          </cell>
          <cell r="B5845">
            <v>-3.1</v>
          </cell>
          <cell r="C5845">
            <v>3</v>
          </cell>
          <cell r="D5845">
            <v>0</v>
          </cell>
          <cell r="E5845">
            <v>0</v>
          </cell>
          <cell r="F5845">
            <v>0</v>
          </cell>
          <cell r="G5845">
            <v>0</v>
          </cell>
          <cell r="H5845">
            <v>-0.91</v>
          </cell>
          <cell r="I5845">
            <v>0</v>
          </cell>
          <cell r="J5845">
            <v>0</v>
          </cell>
          <cell r="K5845">
            <v>-0.48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 t="b">
            <v>0</v>
          </cell>
        </row>
        <row r="5846">
          <cell r="A5846" t="str">
            <v>Data split-6;Reg-123</v>
          </cell>
          <cell r="B5846">
            <v>-1.6</v>
          </cell>
          <cell r="C5846">
            <v>3.1</v>
          </cell>
          <cell r="D5846">
            <v>0</v>
          </cell>
          <cell r="E5846">
            <v>0</v>
          </cell>
          <cell r="F5846">
            <v>0</v>
          </cell>
          <cell r="G5846">
            <v>0</v>
          </cell>
          <cell r="H5846">
            <v>-0.98</v>
          </cell>
          <cell r="I5846">
            <v>0</v>
          </cell>
          <cell r="J5846">
            <v>0</v>
          </cell>
          <cell r="K5846">
            <v>0</v>
          </cell>
          <cell r="L5846">
            <v>-10.9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 t="b">
            <v>0</v>
          </cell>
        </row>
        <row r="5847">
          <cell r="A5847" t="str">
            <v>Data split-6;Reg-124</v>
          </cell>
          <cell r="B5847">
            <v>-3.8</v>
          </cell>
          <cell r="C5847">
            <v>0</v>
          </cell>
          <cell r="D5847">
            <v>3</v>
          </cell>
          <cell r="E5847">
            <v>0</v>
          </cell>
          <cell r="F5847">
            <v>0</v>
          </cell>
          <cell r="G5847">
            <v>-0.47</v>
          </cell>
          <cell r="H5847">
            <v>0</v>
          </cell>
          <cell r="I5847">
            <v>0</v>
          </cell>
          <cell r="J5847">
            <v>0</v>
          </cell>
          <cell r="K5847">
            <v>-0.89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 t="b">
            <v>0</v>
          </cell>
        </row>
        <row r="5848">
          <cell r="A5848" t="str">
            <v>Data split-6;Reg-125</v>
          </cell>
          <cell r="B5848">
            <v>-1.9</v>
          </cell>
          <cell r="C5848">
            <v>0</v>
          </cell>
          <cell r="D5848">
            <v>3.1</v>
          </cell>
          <cell r="E5848">
            <v>0</v>
          </cell>
          <cell r="F5848">
            <v>0</v>
          </cell>
          <cell r="G5848">
            <v>-0.62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>
            <v>-12.9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 t="b">
            <v>0</v>
          </cell>
        </row>
        <row r="5849">
          <cell r="A5849" t="str">
            <v>Data split-6;Reg-126</v>
          </cell>
          <cell r="B5849">
            <v>-3.6</v>
          </cell>
          <cell r="C5849">
            <v>0</v>
          </cell>
          <cell r="D5849">
            <v>3.1</v>
          </cell>
          <cell r="E5849">
            <v>0</v>
          </cell>
          <cell r="F5849">
            <v>0</v>
          </cell>
          <cell r="G5849">
            <v>0</v>
          </cell>
          <cell r="H5849">
            <v>-1</v>
          </cell>
          <cell r="I5849">
            <v>0</v>
          </cell>
          <cell r="J5849">
            <v>0</v>
          </cell>
          <cell r="K5849">
            <v>-0.66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 t="b">
            <v>0</v>
          </cell>
        </row>
        <row r="5850">
          <cell r="A5850" t="str">
            <v>Data split-6;Reg-127</v>
          </cell>
          <cell r="B5850">
            <v>-1.9</v>
          </cell>
          <cell r="C5850">
            <v>0</v>
          </cell>
          <cell r="D5850">
            <v>3.2</v>
          </cell>
          <cell r="E5850">
            <v>0</v>
          </cell>
          <cell r="F5850">
            <v>0</v>
          </cell>
          <cell r="G5850">
            <v>0</v>
          </cell>
          <cell r="H5850">
            <v>-1.1000000000000001</v>
          </cell>
          <cell r="I5850">
            <v>0</v>
          </cell>
          <cell r="J5850">
            <v>0</v>
          </cell>
          <cell r="K5850">
            <v>0</v>
          </cell>
          <cell r="L5850">
            <v>-12.3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 t="b">
            <v>0</v>
          </cell>
        </row>
        <row r="5851">
          <cell r="A5851" t="str">
            <v>Data split-7;Reg-1</v>
          </cell>
          <cell r="B5851">
            <v>-4.5999999999999996</v>
          </cell>
          <cell r="C5851">
            <v>1.6</v>
          </cell>
          <cell r="D5851">
            <v>0</v>
          </cell>
          <cell r="E5851">
            <v>0</v>
          </cell>
          <cell r="F5851">
            <v>0.94</v>
          </cell>
          <cell r="G5851">
            <v>0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>
            <v>4.2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 t="b">
            <v>0</v>
          </cell>
        </row>
        <row r="5852">
          <cell r="A5852" t="str">
            <v>Data split-7;Reg-2</v>
          </cell>
          <cell r="B5852">
            <v>-4.8</v>
          </cell>
          <cell r="C5852">
            <v>1.4</v>
          </cell>
          <cell r="D5852">
            <v>0</v>
          </cell>
          <cell r="E5852">
            <v>0</v>
          </cell>
          <cell r="F5852">
            <v>0.77</v>
          </cell>
          <cell r="G5852">
            <v>0.03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>
            <v>0</v>
          </cell>
          <cell r="M5852">
            <v>6.9000000000000006E-2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 t="b">
            <v>0</v>
          </cell>
        </row>
        <row r="5853">
          <cell r="A5853" t="str">
            <v>Data split-7;Reg-3</v>
          </cell>
          <cell r="B5853">
            <v>-4.5999999999999996</v>
          </cell>
          <cell r="C5853">
            <v>1.4</v>
          </cell>
          <cell r="D5853">
            <v>0</v>
          </cell>
          <cell r="E5853">
            <v>0</v>
          </cell>
          <cell r="F5853">
            <v>0.8</v>
          </cell>
          <cell r="G5853">
            <v>0.24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8.0000000000000002E-3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 t="b">
            <v>0</v>
          </cell>
        </row>
        <row r="5854">
          <cell r="A5854" t="str">
            <v>Data split-7;Reg-4</v>
          </cell>
          <cell r="B5854">
            <v>-4.5</v>
          </cell>
          <cell r="C5854">
            <v>1.7</v>
          </cell>
          <cell r="D5854">
            <v>0</v>
          </cell>
          <cell r="E5854">
            <v>0</v>
          </cell>
          <cell r="F5854">
            <v>0.86</v>
          </cell>
          <cell r="G5854">
            <v>0</v>
          </cell>
          <cell r="H5854">
            <v>-1.3</v>
          </cell>
          <cell r="I5854">
            <v>0</v>
          </cell>
          <cell r="J5854">
            <v>0</v>
          </cell>
          <cell r="K5854">
            <v>0</v>
          </cell>
          <cell r="L5854">
            <v>0</v>
          </cell>
          <cell r="M5854">
            <v>0.13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 t="b">
            <v>0</v>
          </cell>
        </row>
        <row r="5855">
          <cell r="A5855" t="str">
            <v>Data split-7;Reg-5</v>
          </cell>
          <cell r="B5855">
            <v>-4.5</v>
          </cell>
          <cell r="C5855">
            <v>0</v>
          </cell>
          <cell r="D5855">
            <v>1.7</v>
          </cell>
          <cell r="E5855">
            <v>0</v>
          </cell>
          <cell r="F5855">
            <v>0.87</v>
          </cell>
          <cell r="G5855">
            <v>0</v>
          </cell>
          <cell r="H5855">
            <v>-1.4</v>
          </cell>
          <cell r="I5855">
            <v>0</v>
          </cell>
          <cell r="J5855">
            <v>0</v>
          </cell>
          <cell r="K5855">
            <v>0</v>
          </cell>
          <cell r="L5855">
            <v>0</v>
          </cell>
          <cell r="M5855">
            <v>0.13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 t="b">
            <v>0</v>
          </cell>
        </row>
        <row r="5856">
          <cell r="A5856" t="str">
            <v>Data split-7;Reg-6</v>
          </cell>
          <cell r="B5856">
            <v>-4.2</v>
          </cell>
          <cell r="C5856">
            <v>2.1</v>
          </cell>
          <cell r="D5856">
            <v>0</v>
          </cell>
          <cell r="E5856">
            <v>-1.2</v>
          </cell>
          <cell r="F5856">
            <v>0</v>
          </cell>
          <cell r="G5856">
            <v>0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3.2</v>
          </cell>
          <cell r="M5856">
            <v>0.16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 t="b">
            <v>0</v>
          </cell>
        </row>
        <row r="5857">
          <cell r="A5857" t="str">
            <v>Data split-7;Reg-7</v>
          </cell>
          <cell r="B5857">
            <v>-5.7</v>
          </cell>
          <cell r="C5857">
            <v>1.3</v>
          </cell>
          <cell r="D5857">
            <v>0</v>
          </cell>
          <cell r="E5857">
            <v>0</v>
          </cell>
          <cell r="F5857">
            <v>0.86</v>
          </cell>
          <cell r="G5857">
            <v>0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>
            <v>6.8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6.0999999999999999E-2</v>
          </cell>
          <cell r="T5857">
            <v>0</v>
          </cell>
          <cell r="U5857" t="b">
            <v>0</v>
          </cell>
        </row>
        <row r="5858">
          <cell r="A5858" t="str">
            <v>Data split-7;Reg-8</v>
          </cell>
          <cell r="B5858">
            <v>-5.4</v>
          </cell>
          <cell r="C5858">
            <v>1.5</v>
          </cell>
          <cell r="D5858">
            <v>0</v>
          </cell>
          <cell r="E5858">
            <v>0</v>
          </cell>
          <cell r="F5858">
            <v>0</v>
          </cell>
          <cell r="G5858">
            <v>0.68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>
            <v>6.3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5.2999999999999999E-2</v>
          </cell>
          <cell r="T5858">
            <v>0</v>
          </cell>
          <cell r="U5858" t="b">
            <v>0</v>
          </cell>
        </row>
        <row r="5859">
          <cell r="A5859" t="str">
            <v>Data split-7;Reg-9</v>
          </cell>
          <cell r="B5859">
            <v>-5.4</v>
          </cell>
          <cell r="C5859">
            <v>0</v>
          </cell>
          <cell r="D5859">
            <v>1.2</v>
          </cell>
          <cell r="E5859">
            <v>0</v>
          </cell>
          <cell r="F5859">
            <v>0</v>
          </cell>
          <cell r="G5859">
            <v>0</v>
          </cell>
          <cell r="H5859">
            <v>2.2000000000000002</v>
          </cell>
          <cell r="I5859">
            <v>0</v>
          </cell>
          <cell r="J5859">
            <v>0</v>
          </cell>
          <cell r="K5859">
            <v>0</v>
          </cell>
          <cell r="L5859">
            <v>7.3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1.1999999999999999E-3</v>
          </cell>
          <cell r="T5859">
            <v>0</v>
          </cell>
          <cell r="U5859" t="b">
            <v>0</v>
          </cell>
        </row>
        <row r="5860">
          <cell r="A5860" t="str">
            <v>Data split-7;Reg-10</v>
          </cell>
          <cell r="B5860">
            <v>-5.4</v>
          </cell>
          <cell r="C5860">
            <v>0</v>
          </cell>
          <cell r="D5860">
            <v>1.2</v>
          </cell>
          <cell r="E5860">
            <v>0</v>
          </cell>
          <cell r="F5860">
            <v>0</v>
          </cell>
          <cell r="G5860">
            <v>0</v>
          </cell>
          <cell r="H5860">
            <v>2.2000000000000002</v>
          </cell>
          <cell r="I5860">
            <v>0</v>
          </cell>
          <cell r="J5860">
            <v>0</v>
          </cell>
          <cell r="K5860">
            <v>0</v>
          </cell>
          <cell r="L5860">
            <v>7.3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1.1999999999999999E-3</v>
          </cell>
          <cell r="T5860">
            <v>0</v>
          </cell>
          <cell r="U5860" t="b">
            <v>0</v>
          </cell>
        </row>
        <row r="5861">
          <cell r="A5861" t="str">
            <v>Data split-7;Reg-11</v>
          </cell>
          <cell r="B5861">
            <v>-4</v>
          </cell>
          <cell r="C5861">
            <v>2.2000000000000002</v>
          </cell>
          <cell r="D5861">
            <v>0</v>
          </cell>
          <cell r="E5861">
            <v>-1.3</v>
          </cell>
          <cell r="F5861">
            <v>0</v>
          </cell>
          <cell r="G5861">
            <v>1.3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 t="b">
            <v>0</v>
          </cell>
        </row>
        <row r="5862">
          <cell r="A5862" t="str">
            <v>Data split-7;Reg-12</v>
          </cell>
          <cell r="B5862">
            <v>-4.3</v>
          </cell>
          <cell r="C5862">
            <v>2.1</v>
          </cell>
          <cell r="D5862">
            <v>0</v>
          </cell>
          <cell r="E5862">
            <v>-4.5999999999999996</v>
          </cell>
          <cell r="F5862">
            <v>0</v>
          </cell>
          <cell r="G5862">
            <v>0</v>
          </cell>
          <cell r="H5862">
            <v>6</v>
          </cell>
          <cell r="I5862">
            <v>0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 t="b">
            <v>0</v>
          </cell>
        </row>
        <row r="5863">
          <cell r="A5863" t="str">
            <v>Data split-7;Reg-13</v>
          </cell>
          <cell r="B5863">
            <v>-4.9000000000000004</v>
          </cell>
          <cell r="C5863">
            <v>1.4</v>
          </cell>
          <cell r="D5863">
            <v>0</v>
          </cell>
          <cell r="E5863">
            <v>0</v>
          </cell>
          <cell r="F5863">
            <v>0.83</v>
          </cell>
          <cell r="G5863">
            <v>0.55000000000000004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 t="b">
            <v>1</v>
          </cell>
        </row>
        <row r="5864">
          <cell r="A5864" t="str">
            <v>Data split-7;Reg-14</v>
          </cell>
          <cell r="B5864">
            <v>-4.5999999999999996</v>
          </cell>
          <cell r="C5864">
            <v>1.4</v>
          </cell>
          <cell r="D5864">
            <v>0</v>
          </cell>
          <cell r="E5864">
            <v>0</v>
          </cell>
          <cell r="F5864">
            <v>0.78</v>
          </cell>
          <cell r="G5864">
            <v>0</v>
          </cell>
          <cell r="H5864">
            <v>0.8</v>
          </cell>
          <cell r="I5864">
            <v>0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 t="b">
            <v>1</v>
          </cell>
        </row>
        <row r="5865">
          <cell r="A5865" t="str">
            <v>Data split-7;Reg-15</v>
          </cell>
          <cell r="B5865">
            <v>-3.7</v>
          </cell>
          <cell r="C5865">
            <v>2.2000000000000002</v>
          </cell>
          <cell r="D5865">
            <v>0</v>
          </cell>
          <cell r="E5865">
            <v>-1.3</v>
          </cell>
          <cell r="F5865">
            <v>0</v>
          </cell>
          <cell r="G5865">
            <v>0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>
            <v>0</v>
          </cell>
          <cell r="M5865">
            <v>0.15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 t="b">
            <v>0</v>
          </cell>
        </row>
        <row r="5866">
          <cell r="A5866" t="str">
            <v>Data split-7;Reg-16</v>
          </cell>
          <cell r="B5866">
            <v>-3</v>
          </cell>
          <cell r="C5866">
            <v>2</v>
          </cell>
          <cell r="D5866">
            <v>0</v>
          </cell>
          <cell r="E5866">
            <v>-1.1000000000000001</v>
          </cell>
          <cell r="F5866">
            <v>0</v>
          </cell>
          <cell r="G5866">
            <v>0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2.7E-2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 t="b">
            <v>0</v>
          </cell>
        </row>
        <row r="5867">
          <cell r="A5867" t="str">
            <v>Data split-7;Reg-17</v>
          </cell>
          <cell r="B5867">
            <v>-4.8</v>
          </cell>
          <cell r="C5867">
            <v>1.4</v>
          </cell>
          <cell r="D5867">
            <v>0</v>
          </cell>
          <cell r="E5867">
            <v>0</v>
          </cell>
          <cell r="F5867">
            <v>0.77</v>
          </cell>
          <cell r="G5867">
            <v>0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0</v>
          </cell>
          <cell r="M5867">
            <v>7.0999999999999994E-2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 t="b">
            <v>0</v>
          </cell>
        </row>
        <row r="5868">
          <cell r="A5868" t="str">
            <v>Data split-7;Reg-18</v>
          </cell>
          <cell r="B5868">
            <v>-4.4000000000000004</v>
          </cell>
          <cell r="C5868">
            <v>1.4</v>
          </cell>
          <cell r="D5868">
            <v>0</v>
          </cell>
          <cell r="E5868">
            <v>0</v>
          </cell>
          <cell r="F5868">
            <v>0.8</v>
          </cell>
          <cell r="G5868">
            <v>0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>
            <v>0</v>
          </cell>
          <cell r="M5868">
            <v>0</v>
          </cell>
          <cell r="N5868">
            <v>1.2E-2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 t="b">
            <v>0</v>
          </cell>
        </row>
        <row r="5869">
          <cell r="A5869" t="str">
            <v>Data split-7;Reg-19</v>
          </cell>
          <cell r="B5869">
            <v>-4.0999999999999996</v>
          </cell>
          <cell r="C5869">
            <v>1.7</v>
          </cell>
          <cell r="D5869">
            <v>0</v>
          </cell>
          <cell r="E5869">
            <v>0</v>
          </cell>
          <cell r="F5869">
            <v>0</v>
          </cell>
          <cell r="G5869">
            <v>1.1000000000000001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-2.5000000000000001E-2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 t="b">
            <v>1</v>
          </cell>
        </row>
        <row r="5870">
          <cell r="A5870" t="str">
            <v>Data split-7;Reg-20</v>
          </cell>
          <cell r="B5870">
            <v>-4.3</v>
          </cell>
          <cell r="C5870">
            <v>1.7</v>
          </cell>
          <cell r="D5870">
            <v>0</v>
          </cell>
          <cell r="E5870">
            <v>0</v>
          </cell>
          <cell r="F5870">
            <v>0</v>
          </cell>
          <cell r="G5870">
            <v>1.4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-1.0999999999999999E-2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 t="b">
            <v>1</v>
          </cell>
        </row>
        <row r="5871">
          <cell r="A5871" t="str">
            <v>Data split-7;Reg-21</v>
          </cell>
          <cell r="B5871">
            <v>-4.2</v>
          </cell>
          <cell r="C5871">
            <v>1.3</v>
          </cell>
          <cell r="D5871">
            <v>0</v>
          </cell>
          <cell r="E5871">
            <v>0</v>
          </cell>
          <cell r="F5871">
            <v>0</v>
          </cell>
          <cell r="G5871">
            <v>0</v>
          </cell>
          <cell r="H5871">
            <v>2.5</v>
          </cell>
          <cell r="I5871">
            <v>0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-4.4999999999999998E-2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 t="b">
            <v>1</v>
          </cell>
        </row>
        <row r="5872">
          <cell r="A5872" t="str">
            <v>Data split-7;Reg-22</v>
          </cell>
          <cell r="B5872">
            <v>-4.4000000000000004</v>
          </cell>
          <cell r="C5872">
            <v>1.3</v>
          </cell>
          <cell r="D5872">
            <v>0</v>
          </cell>
          <cell r="E5872">
            <v>0</v>
          </cell>
          <cell r="F5872">
            <v>0</v>
          </cell>
          <cell r="G5872">
            <v>0</v>
          </cell>
          <cell r="H5872">
            <v>2.9</v>
          </cell>
          <cell r="I5872">
            <v>0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-1.2999999999999999E-2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 t="b">
            <v>1</v>
          </cell>
        </row>
        <row r="5873">
          <cell r="A5873" t="str">
            <v>Data split-7;Reg-23</v>
          </cell>
          <cell r="B5873">
            <v>-3.9</v>
          </cell>
          <cell r="C5873">
            <v>0</v>
          </cell>
          <cell r="D5873">
            <v>2.2000000000000002</v>
          </cell>
          <cell r="E5873">
            <v>-1.3</v>
          </cell>
          <cell r="F5873">
            <v>0</v>
          </cell>
          <cell r="G5873">
            <v>1.3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 t="b">
            <v>0</v>
          </cell>
        </row>
        <row r="5874">
          <cell r="A5874" t="str">
            <v>Data split-7;Reg-24</v>
          </cell>
          <cell r="B5874">
            <v>-4.3</v>
          </cell>
          <cell r="C5874">
            <v>0</v>
          </cell>
          <cell r="D5874">
            <v>2.2000000000000002</v>
          </cell>
          <cell r="E5874">
            <v>-4.5999999999999996</v>
          </cell>
          <cell r="F5874">
            <v>0</v>
          </cell>
          <cell r="G5874">
            <v>0</v>
          </cell>
          <cell r="H5874">
            <v>6</v>
          </cell>
          <cell r="I5874">
            <v>0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 t="b">
            <v>0</v>
          </cell>
        </row>
        <row r="5875">
          <cell r="A5875" t="str">
            <v>Data split-7;Reg-25</v>
          </cell>
          <cell r="B5875">
            <v>-4.8</v>
          </cell>
          <cell r="C5875">
            <v>0</v>
          </cell>
          <cell r="D5875">
            <v>1.4</v>
          </cell>
          <cell r="E5875">
            <v>0</v>
          </cell>
          <cell r="F5875">
            <v>0.83</v>
          </cell>
          <cell r="G5875">
            <v>0.54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 t="b">
            <v>1</v>
          </cell>
        </row>
        <row r="5876">
          <cell r="A5876" t="str">
            <v>Data split-7;Reg-26</v>
          </cell>
          <cell r="B5876">
            <v>-4.5999999999999996</v>
          </cell>
          <cell r="C5876">
            <v>0</v>
          </cell>
          <cell r="D5876">
            <v>1.4</v>
          </cell>
          <cell r="E5876">
            <v>0</v>
          </cell>
          <cell r="F5876">
            <v>0.79</v>
          </cell>
          <cell r="G5876">
            <v>0</v>
          </cell>
          <cell r="H5876">
            <v>0.77</v>
          </cell>
          <cell r="I5876">
            <v>0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 t="b">
            <v>1</v>
          </cell>
        </row>
        <row r="5877">
          <cell r="A5877" t="str">
            <v>Data split-7;Reg-27</v>
          </cell>
          <cell r="B5877">
            <v>-3.7</v>
          </cell>
          <cell r="C5877">
            <v>0</v>
          </cell>
          <cell r="D5877">
            <v>2.2000000000000002</v>
          </cell>
          <cell r="E5877">
            <v>-1.3</v>
          </cell>
          <cell r="F5877">
            <v>0</v>
          </cell>
          <cell r="G5877">
            <v>0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0</v>
          </cell>
          <cell r="M5877">
            <v>0.15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 t="b">
            <v>0</v>
          </cell>
        </row>
        <row r="5878">
          <cell r="A5878" t="str">
            <v>Data split-7;Reg-28</v>
          </cell>
          <cell r="B5878">
            <v>-3</v>
          </cell>
          <cell r="C5878">
            <v>0</v>
          </cell>
          <cell r="D5878">
            <v>2</v>
          </cell>
          <cell r="E5878">
            <v>-1.1000000000000001</v>
          </cell>
          <cell r="F5878">
            <v>0</v>
          </cell>
          <cell r="G5878">
            <v>0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2.7E-2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 t="b">
            <v>0</v>
          </cell>
        </row>
        <row r="5879">
          <cell r="A5879" t="str">
            <v>Data split-7;Reg-29</v>
          </cell>
          <cell r="B5879">
            <v>-4.8</v>
          </cell>
          <cell r="C5879">
            <v>0</v>
          </cell>
          <cell r="D5879">
            <v>1.4</v>
          </cell>
          <cell r="E5879">
            <v>0</v>
          </cell>
          <cell r="F5879">
            <v>0.77</v>
          </cell>
          <cell r="G5879">
            <v>0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>
            <v>0</v>
          </cell>
          <cell r="M5879">
            <v>7.0000000000000007E-2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 t="b">
            <v>0</v>
          </cell>
        </row>
        <row r="5880">
          <cell r="A5880" t="str">
            <v>Data split-7;Reg-30</v>
          </cell>
          <cell r="B5880">
            <v>-4.4000000000000004</v>
          </cell>
          <cell r="C5880">
            <v>0</v>
          </cell>
          <cell r="D5880">
            <v>1.4</v>
          </cell>
          <cell r="E5880">
            <v>0</v>
          </cell>
          <cell r="F5880">
            <v>0.81</v>
          </cell>
          <cell r="G5880">
            <v>0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1.2E-2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 t="b">
            <v>0</v>
          </cell>
        </row>
        <row r="5881">
          <cell r="A5881" t="str">
            <v>Data split-7;Reg-31</v>
          </cell>
          <cell r="B5881">
            <v>-4.0999999999999996</v>
          </cell>
          <cell r="C5881">
            <v>0</v>
          </cell>
          <cell r="D5881">
            <v>1.7</v>
          </cell>
          <cell r="E5881">
            <v>0</v>
          </cell>
          <cell r="F5881">
            <v>0</v>
          </cell>
          <cell r="G5881">
            <v>1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-2.3E-2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 t="b">
            <v>1</v>
          </cell>
        </row>
        <row r="5882">
          <cell r="A5882" t="str">
            <v>Data split-7;Reg-32</v>
          </cell>
          <cell r="B5882">
            <v>-4.3</v>
          </cell>
          <cell r="C5882">
            <v>0</v>
          </cell>
          <cell r="D5882">
            <v>1.7</v>
          </cell>
          <cell r="E5882">
            <v>0</v>
          </cell>
          <cell r="F5882">
            <v>0</v>
          </cell>
          <cell r="G5882">
            <v>1.3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-0.01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 t="b">
            <v>1</v>
          </cell>
        </row>
        <row r="5883">
          <cell r="A5883" t="str">
            <v>Data split-7;Reg-33</v>
          </cell>
          <cell r="B5883">
            <v>-4.2</v>
          </cell>
          <cell r="C5883">
            <v>0</v>
          </cell>
          <cell r="D5883">
            <v>1.3</v>
          </cell>
          <cell r="E5883">
            <v>0</v>
          </cell>
          <cell r="F5883">
            <v>0</v>
          </cell>
          <cell r="G5883">
            <v>0</v>
          </cell>
          <cell r="H5883">
            <v>2.5</v>
          </cell>
          <cell r="I5883">
            <v>0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-4.3999999999999997E-2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 t="b">
            <v>1</v>
          </cell>
        </row>
        <row r="5884">
          <cell r="A5884" t="str">
            <v>Data split-7;Reg-34</v>
          </cell>
          <cell r="B5884">
            <v>-4.4000000000000004</v>
          </cell>
          <cell r="C5884">
            <v>0</v>
          </cell>
          <cell r="D5884">
            <v>1.3</v>
          </cell>
          <cell r="E5884">
            <v>0</v>
          </cell>
          <cell r="F5884">
            <v>0</v>
          </cell>
          <cell r="G5884">
            <v>0</v>
          </cell>
          <cell r="H5884">
            <v>2.9</v>
          </cell>
          <cell r="I5884">
            <v>0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-1.2999999999999999E-2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 t="b">
            <v>1</v>
          </cell>
        </row>
        <row r="5885">
          <cell r="A5885" t="str">
            <v>Data split-7;Reg-35</v>
          </cell>
          <cell r="B5885">
            <v>-4</v>
          </cell>
          <cell r="C5885">
            <v>2.2000000000000002</v>
          </cell>
          <cell r="D5885">
            <v>0</v>
          </cell>
          <cell r="E5885">
            <v>-1.6</v>
          </cell>
          <cell r="F5885">
            <v>0</v>
          </cell>
          <cell r="G5885">
            <v>0.51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0</v>
          </cell>
          <cell r="M5885">
            <v>0.12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 t="b">
            <v>0</v>
          </cell>
        </row>
        <row r="5886">
          <cell r="A5886" t="str">
            <v>Data split-7;Reg-36</v>
          </cell>
          <cell r="B5886">
            <v>-3.5</v>
          </cell>
          <cell r="C5886">
            <v>2.1</v>
          </cell>
          <cell r="D5886">
            <v>0</v>
          </cell>
          <cell r="E5886">
            <v>-1.5</v>
          </cell>
          <cell r="F5886">
            <v>0</v>
          </cell>
          <cell r="G5886">
            <v>0.69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0</v>
          </cell>
          <cell r="M5886">
            <v>0</v>
          </cell>
          <cell r="N5886">
            <v>1.7999999999999999E-2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 t="b">
            <v>0</v>
          </cell>
        </row>
        <row r="5887">
          <cell r="A5887" t="str">
            <v>Data split-7;Reg-37</v>
          </cell>
          <cell r="B5887">
            <v>-4.4000000000000004</v>
          </cell>
          <cell r="C5887">
            <v>2.1</v>
          </cell>
          <cell r="D5887">
            <v>0</v>
          </cell>
          <cell r="E5887">
            <v>-4.9000000000000004</v>
          </cell>
          <cell r="F5887">
            <v>0</v>
          </cell>
          <cell r="G5887">
            <v>0</v>
          </cell>
          <cell r="H5887">
            <v>6.9</v>
          </cell>
          <cell r="I5887">
            <v>0</v>
          </cell>
          <cell r="J5887">
            <v>0</v>
          </cell>
          <cell r="K5887">
            <v>0</v>
          </cell>
          <cell r="L5887">
            <v>0</v>
          </cell>
          <cell r="M5887">
            <v>-3.9E-2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 t="b">
            <v>0</v>
          </cell>
        </row>
        <row r="5888">
          <cell r="A5888" t="str">
            <v>Data split-7;Reg-38</v>
          </cell>
          <cell r="B5888">
            <v>-5.7</v>
          </cell>
          <cell r="C5888">
            <v>2.2999999999999998</v>
          </cell>
          <cell r="D5888">
            <v>0</v>
          </cell>
          <cell r="E5888">
            <v>-6.9</v>
          </cell>
          <cell r="F5888">
            <v>0</v>
          </cell>
          <cell r="G5888">
            <v>0</v>
          </cell>
          <cell r="H5888">
            <v>11.9</v>
          </cell>
          <cell r="I5888">
            <v>0</v>
          </cell>
          <cell r="J5888">
            <v>0</v>
          </cell>
          <cell r="K5888">
            <v>0</v>
          </cell>
          <cell r="L5888">
            <v>0</v>
          </cell>
          <cell r="M5888">
            <v>0</v>
          </cell>
          <cell r="N5888">
            <v>-4.7E-2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 t="b">
            <v>0</v>
          </cell>
        </row>
        <row r="5889">
          <cell r="A5889" t="str">
            <v>Data split-7;Reg-39</v>
          </cell>
          <cell r="B5889">
            <v>-4.8</v>
          </cell>
          <cell r="C5889">
            <v>1.4</v>
          </cell>
          <cell r="D5889">
            <v>0</v>
          </cell>
          <cell r="E5889">
            <v>0</v>
          </cell>
          <cell r="F5889">
            <v>0.77</v>
          </cell>
          <cell r="G5889">
            <v>0.03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>
            <v>0</v>
          </cell>
          <cell r="M5889">
            <v>6.9000000000000006E-2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 t="b">
            <v>0</v>
          </cell>
        </row>
        <row r="5890">
          <cell r="A5890" t="str">
            <v>Data split-7;Reg-40</v>
          </cell>
          <cell r="B5890">
            <v>-4.5999999999999996</v>
          </cell>
          <cell r="C5890">
            <v>1.4</v>
          </cell>
          <cell r="D5890">
            <v>0</v>
          </cell>
          <cell r="E5890">
            <v>0</v>
          </cell>
          <cell r="F5890">
            <v>0.8</v>
          </cell>
          <cell r="G5890">
            <v>0.24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>
            <v>0</v>
          </cell>
          <cell r="M5890">
            <v>0</v>
          </cell>
          <cell r="N5890">
            <v>8.0000000000000002E-3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 t="b">
            <v>0</v>
          </cell>
        </row>
        <row r="5891">
          <cell r="A5891" t="str">
            <v>Data split-7;Reg-41</v>
          </cell>
          <cell r="B5891">
            <v>-4.5</v>
          </cell>
          <cell r="C5891">
            <v>1.7</v>
          </cell>
          <cell r="D5891">
            <v>0</v>
          </cell>
          <cell r="E5891">
            <v>0</v>
          </cell>
          <cell r="F5891">
            <v>0.86</v>
          </cell>
          <cell r="G5891">
            <v>0</v>
          </cell>
          <cell r="H5891">
            <v>-1.3</v>
          </cell>
          <cell r="I5891">
            <v>0</v>
          </cell>
          <cell r="J5891">
            <v>0</v>
          </cell>
          <cell r="K5891">
            <v>0</v>
          </cell>
          <cell r="L5891">
            <v>0</v>
          </cell>
          <cell r="M5891">
            <v>0.13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 t="b">
            <v>0</v>
          </cell>
        </row>
        <row r="5892">
          <cell r="A5892" t="str">
            <v>Data split-7;Reg-42</v>
          </cell>
          <cell r="B5892">
            <v>-4</v>
          </cell>
          <cell r="C5892">
            <v>1.5</v>
          </cell>
          <cell r="D5892">
            <v>0</v>
          </cell>
          <cell r="E5892">
            <v>0</v>
          </cell>
          <cell r="F5892">
            <v>0.87</v>
          </cell>
          <cell r="G5892">
            <v>0</v>
          </cell>
          <cell r="H5892">
            <v>-0.92</v>
          </cell>
          <cell r="I5892">
            <v>0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0.02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 t="b">
            <v>0</v>
          </cell>
        </row>
        <row r="5893">
          <cell r="A5893" t="str">
            <v>Data split-7;Reg-43</v>
          </cell>
          <cell r="B5893">
            <v>-4</v>
          </cell>
          <cell r="C5893">
            <v>2.1</v>
          </cell>
          <cell r="D5893">
            <v>0</v>
          </cell>
          <cell r="E5893">
            <v>-1.2</v>
          </cell>
          <cell r="F5893">
            <v>0</v>
          </cell>
          <cell r="G5893">
            <v>1.5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-0.02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 t="b">
            <v>0</v>
          </cell>
        </row>
        <row r="5894">
          <cell r="A5894" t="str">
            <v>Data split-7;Reg-44</v>
          </cell>
          <cell r="B5894">
            <v>-4.2</v>
          </cell>
          <cell r="C5894">
            <v>2.1</v>
          </cell>
          <cell r="D5894">
            <v>0</v>
          </cell>
          <cell r="E5894">
            <v>-1.2</v>
          </cell>
          <cell r="F5894">
            <v>0</v>
          </cell>
          <cell r="G5894">
            <v>1.8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-1.0999999999999999E-2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 t="b">
            <v>0</v>
          </cell>
        </row>
        <row r="5895">
          <cell r="A5895" t="str">
            <v>Data split-7;Reg-45</v>
          </cell>
          <cell r="B5895">
            <v>-4</v>
          </cell>
          <cell r="C5895">
            <v>1.9</v>
          </cell>
          <cell r="D5895">
            <v>0</v>
          </cell>
          <cell r="E5895">
            <v>-5.4</v>
          </cell>
          <cell r="F5895">
            <v>0</v>
          </cell>
          <cell r="G5895">
            <v>0</v>
          </cell>
          <cell r="H5895">
            <v>8.5</v>
          </cell>
          <cell r="I5895">
            <v>0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-0.11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 t="b">
            <v>0</v>
          </cell>
        </row>
        <row r="5896">
          <cell r="A5896" t="str">
            <v>Data split-7;Reg-46</v>
          </cell>
          <cell r="B5896">
            <v>-4.5999999999999996</v>
          </cell>
          <cell r="C5896">
            <v>1.9</v>
          </cell>
          <cell r="D5896">
            <v>0</v>
          </cell>
          <cell r="E5896">
            <v>-5.8</v>
          </cell>
          <cell r="F5896">
            <v>0</v>
          </cell>
          <cell r="G5896">
            <v>0</v>
          </cell>
          <cell r="H5896">
            <v>9.4</v>
          </cell>
          <cell r="I5896">
            <v>0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-2.7E-2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 t="b">
            <v>0</v>
          </cell>
        </row>
        <row r="5897">
          <cell r="A5897" t="str">
            <v>Data split-7;Reg-47</v>
          </cell>
          <cell r="B5897">
            <v>-4.8</v>
          </cell>
          <cell r="C5897">
            <v>1.3</v>
          </cell>
          <cell r="D5897">
            <v>0</v>
          </cell>
          <cell r="E5897">
            <v>0</v>
          </cell>
          <cell r="F5897">
            <v>0.93</v>
          </cell>
          <cell r="G5897">
            <v>1.2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-0.08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 t="b">
            <v>1</v>
          </cell>
        </row>
        <row r="5898">
          <cell r="A5898" t="str">
            <v>Data split-7;Reg-48</v>
          </cell>
          <cell r="B5898">
            <v>-5.3</v>
          </cell>
          <cell r="C5898">
            <v>1.3</v>
          </cell>
          <cell r="D5898">
            <v>0</v>
          </cell>
          <cell r="E5898">
            <v>0</v>
          </cell>
          <cell r="F5898">
            <v>0.96</v>
          </cell>
          <cell r="G5898">
            <v>1.6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-2.1999999999999999E-2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 t="b">
            <v>1</v>
          </cell>
        </row>
        <row r="5899">
          <cell r="A5899" t="str">
            <v>Data split-7;Reg-49</v>
          </cell>
          <cell r="B5899">
            <v>-4.5</v>
          </cell>
          <cell r="C5899">
            <v>1.3</v>
          </cell>
          <cell r="D5899">
            <v>0</v>
          </cell>
          <cell r="E5899">
            <v>0</v>
          </cell>
          <cell r="F5899">
            <v>0.79</v>
          </cell>
          <cell r="G5899">
            <v>0</v>
          </cell>
          <cell r="H5899">
            <v>1.6</v>
          </cell>
          <cell r="I5899">
            <v>0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-4.9000000000000002E-2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 t="b">
            <v>1</v>
          </cell>
        </row>
        <row r="5900">
          <cell r="A5900" t="str">
            <v>Data split-7;Reg-50</v>
          </cell>
          <cell r="B5900">
            <v>-4.7</v>
          </cell>
          <cell r="C5900">
            <v>1.2</v>
          </cell>
          <cell r="D5900">
            <v>0</v>
          </cell>
          <cell r="E5900">
            <v>0</v>
          </cell>
          <cell r="F5900">
            <v>0.78</v>
          </cell>
          <cell r="G5900">
            <v>0</v>
          </cell>
          <cell r="H5900">
            <v>1.9</v>
          </cell>
          <cell r="I5900">
            <v>0</v>
          </cell>
          <cell r="J5900">
            <v>0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-1.2999999999999999E-2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 t="b">
            <v>1</v>
          </cell>
        </row>
        <row r="5901">
          <cell r="A5901" t="str">
            <v>Data split-7;Reg-51</v>
          </cell>
          <cell r="B5901">
            <v>-3.9</v>
          </cell>
          <cell r="C5901">
            <v>0</v>
          </cell>
          <cell r="D5901">
            <v>2.2000000000000002</v>
          </cell>
          <cell r="E5901">
            <v>-1.6</v>
          </cell>
          <cell r="F5901">
            <v>0</v>
          </cell>
          <cell r="G5901">
            <v>0.52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0.12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 t="b">
            <v>0</v>
          </cell>
        </row>
        <row r="5902">
          <cell r="A5902" t="str">
            <v>Data split-7;Reg-52</v>
          </cell>
          <cell r="B5902">
            <v>-3.5</v>
          </cell>
          <cell r="C5902">
            <v>0</v>
          </cell>
          <cell r="D5902">
            <v>2.1</v>
          </cell>
          <cell r="E5902">
            <v>-1.5</v>
          </cell>
          <cell r="F5902">
            <v>0</v>
          </cell>
          <cell r="G5902">
            <v>0.69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1.7999999999999999E-2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 t="b">
            <v>0</v>
          </cell>
        </row>
        <row r="5903">
          <cell r="A5903" t="str">
            <v>Data split-7;Reg-53</v>
          </cell>
          <cell r="B5903">
            <v>-4.3</v>
          </cell>
          <cell r="C5903">
            <v>0</v>
          </cell>
          <cell r="D5903">
            <v>2.1</v>
          </cell>
          <cell r="E5903">
            <v>-5</v>
          </cell>
          <cell r="F5903">
            <v>0</v>
          </cell>
          <cell r="G5903">
            <v>0</v>
          </cell>
          <cell r="H5903">
            <v>7</v>
          </cell>
          <cell r="I5903">
            <v>0</v>
          </cell>
          <cell r="J5903">
            <v>0</v>
          </cell>
          <cell r="K5903">
            <v>0</v>
          </cell>
          <cell r="L5903">
            <v>0</v>
          </cell>
          <cell r="M5903">
            <v>-4.2000000000000003E-2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 t="b">
            <v>0</v>
          </cell>
        </row>
        <row r="5904">
          <cell r="A5904" t="str">
            <v>Data split-7;Reg-54</v>
          </cell>
          <cell r="B5904">
            <v>-5.7</v>
          </cell>
          <cell r="C5904">
            <v>0</v>
          </cell>
          <cell r="D5904">
            <v>2.2999999999999998</v>
          </cell>
          <cell r="E5904">
            <v>-6.9</v>
          </cell>
          <cell r="F5904">
            <v>0</v>
          </cell>
          <cell r="G5904">
            <v>0</v>
          </cell>
          <cell r="H5904">
            <v>11.9</v>
          </cell>
          <cell r="I5904">
            <v>0</v>
          </cell>
          <cell r="J5904">
            <v>0</v>
          </cell>
          <cell r="K5904">
            <v>0</v>
          </cell>
          <cell r="L5904">
            <v>0</v>
          </cell>
          <cell r="M5904">
            <v>0</v>
          </cell>
          <cell r="N5904">
            <v>-4.7E-2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 t="b">
            <v>0</v>
          </cell>
        </row>
        <row r="5905">
          <cell r="A5905" t="str">
            <v>Data split-7;Reg-55</v>
          </cell>
          <cell r="B5905">
            <v>-4.8</v>
          </cell>
          <cell r="C5905">
            <v>0</v>
          </cell>
          <cell r="D5905">
            <v>1.4</v>
          </cell>
          <cell r="E5905">
            <v>0</v>
          </cell>
          <cell r="F5905">
            <v>0.77</v>
          </cell>
          <cell r="G5905">
            <v>3.5000000000000003E-2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>
            <v>0</v>
          </cell>
          <cell r="M5905">
            <v>6.7000000000000004E-2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 t="b">
            <v>0</v>
          </cell>
        </row>
        <row r="5906">
          <cell r="A5906" t="str">
            <v>Data split-7;Reg-56</v>
          </cell>
          <cell r="B5906">
            <v>-4.5999999999999996</v>
          </cell>
          <cell r="C5906">
            <v>0</v>
          </cell>
          <cell r="D5906">
            <v>1.4</v>
          </cell>
          <cell r="E5906">
            <v>0</v>
          </cell>
          <cell r="F5906">
            <v>0.81</v>
          </cell>
          <cell r="G5906">
            <v>0.24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>
            <v>0</v>
          </cell>
          <cell r="M5906">
            <v>0</v>
          </cell>
          <cell r="N5906">
            <v>7.7999999999999996E-3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 t="b">
            <v>0</v>
          </cell>
        </row>
        <row r="5907">
          <cell r="A5907" t="str">
            <v>Data split-7;Reg-57</v>
          </cell>
          <cell r="B5907">
            <v>-4.5</v>
          </cell>
          <cell r="C5907">
            <v>0</v>
          </cell>
          <cell r="D5907">
            <v>1.7</v>
          </cell>
          <cell r="E5907">
            <v>0</v>
          </cell>
          <cell r="F5907">
            <v>0.87</v>
          </cell>
          <cell r="G5907">
            <v>0</v>
          </cell>
          <cell r="H5907">
            <v>-1.4</v>
          </cell>
          <cell r="I5907">
            <v>0</v>
          </cell>
          <cell r="J5907">
            <v>0</v>
          </cell>
          <cell r="K5907">
            <v>0</v>
          </cell>
          <cell r="L5907">
            <v>0</v>
          </cell>
          <cell r="M5907">
            <v>0.13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 t="b">
            <v>0</v>
          </cell>
        </row>
        <row r="5908">
          <cell r="A5908" t="str">
            <v>Data split-7;Reg-58</v>
          </cell>
          <cell r="B5908">
            <v>-4</v>
          </cell>
          <cell r="C5908">
            <v>0</v>
          </cell>
          <cell r="D5908">
            <v>1.5</v>
          </cell>
          <cell r="E5908">
            <v>0</v>
          </cell>
          <cell r="F5908">
            <v>0.87</v>
          </cell>
          <cell r="G5908">
            <v>0</v>
          </cell>
          <cell r="H5908">
            <v>-0.95</v>
          </cell>
          <cell r="I5908">
            <v>0</v>
          </cell>
          <cell r="J5908">
            <v>0</v>
          </cell>
          <cell r="K5908">
            <v>0</v>
          </cell>
          <cell r="L5908">
            <v>0</v>
          </cell>
          <cell r="M5908">
            <v>0</v>
          </cell>
          <cell r="N5908">
            <v>0.02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 t="b">
            <v>0</v>
          </cell>
        </row>
        <row r="5909">
          <cell r="A5909" t="str">
            <v>Data split-7;Reg-59</v>
          </cell>
          <cell r="B5909">
            <v>-3.9</v>
          </cell>
          <cell r="C5909">
            <v>0</v>
          </cell>
          <cell r="D5909">
            <v>2.1</v>
          </cell>
          <cell r="E5909">
            <v>-1.2</v>
          </cell>
          <cell r="F5909">
            <v>0</v>
          </cell>
          <cell r="G5909">
            <v>1.5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-1.7000000000000001E-2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 t="b">
            <v>0</v>
          </cell>
        </row>
        <row r="5910">
          <cell r="A5910" t="str">
            <v>Data split-7;Reg-60</v>
          </cell>
          <cell r="B5910">
            <v>-4.0999999999999996</v>
          </cell>
          <cell r="C5910">
            <v>0</v>
          </cell>
          <cell r="D5910">
            <v>2.1</v>
          </cell>
          <cell r="E5910">
            <v>-1.2</v>
          </cell>
          <cell r="F5910">
            <v>0</v>
          </cell>
          <cell r="G5910">
            <v>1.8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-9.7000000000000003E-3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 t="b">
            <v>0</v>
          </cell>
        </row>
        <row r="5911">
          <cell r="A5911" t="str">
            <v>Data split-7;Reg-61</v>
          </cell>
          <cell r="B5911">
            <v>-4</v>
          </cell>
          <cell r="C5911">
            <v>0</v>
          </cell>
          <cell r="D5911">
            <v>1.9</v>
          </cell>
          <cell r="E5911">
            <v>-5.4</v>
          </cell>
          <cell r="F5911">
            <v>0</v>
          </cell>
          <cell r="G5911">
            <v>0</v>
          </cell>
          <cell r="H5911">
            <v>8.4</v>
          </cell>
          <cell r="I5911">
            <v>0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-0.1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 t="b">
            <v>0</v>
          </cell>
        </row>
        <row r="5912">
          <cell r="A5912" t="str">
            <v>Data split-7;Reg-62</v>
          </cell>
          <cell r="B5912">
            <v>-4.5</v>
          </cell>
          <cell r="C5912">
            <v>0</v>
          </cell>
          <cell r="D5912">
            <v>1.9</v>
          </cell>
          <cell r="E5912">
            <v>-5.7</v>
          </cell>
          <cell r="F5912">
            <v>0</v>
          </cell>
          <cell r="G5912">
            <v>0</v>
          </cell>
          <cell r="H5912">
            <v>9.3000000000000007</v>
          </cell>
          <cell r="I5912">
            <v>0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-2.5999999999999999E-2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 t="b">
            <v>0</v>
          </cell>
        </row>
        <row r="5913">
          <cell r="A5913" t="str">
            <v>Data split-7;Reg-63</v>
          </cell>
          <cell r="B5913">
            <v>-4.8</v>
          </cell>
          <cell r="C5913">
            <v>0</v>
          </cell>
          <cell r="D5913">
            <v>1.3</v>
          </cell>
          <cell r="E5913">
            <v>0</v>
          </cell>
          <cell r="F5913">
            <v>0.94</v>
          </cell>
          <cell r="G5913">
            <v>1.2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-7.9000000000000001E-2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 t="b">
            <v>1</v>
          </cell>
        </row>
        <row r="5914">
          <cell r="A5914" t="str">
            <v>Data split-7;Reg-64</v>
          </cell>
          <cell r="B5914">
            <v>-5.2</v>
          </cell>
          <cell r="C5914">
            <v>0</v>
          </cell>
          <cell r="D5914">
            <v>1.3</v>
          </cell>
          <cell r="E5914">
            <v>0</v>
          </cell>
          <cell r="F5914">
            <v>0.96</v>
          </cell>
          <cell r="G5914">
            <v>1.5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-2.1000000000000001E-2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 t="b">
            <v>1</v>
          </cell>
        </row>
        <row r="5915">
          <cell r="A5915" t="str">
            <v>Data split-7;Reg-65</v>
          </cell>
          <cell r="B5915">
            <v>-4.4000000000000004</v>
          </cell>
          <cell r="C5915">
            <v>0</v>
          </cell>
          <cell r="D5915">
            <v>1.3</v>
          </cell>
          <cell r="E5915">
            <v>0</v>
          </cell>
          <cell r="F5915">
            <v>0.8</v>
          </cell>
          <cell r="G5915">
            <v>0</v>
          </cell>
          <cell r="H5915">
            <v>1.5</v>
          </cell>
          <cell r="I5915">
            <v>0</v>
          </cell>
          <cell r="J5915">
            <v>0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-4.7E-2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 t="b">
            <v>1</v>
          </cell>
        </row>
        <row r="5916">
          <cell r="A5916" t="str">
            <v>Data split-7;Reg-66</v>
          </cell>
          <cell r="B5916">
            <v>-4.7</v>
          </cell>
          <cell r="C5916">
            <v>0</v>
          </cell>
          <cell r="D5916">
            <v>1.2</v>
          </cell>
          <cell r="E5916">
            <v>0</v>
          </cell>
          <cell r="F5916">
            <v>0.79</v>
          </cell>
          <cell r="G5916">
            <v>0</v>
          </cell>
          <cell r="H5916">
            <v>1.9</v>
          </cell>
          <cell r="I5916">
            <v>0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-1.2999999999999999E-2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 t="b">
            <v>1</v>
          </cell>
        </row>
        <row r="5917">
          <cell r="A5917" t="str">
            <v>Data split-7;Reg-67</v>
          </cell>
          <cell r="B5917">
            <v>-4.2</v>
          </cell>
          <cell r="C5917">
            <v>1.8</v>
          </cell>
          <cell r="D5917">
            <v>0</v>
          </cell>
          <cell r="E5917">
            <v>0</v>
          </cell>
          <cell r="F5917">
            <v>0</v>
          </cell>
          <cell r="G5917">
            <v>0.84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 t="b">
            <v>1</v>
          </cell>
        </row>
        <row r="5918">
          <cell r="A5918" t="str">
            <v>Data split-7;Reg-68</v>
          </cell>
          <cell r="B5918">
            <v>-4.9000000000000004</v>
          </cell>
          <cell r="C5918">
            <v>1.4</v>
          </cell>
          <cell r="D5918">
            <v>0</v>
          </cell>
          <cell r="E5918">
            <v>0</v>
          </cell>
          <cell r="F5918">
            <v>0.83</v>
          </cell>
          <cell r="G5918">
            <v>0.55000000000000004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 t="b">
            <v>1</v>
          </cell>
        </row>
        <row r="5919">
          <cell r="A5919" t="str">
            <v>Data split-7;Reg-69</v>
          </cell>
          <cell r="B5919">
            <v>-11.7</v>
          </cell>
          <cell r="C5919">
            <v>1.5</v>
          </cell>
          <cell r="D5919">
            <v>0</v>
          </cell>
          <cell r="E5919">
            <v>0</v>
          </cell>
          <cell r="F5919">
            <v>0</v>
          </cell>
          <cell r="G5919">
            <v>0.36</v>
          </cell>
          <cell r="H5919">
            <v>0</v>
          </cell>
          <cell r="I5919">
            <v>0</v>
          </cell>
          <cell r="J5919">
            <v>58.7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 t="b">
            <v>0</v>
          </cell>
        </row>
        <row r="5920">
          <cell r="A5920" t="str">
            <v>Data split-7;Reg-70</v>
          </cell>
          <cell r="B5920">
            <v>-11.8</v>
          </cell>
          <cell r="C5920">
            <v>1.4</v>
          </cell>
          <cell r="D5920">
            <v>0</v>
          </cell>
          <cell r="E5920">
            <v>0</v>
          </cell>
          <cell r="F5920">
            <v>0</v>
          </cell>
          <cell r="G5920">
            <v>0.2</v>
          </cell>
          <cell r="H5920">
            <v>0</v>
          </cell>
          <cell r="I5920">
            <v>0</v>
          </cell>
          <cell r="J5920">
            <v>58.2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2.5999999999999999E-2</v>
          </cell>
          <cell r="T5920">
            <v>0</v>
          </cell>
          <cell r="U5920" t="b">
            <v>0</v>
          </cell>
        </row>
        <row r="5921">
          <cell r="A5921" t="str">
            <v>Data split-7;Reg-71</v>
          </cell>
          <cell r="B5921">
            <v>-4.7</v>
          </cell>
          <cell r="C5921">
            <v>1.5</v>
          </cell>
          <cell r="D5921">
            <v>0</v>
          </cell>
          <cell r="E5921">
            <v>0</v>
          </cell>
          <cell r="F5921">
            <v>0.8</v>
          </cell>
          <cell r="G5921">
            <v>0</v>
          </cell>
          <cell r="H5921">
            <v>0.48</v>
          </cell>
          <cell r="I5921">
            <v>0</v>
          </cell>
          <cell r="J5921">
            <v>0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2.1000000000000001E-2</v>
          </cell>
          <cell r="T5921">
            <v>0</v>
          </cell>
          <cell r="U5921" t="b">
            <v>0</v>
          </cell>
        </row>
        <row r="5922">
          <cell r="A5922" t="str">
            <v>Data split-7;Reg-72</v>
          </cell>
          <cell r="B5922">
            <v>-3.1</v>
          </cell>
          <cell r="C5922">
            <v>2.1</v>
          </cell>
          <cell r="D5922">
            <v>0</v>
          </cell>
          <cell r="E5922">
            <v>0.31</v>
          </cell>
          <cell r="F5922">
            <v>0</v>
          </cell>
          <cell r="G5922">
            <v>0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 t="b">
            <v>1</v>
          </cell>
        </row>
        <row r="5923">
          <cell r="A5923" t="str">
            <v>Data split-7;Reg-73</v>
          </cell>
          <cell r="B5923">
            <v>-4.0999999999999996</v>
          </cell>
          <cell r="C5923">
            <v>1.7</v>
          </cell>
          <cell r="D5923">
            <v>0</v>
          </cell>
          <cell r="E5923">
            <v>0</v>
          </cell>
          <cell r="F5923">
            <v>0.9</v>
          </cell>
          <cell r="G5923">
            <v>0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 t="b">
            <v>1</v>
          </cell>
        </row>
        <row r="5924">
          <cell r="A5924" t="str">
            <v>Data split-7;Reg-74</v>
          </cell>
          <cell r="B5924">
            <v>-3</v>
          </cell>
          <cell r="C5924">
            <v>0</v>
          </cell>
          <cell r="D5924">
            <v>2.1</v>
          </cell>
          <cell r="E5924">
            <v>0.28000000000000003</v>
          </cell>
          <cell r="F5924">
            <v>0</v>
          </cell>
          <cell r="G5924">
            <v>0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 t="b">
            <v>1</v>
          </cell>
        </row>
        <row r="5925">
          <cell r="A5925" t="str">
            <v>Data split-7;Reg-75</v>
          </cell>
          <cell r="B5925">
            <v>-4.0999999999999996</v>
          </cell>
          <cell r="C5925">
            <v>0</v>
          </cell>
          <cell r="D5925">
            <v>1.7</v>
          </cell>
          <cell r="E5925">
            <v>0</v>
          </cell>
          <cell r="F5925">
            <v>0.9</v>
          </cell>
          <cell r="G5925">
            <v>0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 t="b">
            <v>1</v>
          </cell>
        </row>
        <row r="5926">
          <cell r="A5926" t="str">
            <v>Data split-7;Reg-76</v>
          </cell>
          <cell r="B5926">
            <v>-4.2</v>
          </cell>
          <cell r="C5926">
            <v>1.8</v>
          </cell>
          <cell r="D5926">
            <v>0</v>
          </cell>
          <cell r="E5926">
            <v>0</v>
          </cell>
          <cell r="F5926">
            <v>0</v>
          </cell>
          <cell r="G5926">
            <v>0.84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 t="b">
            <v>1</v>
          </cell>
        </row>
        <row r="5927">
          <cell r="A5927" t="str">
            <v>Data split-7;Reg-77</v>
          </cell>
          <cell r="B5927">
            <v>-4.3</v>
          </cell>
          <cell r="C5927">
            <v>1.5</v>
          </cell>
          <cell r="D5927">
            <v>0</v>
          </cell>
          <cell r="E5927">
            <v>0</v>
          </cell>
          <cell r="F5927">
            <v>0</v>
          </cell>
          <cell r="G5927">
            <v>0</v>
          </cell>
          <cell r="H5927">
            <v>1.8</v>
          </cell>
          <cell r="I5927">
            <v>0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 t="b">
            <v>1</v>
          </cell>
        </row>
        <row r="5928">
          <cell r="A5928" t="str">
            <v>Data split-7;Reg-78</v>
          </cell>
          <cell r="B5928">
            <v>-4.0999999999999996</v>
          </cell>
          <cell r="C5928">
            <v>0</v>
          </cell>
          <cell r="D5928">
            <v>1.8</v>
          </cell>
          <cell r="E5928">
            <v>0</v>
          </cell>
          <cell r="F5928">
            <v>0</v>
          </cell>
          <cell r="G5928">
            <v>0.83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 t="b">
            <v>1</v>
          </cell>
        </row>
        <row r="5929">
          <cell r="A5929" t="str">
            <v>Data split-7;Reg-79</v>
          </cell>
          <cell r="B5929">
            <v>-4.3</v>
          </cell>
          <cell r="C5929">
            <v>0</v>
          </cell>
          <cell r="D5929">
            <v>1.5</v>
          </cell>
          <cell r="E5929">
            <v>0</v>
          </cell>
          <cell r="F5929">
            <v>0</v>
          </cell>
          <cell r="G5929">
            <v>0</v>
          </cell>
          <cell r="H5929">
            <v>1.8</v>
          </cell>
          <cell r="I5929">
            <v>0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 t="b">
            <v>1</v>
          </cell>
        </row>
        <row r="5930">
          <cell r="A5930" t="str">
            <v>Data split-7;Reg-80</v>
          </cell>
          <cell r="B5930">
            <v>-6.1</v>
          </cell>
          <cell r="C5930">
            <v>1.5</v>
          </cell>
          <cell r="D5930">
            <v>0</v>
          </cell>
          <cell r="E5930">
            <v>0</v>
          </cell>
          <cell r="F5930">
            <v>0</v>
          </cell>
          <cell r="G5930">
            <v>0</v>
          </cell>
          <cell r="H5930">
            <v>0</v>
          </cell>
          <cell r="I5930">
            <v>5.4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 t="b">
            <v>0</v>
          </cell>
        </row>
        <row r="5931">
          <cell r="A5931" t="str">
            <v>Data split-7;Reg-81</v>
          </cell>
          <cell r="B5931">
            <v>-11.7</v>
          </cell>
          <cell r="C5931">
            <v>1.6</v>
          </cell>
          <cell r="D5931">
            <v>0</v>
          </cell>
          <cell r="E5931">
            <v>0</v>
          </cell>
          <cell r="F5931">
            <v>0</v>
          </cell>
          <cell r="G5931">
            <v>0</v>
          </cell>
          <cell r="H5931">
            <v>0</v>
          </cell>
          <cell r="I5931">
            <v>0</v>
          </cell>
          <cell r="J5931">
            <v>62.1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 t="b">
            <v>0</v>
          </cell>
        </row>
        <row r="5932">
          <cell r="A5932" t="str">
            <v>Data split-7;Reg-82</v>
          </cell>
          <cell r="B5932">
            <v>-6</v>
          </cell>
          <cell r="C5932">
            <v>0</v>
          </cell>
          <cell r="D5932">
            <v>1.5</v>
          </cell>
          <cell r="E5932">
            <v>0</v>
          </cell>
          <cell r="F5932">
            <v>0</v>
          </cell>
          <cell r="G5932">
            <v>0</v>
          </cell>
          <cell r="H5932">
            <v>0</v>
          </cell>
          <cell r="I5932">
            <v>5.4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 t="b">
            <v>0</v>
          </cell>
        </row>
        <row r="5933">
          <cell r="A5933" t="str">
            <v>Data split-7;Reg-83</v>
          </cell>
          <cell r="B5933">
            <v>-11.6</v>
          </cell>
          <cell r="C5933">
            <v>0</v>
          </cell>
          <cell r="D5933">
            <v>1.6</v>
          </cell>
          <cell r="E5933">
            <v>0</v>
          </cell>
          <cell r="F5933">
            <v>0</v>
          </cell>
          <cell r="G5933">
            <v>0</v>
          </cell>
          <cell r="H5933">
            <v>0</v>
          </cell>
          <cell r="I5933">
            <v>0</v>
          </cell>
          <cell r="J5933">
            <v>62.1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 t="b">
            <v>0</v>
          </cell>
        </row>
        <row r="5934">
          <cell r="A5934" t="str">
            <v>Data split-7;Reg-84</v>
          </cell>
          <cell r="B5934">
            <v>-3.9</v>
          </cell>
          <cell r="C5934">
            <v>1.7</v>
          </cell>
          <cell r="D5934">
            <v>0</v>
          </cell>
          <cell r="E5934">
            <v>0</v>
          </cell>
          <cell r="F5934">
            <v>0</v>
          </cell>
          <cell r="G5934">
            <v>0</v>
          </cell>
          <cell r="H5934">
            <v>0</v>
          </cell>
          <cell r="I5934">
            <v>0</v>
          </cell>
          <cell r="J5934">
            <v>0</v>
          </cell>
          <cell r="K5934">
            <v>2.8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 t="b">
            <v>0</v>
          </cell>
        </row>
        <row r="5935">
          <cell r="A5935" t="str">
            <v>Data split-7;Reg-85</v>
          </cell>
          <cell r="B5935">
            <v>-2.8</v>
          </cell>
          <cell r="C5935">
            <v>2.2000000000000002</v>
          </cell>
          <cell r="D5935">
            <v>0</v>
          </cell>
          <cell r="E5935">
            <v>0</v>
          </cell>
          <cell r="F5935">
            <v>0</v>
          </cell>
          <cell r="G5935">
            <v>0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-0.7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 t="b">
            <v>1</v>
          </cell>
        </row>
        <row r="5936">
          <cell r="A5936" t="str">
            <v>Data split-7;Reg-86</v>
          </cell>
          <cell r="B5936">
            <v>-3.8</v>
          </cell>
          <cell r="C5936">
            <v>0</v>
          </cell>
          <cell r="D5936">
            <v>1.7</v>
          </cell>
          <cell r="E5936">
            <v>0</v>
          </cell>
          <cell r="F5936">
            <v>0</v>
          </cell>
          <cell r="G5936">
            <v>0</v>
          </cell>
          <cell r="H5936">
            <v>0</v>
          </cell>
          <cell r="I5936">
            <v>0</v>
          </cell>
          <cell r="J5936">
            <v>0</v>
          </cell>
          <cell r="K5936">
            <v>2.8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 t="b">
            <v>0</v>
          </cell>
        </row>
        <row r="5937">
          <cell r="A5937" t="str">
            <v>Data split-7;Reg-87</v>
          </cell>
          <cell r="B5937">
            <v>-2.7</v>
          </cell>
          <cell r="C5937">
            <v>0</v>
          </cell>
          <cell r="D5937">
            <v>2.2000000000000002</v>
          </cell>
          <cell r="E5937">
            <v>0</v>
          </cell>
          <cell r="F5937">
            <v>0</v>
          </cell>
          <cell r="G5937">
            <v>0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-0.99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 t="b">
            <v>1</v>
          </cell>
        </row>
        <row r="5938">
          <cell r="A5938" t="str">
            <v>Data split-7;Reg-88</v>
          </cell>
          <cell r="B5938">
            <v>-4.2</v>
          </cell>
          <cell r="C5938">
            <v>1.7</v>
          </cell>
          <cell r="D5938">
            <v>0</v>
          </cell>
          <cell r="E5938">
            <v>0</v>
          </cell>
          <cell r="F5938">
            <v>0</v>
          </cell>
          <cell r="G5938">
            <v>0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0</v>
          </cell>
          <cell r="M5938">
            <v>0.11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 t="b">
            <v>0</v>
          </cell>
        </row>
        <row r="5939">
          <cell r="A5939" t="str">
            <v>Data split-7;Reg-89</v>
          </cell>
          <cell r="B5939">
            <v>-3.5</v>
          </cell>
          <cell r="C5939">
            <v>1.7</v>
          </cell>
          <cell r="D5939">
            <v>0</v>
          </cell>
          <cell r="E5939">
            <v>0</v>
          </cell>
          <cell r="F5939">
            <v>0</v>
          </cell>
          <cell r="G5939">
            <v>0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1.9E-2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 t="b">
            <v>0</v>
          </cell>
        </row>
        <row r="5940">
          <cell r="A5940" t="str">
            <v>Data split-7;Reg-90</v>
          </cell>
          <cell r="B5940">
            <v>-4.0999999999999996</v>
          </cell>
          <cell r="C5940">
            <v>0</v>
          </cell>
          <cell r="D5940">
            <v>1.7</v>
          </cell>
          <cell r="E5940">
            <v>0</v>
          </cell>
          <cell r="F5940">
            <v>0</v>
          </cell>
          <cell r="G5940">
            <v>0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>
            <v>0</v>
          </cell>
          <cell r="M5940">
            <v>0.11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 t="b">
            <v>0</v>
          </cell>
        </row>
        <row r="5941">
          <cell r="A5941" t="str">
            <v>Data split-7;Reg-91</v>
          </cell>
          <cell r="B5941">
            <v>-3.5</v>
          </cell>
          <cell r="C5941">
            <v>0</v>
          </cell>
          <cell r="D5941">
            <v>1.7</v>
          </cell>
          <cell r="E5941">
            <v>0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1.9E-2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 t="b">
            <v>0</v>
          </cell>
        </row>
        <row r="5942">
          <cell r="A5942" t="str">
            <v>Data split-7;Reg-92</v>
          </cell>
          <cell r="B5942">
            <v>-3.6</v>
          </cell>
          <cell r="C5942">
            <v>2.1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4.4999999999999998E-2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 t="b">
            <v>0</v>
          </cell>
        </row>
        <row r="5943">
          <cell r="A5943" t="str">
            <v>Data split-7;Reg-93</v>
          </cell>
          <cell r="B5943">
            <v>-3.3</v>
          </cell>
          <cell r="C5943">
            <v>2.1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6.6E-3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 t="b">
            <v>0</v>
          </cell>
        </row>
        <row r="5944">
          <cell r="A5944" t="str">
            <v>Data split-7;Reg-94</v>
          </cell>
          <cell r="B5944">
            <v>-3.6</v>
          </cell>
          <cell r="C5944">
            <v>0</v>
          </cell>
          <cell r="D5944">
            <v>2.1</v>
          </cell>
          <cell r="E5944">
            <v>0</v>
          </cell>
          <cell r="F5944">
            <v>0</v>
          </cell>
          <cell r="G5944">
            <v>0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4.4999999999999998E-2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 t="b">
            <v>0</v>
          </cell>
        </row>
        <row r="5945">
          <cell r="A5945" t="str">
            <v>Data split-7;Reg-95</v>
          </cell>
          <cell r="B5945">
            <v>-3.2</v>
          </cell>
          <cell r="C5945">
            <v>0</v>
          </cell>
          <cell r="D5945">
            <v>2.1</v>
          </cell>
          <cell r="E5945">
            <v>0</v>
          </cell>
          <cell r="F5945">
            <v>0</v>
          </cell>
          <cell r="G5945">
            <v>0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6.7999999999999996E-3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 t="b">
            <v>0</v>
          </cell>
        </row>
        <row r="5946">
          <cell r="A5946" t="str">
            <v>Data split-7;Reg-96</v>
          </cell>
          <cell r="B5946">
            <v>-5.7</v>
          </cell>
          <cell r="C5946">
            <v>2</v>
          </cell>
          <cell r="D5946">
            <v>0</v>
          </cell>
          <cell r="E5946">
            <v>-1.2</v>
          </cell>
          <cell r="F5946">
            <v>0</v>
          </cell>
          <cell r="G5946">
            <v>0</v>
          </cell>
          <cell r="H5946">
            <v>0</v>
          </cell>
          <cell r="I5946">
            <v>6.2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 t="b">
            <v>0</v>
          </cell>
        </row>
        <row r="5947">
          <cell r="A5947" t="str">
            <v>Data split-7;Reg-97</v>
          </cell>
          <cell r="B5947">
            <v>-11.9</v>
          </cell>
          <cell r="C5947">
            <v>2.1</v>
          </cell>
          <cell r="D5947">
            <v>0</v>
          </cell>
          <cell r="E5947">
            <v>-0.97</v>
          </cell>
          <cell r="F5947">
            <v>0</v>
          </cell>
          <cell r="G5947">
            <v>0</v>
          </cell>
          <cell r="H5947">
            <v>0</v>
          </cell>
          <cell r="I5947">
            <v>0</v>
          </cell>
          <cell r="J5947">
            <v>69.099999999999994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 t="b">
            <v>0</v>
          </cell>
        </row>
        <row r="5948">
          <cell r="A5948" t="str">
            <v>Data split-7;Reg-98</v>
          </cell>
          <cell r="B5948">
            <v>-6.5</v>
          </cell>
          <cell r="C5948">
            <v>1.2</v>
          </cell>
          <cell r="D5948">
            <v>0</v>
          </cell>
          <cell r="E5948">
            <v>0</v>
          </cell>
          <cell r="F5948">
            <v>0.65</v>
          </cell>
          <cell r="G5948">
            <v>0</v>
          </cell>
          <cell r="H5948">
            <v>0</v>
          </cell>
          <cell r="I5948">
            <v>4.5999999999999996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 t="b">
            <v>0</v>
          </cell>
        </row>
        <row r="5949">
          <cell r="A5949" t="str">
            <v>Data split-7;Reg-99</v>
          </cell>
          <cell r="B5949">
            <v>-11.8</v>
          </cell>
          <cell r="C5949">
            <v>1.3</v>
          </cell>
          <cell r="D5949">
            <v>0</v>
          </cell>
          <cell r="E5949">
            <v>0</v>
          </cell>
          <cell r="F5949">
            <v>0.74</v>
          </cell>
          <cell r="G5949">
            <v>0</v>
          </cell>
          <cell r="H5949">
            <v>0</v>
          </cell>
          <cell r="I5949">
            <v>0</v>
          </cell>
          <cell r="J5949">
            <v>55.6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 t="b">
            <v>0</v>
          </cell>
        </row>
        <row r="5950">
          <cell r="A5950" t="str">
            <v>Data split-7;Reg-100</v>
          </cell>
          <cell r="B5950">
            <v>-5.6</v>
          </cell>
          <cell r="C5950">
            <v>0</v>
          </cell>
          <cell r="D5950">
            <v>2.1</v>
          </cell>
          <cell r="E5950">
            <v>-1.2</v>
          </cell>
          <cell r="F5950">
            <v>0</v>
          </cell>
          <cell r="G5950">
            <v>0</v>
          </cell>
          <cell r="H5950">
            <v>0</v>
          </cell>
          <cell r="I5950">
            <v>6.2</v>
          </cell>
          <cell r="J5950">
            <v>0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 t="b">
            <v>0</v>
          </cell>
        </row>
        <row r="5951">
          <cell r="A5951" t="str">
            <v>Data split-7;Reg-101</v>
          </cell>
          <cell r="B5951">
            <v>-11.9</v>
          </cell>
          <cell r="C5951">
            <v>0</v>
          </cell>
          <cell r="D5951">
            <v>2.1</v>
          </cell>
          <cell r="E5951">
            <v>-1</v>
          </cell>
          <cell r="F5951">
            <v>0</v>
          </cell>
          <cell r="G5951">
            <v>0</v>
          </cell>
          <cell r="H5951">
            <v>0</v>
          </cell>
          <cell r="I5951">
            <v>0</v>
          </cell>
          <cell r="J5951">
            <v>69.3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 t="b">
            <v>0</v>
          </cell>
        </row>
        <row r="5952">
          <cell r="A5952" t="str">
            <v>Data split-7;Reg-102</v>
          </cell>
          <cell r="B5952">
            <v>-6.5</v>
          </cell>
          <cell r="C5952">
            <v>0</v>
          </cell>
          <cell r="D5952">
            <v>1.2</v>
          </cell>
          <cell r="E5952">
            <v>0</v>
          </cell>
          <cell r="F5952">
            <v>0.65</v>
          </cell>
          <cell r="G5952">
            <v>0</v>
          </cell>
          <cell r="H5952">
            <v>0</v>
          </cell>
          <cell r="I5952">
            <v>4.5999999999999996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 t="b">
            <v>0</v>
          </cell>
        </row>
        <row r="5953">
          <cell r="A5953" t="str">
            <v>Data split-7;Reg-103</v>
          </cell>
          <cell r="B5953">
            <v>-11.8</v>
          </cell>
          <cell r="C5953">
            <v>0</v>
          </cell>
          <cell r="D5953">
            <v>1.3</v>
          </cell>
          <cell r="E5953">
            <v>0</v>
          </cell>
          <cell r="F5953">
            <v>0.74</v>
          </cell>
          <cell r="G5953">
            <v>0</v>
          </cell>
          <cell r="H5953">
            <v>0</v>
          </cell>
          <cell r="I5953">
            <v>0</v>
          </cell>
          <cell r="J5953">
            <v>55.6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 t="b">
            <v>0</v>
          </cell>
        </row>
        <row r="5954">
          <cell r="A5954" t="str">
            <v>Data split-7;Reg-104</v>
          </cell>
          <cell r="B5954">
            <v>-4.3</v>
          </cell>
          <cell r="C5954">
            <v>1.4</v>
          </cell>
          <cell r="D5954">
            <v>0</v>
          </cell>
          <cell r="E5954">
            <v>0.54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2.9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 t="b">
            <v>0</v>
          </cell>
        </row>
        <row r="5955">
          <cell r="A5955" t="str">
            <v>Data split-7;Reg-105</v>
          </cell>
          <cell r="B5955">
            <v>-3.1</v>
          </cell>
          <cell r="C5955">
            <v>2</v>
          </cell>
          <cell r="D5955">
            <v>0</v>
          </cell>
          <cell r="E5955">
            <v>0.31</v>
          </cell>
          <cell r="F5955">
            <v>0</v>
          </cell>
          <cell r="G5955">
            <v>0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0.22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 t="b">
            <v>0</v>
          </cell>
        </row>
        <row r="5956">
          <cell r="A5956" t="str">
            <v>Data split-7;Reg-106</v>
          </cell>
          <cell r="B5956">
            <v>-5.3</v>
          </cell>
          <cell r="C5956">
            <v>1.1000000000000001</v>
          </cell>
          <cell r="D5956">
            <v>0</v>
          </cell>
          <cell r="E5956">
            <v>0</v>
          </cell>
          <cell r="F5956">
            <v>0.94</v>
          </cell>
          <cell r="G5956">
            <v>0</v>
          </cell>
          <cell r="H5956">
            <v>0</v>
          </cell>
          <cell r="I5956">
            <v>0</v>
          </cell>
          <cell r="J5956">
            <v>0</v>
          </cell>
          <cell r="K5956">
            <v>3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 t="b">
            <v>0</v>
          </cell>
        </row>
        <row r="5957">
          <cell r="A5957" t="str">
            <v>Data split-7;Reg-107</v>
          </cell>
          <cell r="B5957">
            <v>-4.5999999999999996</v>
          </cell>
          <cell r="C5957">
            <v>1.6</v>
          </cell>
          <cell r="D5957">
            <v>0</v>
          </cell>
          <cell r="E5957">
            <v>0</v>
          </cell>
          <cell r="F5957">
            <v>0.94</v>
          </cell>
          <cell r="G5957">
            <v>0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4.2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 t="b">
            <v>0</v>
          </cell>
        </row>
        <row r="5958">
          <cell r="A5958" t="str">
            <v>Data split-7;Reg-108</v>
          </cell>
          <cell r="B5958">
            <v>-4.3</v>
          </cell>
          <cell r="C5958">
            <v>0</v>
          </cell>
          <cell r="D5958">
            <v>1.4</v>
          </cell>
          <cell r="E5958">
            <v>0.54</v>
          </cell>
          <cell r="F5958">
            <v>0</v>
          </cell>
          <cell r="G5958">
            <v>0</v>
          </cell>
          <cell r="H5958">
            <v>0</v>
          </cell>
          <cell r="I5958">
            <v>0</v>
          </cell>
          <cell r="J5958">
            <v>0</v>
          </cell>
          <cell r="K5958">
            <v>2.9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 t="b">
            <v>0</v>
          </cell>
        </row>
        <row r="5959">
          <cell r="A5959" t="str">
            <v>Data split-7;Reg-109</v>
          </cell>
          <cell r="B5959">
            <v>-3</v>
          </cell>
          <cell r="C5959">
            <v>0</v>
          </cell>
          <cell r="D5959">
            <v>2.1</v>
          </cell>
          <cell r="E5959">
            <v>0.28000000000000003</v>
          </cell>
          <cell r="F5959">
            <v>0</v>
          </cell>
          <cell r="G5959">
            <v>0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-0.15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 t="b">
            <v>1</v>
          </cell>
        </row>
        <row r="5960">
          <cell r="A5960" t="str">
            <v>Data split-7;Reg-110</v>
          </cell>
          <cell r="B5960">
            <v>-5.2</v>
          </cell>
          <cell r="C5960">
            <v>0</v>
          </cell>
          <cell r="D5960">
            <v>1.1000000000000001</v>
          </cell>
          <cell r="E5960">
            <v>0</v>
          </cell>
          <cell r="F5960">
            <v>0.94</v>
          </cell>
          <cell r="G5960">
            <v>0</v>
          </cell>
          <cell r="H5960">
            <v>0</v>
          </cell>
          <cell r="I5960">
            <v>0</v>
          </cell>
          <cell r="J5960">
            <v>0</v>
          </cell>
          <cell r="K5960">
            <v>3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 t="b">
            <v>0</v>
          </cell>
        </row>
        <row r="5961">
          <cell r="A5961" t="str">
            <v>Data split-7;Reg-111</v>
          </cell>
          <cell r="B5961">
            <v>-4.5999999999999996</v>
          </cell>
          <cell r="C5961">
            <v>0</v>
          </cell>
          <cell r="D5961">
            <v>1.6</v>
          </cell>
          <cell r="E5961">
            <v>0</v>
          </cell>
          <cell r="F5961">
            <v>0.94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4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 t="b">
            <v>0</v>
          </cell>
        </row>
        <row r="5962">
          <cell r="A5962" t="str">
            <v>Data split-7;Reg-112</v>
          </cell>
          <cell r="B5962">
            <v>-6.1</v>
          </cell>
          <cell r="C5962">
            <v>1.4</v>
          </cell>
          <cell r="D5962">
            <v>0</v>
          </cell>
          <cell r="E5962">
            <v>0</v>
          </cell>
          <cell r="F5962">
            <v>0</v>
          </cell>
          <cell r="G5962">
            <v>0.1</v>
          </cell>
          <cell r="H5962">
            <v>0</v>
          </cell>
          <cell r="I5962">
            <v>5.3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 t="b">
            <v>0</v>
          </cell>
        </row>
        <row r="5963">
          <cell r="A5963" t="str">
            <v>Data split-7;Reg-113</v>
          </cell>
          <cell r="B5963">
            <v>-11.7</v>
          </cell>
          <cell r="C5963">
            <v>1.5</v>
          </cell>
          <cell r="D5963">
            <v>0</v>
          </cell>
          <cell r="E5963">
            <v>0</v>
          </cell>
          <cell r="F5963">
            <v>0</v>
          </cell>
          <cell r="G5963">
            <v>0.36</v>
          </cell>
          <cell r="H5963">
            <v>0</v>
          </cell>
          <cell r="I5963">
            <v>0</v>
          </cell>
          <cell r="J5963">
            <v>58.7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 t="b">
            <v>0</v>
          </cell>
        </row>
        <row r="5964">
          <cell r="A5964" t="str">
            <v>Data split-7;Reg-114</v>
          </cell>
          <cell r="B5964">
            <v>-6.3</v>
          </cell>
          <cell r="C5964">
            <v>1.3</v>
          </cell>
          <cell r="D5964">
            <v>0</v>
          </cell>
          <cell r="E5964">
            <v>0</v>
          </cell>
          <cell r="F5964">
            <v>0</v>
          </cell>
          <cell r="G5964">
            <v>0</v>
          </cell>
          <cell r="H5964">
            <v>0.62</v>
          </cell>
          <cell r="I5964">
            <v>5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 t="b">
            <v>0</v>
          </cell>
        </row>
        <row r="5965">
          <cell r="A5965" t="str">
            <v>Data split-7;Reg-115</v>
          </cell>
          <cell r="B5965">
            <v>-11.6</v>
          </cell>
          <cell r="C5965">
            <v>1.3</v>
          </cell>
          <cell r="D5965">
            <v>0</v>
          </cell>
          <cell r="E5965">
            <v>0</v>
          </cell>
          <cell r="F5965">
            <v>0</v>
          </cell>
          <cell r="G5965">
            <v>0</v>
          </cell>
          <cell r="H5965">
            <v>0.8</v>
          </cell>
          <cell r="I5965">
            <v>0</v>
          </cell>
          <cell r="J5965">
            <v>57.3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 t="b">
            <v>0</v>
          </cell>
        </row>
        <row r="5966">
          <cell r="A5966" t="str">
            <v>Data split-7;Reg-116</v>
          </cell>
          <cell r="B5966">
            <v>-6.1</v>
          </cell>
          <cell r="C5966">
            <v>0</v>
          </cell>
          <cell r="D5966">
            <v>1.5</v>
          </cell>
          <cell r="E5966">
            <v>0</v>
          </cell>
          <cell r="F5966">
            <v>0</v>
          </cell>
          <cell r="G5966">
            <v>9.2999999999999999E-2</v>
          </cell>
          <cell r="H5966">
            <v>0</v>
          </cell>
          <cell r="I5966">
            <v>5.3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 t="b">
            <v>0</v>
          </cell>
        </row>
        <row r="5967">
          <cell r="A5967" t="str">
            <v>Data split-7;Reg-117</v>
          </cell>
          <cell r="B5967">
            <v>-11.7</v>
          </cell>
          <cell r="C5967">
            <v>0</v>
          </cell>
          <cell r="D5967">
            <v>1.5</v>
          </cell>
          <cell r="E5967">
            <v>0</v>
          </cell>
          <cell r="F5967">
            <v>0</v>
          </cell>
          <cell r="G5967">
            <v>0.36</v>
          </cell>
          <cell r="H5967">
            <v>0</v>
          </cell>
          <cell r="I5967">
            <v>0</v>
          </cell>
          <cell r="J5967">
            <v>58.8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 t="b">
            <v>0</v>
          </cell>
        </row>
        <row r="5968">
          <cell r="A5968" t="str">
            <v>Data split-7;Reg-118</v>
          </cell>
          <cell r="B5968">
            <v>-6.3</v>
          </cell>
          <cell r="C5968">
            <v>0</v>
          </cell>
          <cell r="D5968">
            <v>1.3</v>
          </cell>
          <cell r="E5968">
            <v>0</v>
          </cell>
          <cell r="F5968">
            <v>0</v>
          </cell>
          <cell r="G5968">
            <v>0</v>
          </cell>
          <cell r="H5968">
            <v>0.6</v>
          </cell>
          <cell r="I5968">
            <v>5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 t="b">
            <v>0</v>
          </cell>
        </row>
        <row r="5969">
          <cell r="A5969" t="str">
            <v>Data split-7;Reg-119</v>
          </cell>
          <cell r="B5969">
            <v>-11.6</v>
          </cell>
          <cell r="C5969">
            <v>0</v>
          </cell>
          <cell r="D5969">
            <v>1.3</v>
          </cell>
          <cell r="E5969">
            <v>0</v>
          </cell>
          <cell r="F5969">
            <v>0</v>
          </cell>
          <cell r="G5969">
            <v>0</v>
          </cell>
          <cell r="H5969">
            <v>0.79</v>
          </cell>
          <cell r="I5969">
            <v>0</v>
          </cell>
          <cell r="J5969">
            <v>57.4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 t="b">
            <v>0</v>
          </cell>
        </row>
        <row r="5970">
          <cell r="A5970" t="str">
            <v>Data split-7;Reg-120</v>
          </cell>
          <cell r="B5970">
            <v>-5.4</v>
          </cell>
          <cell r="C5970">
            <v>1.1000000000000001</v>
          </cell>
          <cell r="D5970">
            <v>0</v>
          </cell>
          <cell r="E5970">
            <v>0</v>
          </cell>
          <cell r="F5970">
            <v>0</v>
          </cell>
          <cell r="G5970">
            <v>0.93</v>
          </cell>
          <cell r="H5970">
            <v>0</v>
          </cell>
          <cell r="I5970">
            <v>0</v>
          </cell>
          <cell r="J5970">
            <v>0</v>
          </cell>
          <cell r="K5970">
            <v>3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 t="b">
            <v>0</v>
          </cell>
        </row>
        <row r="5971">
          <cell r="A5971" t="str">
            <v>Data split-7;Reg-121</v>
          </cell>
          <cell r="B5971">
            <v>-5</v>
          </cell>
          <cell r="C5971">
            <v>1.6</v>
          </cell>
          <cell r="D5971">
            <v>0</v>
          </cell>
          <cell r="E5971">
            <v>0</v>
          </cell>
          <cell r="F5971">
            <v>0</v>
          </cell>
          <cell r="G5971">
            <v>1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>
            <v>5.7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 t="b">
            <v>0</v>
          </cell>
        </row>
        <row r="5972">
          <cell r="A5972" t="str">
            <v>Data split-7;Reg-122</v>
          </cell>
          <cell r="B5972">
            <v>-5.9</v>
          </cell>
          <cell r="C5972">
            <v>0.64</v>
          </cell>
          <cell r="D5972">
            <v>0</v>
          </cell>
          <cell r="E5972">
            <v>0</v>
          </cell>
          <cell r="F5972">
            <v>0</v>
          </cell>
          <cell r="G5972">
            <v>0</v>
          </cell>
          <cell r="H5972">
            <v>2.2000000000000002</v>
          </cell>
          <cell r="I5972">
            <v>0</v>
          </cell>
          <cell r="J5972">
            <v>0</v>
          </cell>
          <cell r="K5972">
            <v>3.4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 t="b">
            <v>0</v>
          </cell>
        </row>
        <row r="5973">
          <cell r="A5973" t="str">
            <v>Data split-7;Reg-123</v>
          </cell>
          <cell r="B5973">
            <v>-5.5</v>
          </cell>
          <cell r="C5973">
            <v>1.2</v>
          </cell>
          <cell r="D5973">
            <v>0</v>
          </cell>
          <cell r="E5973">
            <v>0</v>
          </cell>
          <cell r="F5973">
            <v>0</v>
          </cell>
          <cell r="G5973">
            <v>0</v>
          </cell>
          <cell r="H5973">
            <v>2.2000000000000002</v>
          </cell>
          <cell r="I5973">
            <v>0</v>
          </cell>
          <cell r="J5973">
            <v>0</v>
          </cell>
          <cell r="K5973">
            <v>0</v>
          </cell>
          <cell r="L5973">
            <v>7.4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 t="b">
            <v>0</v>
          </cell>
        </row>
        <row r="5974">
          <cell r="A5974" t="str">
            <v>Data split-7;Reg-124</v>
          </cell>
          <cell r="B5974">
            <v>-5.4</v>
          </cell>
          <cell r="C5974">
            <v>0</v>
          </cell>
          <cell r="D5974">
            <v>1.1000000000000001</v>
          </cell>
          <cell r="E5974">
            <v>0</v>
          </cell>
          <cell r="F5974">
            <v>0</v>
          </cell>
          <cell r="G5974">
            <v>0.93</v>
          </cell>
          <cell r="H5974">
            <v>0</v>
          </cell>
          <cell r="I5974">
            <v>0</v>
          </cell>
          <cell r="J5974">
            <v>0</v>
          </cell>
          <cell r="K5974">
            <v>3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 t="b">
            <v>0</v>
          </cell>
        </row>
        <row r="5975">
          <cell r="A5975" t="str">
            <v>Data split-7;Reg-125</v>
          </cell>
          <cell r="B5975">
            <v>-5</v>
          </cell>
          <cell r="C5975">
            <v>0</v>
          </cell>
          <cell r="D5975">
            <v>1.6</v>
          </cell>
          <cell r="E5975">
            <v>0</v>
          </cell>
          <cell r="F5975">
            <v>0</v>
          </cell>
          <cell r="G5975">
            <v>0.99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5.4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 t="b">
            <v>0</v>
          </cell>
        </row>
        <row r="5976">
          <cell r="A5976" t="str">
            <v>Data split-7;Reg-126</v>
          </cell>
          <cell r="B5976">
            <v>-5.9</v>
          </cell>
          <cell r="C5976">
            <v>0</v>
          </cell>
          <cell r="D5976">
            <v>0.62</v>
          </cell>
          <cell r="E5976">
            <v>0</v>
          </cell>
          <cell r="F5976">
            <v>0</v>
          </cell>
          <cell r="G5976">
            <v>0</v>
          </cell>
          <cell r="H5976">
            <v>2.2000000000000002</v>
          </cell>
          <cell r="I5976">
            <v>0</v>
          </cell>
          <cell r="J5976">
            <v>0</v>
          </cell>
          <cell r="K5976">
            <v>3.5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 t="b">
            <v>0</v>
          </cell>
        </row>
        <row r="5977">
          <cell r="A5977" t="str">
            <v>Data split-7;Reg-127</v>
          </cell>
          <cell r="B5977">
            <v>-5.4</v>
          </cell>
          <cell r="C5977">
            <v>0</v>
          </cell>
          <cell r="D5977">
            <v>1.2</v>
          </cell>
          <cell r="E5977">
            <v>0</v>
          </cell>
          <cell r="F5977">
            <v>0</v>
          </cell>
          <cell r="G5977">
            <v>0</v>
          </cell>
          <cell r="H5977">
            <v>2.2000000000000002</v>
          </cell>
          <cell r="I5977">
            <v>0</v>
          </cell>
          <cell r="J5977">
            <v>0</v>
          </cell>
          <cell r="K5977">
            <v>0</v>
          </cell>
          <cell r="L5977">
            <v>7.3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 t="b">
            <v>0</v>
          </cell>
        </row>
        <row r="5978">
          <cell r="A5978" t="str">
            <v>Data split-8;Reg-1</v>
          </cell>
          <cell r="B5978">
            <v>-4.9000000000000004</v>
          </cell>
          <cell r="C5978">
            <v>2.6</v>
          </cell>
          <cell r="D5978">
            <v>0</v>
          </cell>
          <cell r="E5978">
            <v>0</v>
          </cell>
          <cell r="F5978">
            <v>0.18</v>
          </cell>
          <cell r="G5978">
            <v>0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>
            <v>-12.5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 t="b">
            <v>1</v>
          </cell>
        </row>
        <row r="5979">
          <cell r="A5979" t="str">
            <v>Data split-8;Reg-2</v>
          </cell>
          <cell r="B5979">
            <v>-3.9</v>
          </cell>
          <cell r="C5979">
            <v>2.8</v>
          </cell>
          <cell r="D5979">
            <v>0</v>
          </cell>
          <cell r="E5979">
            <v>0</v>
          </cell>
          <cell r="F5979">
            <v>0.2</v>
          </cell>
          <cell r="G5979">
            <v>-0.98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0</v>
          </cell>
          <cell r="M5979">
            <v>-1.1000000000000001E-3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 t="b">
            <v>0</v>
          </cell>
        </row>
        <row r="5980">
          <cell r="A5980" t="str">
            <v>Data split-8;Reg-3</v>
          </cell>
          <cell r="B5980">
            <v>-3.9</v>
          </cell>
          <cell r="C5980">
            <v>2.8</v>
          </cell>
          <cell r="D5980">
            <v>0</v>
          </cell>
          <cell r="E5980">
            <v>0</v>
          </cell>
          <cell r="F5980">
            <v>0.2</v>
          </cell>
          <cell r="G5980">
            <v>-1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0</v>
          </cell>
          <cell r="M5980">
            <v>0</v>
          </cell>
          <cell r="N5980">
            <v>2.0000000000000001E-4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 t="b">
            <v>0</v>
          </cell>
        </row>
        <row r="5981">
          <cell r="A5981" t="str">
            <v>Data split-8;Reg-4</v>
          </cell>
          <cell r="B5981">
            <v>-3.4</v>
          </cell>
          <cell r="C5981">
            <v>3</v>
          </cell>
          <cell r="D5981">
            <v>0</v>
          </cell>
          <cell r="E5981">
            <v>0</v>
          </cell>
          <cell r="F5981">
            <v>0.24</v>
          </cell>
          <cell r="G5981">
            <v>0</v>
          </cell>
          <cell r="H5981">
            <v>-2.7</v>
          </cell>
          <cell r="I5981">
            <v>0</v>
          </cell>
          <cell r="J5981">
            <v>0</v>
          </cell>
          <cell r="K5981">
            <v>0</v>
          </cell>
          <cell r="L5981">
            <v>0</v>
          </cell>
          <cell r="M5981">
            <v>5.8999999999999997E-2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 t="b">
            <v>0</v>
          </cell>
        </row>
        <row r="5982">
          <cell r="A5982" t="str">
            <v>Data split-8;Reg-5</v>
          </cell>
          <cell r="B5982">
            <v>-3.3</v>
          </cell>
          <cell r="C5982">
            <v>0</v>
          </cell>
          <cell r="D5982">
            <v>3</v>
          </cell>
          <cell r="E5982">
            <v>0</v>
          </cell>
          <cell r="F5982">
            <v>0.24</v>
          </cell>
          <cell r="G5982">
            <v>0</v>
          </cell>
          <cell r="H5982">
            <v>-2.6</v>
          </cell>
          <cell r="I5982">
            <v>0</v>
          </cell>
          <cell r="J5982">
            <v>0</v>
          </cell>
          <cell r="K5982">
            <v>0</v>
          </cell>
          <cell r="L5982">
            <v>0</v>
          </cell>
          <cell r="M5982">
            <v>5.7000000000000002E-2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 t="b">
            <v>0</v>
          </cell>
        </row>
        <row r="5983">
          <cell r="A5983" t="str">
            <v>Data split-8;Reg-6</v>
          </cell>
          <cell r="B5983">
            <v>-2.2000000000000002</v>
          </cell>
          <cell r="C5983">
            <v>3.3</v>
          </cell>
          <cell r="D5983">
            <v>0</v>
          </cell>
          <cell r="E5983">
            <v>-2.2000000000000002</v>
          </cell>
          <cell r="F5983">
            <v>0</v>
          </cell>
          <cell r="G5983">
            <v>0</v>
          </cell>
          <cell r="H5983">
            <v>0</v>
          </cell>
          <cell r="I5983">
            <v>0</v>
          </cell>
          <cell r="J5983">
            <v>0</v>
          </cell>
          <cell r="K5983">
            <v>0</v>
          </cell>
          <cell r="L5983">
            <v>-7.7</v>
          </cell>
          <cell r="M5983">
            <v>5.7000000000000002E-2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 t="b">
            <v>0</v>
          </cell>
        </row>
        <row r="5984">
          <cell r="A5984" t="str">
            <v>Data split-8;Reg-7</v>
          </cell>
          <cell r="B5984">
            <v>-2.8</v>
          </cell>
          <cell r="C5984">
            <v>2.8</v>
          </cell>
          <cell r="D5984">
            <v>0</v>
          </cell>
          <cell r="E5984">
            <v>0</v>
          </cell>
          <cell r="F5984">
            <v>0.2</v>
          </cell>
          <cell r="G5984">
            <v>0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>
            <v>-11.9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-8.2000000000000003E-2</v>
          </cell>
          <cell r="T5984">
            <v>0</v>
          </cell>
          <cell r="U5984" t="b">
            <v>1</v>
          </cell>
        </row>
        <row r="5985">
          <cell r="A5985" t="str">
            <v>Data split-8;Reg-8</v>
          </cell>
          <cell r="B5985">
            <v>-2.1</v>
          </cell>
          <cell r="C5985">
            <v>3.1</v>
          </cell>
          <cell r="D5985">
            <v>0</v>
          </cell>
          <cell r="E5985">
            <v>0</v>
          </cell>
          <cell r="F5985">
            <v>0</v>
          </cell>
          <cell r="G5985">
            <v>-0.59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>
            <v>-13.2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-4.1000000000000002E-2</v>
          </cell>
          <cell r="T5985">
            <v>0</v>
          </cell>
          <cell r="U5985" t="b">
            <v>0</v>
          </cell>
        </row>
        <row r="5986">
          <cell r="A5986" t="str">
            <v>Data split-8;Reg-9</v>
          </cell>
          <cell r="B5986">
            <v>-2.5</v>
          </cell>
          <cell r="C5986">
            <v>0</v>
          </cell>
          <cell r="D5986">
            <v>3.1</v>
          </cell>
          <cell r="E5986">
            <v>0</v>
          </cell>
          <cell r="F5986">
            <v>0</v>
          </cell>
          <cell r="G5986">
            <v>0</v>
          </cell>
          <cell r="H5986">
            <v>-0.32</v>
          </cell>
          <cell r="I5986">
            <v>0</v>
          </cell>
          <cell r="J5986">
            <v>0</v>
          </cell>
          <cell r="K5986">
            <v>0</v>
          </cell>
          <cell r="L5986">
            <v>-12.9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-6.4000000000000001E-2</v>
          </cell>
          <cell r="T5986">
            <v>0</v>
          </cell>
          <cell r="U5986" t="b">
            <v>0</v>
          </cell>
        </row>
        <row r="5987">
          <cell r="A5987" t="str">
            <v>Data split-8;Reg-10</v>
          </cell>
          <cell r="B5987">
            <v>-2.5</v>
          </cell>
          <cell r="C5987">
            <v>0</v>
          </cell>
          <cell r="D5987">
            <v>3.1</v>
          </cell>
          <cell r="E5987">
            <v>0</v>
          </cell>
          <cell r="F5987">
            <v>0</v>
          </cell>
          <cell r="G5987">
            <v>0</v>
          </cell>
          <cell r="H5987">
            <v>-0.32</v>
          </cell>
          <cell r="I5987">
            <v>0</v>
          </cell>
          <cell r="J5987">
            <v>0</v>
          </cell>
          <cell r="K5987">
            <v>0</v>
          </cell>
          <cell r="L5987">
            <v>-12.9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-6.4000000000000001E-2</v>
          </cell>
          <cell r="T5987">
            <v>0</v>
          </cell>
          <cell r="U5987" t="b">
            <v>0</v>
          </cell>
        </row>
        <row r="5988">
          <cell r="A5988" t="str">
            <v>Data split-8;Reg-11</v>
          </cell>
          <cell r="B5988">
            <v>-3.3</v>
          </cell>
          <cell r="C5988">
            <v>3.2</v>
          </cell>
          <cell r="D5988">
            <v>0</v>
          </cell>
          <cell r="E5988">
            <v>-2.1</v>
          </cell>
          <cell r="F5988">
            <v>0</v>
          </cell>
          <cell r="G5988">
            <v>0.38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 t="b">
            <v>0</v>
          </cell>
        </row>
        <row r="5989">
          <cell r="A5989" t="str">
            <v>Data split-8;Reg-12</v>
          </cell>
          <cell r="B5989">
            <v>-3.7</v>
          </cell>
          <cell r="C5989">
            <v>3.1</v>
          </cell>
          <cell r="D5989">
            <v>0</v>
          </cell>
          <cell r="E5989">
            <v>-4.5</v>
          </cell>
          <cell r="F5989">
            <v>0</v>
          </cell>
          <cell r="G5989">
            <v>0</v>
          </cell>
          <cell r="H5989">
            <v>3.9</v>
          </cell>
          <cell r="I5989">
            <v>0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 t="b">
            <v>0</v>
          </cell>
        </row>
        <row r="5990">
          <cell r="A5990" t="str">
            <v>Data split-8;Reg-13</v>
          </cell>
          <cell r="B5990">
            <v>-3.9</v>
          </cell>
          <cell r="C5990">
            <v>2.8</v>
          </cell>
          <cell r="D5990">
            <v>0</v>
          </cell>
          <cell r="E5990">
            <v>0</v>
          </cell>
          <cell r="F5990">
            <v>0.2</v>
          </cell>
          <cell r="G5990">
            <v>-0.99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 t="b">
            <v>0</v>
          </cell>
        </row>
        <row r="5991">
          <cell r="A5991" t="str">
            <v>Data split-8;Reg-14</v>
          </cell>
          <cell r="B5991">
            <v>-3.7</v>
          </cell>
          <cell r="C5991">
            <v>2.9</v>
          </cell>
          <cell r="D5991">
            <v>0</v>
          </cell>
          <cell r="E5991">
            <v>0</v>
          </cell>
          <cell r="F5991">
            <v>0.23</v>
          </cell>
          <cell r="G5991">
            <v>0</v>
          </cell>
          <cell r="H5991">
            <v>-1.7</v>
          </cell>
          <cell r="I5991">
            <v>0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 t="b">
            <v>0</v>
          </cell>
        </row>
        <row r="5992">
          <cell r="A5992" t="str">
            <v>Data split-8;Reg-15</v>
          </cell>
          <cell r="B5992">
            <v>-2.9</v>
          </cell>
          <cell r="C5992">
            <v>3.3</v>
          </cell>
          <cell r="D5992">
            <v>0</v>
          </cell>
          <cell r="E5992">
            <v>-2.5</v>
          </cell>
          <cell r="F5992">
            <v>0</v>
          </cell>
          <cell r="G5992">
            <v>0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>
            <v>0</v>
          </cell>
          <cell r="M5992">
            <v>6.9000000000000006E-2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 t="b">
            <v>0</v>
          </cell>
        </row>
        <row r="5993">
          <cell r="A5993" t="str">
            <v>Data split-8;Reg-16</v>
          </cell>
          <cell r="B5993">
            <v>-2.5</v>
          </cell>
          <cell r="C5993">
            <v>3.2</v>
          </cell>
          <cell r="D5993">
            <v>0</v>
          </cell>
          <cell r="E5993">
            <v>-2.8</v>
          </cell>
          <cell r="F5993">
            <v>0</v>
          </cell>
          <cell r="G5993">
            <v>0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0.02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 t="b">
            <v>0</v>
          </cell>
        </row>
        <row r="5994">
          <cell r="A5994" t="str">
            <v>Data split-8;Reg-17</v>
          </cell>
          <cell r="B5994">
            <v>-5.0999999999999996</v>
          </cell>
          <cell r="C5994">
            <v>2.6</v>
          </cell>
          <cell r="D5994">
            <v>0</v>
          </cell>
          <cell r="E5994">
            <v>0</v>
          </cell>
          <cell r="F5994">
            <v>0.21</v>
          </cell>
          <cell r="G5994">
            <v>0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>
            <v>0</v>
          </cell>
          <cell r="M5994">
            <v>-6.5000000000000002E-2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 t="b">
            <v>1</v>
          </cell>
        </row>
        <row r="5995">
          <cell r="A5995" t="str">
            <v>Data split-8;Reg-18</v>
          </cell>
          <cell r="B5995">
            <v>-5.3</v>
          </cell>
          <cell r="C5995">
            <v>2.7</v>
          </cell>
          <cell r="D5995">
            <v>0</v>
          </cell>
          <cell r="E5995">
            <v>0</v>
          </cell>
          <cell r="F5995">
            <v>0.21</v>
          </cell>
          <cell r="G5995">
            <v>0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-1.4E-2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 t="b">
            <v>1</v>
          </cell>
        </row>
        <row r="5996">
          <cell r="A5996" t="str">
            <v>Data split-8;Reg-19</v>
          </cell>
          <cell r="B5996">
            <v>-3.9</v>
          </cell>
          <cell r="C5996">
            <v>2.9</v>
          </cell>
          <cell r="D5996">
            <v>0</v>
          </cell>
          <cell r="E5996">
            <v>0</v>
          </cell>
          <cell r="F5996">
            <v>0</v>
          </cell>
          <cell r="G5996">
            <v>-0.51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-0.05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 t="b">
            <v>0</v>
          </cell>
        </row>
        <row r="5997">
          <cell r="A5997" t="str">
            <v>Data split-8;Reg-20</v>
          </cell>
          <cell r="B5997">
            <v>-4</v>
          </cell>
          <cell r="C5997">
            <v>3</v>
          </cell>
          <cell r="D5997">
            <v>0</v>
          </cell>
          <cell r="E5997">
            <v>0</v>
          </cell>
          <cell r="F5997">
            <v>0</v>
          </cell>
          <cell r="G5997">
            <v>-0.8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-3.3999999999999998E-3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 t="b">
            <v>0</v>
          </cell>
        </row>
        <row r="5998">
          <cell r="A5998" t="str">
            <v>Data split-8;Reg-21</v>
          </cell>
          <cell r="B5998">
            <v>-3.9</v>
          </cell>
          <cell r="C5998">
            <v>3</v>
          </cell>
          <cell r="D5998">
            <v>0</v>
          </cell>
          <cell r="E5998">
            <v>0</v>
          </cell>
          <cell r="F5998">
            <v>0</v>
          </cell>
          <cell r="G5998">
            <v>0</v>
          </cell>
          <cell r="H5998">
            <v>-0.74</v>
          </cell>
          <cell r="I5998">
            <v>0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-5.5E-2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 t="b">
            <v>0</v>
          </cell>
        </row>
        <row r="5999">
          <cell r="A5999" t="str">
            <v>Data split-8;Reg-22</v>
          </cell>
          <cell r="B5999">
            <v>-4.0999999999999996</v>
          </cell>
          <cell r="C5999">
            <v>3</v>
          </cell>
          <cell r="D5999">
            <v>0</v>
          </cell>
          <cell r="E5999">
            <v>0</v>
          </cell>
          <cell r="F5999">
            <v>0</v>
          </cell>
          <cell r="G5999">
            <v>0</v>
          </cell>
          <cell r="H5999">
            <v>-1</v>
          </cell>
          <cell r="I5999">
            <v>0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-6.3E-3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 t="b">
            <v>0</v>
          </cell>
        </row>
        <row r="6000">
          <cell r="A6000" t="str">
            <v>Data split-8;Reg-23</v>
          </cell>
          <cell r="B6000">
            <v>-3.2</v>
          </cell>
          <cell r="C6000">
            <v>0</v>
          </cell>
          <cell r="D6000">
            <v>3.2</v>
          </cell>
          <cell r="E6000">
            <v>-2</v>
          </cell>
          <cell r="F6000">
            <v>0</v>
          </cell>
          <cell r="G6000">
            <v>0.37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 t="b">
            <v>0</v>
          </cell>
        </row>
        <row r="6001">
          <cell r="A6001" t="str">
            <v>Data split-8;Reg-24</v>
          </cell>
          <cell r="B6001">
            <v>-3.6</v>
          </cell>
          <cell r="C6001">
            <v>0</v>
          </cell>
          <cell r="D6001">
            <v>3.1</v>
          </cell>
          <cell r="E6001">
            <v>-4.5</v>
          </cell>
          <cell r="F6001">
            <v>0</v>
          </cell>
          <cell r="G6001">
            <v>0</v>
          </cell>
          <cell r="H6001">
            <v>3.9</v>
          </cell>
          <cell r="I6001">
            <v>0</v>
          </cell>
          <cell r="J6001">
            <v>0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 t="b">
            <v>0</v>
          </cell>
        </row>
        <row r="6002">
          <cell r="A6002" t="str">
            <v>Data split-8;Reg-25</v>
          </cell>
          <cell r="B6002">
            <v>-3.9</v>
          </cell>
          <cell r="C6002">
            <v>0</v>
          </cell>
          <cell r="D6002">
            <v>2.8</v>
          </cell>
          <cell r="E6002">
            <v>0</v>
          </cell>
          <cell r="F6002">
            <v>0.2</v>
          </cell>
          <cell r="G6002">
            <v>-0.99</v>
          </cell>
          <cell r="H6002">
            <v>0</v>
          </cell>
          <cell r="I6002">
            <v>0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 t="b">
            <v>0</v>
          </cell>
        </row>
        <row r="6003">
          <cell r="A6003" t="str">
            <v>Data split-8;Reg-26</v>
          </cell>
          <cell r="B6003">
            <v>-3.7</v>
          </cell>
          <cell r="C6003">
            <v>0</v>
          </cell>
          <cell r="D6003">
            <v>2.9</v>
          </cell>
          <cell r="E6003">
            <v>0</v>
          </cell>
          <cell r="F6003">
            <v>0.23</v>
          </cell>
          <cell r="G6003">
            <v>0</v>
          </cell>
          <cell r="H6003">
            <v>-1.7</v>
          </cell>
          <cell r="I6003">
            <v>0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 t="b">
            <v>0</v>
          </cell>
        </row>
        <row r="6004">
          <cell r="A6004" t="str">
            <v>Data split-8;Reg-27</v>
          </cell>
          <cell r="B6004">
            <v>-2.8</v>
          </cell>
          <cell r="C6004">
            <v>0</v>
          </cell>
          <cell r="D6004">
            <v>3.3</v>
          </cell>
          <cell r="E6004">
            <v>-2.5</v>
          </cell>
          <cell r="F6004">
            <v>0</v>
          </cell>
          <cell r="G6004">
            <v>0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0</v>
          </cell>
          <cell r="M6004">
            <v>6.7000000000000004E-2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 t="b">
            <v>0</v>
          </cell>
        </row>
        <row r="6005">
          <cell r="A6005" t="str">
            <v>Data split-8;Reg-28</v>
          </cell>
          <cell r="B6005">
            <v>-2.4</v>
          </cell>
          <cell r="C6005">
            <v>0</v>
          </cell>
          <cell r="D6005">
            <v>3.3</v>
          </cell>
          <cell r="E6005">
            <v>-2.8</v>
          </cell>
          <cell r="F6005">
            <v>0</v>
          </cell>
          <cell r="G6005">
            <v>0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0</v>
          </cell>
          <cell r="M6005">
            <v>0</v>
          </cell>
          <cell r="N6005">
            <v>0.02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 t="b">
            <v>0</v>
          </cell>
        </row>
        <row r="6006">
          <cell r="A6006" t="str">
            <v>Data split-8;Reg-29</v>
          </cell>
          <cell r="B6006">
            <v>-5.0999999999999996</v>
          </cell>
          <cell r="C6006">
            <v>0</v>
          </cell>
          <cell r="D6006">
            <v>2.6</v>
          </cell>
          <cell r="E6006">
            <v>0</v>
          </cell>
          <cell r="F6006">
            <v>0.21</v>
          </cell>
          <cell r="G6006">
            <v>0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0</v>
          </cell>
          <cell r="M6006">
            <v>-6.5000000000000002E-2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 t="b">
            <v>1</v>
          </cell>
        </row>
        <row r="6007">
          <cell r="A6007" t="str">
            <v>Data split-8;Reg-30</v>
          </cell>
          <cell r="B6007">
            <v>-5.2</v>
          </cell>
          <cell r="C6007">
            <v>0</v>
          </cell>
          <cell r="D6007">
            <v>2.7</v>
          </cell>
          <cell r="E6007">
            <v>0</v>
          </cell>
          <cell r="F6007">
            <v>0.21</v>
          </cell>
          <cell r="G6007">
            <v>0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-1.4E-2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 t="b">
            <v>1</v>
          </cell>
        </row>
        <row r="6008">
          <cell r="A6008" t="str">
            <v>Data split-8;Reg-31</v>
          </cell>
          <cell r="B6008">
            <v>-3.8</v>
          </cell>
          <cell r="C6008">
            <v>0</v>
          </cell>
          <cell r="D6008">
            <v>2.9</v>
          </cell>
          <cell r="E6008">
            <v>0</v>
          </cell>
          <cell r="F6008">
            <v>0</v>
          </cell>
          <cell r="G6008">
            <v>-0.53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-4.8000000000000001E-2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 t="b">
            <v>0</v>
          </cell>
        </row>
        <row r="6009">
          <cell r="A6009" t="str">
            <v>Data split-8;Reg-32</v>
          </cell>
          <cell r="B6009">
            <v>-3.9</v>
          </cell>
          <cell r="C6009">
            <v>0</v>
          </cell>
          <cell r="D6009">
            <v>3</v>
          </cell>
          <cell r="E6009">
            <v>0</v>
          </cell>
          <cell r="F6009">
            <v>0</v>
          </cell>
          <cell r="G6009">
            <v>-0.85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-2.5000000000000001E-3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 t="b">
            <v>0</v>
          </cell>
        </row>
        <row r="6010">
          <cell r="A6010" t="str">
            <v>Data split-8;Reg-33</v>
          </cell>
          <cell r="B6010">
            <v>-3.8</v>
          </cell>
          <cell r="C6010">
            <v>0</v>
          </cell>
          <cell r="D6010">
            <v>3</v>
          </cell>
          <cell r="E6010">
            <v>0</v>
          </cell>
          <cell r="F6010">
            <v>0</v>
          </cell>
          <cell r="G6010">
            <v>0</v>
          </cell>
          <cell r="H6010">
            <v>-0.77</v>
          </cell>
          <cell r="I6010">
            <v>0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-5.3999999999999999E-2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 t="b">
            <v>0</v>
          </cell>
        </row>
        <row r="6011">
          <cell r="A6011" t="str">
            <v>Data split-8;Reg-34</v>
          </cell>
          <cell r="B6011">
            <v>-4</v>
          </cell>
          <cell r="C6011">
            <v>0</v>
          </cell>
          <cell r="D6011">
            <v>3</v>
          </cell>
          <cell r="E6011">
            <v>0</v>
          </cell>
          <cell r="F6011">
            <v>0</v>
          </cell>
          <cell r="G6011">
            <v>0</v>
          </cell>
          <cell r="H6011">
            <v>-1.1000000000000001</v>
          </cell>
          <cell r="I6011">
            <v>0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-5.7000000000000002E-3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 t="b">
            <v>0</v>
          </cell>
        </row>
        <row r="6012">
          <cell r="A6012" t="str">
            <v>Data split-8;Reg-35</v>
          </cell>
          <cell r="B6012">
            <v>-2.9</v>
          </cell>
          <cell r="C6012">
            <v>3.3</v>
          </cell>
          <cell r="D6012">
            <v>0</v>
          </cell>
          <cell r="E6012">
            <v>-2.5</v>
          </cell>
          <cell r="F6012">
            <v>0</v>
          </cell>
          <cell r="G6012">
            <v>-3.7999999999999999E-2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0</v>
          </cell>
          <cell r="M6012">
            <v>7.0000000000000007E-2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 t="b">
            <v>0</v>
          </cell>
        </row>
        <row r="6013">
          <cell r="A6013" t="str">
            <v>Data split-8;Reg-36</v>
          </cell>
          <cell r="B6013">
            <v>-2.2000000000000002</v>
          </cell>
          <cell r="C6013">
            <v>3.3</v>
          </cell>
          <cell r="D6013">
            <v>0</v>
          </cell>
          <cell r="E6013">
            <v>-2.7</v>
          </cell>
          <cell r="F6013">
            <v>0</v>
          </cell>
          <cell r="G6013">
            <v>-0.31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2.3E-2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 t="b">
            <v>0</v>
          </cell>
        </row>
        <row r="6014">
          <cell r="A6014" t="str">
            <v>Data split-8;Reg-37</v>
          </cell>
          <cell r="B6014">
            <v>-3.8</v>
          </cell>
          <cell r="C6014">
            <v>3.1</v>
          </cell>
          <cell r="D6014">
            <v>0</v>
          </cell>
          <cell r="E6014">
            <v>-4.7</v>
          </cell>
          <cell r="F6014">
            <v>0</v>
          </cell>
          <cell r="G6014">
            <v>0</v>
          </cell>
          <cell r="H6014">
            <v>4.4000000000000004</v>
          </cell>
          <cell r="I6014">
            <v>0</v>
          </cell>
          <cell r="J6014">
            <v>0</v>
          </cell>
          <cell r="K6014">
            <v>0</v>
          </cell>
          <cell r="L6014">
            <v>0</v>
          </cell>
          <cell r="M6014">
            <v>-2.4E-2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 t="b">
            <v>0</v>
          </cell>
        </row>
        <row r="6015">
          <cell r="A6015" t="str">
            <v>Data split-8;Reg-38</v>
          </cell>
          <cell r="B6015">
            <v>-4.0999999999999996</v>
          </cell>
          <cell r="C6015">
            <v>3.1</v>
          </cell>
          <cell r="D6015">
            <v>0</v>
          </cell>
          <cell r="E6015">
            <v>-4.8</v>
          </cell>
          <cell r="F6015">
            <v>0</v>
          </cell>
          <cell r="G6015">
            <v>0</v>
          </cell>
          <cell r="H6015">
            <v>4.9000000000000004</v>
          </cell>
          <cell r="I6015">
            <v>0</v>
          </cell>
          <cell r="J6015">
            <v>0</v>
          </cell>
          <cell r="K6015">
            <v>0</v>
          </cell>
          <cell r="L6015">
            <v>0</v>
          </cell>
          <cell r="M6015">
            <v>0</v>
          </cell>
          <cell r="N6015">
            <v>-8.5000000000000006E-3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 t="b">
            <v>0</v>
          </cell>
        </row>
        <row r="6016">
          <cell r="A6016" t="str">
            <v>Data split-8;Reg-39</v>
          </cell>
          <cell r="B6016">
            <v>-3.9</v>
          </cell>
          <cell r="C6016">
            <v>2.8</v>
          </cell>
          <cell r="D6016">
            <v>0</v>
          </cell>
          <cell r="E6016">
            <v>0</v>
          </cell>
          <cell r="F6016">
            <v>0.2</v>
          </cell>
          <cell r="G6016">
            <v>-0.98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0</v>
          </cell>
          <cell r="M6016">
            <v>-1.1000000000000001E-3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 t="b">
            <v>0</v>
          </cell>
        </row>
        <row r="6017">
          <cell r="A6017" t="str">
            <v>Data split-8;Reg-40</v>
          </cell>
          <cell r="B6017">
            <v>-3.9</v>
          </cell>
          <cell r="C6017">
            <v>2.8</v>
          </cell>
          <cell r="D6017">
            <v>0</v>
          </cell>
          <cell r="E6017">
            <v>0</v>
          </cell>
          <cell r="F6017">
            <v>0.2</v>
          </cell>
          <cell r="G6017">
            <v>-1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>
            <v>0</v>
          </cell>
          <cell r="M6017">
            <v>0</v>
          </cell>
          <cell r="N6017">
            <v>2.0000000000000001E-4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 t="b">
            <v>0</v>
          </cell>
        </row>
        <row r="6018">
          <cell r="A6018" t="str">
            <v>Data split-8;Reg-41</v>
          </cell>
          <cell r="B6018">
            <v>-3.4</v>
          </cell>
          <cell r="C6018">
            <v>3</v>
          </cell>
          <cell r="D6018">
            <v>0</v>
          </cell>
          <cell r="E6018">
            <v>0</v>
          </cell>
          <cell r="F6018">
            <v>0.24</v>
          </cell>
          <cell r="G6018">
            <v>0</v>
          </cell>
          <cell r="H6018">
            <v>-2.7</v>
          </cell>
          <cell r="I6018">
            <v>0</v>
          </cell>
          <cell r="J6018">
            <v>0</v>
          </cell>
          <cell r="K6018">
            <v>0</v>
          </cell>
          <cell r="L6018">
            <v>0</v>
          </cell>
          <cell r="M6018">
            <v>5.8999999999999997E-2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 t="b">
            <v>0</v>
          </cell>
        </row>
        <row r="6019">
          <cell r="A6019" t="str">
            <v>Data split-8;Reg-42</v>
          </cell>
          <cell r="B6019">
            <v>-2.5</v>
          </cell>
          <cell r="C6019">
            <v>3</v>
          </cell>
          <cell r="D6019">
            <v>0</v>
          </cell>
          <cell r="E6019">
            <v>0</v>
          </cell>
          <cell r="F6019">
            <v>0.25</v>
          </cell>
          <cell r="G6019">
            <v>0</v>
          </cell>
          <cell r="H6019">
            <v>-3.8</v>
          </cell>
          <cell r="I6019">
            <v>0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2.5000000000000001E-2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 t="b">
            <v>0</v>
          </cell>
        </row>
        <row r="6020">
          <cell r="A6020" t="str">
            <v>Data split-8;Reg-43</v>
          </cell>
          <cell r="B6020">
            <v>-3.3</v>
          </cell>
          <cell r="C6020">
            <v>3.2</v>
          </cell>
          <cell r="D6020">
            <v>0</v>
          </cell>
          <cell r="E6020">
            <v>-2</v>
          </cell>
          <cell r="F6020">
            <v>0</v>
          </cell>
          <cell r="G6020">
            <v>0.75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-4.2999999999999997E-2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 t="b">
            <v>0</v>
          </cell>
        </row>
        <row r="6021">
          <cell r="A6021" t="str">
            <v>Data split-8;Reg-44</v>
          </cell>
          <cell r="B6021">
            <v>-3.3</v>
          </cell>
          <cell r="C6021">
            <v>3.2</v>
          </cell>
          <cell r="D6021">
            <v>0</v>
          </cell>
          <cell r="E6021">
            <v>-2</v>
          </cell>
          <cell r="F6021">
            <v>0</v>
          </cell>
          <cell r="G6021">
            <v>0.48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-2.2000000000000001E-3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 t="b">
            <v>0</v>
          </cell>
        </row>
        <row r="6022">
          <cell r="A6022" t="str">
            <v>Data split-8;Reg-45</v>
          </cell>
          <cell r="B6022">
            <v>-3.5</v>
          </cell>
          <cell r="C6022">
            <v>3</v>
          </cell>
          <cell r="D6022">
            <v>0</v>
          </cell>
          <cell r="E6022">
            <v>-4.5999999999999996</v>
          </cell>
          <cell r="F6022">
            <v>0</v>
          </cell>
          <cell r="G6022">
            <v>0</v>
          </cell>
          <cell r="H6022">
            <v>4.8</v>
          </cell>
          <cell r="I6022">
            <v>0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-6.2E-2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 t="b">
            <v>0</v>
          </cell>
        </row>
        <row r="6023">
          <cell r="A6023" t="str">
            <v>Data split-8;Reg-46</v>
          </cell>
          <cell r="B6023">
            <v>-3.7</v>
          </cell>
          <cell r="C6023">
            <v>3.1</v>
          </cell>
          <cell r="D6023">
            <v>0</v>
          </cell>
          <cell r="E6023">
            <v>-4.7</v>
          </cell>
          <cell r="F6023">
            <v>0</v>
          </cell>
          <cell r="G6023">
            <v>0</v>
          </cell>
          <cell r="H6023">
            <v>4.8</v>
          </cell>
          <cell r="I6023">
            <v>0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-1.0999999999999999E-2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 t="b">
            <v>0</v>
          </cell>
        </row>
        <row r="6024">
          <cell r="A6024" t="str">
            <v>Data split-8;Reg-47</v>
          </cell>
          <cell r="B6024">
            <v>-3.9</v>
          </cell>
          <cell r="C6024">
            <v>2.7</v>
          </cell>
          <cell r="D6024">
            <v>0</v>
          </cell>
          <cell r="E6024">
            <v>0</v>
          </cell>
          <cell r="F6024">
            <v>0.22</v>
          </cell>
          <cell r="G6024">
            <v>-0.34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-7.0000000000000007E-2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 t="b">
            <v>0</v>
          </cell>
        </row>
        <row r="6025">
          <cell r="A6025" t="str">
            <v>Data split-8;Reg-48</v>
          </cell>
          <cell r="B6025">
            <v>-4.2</v>
          </cell>
          <cell r="C6025">
            <v>2.8</v>
          </cell>
          <cell r="D6025">
            <v>0</v>
          </cell>
          <cell r="E6025">
            <v>0</v>
          </cell>
          <cell r="F6025">
            <v>0.22</v>
          </cell>
          <cell r="G6025">
            <v>-0.49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-0.01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 t="b">
            <v>0</v>
          </cell>
        </row>
        <row r="6026">
          <cell r="A6026" t="str">
            <v>Data split-8;Reg-49</v>
          </cell>
          <cell r="B6026">
            <v>-3.6</v>
          </cell>
          <cell r="C6026">
            <v>2.9</v>
          </cell>
          <cell r="D6026">
            <v>0</v>
          </cell>
          <cell r="E6026">
            <v>0</v>
          </cell>
          <cell r="F6026">
            <v>0.23</v>
          </cell>
          <cell r="G6026">
            <v>0</v>
          </cell>
          <cell r="H6026">
            <v>-0.99</v>
          </cell>
          <cell r="I6026">
            <v>0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-5.5E-2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 t="b">
            <v>0</v>
          </cell>
        </row>
        <row r="6027">
          <cell r="A6027" t="str">
            <v>Data split-8;Reg-50</v>
          </cell>
          <cell r="B6027">
            <v>-3.8</v>
          </cell>
          <cell r="C6027">
            <v>2.9</v>
          </cell>
          <cell r="D6027">
            <v>0</v>
          </cell>
          <cell r="E6027">
            <v>0</v>
          </cell>
          <cell r="F6027">
            <v>0.24</v>
          </cell>
          <cell r="G6027">
            <v>0</v>
          </cell>
          <cell r="H6027">
            <v>-1.2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-7.7000000000000002E-3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 t="b">
            <v>0</v>
          </cell>
        </row>
        <row r="6028">
          <cell r="A6028" t="str">
            <v>Data split-8;Reg-51</v>
          </cell>
          <cell r="B6028">
            <v>-2.8</v>
          </cell>
          <cell r="C6028">
            <v>0</v>
          </cell>
          <cell r="D6028">
            <v>3.3</v>
          </cell>
          <cell r="E6028">
            <v>-2.4</v>
          </cell>
          <cell r="F6028">
            <v>0</v>
          </cell>
          <cell r="G6028">
            <v>-3.5000000000000003E-2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6.9000000000000006E-2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 t="b">
            <v>0</v>
          </cell>
        </row>
        <row r="6029">
          <cell r="A6029" t="str">
            <v>Data split-8;Reg-52</v>
          </cell>
          <cell r="B6029">
            <v>-2.1</v>
          </cell>
          <cell r="C6029">
            <v>0</v>
          </cell>
          <cell r="D6029">
            <v>3.3</v>
          </cell>
          <cell r="E6029">
            <v>-2.7</v>
          </cell>
          <cell r="F6029">
            <v>0</v>
          </cell>
          <cell r="G6029">
            <v>-0.31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0</v>
          </cell>
          <cell r="M6029">
            <v>0</v>
          </cell>
          <cell r="N6029">
            <v>2.3E-2</v>
          </cell>
          <cell r="O6029">
            <v>0</v>
          </cell>
          <cell r="P6029">
            <v>0</v>
          </cell>
          <cell r="Q6029">
            <v>0</v>
          </cell>
          <cell r="R6029">
            <v>0</v>
          </cell>
          <cell r="S6029">
            <v>0</v>
          </cell>
          <cell r="T6029">
            <v>0</v>
          </cell>
          <cell r="U6029" t="b">
            <v>0</v>
          </cell>
        </row>
        <row r="6030">
          <cell r="A6030" t="str">
            <v>Data split-8;Reg-53</v>
          </cell>
          <cell r="B6030">
            <v>-3.7</v>
          </cell>
          <cell r="C6030">
            <v>0</v>
          </cell>
          <cell r="D6030">
            <v>3.1</v>
          </cell>
          <cell r="E6030">
            <v>-4.7</v>
          </cell>
          <cell r="F6030">
            <v>0</v>
          </cell>
          <cell r="G6030">
            <v>0</v>
          </cell>
          <cell r="H6030">
            <v>4.5</v>
          </cell>
          <cell r="I6030">
            <v>0</v>
          </cell>
          <cell r="J6030">
            <v>0</v>
          </cell>
          <cell r="K6030">
            <v>0</v>
          </cell>
          <cell r="L6030">
            <v>0</v>
          </cell>
          <cell r="M6030">
            <v>-2.5999999999999999E-2</v>
          </cell>
          <cell r="N6030">
            <v>0</v>
          </cell>
          <cell r="O6030">
            <v>0</v>
          </cell>
          <cell r="P6030">
            <v>0</v>
          </cell>
          <cell r="Q6030">
            <v>0</v>
          </cell>
          <cell r="R6030">
            <v>0</v>
          </cell>
          <cell r="S6030">
            <v>0</v>
          </cell>
          <cell r="T6030">
            <v>0</v>
          </cell>
          <cell r="U6030" t="b">
            <v>0</v>
          </cell>
        </row>
        <row r="6031">
          <cell r="A6031" t="str">
            <v>Data split-8;Reg-54</v>
          </cell>
          <cell r="B6031">
            <v>-4</v>
          </cell>
          <cell r="C6031">
            <v>0</v>
          </cell>
          <cell r="D6031">
            <v>3.1</v>
          </cell>
          <cell r="E6031">
            <v>-4.8</v>
          </cell>
          <cell r="F6031">
            <v>0</v>
          </cell>
          <cell r="G6031">
            <v>0</v>
          </cell>
          <cell r="H6031">
            <v>4.8</v>
          </cell>
          <cell r="I6031">
            <v>0</v>
          </cell>
          <cell r="J6031">
            <v>0</v>
          </cell>
          <cell r="K6031">
            <v>0</v>
          </cell>
          <cell r="L6031">
            <v>0</v>
          </cell>
          <cell r="M6031">
            <v>0</v>
          </cell>
          <cell r="N6031">
            <v>-8.3999999999999995E-3</v>
          </cell>
          <cell r="O6031">
            <v>0</v>
          </cell>
          <cell r="P6031">
            <v>0</v>
          </cell>
          <cell r="Q6031">
            <v>0</v>
          </cell>
          <cell r="R6031">
            <v>0</v>
          </cell>
          <cell r="S6031">
            <v>0</v>
          </cell>
          <cell r="T6031">
            <v>0</v>
          </cell>
          <cell r="U6031" t="b">
            <v>0</v>
          </cell>
        </row>
        <row r="6032">
          <cell r="A6032" t="str">
            <v>Data split-8;Reg-55</v>
          </cell>
          <cell r="B6032">
            <v>-3.9</v>
          </cell>
          <cell r="C6032">
            <v>0</v>
          </cell>
          <cell r="D6032">
            <v>2.8</v>
          </cell>
          <cell r="E6032">
            <v>0</v>
          </cell>
          <cell r="F6032">
            <v>0.2</v>
          </cell>
          <cell r="G6032">
            <v>-0.97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0</v>
          </cell>
          <cell r="M6032">
            <v>-1.9E-3</v>
          </cell>
          <cell r="N6032">
            <v>0</v>
          </cell>
          <cell r="O6032">
            <v>0</v>
          </cell>
          <cell r="P6032">
            <v>0</v>
          </cell>
          <cell r="Q6032">
            <v>0</v>
          </cell>
          <cell r="R6032">
            <v>0</v>
          </cell>
          <cell r="S6032">
            <v>0</v>
          </cell>
          <cell r="T6032">
            <v>0</v>
          </cell>
          <cell r="U6032" t="b">
            <v>0</v>
          </cell>
        </row>
        <row r="6033">
          <cell r="A6033" t="str">
            <v>Data split-8;Reg-56</v>
          </cell>
          <cell r="B6033">
            <v>-3.8</v>
          </cell>
          <cell r="C6033">
            <v>0</v>
          </cell>
          <cell r="D6033">
            <v>2.8</v>
          </cell>
          <cell r="E6033">
            <v>0</v>
          </cell>
          <cell r="F6033">
            <v>0.2</v>
          </cell>
          <cell r="G6033">
            <v>-1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>
            <v>0</v>
          </cell>
          <cell r="M6033">
            <v>0</v>
          </cell>
          <cell r="N6033">
            <v>2.1000000000000001E-4</v>
          </cell>
          <cell r="O6033">
            <v>0</v>
          </cell>
          <cell r="P6033">
            <v>0</v>
          </cell>
          <cell r="Q6033">
            <v>0</v>
          </cell>
          <cell r="R6033">
            <v>0</v>
          </cell>
          <cell r="S6033">
            <v>0</v>
          </cell>
          <cell r="T6033">
            <v>0</v>
          </cell>
          <cell r="U6033" t="b">
            <v>0</v>
          </cell>
        </row>
        <row r="6034">
          <cell r="A6034" t="str">
            <v>Data split-8;Reg-57</v>
          </cell>
          <cell r="B6034">
            <v>-3.3</v>
          </cell>
          <cell r="C6034">
            <v>0</v>
          </cell>
          <cell r="D6034">
            <v>3</v>
          </cell>
          <cell r="E6034">
            <v>0</v>
          </cell>
          <cell r="F6034">
            <v>0.24</v>
          </cell>
          <cell r="G6034">
            <v>0</v>
          </cell>
          <cell r="H6034">
            <v>-2.6</v>
          </cell>
          <cell r="I6034">
            <v>0</v>
          </cell>
          <cell r="J6034">
            <v>0</v>
          </cell>
          <cell r="K6034">
            <v>0</v>
          </cell>
          <cell r="L6034">
            <v>0</v>
          </cell>
          <cell r="M6034">
            <v>5.7000000000000002E-2</v>
          </cell>
          <cell r="N6034">
            <v>0</v>
          </cell>
          <cell r="O6034">
            <v>0</v>
          </cell>
          <cell r="P6034">
            <v>0</v>
          </cell>
          <cell r="Q6034">
            <v>0</v>
          </cell>
          <cell r="R6034">
            <v>0</v>
          </cell>
          <cell r="S6034">
            <v>0</v>
          </cell>
          <cell r="T6034">
            <v>0</v>
          </cell>
          <cell r="U6034" t="b">
            <v>0</v>
          </cell>
        </row>
        <row r="6035">
          <cell r="A6035" t="str">
            <v>Data split-8;Reg-58</v>
          </cell>
          <cell r="B6035">
            <v>-2.4</v>
          </cell>
          <cell r="C6035">
            <v>0</v>
          </cell>
          <cell r="D6035">
            <v>3</v>
          </cell>
          <cell r="E6035">
            <v>0</v>
          </cell>
          <cell r="F6035">
            <v>0.25</v>
          </cell>
          <cell r="G6035">
            <v>0</v>
          </cell>
          <cell r="H6035">
            <v>-3.8</v>
          </cell>
          <cell r="I6035">
            <v>0</v>
          </cell>
          <cell r="J6035">
            <v>0</v>
          </cell>
          <cell r="K6035">
            <v>0</v>
          </cell>
          <cell r="L6035">
            <v>0</v>
          </cell>
          <cell r="M6035">
            <v>0</v>
          </cell>
          <cell r="N6035">
            <v>2.5000000000000001E-2</v>
          </cell>
          <cell r="O6035">
            <v>0</v>
          </cell>
          <cell r="P6035">
            <v>0</v>
          </cell>
          <cell r="Q6035">
            <v>0</v>
          </cell>
          <cell r="R6035">
            <v>0</v>
          </cell>
          <cell r="S6035">
            <v>0</v>
          </cell>
          <cell r="T6035">
            <v>0</v>
          </cell>
          <cell r="U6035" t="b">
            <v>0</v>
          </cell>
        </row>
        <row r="6036">
          <cell r="A6036" t="str">
            <v>Data split-8;Reg-59</v>
          </cell>
          <cell r="B6036">
            <v>-3.2</v>
          </cell>
          <cell r="C6036">
            <v>0</v>
          </cell>
          <cell r="D6036">
            <v>3.2</v>
          </cell>
          <cell r="E6036">
            <v>-2</v>
          </cell>
          <cell r="F6036">
            <v>0</v>
          </cell>
          <cell r="G6036">
            <v>0.73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0</v>
          </cell>
          <cell r="M6036">
            <v>0</v>
          </cell>
          <cell r="N6036">
            <v>0</v>
          </cell>
          <cell r="O6036">
            <v>-4.1000000000000002E-2</v>
          </cell>
          <cell r="P6036">
            <v>0</v>
          </cell>
          <cell r="Q6036">
            <v>0</v>
          </cell>
          <cell r="R6036">
            <v>0</v>
          </cell>
          <cell r="S6036">
            <v>0</v>
          </cell>
          <cell r="T6036">
            <v>0</v>
          </cell>
          <cell r="U6036" t="b">
            <v>0</v>
          </cell>
        </row>
        <row r="6037">
          <cell r="A6037" t="str">
            <v>Data split-8;Reg-60</v>
          </cell>
          <cell r="B6037">
            <v>-3.2</v>
          </cell>
          <cell r="C6037">
            <v>0</v>
          </cell>
          <cell r="D6037">
            <v>3.2</v>
          </cell>
          <cell r="E6037">
            <v>-2</v>
          </cell>
          <cell r="F6037">
            <v>0</v>
          </cell>
          <cell r="G6037">
            <v>0.43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>
            <v>0</v>
          </cell>
          <cell r="M6037">
            <v>0</v>
          </cell>
          <cell r="N6037">
            <v>0</v>
          </cell>
          <cell r="O6037">
            <v>0</v>
          </cell>
          <cell r="P6037">
            <v>-1.2999999999999999E-3</v>
          </cell>
          <cell r="Q6037">
            <v>0</v>
          </cell>
          <cell r="R6037">
            <v>0</v>
          </cell>
          <cell r="S6037">
            <v>0</v>
          </cell>
          <cell r="T6037">
            <v>0</v>
          </cell>
          <cell r="U6037" t="b">
            <v>0</v>
          </cell>
        </row>
        <row r="6038">
          <cell r="A6038" t="str">
            <v>Data split-8;Reg-61</v>
          </cell>
          <cell r="B6038">
            <v>-3.4</v>
          </cell>
          <cell r="C6038">
            <v>0</v>
          </cell>
          <cell r="D6038">
            <v>3</v>
          </cell>
          <cell r="E6038">
            <v>-4.5999999999999996</v>
          </cell>
          <cell r="F6038">
            <v>0</v>
          </cell>
          <cell r="G6038">
            <v>0</v>
          </cell>
          <cell r="H6038">
            <v>4.7</v>
          </cell>
          <cell r="I6038">
            <v>0</v>
          </cell>
          <cell r="J6038">
            <v>0</v>
          </cell>
          <cell r="K6038">
            <v>0</v>
          </cell>
          <cell r="L6038">
            <v>0</v>
          </cell>
          <cell r="M6038">
            <v>0</v>
          </cell>
          <cell r="N6038">
            <v>0</v>
          </cell>
          <cell r="O6038">
            <v>-6.0999999999999999E-2</v>
          </cell>
          <cell r="P6038">
            <v>0</v>
          </cell>
          <cell r="Q6038">
            <v>0</v>
          </cell>
          <cell r="R6038">
            <v>0</v>
          </cell>
          <cell r="S6038">
            <v>0</v>
          </cell>
          <cell r="T6038">
            <v>0</v>
          </cell>
          <cell r="U6038" t="b">
            <v>0</v>
          </cell>
        </row>
        <row r="6039">
          <cell r="A6039" t="str">
            <v>Data split-8;Reg-62</v>
          </cell>
          <cell r="B6039">
            <v>-3.7</v>
          </cell>
          <cell r="C6039">
            <v>0</v>
          </cell>
          <cell r="D6039">
            <v>3.1</v>
          </cell>
          <cell r="E6039">
            <v>-4.7</v>
          </cell>
          <cell r="F6039">
            <v>0</v>
          </cell>
          <cell r="G6039">
            <v>0</v>
          </cell>
          <cell r="H6039">
            <v>4.7</v>
          </cell>
          <cell r="I6039">
            <v>0</v>
          </cell>
          <cell r="J6039">
            <v>0</v>
          </cell>
          <cell r="K6039">
            <v>0</v>
          </cell>
          <cell r="L6039">
            <v>0</v>
          </cell>
          <cell r="M6039">
            <v>0</v>
          </cell>
          <cell r="N6039">
            <v>0</v>
          </cell>
          <cell r="O6039">
            <v>0</v>
          </cell>
          <cell r="P6039">
            <v>-9.9000000000000008E-3</v>
          </cell>
          <cell r="Q6039">
            <v>0</v>
          </cell>
          <cell r="R6039">
            <v>0</v>
          </cell>
          <cell r="S6039">
            <v>0</v>
          </cell>
          <cell r="T6039">
            <v>0</v>
          </cell>
          <cell r="U6039" t="b">
            <v>0</v>
          </cell>
        </row>
        <row r="6040">
          <cell r="A6040" t="str">
            <v>Data split-8;Reg-63</v>
          </cell>
          <cell r="B6040">
            <v>-3.9</v>
          </cell>
          <cell r="C6040">
            <v>0</v>
          </cell>
          <cell r="D6040">
            <v>2.8</v>
          </cell>
          <cell r="E6040">
            <v>0</v>
          </cell>
          <cell r="F6040">
            <v>0.22</v>
          </cell>
          <cell r="G6040">
            <v>-0.36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0</v>
          </cell>
          <cell r="M6040">
            <v>0</v>
          </cell>
          <cell r="N6040">
            <v>0</v>
          </cell>
          <cell r="O6040">
            <v>-6.8000000000000005E-2</v>
          </cell>
          <cell r="P6040">
            <v>0</v>
          </cell>
          <cell r="Q6040">
            <v>0</v>
          </cell>
          <cell r="R6040">
            <v>0</v>
          </cell>
          <cell r="S6040">
            <v>0</v>
          </cell>
          <cell r="T6040">
            <v>0</v>
          </cell>
          <cell r="U6040" t="b">
            <v>0</v>
          </cell>
        </row>
        <row r="6041">
          <cell r="A6041" t="str">
            <v>Data split-8;Reg-64</v>
          </cell>
          <cell r="B6041">
            <v>-4.0999999999999996</v>
          </cell>
          <cell r="C6041">
            <v>0</v>
          </cell>
          <cell r="D6041">
            <v>2.8</v>
          </cell>
          <cell r="E6041">
            <v>0</v>
          </cell>
          <cell r="F6041">
            <v>0.22</v>
          </cell>
          <cell r="G6041">
            <v>-0.53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0</v>
          </cell>
          <cell r="M6041">
            <v>0</v>
          </cell>
          <cell r="N6041">
            <v>0</v>
          </cell>
          <cell r="O6041">
            <v>0</v>
          </cell>
          <cell r="P6041">
            <v>-9.4999999999999998E-3</v>
          </cell>
          <cell r="Q6041">
            <v>0</v>
          </cell>
          <cell r="R6041">
            <v>0</v>
          </cell>
          <cell r="S6041">
            <v>0</v>
          </cell>
          <cell r="T6041">
            <v>0</v>
          </cell>
          <cell r="U6041" t="b">
            <v>0</v>
          </cell>
        </row>
        <row r="6042">
          <cell r="A6042" t="str">
            <v>Data split-8;Reg-65</v>
          </cell>
          <cell r="B6042">
            <v>-3.5</v>
          </cell>
          <cell r="C6042">
            <v>0</v>
          </cell>
          <cell r="D6042">
            <v>2.9</v>
          </cell>
          <cell r="E6042">
            <v>0</v>
          </cell>
          <cell r="F6042">
            <v>0.23</v>
          </cell>
          <cell r="G6042">
            <v>0</v>
          </cell>
          <cell r="H6042">
            <v>-1</v>
          </cell>
          <cell r="I6042">
            <v>0</v>
          </cell>
          <cell r="J6042">
            <v>0</v>
          </cell>
          <cell r="K6042">
            <v>0</v>
          </cell>
          <cell r="L6042">
            <v>0</v>
          </cell>
          <cell r="M6042">
            <v>0</v>
          </cell>
          <cell r="N6042">
            <v>0</v>
          </cell>
          <cell r="O6042">
            <v>-5.3999999999999999E-2</v>
          </cell>
          <cell r="P6042">
            <v>0</v>
          </cell>
          <cell r="Q6042">
            <v>0</v>
          </cell>
          <cell r="R6042">
            <v>0</v>
          </cell>
          <cell r="S6042">
            <v>0</v>
          </cell>
          <cell r="T6042">
            <v>0</v>
          </cell>
          <cell r="U6042" t="b">
            <v>0</v>
          </cell>
        </row>
        <row r="6043">
          <cell r="A6043" t="str">
            <v>Data split-8;Reg-66</v>
          </cell>
          <cell r="B6043">
            <v>-3.7</v>
          </cell>
          <cell r="C6043">
            <v>0</v>
          </cell>
          <cell r="D6043">
            <v>2.9</v>
          </cell>
          <cell r="E6043">
            <v>0</v>
          </cell>
          <cell r="F6043">
            <v>0.23</v>
          </cell>
          <cell r="G6043">
            <v>0</v>
          </cell>
          <cell r="H6043">
            <v>-1.2</v>
          </cell>
          <cell r="I6043">
            <v>0</v>
          </cell>
          <cell r="J6043">
            <v>0</v>
          </cell>
          <cell r="K6043">
            <v>0</v>
          </cell>
          <cell r="L6043">
            <v>0</v>
          </cell>
          <cell r="M6043">
            <v>0</v>
          </cell>
          <cell r="N6043">
            <v>0</v>
          </cell>
          <cell r="O6043">
            <v>0</v>
          </cell>
          <cell r="P6043">
            <v>-7.0000000000000001E-3</v>
          </cell>
          <cell r="Q6043">
            <v>0</v>
          </cell>
          <cell r="R6043">
            <v>0</v>
          </cell>
          <cell r="S6043">
            <v>0</v>
          </cell>
          <cell r="T6043">
            <v>0</v>
          </cell>
          <cell r="U6043" t="b">
            <v>0</v>
          </cell>
        </row>
        <row r="6044">
          <cell r="A6044" t="str">
            <v>Data split-8;Reg-67</v>
          </cell>
          <cell r="B6044">
            <v>-3.9</v>
          </cell>
          <cell r="C6044">
            <v>3</v>
          </cell>
          <cell r="D6044">
            <v>0</v>
          </cell>
          <cell r="E6044">
            <v>0</v>
          </cell>
          <cell r="F6044">
            <v>0</v>
          </cell>
          <cell r="G6044">
            <v>-0.97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>
            <v>0</v>
          </cell>
          <cell r="M6044">
            <v>0</v>
          </cell>
          <cell r="N6044">
            <v>0</v>
          </cell>
          <cell r="O6044">
            <v>0</v>
          </cell>
          <cell r="P6044">
            <v>0</v>
          </cell>
          <cell r="Q6044">
            <v>0</v>
          </cell>
          <cell r="R6044">
            <v>0</v>
          </cell>
          <cell r="S6044">
            <v>0</v>
          </cell>
          <cell r="T6044">
            <v>0</v>
          </cell>
          <cell r="U6044" t="b">
            <v>0</v>
          </cell>
        </row>
        <row r="6045">
          <cell r="A6045" t="str">
            <v>Data split-8;Reg-68</v>
          </cell>
          <cell r="B6045">
            <v>-3.9</v>
          </cell>
          <cell r="C6045">
            <v>2.8</v>
          </cell>
          <cell r="D6045">
            <v>0</v>
          </cell>
          <cell r="E6045">
            <v>0</v>
          </cell>
          <cell r="F6045">
            <v>0.2</v>
          </cell>
          <cell r="G6045">
            <v>-0.99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>
            <v>0</v>
          </cell>
          <cell r="M6045">
            <v>0</v>
          </cell>
          <cell r="N6045">
            <v>0</v>
          </cell>
          <cell r="O6045">
            <v>0</v>
          </cell>
          <cell r="P6045">
            <v>0</v>
          </cell>
          <cell r="Q6045">
            <v>0</v>
          </cell>
          <cell r="R6045">
            <v>0</v>
          </cell>
          <cell r="S6045">
            <v>0</v>
          </cell>
          <cell r="T6045">
            <v>0</v>
          </cell>
          <cell r="U6045" t="b">
            <v>0</v>
          </cell>
        </row>
        <row r="6046">
          <cell r="A6046" t="str">
            <v>Data split-8;Reg-69</v>
          </cell>
          <cell r="B6046">
            <v>-4.2</v>
          </cell>
          <cell r="C6046">
            <v>3</v>
          </cell>
          <cell r="D6046">
            <v>0</v>
          </cell>
          <cell r="E6046">
            <v>0</v>
          </cell>
          <cell r="F6046">
            <v>0</v>
          </cell>
          <cell r="G6046">
            <v>-0.99</v>
          </cell>
          <cell r="H6046">
            <v>0</v>
          </cell>
          <cell r="I6046">
            <v>0</v>
          </cell>
          <cell r="J6046">
            <v>2.1</v>
          </cell>
          <cell r="K6046">
            <v>0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0</v>
          </cell>
          <cell r="Q6046">
            <v>0</v>
          </cell>
          <cell r="R6046">
            <v>0</v>
          </cell>
          <cell r="S6046">
            <v>0</v>
          </cell>
          <cell r="T6046">
            <v>0</v>
          </cell>
          <cell r="U6046" t="b">
            <v>0</v>
          </cell>
        </row>
        <row r="6047">
          <cell r="A6047" t="str">
            <v>Data split-8;Reg-70</v>
          </cell>
          <cell r="B6047">
            <v>-4.0999999999999996</v>
          </cell>
          <cell r="C6047">
            <v>3</v>
          </cell>
          <cell r="D6047">
            <v>0</v>
          </cell>
          <cell r="E6047">
            <v>0</v>
          </cell>
          <cell r="F6047">
            <v>0</v>
          </cell>
          <cell r="G6047">
            <v>-0.56000000000000005</v>
          </cell>
          <cell r="H6047">
            <v>0</v>
          </cell>
          <cell r="I6047">
            <v>0</v>
          </cell>
          <cell r="J6047">
            <v>1.6</v>
          </cell>
          <cell r="K6047">
            <v>0</v>
          </cell>
          <cell r="L6047">
            <v>0</v>
          </cell>
          <cell r="M6047">
            <v>0</v>
          </cell>
          <cell r="N6047">
            <v>0</v>
          </cell>
          <cell r="O6047">
            <v>0</v>
          </cell>
          <cell r="P6047">
            <v>0</v>
          </cell>
          <cell r="Q6047">
            <v>0</v>
          </cell>
          <cell r="R6047">
            <v>0</v>
          </cell>
          <cell r="S6047">
            <v>-4.5999999999999999E-2</v>
          </cell>
          <cell r="T6047">
            <v>0</v>
          </cell>
          <cell r="U6047" t="b">
            <v>0</v>
          </cell>
        </row>
        <row r="6048">
          <cell r="A6048" t="str">
            <v>Data split-8;Reg-71</v>
          </cell>
          <cell r="B6048">
            <v>-3.7</v>
          </cell>
          <cell r="C6048">
            <v>2.9</v>
          </cell>
          <cell r="D6048">
            <v>0</v>
          </cell>
          <cell r="E6048">
            <v>0</v>
          </cell>
          <cell r="F6048">
            <v>0.23</v>
          </cell>
          <cell r="G6048">
            <v>0</v>
          </cell>
          <cell r="H6048">
            <v>-1.1000000000000001</v>
          </cell>
          <cell r="I6048">
            <v>0</v>
          </cell>
          <cell r="J6048">
            <v>0</v>
          </cell>
          <cell r="K6048">
            <v>0</v>
          </cell>
          <cell r="L6048">
            <v>0</v>
          </cell>
          <cell r="M6048">
            <v>0</v>
          </cell>
          <cell r="N6048">
            <v>0</v>
          </cell>
          <cell r="O6048">
            <v>0</v>
          </cell>
          <cell r="P6048">
            <v>0</v>
          </cell>
          <cell r="Q6048">
            <v>0</v>
          </cell>
          <cell r="R6048">
            <v>0</v>
          </cell>
          <cell r="S6048">
            <v>-3.5999999999999997E-2</v>
          </cell>
          <cell r="T6048">
            <v>0</v>
          </cell>
          <cell r="U6048" t="b">
            <v>0</v>
          </cell>
        </row>
        <row r="6049">
          <cell r="A6049" t="str">
            <v>Data split-8;Reg-72</v>
          </cell>
          <cell r="B6049">
            <v>-3</v>
          </cell>
          <cell r="C6049">
            <v>3.2</v>
          </cell>
          <cell r="D6049">
            <v>0</v>
          </cell>
          <cell r="E6049">
            <v>-1.7</v>
          </cell>
          <cell r="F6049">
            <v>0</v>
          </cell>
          <cell r="G6049">
            <v>0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>
            <v>0</v>
          </cell>
          <cell r="M6049">
            <v>0</v>
          </cell>
          <cell r="N6049">
            <v>0</v>
          </cell>
          <cell r="O6049">
            <v>0</v>
          </cell>
          <cell r="P6049">
            <v>0</v>
          </cell>
          <cell r="Q6049">
            <v>0</v>
          </cell>
          <cell r="R6049">
            <v>0</v>
          </cell>
          <cell r="S6049">
            <v>0</v>
          </cell>
          <cell r="T6049">
            <v>0</v>
          </cell>
          <cell r="U6049" t="b">
            <v>0</v>
          </cell>
        </row>
        <row r="6050">
          <cell r="A6050" t="str">
            <v>Data split-8;Reg-73</v>
          </cell>
          <cell r="B6050">
            <v>-6.6</v>
          </cell>
          <cell r="C6050">
            <v>2.4</v>
          </cell>
          <cell r="D6050">
            <v>0</v>
          </cell>
          <cell r="E6050">
            <v>0</v>
          </cell>
          <cell r="F6050">
            <v>0.2</v>
          </cell>
          <cell r="G6050">
            <v>0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0</v>
          </cell>
          <cell r="M6050">
            <v>0</v>
          </cell>
          <cell r="N6050">
            <v>0</v>
          </cell>
          <cell r="O6050">
            <v>0</v>
          </cell>
          <cell r="P6050">
            <v>0</v>
          </cell>
          <cell r="Q6050">
            <v>0</v>
          </cell>
          <cell r="R6050">
            <v>0</v>
          </cell>
          <cell r="S6050">
            <v>0</v>
          </cell>
          <cell r="T6050">
            <v>0</v>
          </cell>
          <cell r="U6050" t="b">
            <v>1</v>
          </cell>
        </row>
        <row r="6051">
          <cell r="A6051" t="str">
            <v>Data split-8;Reg-74</v>
          </cell>
          <cell r="B6051">
            <v>-2.9</v>
          </cell>
          <cell r="C6051">
            <v>0</v>
          </cell>
          <cell r="D6051">
            <v>3.2</v>
          </cell>
          <cell r="E6051">
            <v>-1.7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  <cell r="N6051">
            <v>0</v>
          </cell>
          <cell r="O6051">
            <v>0</v>
          </cell>
          <cell r="P6051">
            <v>0</v>
          </cell>
          <cell r="Q6051">
            <v>0</v>
          </cell>
          <cell r="R6051">
            <v>0</v>
          </cell>
          <cell r="S6051">
            <v>0</v>
          </cell>
          <cell r="T6051">
            <v>0</v>
          </cell>
          <cell r="U6051" t="b">
            <v>0</v>
          </cell>
        </row>
        <row r="6052">
          <cell r="A6052" t="str">
            <v>Data split-8;Reg-75</v>
          </cell>
          <cell r="B6052">
            <v>-6.5</v>
          </cell>
          <cell r="C6052">
            <v>0</v>
          </cell>
          <cell r="D6052">
            <v>2.4</v>
          </cell>
          <cell r="E6052">
            <v>0</v>
          </cell>
          <cell r="F6052">
            <v>0.2</v>
          </cell>
          <cell r="G6052">
            <v>0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>
            <v>0</v>
          </cell>
          <cell r="M6052">
            <v>0</v>
          </cell>
          <cell r="N6052">
            <v>0</v>
          </cell>
          <cell r="O6052">
            <v>0</v>
          </cell>
          <cell r="P6052">
            <v>0</v>
          </cell>
          <cell r="Q6052">
            <v>0</v>
          </cell>
          <cell r="R6052">
            <v>0</v>
          </cell>
          <cell r="S6052">
            <v>0</v>
          </cell>
          <cell r="T6052">
            <v>0</v>
          </cell>
          <cell r="U6052" t="b">
            <v>1</v>
          </cell>
        </row>
        <row r="6053">
          <cell r="A6053" t="str">
            <v>Data split-8;Reg-76</v>
          </cell>
          <cell r="B6053">
            <v>-3.9</v>
          </cell>
          <cell r="C6053">
            <v>3</v>
          </cell>
          <cell r="D6053">
            <v>0</v>
          </cell>
          <cell r="E6053">
            <v>0</v>
          </cell>
          <cell r="F6053">
            <v>0</v>
          </cell>
          <cell r="G6053">
            <v>-0.97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0</v>
          </cell>
          <cell r="M6053">
            <v>0</v>
          </cell>
          <cell r="N6053">
            <v>0</v>
          </cell>
          <cell r="O6053">
            <v>0</v>
          </cell>
          <cell r="P6053">
            <v>0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 t="b">
            <v>0</v>
          </cell>
        </row>
        <row r="6054">
          <cell r="A6054" t="str">
            <v>Data split-8;Reg-77</v>
          </cell>
          <cell r="B6054">
            <v>-4.0999999999999996</v>
          </cell>
          <cell r="C6054">
            <v>3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H6054">
            <v>-1.4</v>
          </cell>
          <cell r="I6054">
            <v>0</v>
          </cell>
          <cell r="J6054">
            <v>0</v>
          </cell>
          <cell r="K6054">
            <v>0</v>
          </cell>
          <cell r="L6054">
            <v>0</v>
          </cell>
          <cell r="M6054">
            <v>0</v>
          </cell>
          <cell r="N6054">
            <v>0</v>
          </cell>
          <cell r="O6054">
            <v>0</v>
          </cell>
          <cell r="P6054">
            <v>0</v>
          </cell>
          <cell r="Q6054">
            <v>0</v>
          </cell>
          <cell r="R6054">
            <v>0</v>
          </cell>
          <cell r="S6054">
            <v>0</v>
          </cell>
          <cell r="T6054">
            <v>0</v>
          </cell>
          <cell r="U6054" t="b">
            <v>0</v>
          </cell>
        </row>
        <row r="6055">
          <cell r="A6055" t="str">
            <v>Data split-8;Reg-78</v>
          </cell>
          <cell r="B6055">
            <v>-3.8</v>
          </cell>
          <cell r="C6055">
            <v>0</v>
          </cell>
          <cell r="D6055">
            <v>3</v>
          </cell>
          <cell r="E6055">
            <v>0</v>
          </cell>
          <cell r="F6055">
            <v>0</v>
          </cell>
          <cell r="G6055">
            <v>-0.97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0</v>
          </cell>
          <cell r="M6055">
            <v>0</v>
          </cell>
          <cell r="N6055">
            <v>0</v>
          </cell>
          <cell r="O6055">
            <v>0</v>
          </cell>
          <cell r="P6055">
            <v>0</v>
          </cell>
          <cell r="Q6055">
            <v>0</v>
          </cell>
          <cell r="R6055">
            <v>0</v>
          </cell>
          <cell r="S6055">
            <v>0</v>
          </cell>
          <cell r="T6055">
            <v>0</v>
          </cell>
          <cell r="U6055" t="b">
            <v>0</v>
          </cell>
        </row>
        <row r="6056">
          <cell r="A6056" t="str">
            <v>Data split-8;Reg-79</v>
          </cell>
          <cell r="B6056">
            <v>-4</v>
          </cell>
          <cell r="C6056">
            <v>0</v>
          </cell>
          <cell r="D6056">
            <v>3.1</v>
          </cell>
          <cell r="E6056">
            <v>0</v>
          </cell>
          <cell r="F6056">
            <v>0</v>
          </cell>
          <cell r="G6056">
            <v>0</v>
          </cell>
          <cell r="H6056">
            <v>-1.5</v>
          </cell>
          <cell r="I6056">
            <v>0</v>
          </cell>
          <cell r="J6056">
            <v>0</v>
          </cell>
          <cell r="K6056">
            <v>0</v>
          </cell>
          <cell r="L6056">
            <v>0</v>
          </cell>
          <cell r="M6056">
            <v>0</v>
          </cell>
          <cell r="N6056">
            <v>0</v>
          </cell>
          <cell r="O6056">
            <v>0</v>
          </cell>
          <cell r="P6056">
            <v>0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 t="b">
            <v>0</v>
          </cell>
        </row>
        <row r="6057">
          <cell r="A6057" t="str">
            <v>Data split-8;Reg-80</v>
          </cell>
          <cell r="B6057">
            <v>-2.5</v>
          </cell>
          <cell r="C6057">
            <v>2.9</v>
          </cell>
          <cell r="D6057">
            <v>0</v>
          </cell>
          <cell r="E6057">
            <v>0</v>
          </cell>
          <cell r="F6057">
            <v>0</v>
          </cell>
          <cell r="G6057">
            <v>0</v>
          </cell>
          <cell r="H6057">
            <v>0</v>
          </cell>
          <cell r="I6057">
            <v>-4.3</v>
          </cell>
          <cell r="J6057">
            <v>0</v>
          </cell>
          <cell r="K6057">
            <v>0</v>
          </cell>
          <cell r="L6057">
            <v>0</v>
          </cell>
          <cell r="M6057">
            <v>0</v>
          </cell>
          <cell r="N6057">
            <v>0</v>
          </cell>
          <cell r="O6057">
            <v>0</v>
          </cell>
          <cell r="P6057">
            <v>0</v>
          </cell>
          <cell r="Q6057">
            <v>0</v>
          </cell>
          <cell r="R6057">
            <v>0</v>
          </cell>
          <cell r="S6057">
            <v>0</v>
          </cell>
          <cell r="T6057">
            <v>0</v>
          </cell>
          <cell r="U6057" t="b">
            <v>1</v>
          </cell>
        </row>
        <row r="6058">
          <cell r="A6058" t="str">
            <v>Data split-8;Reg-81</v>
          </cell>
          <cell r="B6058">
            <v>-3.7</v>
          </cell>
          <cell r="C6058">
            <v>2.7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-18.2</v>
          </cell>
          <cell r="K6058">
            <v>0</v>
          </cell>
          <cell r="L6058">
            <v>0</v>
          </cell>
          <cell r="M6058">
            <v>0</v>
          </cell>
          <cell r="N6058">
            <v>0</v>
          </cell>
          <cell r="O6058">
            <v>0</v>
          </cell>
          <cell r="P6058">
            <v>0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 t="b">
            <v>1</v>
          </cell>
        </row>
        <row r="6059">
          <cell r="A6059" t="str">
            <v>Data split-8;Reg-82</v>
          </cell>
          <cell r="B6059">
            <v>-2.5</v>
          </cell>
          <cell r="C6059">
            <v>0</v>
          </cell>
          <cell r="D6059">
            <v>2.9</v>
          </cell>
          <cell r="E6059">
            <v>0</v>
          </cell>
          <cell r="F6059">
            <v>0</v>
          </cell>
          <cell r="G6059">
            <v>0</v>
          </cell>
          <cell r="H6059">
            <v>0</v>
          </cell>
          <cell r="I6059">
            <v>-4.3</v>
          </cell>
          <cell r="J6059">
            <v>0</v>
          </cell>
          <cell r="K6059">
            <v>0</v>
          </cell>
          <cell r="L6059">
            <v>0</v>
          </cell>
          <cell r="M6059">
            <v>0</v>
          </cell>
          <cell r="N6059">
            <v>0</v>
          </cell>
          <cell r="O6059">
            <v>0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0</v>
          </cell>
          <cell r="U6059" t="b">
            <v>1</v>
          </cell>
        </row>
        <row r="6060">
          <cell r="A6060" t="str">
            <v>Data split-8;Reg-83</v>
          </cell>
          <cell r="B6060">
            <v>-3.7</v>
          </cell>
          <cell r="C6060">
            <v>0</v>
          </cell>
          <cell r="D6060">
            <v>2.7</v>
          </cell>
          <cell r="E6060">
            <v>0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-17.8</v>
          </cell>
          <cell r="K6060">
            <v>0</v>
          </cell>
          <cell r="L6060">
            <v>0</v>
          </cell>
          <cell r="M6060">
            <v>0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 t="b">
            <v>1</v>
          </cell>
        </row>
        <row r="6061">
          <cell r="A6061" t="str">
            <v>Data split-8;Reg-84</v>
          </cell>
          <cell r="B6061">
            <v>-4.8</v>
          </cell>
          <cell r="C6061">
            <v>2.9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-2.4</v>
          </cell>
          <cell r="L6061">
            <v>0</v>
          </cell>
          <cell r="M6061">
            <v>0</v>
          </cell>
          <cell r="N6061">
            <v>0</v>
          </cell>
          <cell r="O6061">
            <v>0</v>
          </cell>
          <cell r="P6061">
            <v>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 t="b">
            <v>1</v>
          </cell>
        </row>
        <row r="6062">
          <cell r="A6062" t="str">
            <v>Data split-8;Reg-85</v>
          </cell>
          <cell r="B6062">
            <v>-4.7</v>
          </cell>
          <cell r="C6062">
            <v>2.7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-13.4</v>
          </cell>
          <cell r="M6062">
            <v>0</v>
          </cell>
          <cell r="N6062">
            <v>0</v>
          </cell>
          <cell r="O6062">
            <v>0</v>
          </cell>
          <cell r="P6062">
            <v>0</v>
          </cell>
          <cell r="Q6062">
            <v>0</v>
          </cell>
          <cell r="R6062">
            <v>0</v>
          </cell>
          <cell r="S6062">
            <v>0</v>
          </cell>
          <cell r="T6062">
            <v>0</v>
          </cell>
          <cell r="U6062" t="b">
            <v>1</v>
          </cell>
        </row>
        <row r="6063">
          <cell r="A6063" t="str">
            <v>Data split-8;Reg-86</v>
          </cell>
          <cell r="B6063">
            <v>-4.8</v>
          </cell>
          <cell r="C6063">
            <v>0</v>
          </cell>
          <cell r="D6063">
            <v>2.9</v>
          </cell>
          <cell r="E6063">
            <v>0</v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-2.5</v>
          </cell>
          <cell r="L6063">
            <v>0</v>
          </cell>
          <cell r="M6063">
            <v>0</v>
          </cell>
          <cell r="N6063">
            <v>0</v>
          </cell>
          <cell r="O6063">
            <v>0</v>
          </cell>
          <cell r="P6063">
            <v>0</v>
          </cell>
          <cell r="Q6063">
            <v>0</v>
          </cell>
          <cell r="R6063">
            <v>0</v>
          </cell>
          <cell r="S6063">
            <v>0</v>
          </cell>
          <cell r="T6063">
            <v>0</v>
          </cell>
          <cell r="U6063" t="b">
            <v>1</v>
          </cell>
        </row>
        <row r="6064">
          <cell r="A6064" t="str">
            <v>Data split-8;Reg-87</v>
          </cell>
          <cell r="B6064">
            <v>-4.5999999999999996</v>
          </cell>
          <cell r="C6064">
            <v>0</v>
          </cell>
          <cell r="D6064">
            <v>2.8</v>
          </cell>
          <cell r="E6064">
            <v>0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-13.6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 t="b">
            <v>1</v>
          </cell>
        </row>
        <row r="6065">
          <cell r="A6065" t="str">
            <v>Data split-8;Reg-88</v>
          </cell>
          <cell r="B6065">
            <v>-5.2</v>
          </cell>
          <cell r="C6065">
            <v>2.8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  <cell r="M6065">
            <v>-5.8999999999999997E-2</v>
          </cell>
          <cell r="N6065">
            <v>0</v>
          </cell>
          <cell r="O6065">
            <v>0</v>
          </cell>
          <cell r="P6065">
            <v>0</v>
          </cell>
          <cell r="Q6065">
            <v>0</v>
          </cell>
          <cell r="R6065">
            <v>0</v>
          </cell>
          <cell r="S6065">
            <v>0</v>
          </cell>
          <cell r="T6065">
            <v>0</v>
          </cell>
          <cell r="U6065" t="b">
            <v>1</v>
          </cell>
        </row>
        <row r="6066">
          <cell r="A6066" t="str">
            <v>Data split-8;Reg-89</v>
          </cell>
          <cell r="B6066">
            <v>-5.3</v>
          </cell>
          <cell r="C6066">
            <v>2.9</v>
          </cell>
          <cell r="D6066">
            <v>0</v>
          </cell>
          <cell r="E6066">
            <v>0</v>
          </cell>
          <cell r="F6066">
            <v>0</v>
          </cell>
          <cell r="G6066">
            <v>0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0</v>
          </cell>
          <cell r="M6066">
            <v>0</v>
          </cell>
          <cell r="N6066">
            <v>-1.2999999999999999E-2</v>
          </cell>
          <cell r="O6066">
            <v>0</v>
          </cell>
          <cell r="P6066">
            <v>0</v>
          </cell>
          <cell r="Q6066">
            <v>0</v>
          </cell>
          <cell r="R6066">
            <v>0</v>
          </cell>
          <cell r="S6066">
            <v>0</v>
          </cell>
          <cell r="T6066">
            <v>0</v>
          </cell>
          <cell r="U6066" t="b">
            <v>1</v>
          </cell>
        </row>
        <row r="6067">
          <cell r="A6067" t="str">
            <v>Data split-8;Reg-90</v>
          </cell>
          <cell r="B6067">
            <v>-5.0999999999999996</v>
          </cell>
          <cell r="C6067">
            <v>0</v>
          </cell>
          <cell r="D6067">
            <v>2.8</v>
          </cell>
          <cell r="E6067">
            <v>0</v>
          </cell>
          <cell r="F6067">
            <v>0</v>
          </cell>
          <cell r="G6067">
            <v>0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0</v>
          </cell>
          <cell r="M6067">
            <v>-0.06</v>
          </cell>
          <cell r="N6067">
            <v>0</v>
          </cell>
          <cell r="O6067">
            <v>0</v>
          </cell>
          <cell r="P6067">
            <v>0</v>
          </cell>
          <cell r="Q6067">
            <v>0</v>
          </cell>
          <cell r="R6067">
            <v>0</v>
          </cell>
          <cell r="S6067">
            <v>0</v>
          </cell>
          <cell r="T6067">
            <v>0</v>
          </cell>
          <cell r="U6067" t="b">
            <v>1</v>
          </cell>
        </row>
        <row r="6068">
          <cell r="A6068" t="str">
            <v>Data split-8;Reg-91</v>
          </cell>
          <cell r="B6068">
            <v>-5.3</v>
          </cell>
          <cell r="C6068">
            <v>0</v>
          </cell>
          <cell r="D6068">
            <v>2.9</v>
          </cell>
          <cell r="E6068">
            <v>0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0</v>
          </cell>
          <cell r="M6068">
            <v>0</v>
          </cell>
          <cell r="N6068">
            <v>-1.2999999999999999E-2</v>
          </cell>
          <cell r="O6068">
            <v>0</v>
          </cell>
          <cell r="P6068">
            <v>0</v>
          </cell>
          <cell r="Q6068">
            <v>0</v>
          </cell>
          <cell r="R6068">
            <v>0</v>
          </cell>
          <cell r="S6068">
            <v>0</v>
          </cell>
          <cell r="T6068">
            <v>0</v>
          </cell>
          <cell r="U6068" t="b">
            <v>1</v>
          </cell>
        </row>
        <row r="6069">
          <cell r="A6069" t="str">
            <v>Data split-8;Reg-92</v>
          </cell>
          <cell r="B6069">
            <v>-4.4000000000000004</v>
          </cell>
          <cell r="C6069">
            <v>2.8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  <cell r="N6069">
            <v>0</v>
          </cell>
          <cell r="O6069">
            <v>-8.5000000000000006E-2</v>
          </cell>
          <cell r="P6069">
            <v>0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 t="b">
            <v>1</v>
          </cell>
        </row>
        <row r="6070">
          <cell r="A6070" t="str">
            <v>Data split-8;Reg-93</v>
          </cell>
          <cell r="B6070">
            <v>-4.9000000000000004</v>
          </cell>
          <cell r="C6070">
            <v>2.9</v>
          </cell>
          <cell r="D6070">
            <v>0</v>
          </cell>
          <cell r="E6070">
            <v>0</v>
          </cell>
          <cell r="F6070">
            <v>0</v>
          </cell>
          <cell r="G6070">
            <v>0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0</v>
          </cell>
          <cell r="M6070">
            <v>0</v>
          </cell>
          <cell r="N6070">
            <v>0</v>
          </cell>
          <cell r="O6070">
            <v>0</v>
          </cell>
          <cell r="P6070">
            <v>-1.4999999999999999E-2</v>
          </cell>
          <cell r="Q6070">
            <v>0</v>
          </cell>
          <cell r="R6070">
            <v>0</v>
          </cell>
          <cell r="S6070">
            <v>0</v>
          </cell>
          <cell r="T6070">
            <v>0</v>
          </cell>
          <cell r="U6070" t="b">
            <v>1</v>
          </cell>
        </row>
        <row r="6071">
          <cell r="A6071" t="str">
            <v>Data split-8;Reg-94</v>
          </cell>
          <cell r="B6071">
            <v>-4.4000000000000004</v>
          </cell>
          <cell r="C6071">
            <v>0</v>
          </cell>
          <cell r="D6071">
            <v>2.8</v>
          </cell>
          <cell r="E6071">
            <v>0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0</v>
          </cell>
          <cell r="M6071">
            <v>0</v>
          </cell>
          <cell r="N6071">
            <v>0</v>
          </cell>
          <cell r="O6071">
            <v>-8.4000000000000005E-2</v>
          </cell>
          <cell r="P6071">
            <v>0</v>
          </cell>
          <cell r="Q6071">
            <v>0</v>
          </cell>
          <cell r="R6071">
            <v>0</v>
          </cell>
          <cell r="S6071">
            <v>0</v>
          </cell>
          <cell r="T6071">
            <v>0</v>
          </cell>
          <cell r="U6071" t="b">
            <v>1</v>
          </cell>
        </row>
        <row r="6072">
          <cell r="A6072" t="str">
            <v>Data split-8;Reg-95</v>
          </cell>
          <cell r="B6072">
            <v>-4.9000000000000004</v>
          </cell>
          <cell r="C6072">
            <v>0</v>
          </cell>
          <cell r="D6072">
            <v>2.9</v>
          </cell>
          <cell r="E6072">
            <v>0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0</v>
          </cell>
          <cell r="M6072">
            <v>0</v>
          </cell>
          <cell r="N6072">
            <v>0</v>
          </cell>
          <cell r="O6072">
            <v>0</v>
          </cell>
          <cell r="P6072">
            <v>-1.4999999999999999E-2</v>
          </cell>
          <cell r="Q6072">
            <v>0</v>
          </cell>
          <cell r="R6072">
            <v>0</v>
          </cell>
          <cell r="S6072">
            <v>0</v>
          </cell>
          <cell r="T6072">
            <v>0</v>
          </cell>
          <cell r="U6072" t="b">
            <v>1</v>
          </cell>
        </row>
        <row r="6073">
          <cell r="A6073" t="str">
            <v>Data split-8;Reg-96</v>
          </cell>
          <cell r="B6073">
            <v>-3.8</v>
          </cell>
          <cell r="C6073">
            <v>3.3</v>
          </cell>
          <cell r="D6073">
            <v>0</v>
          </cell>
          <cell r="E6073">
            <v>-2.1</v>
          </cell>
          <cell r="F6073">
            <v>0</v>
          </cell>
          <cell r="G6073">
            <v>0</v>
          </cell>
          <cell r="H6073">
            <v>0</v>
          </cell>
          <cell r="I6073">
            <v>1.9</v>
          </cell>
          <cell r="J6073">
            <v>0</v>
          </cell>
          <cell r="K6073">
            <v>0</v>
          </cell>
          <cell r="L6073">
            <v>0</v>
          </cell>
          <cell r="M6073">
            <v>0</v>
          </cell>
          <cell r="N6073">
            <v>0</v>
          </cell>
          <cell r="O6073">
            <v>0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 t="b">
            <v>0</v>
          </cell>
        </row>
        <row r="6074">
          <cell r="A6074" t="str">
            <v>Data split-8;Reg-97</v>
          </cell>
          <cell r="B6074">
            <v>-5.8</v>
          </cell>
          <cell r="C6074">
            <v>3.3</v>
          </cell>
          <cell r="D6074">
            <v>0</v>
          </cell>
          <cell r="E6074">
            <v>-2.1</v>
          </cell>
          <cell r="F6074">
            <v>0</v>
          </cell>
          <cell r="G6074">
            <v>0</v>
          </cell>
          <cell r="H6074">
            <v>0</v>
          </cell>
          <cell r="I6074">
            <v>0</v>
          </cell>
          <cell r="J6074">
            <v>23.6</v>
          </cell>
          <cell r="K6074">
            <v>0</v>
          </cell>
          <cell r="L6074">
            <v>0</v>
          </cell>
          <cell r="M6074">
            <v>0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  <cell r="R6074">
            <v>0</v>
          </cell>
          <cell r="S6074">
            <v>0</v>
          </cell>
          <cell r="T6074">
            <v>0</v>
          </cell>
          <cell r="U6074" t="b">
            <v>0</v>
          </cell>
        </row>
        <row r="6075">
          <cell r="A6075" t="str">
            <v>Data split-8;Reg-98</v>
          </cell>
          <cell r="B6075">
            <v>-1.6</v>
          </cell>
          <cell r="C6075">
            <v>2.8</v>
          </cell>
          <cell r="D6075">
            <v>0</v>
          </cell>
          <cell r="E6075">
            <v>0</v>
          </cell>
          <cell r="F6075">
            <v>0.26</v>
          </cell>
          <cell r="G6075">
            <v>0</v>
          </cell>
          <cell r="H6075">
            <v>0</v>
          </cell>
          <cell r="I6075">
            <v>-5.4</v>
          </cell>
          <cell r="J6075">
            <v>0</v>
          </cell>
          <cell r="K6075">
            <v>0</v>
          </cell>
          <cell r="L6075">
            <v>0</v>
          </cell>
          <cell r="M6075">
            <v>0</v>
          </cell>
          <cell r="N6075">
            <v>0</v>
          </cell>
          <cell r="O6075">
            <v>0</v>
          </cell>
          <cell r="P6075">
            <v>0</v>
          </cell>
          <cell r="Q6075">
            <v>0</v>
          </cell>
          <cell r="R6075">
            <v>0</v>
          </cell>
          <cell r="S6075">
            <v>0</v>
          </cell>
          <cell r="T6075">
            <v>0</v>
          </cell>
          <cell r="U6075" t="b">
            <v>1</v>
          </cell>
        </row>
        <row r="6076">
          <cell r="A6076" t="str">
            <v>Data split-8;Reg-99</v>
          </cell>
          <cell r="B6076">
            <v>-3.1</v>
          </cell>
          <cell r="C6076">
            <v>2.5</v>
          </cell>
          <cell r="D6076">
            <v>0</v>
          </cell>
          <cell r="E6076">
            <v>0</v>
          </cell>
          <cell r="F6076">
            <v>0.21</v>
          </cell>
          <cell r="G6076">
            <v>0</v>
          </cell>
          <cell r="H6076">
            <v>0</v>
          </cell>
          <cell r="I6076">
            <v>0</v>
          </cell>
          <cell r="J6076">
            <v>-22.2</v>
          </cell>
          <cell r="K6076">
            <v>0</v>
          </cell>
          <cell r="L6076">
            <v>0</v>
          </cell>
          <cell r="M6076">
            <v>0</v>
          </cell>
          <cell r="N6076">
            <v>0</v>
          </cell>
          <cell r="O6076">
            <v>0</v>
          </cell>
          <cell r="P6076">
            <v>0</v>
          </cell>
          <cell r="Q6076">
            <v>0</v>
          </cell>
          <cell r="R6076">
            <v>0</v>
          </cell>
          <cell r="S6076">
            <v>0</v>
          </cell>
          <cell r="T6076">
            <v>0</v>
          </cell>
          <cell r="U6076" t="b">
            <v>1</v>
          </cell>
        </row>
        <row r="6077">
          <cell r="A6077" t="str">
            <v>Data split-8;Reg-100</v>
          </cell>
          <cell r="B6077">
            <v>-3.8</v>
          </cell>
          <cell r="C6077">
            <v>0</v>
          </cell>
          <cell r="D6077">
            <v>3.3</v>
          </cell>
          <cell r="E6077">
            <v>-2.2000000000000002</v>
          </cell>
          <cell r="F6077">
            <v>0</v>
          </cell>
          <cell r="G6077">
            <v>0</v>
          </cell>
          <cell r="H6077">
            <v>0</v>
          </cell>
          <cell r="I6077">
            <v>2.1</v>
          </cell>
          <cell r="J6077">
            <v>0</v>
          </cell>
          <cell r="K6077">
            <v>0</v>
          </cell>
          <cell r="L6077">
            <v>0</v>
          </cell>
          <cell r="M6077">
            <v>0</v>
          </cell>
          <cell r="N6077">
            <v>0</v>
          </cell>
          <cell r="O6077">
            <v>0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 t="b">
            <v>0</v>
          </cell>
        </row>
        <row r="6078">
          <cell r="A6078" t="str">
            <v>Data split-8;Reg-101</v>
          </cell>
          <cell r="B6078">
            <v>-5.9</v>
          </cell>
          <cell r="C6078">
            <v>0</v>
          </cell>
          <cell r="D6078">
            <v>3.3</v>
          </cell>
          <cell r="E6078">
            <v>-2.1</v>
          </cell>
          <cell r="F6078">
            <v>0</v>
          </cell>
          <cell r="G6078">
            <v>0</v>
          </cell>
          <cell r="H6078">
            <v>0</v>
          </cell>
          <cell r="I6078">
            <v>0</v>
          </cell>
          <cell r="J6078">
            <v>24.5</v>
          </cell>
          <cell r="K6078">
            <v>0</v>
          </cell>
          <cell r="L6078">
            <v>0</v>
          </cell>
          <cell r="M6078">
            <v>0</v>
          </cell>
          <cell r="N6078">
            <v>0</v>
          </cell>
          <cell r="O6078">
            <v>0</v>
          </cell>
          <cell r="P6078">
            <v>0</v>
          </cell>
          <cell r="Q6078">
            <v>0</v>
          </cell>
          <cell r="R6078">
            <v>0</v>
          </cell>
          <cell r="S6078">
            <v>0</v>
          </cell>
          <cell r="T6078">
            <v>0</v>
          </cell>
          <cell r="U6078" t="b">
            <v>0</v>
          </cell>
        </row>
        <row r="6079">
          <cell r="A6079" t="str">
            <v>Data split-8;Reg-102</v>
          </cell>
          <cell r="B6079">
            <v>-1.6</v>
          </cell>
          <cell r="C6079">
            <v>0</v>
          </cell>
          <cell r="D6079">
            <v>2.8</v>
          </cell>
          <cell r="E6079">
            <v>0</v>
          </cell>
          <cell r="F6079">
            <v>0.26</v>
          </cell>
          <cell r="G6079">
            <v>0</v>
          </cell>
          <cell r="H6079">
            <v>0</v>
          </cell>
          <cell r="I6079">
            <v>-5.3</v>
          </cell>
          <cell r="J6079">
            <v>0</v>
          </cell>
          <cell r="K6079">
            <v>0</v>
          </cell>
          <cell r="L6079">
            <v>0</v>
          </cell>
          <cell r="M6079">
            <v>0</v>
          </cell>
          <cell r="N6079">
            <v>0</v>
          </cell>
          <cell r="O6079">
            <v>0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 t="b">
            <v>1</v>
          </cell>
        </row>
        <row r="6080">
          <cell r="A6080" t="str">
            <v>Data split-8;Reg-103</v>
          </cell>
          <cell r="B6080">
            <v>-3.1</v>
          </cell>
          <cell r="C6080">
            <v>0</v>
          </cell>
          <cell r="D6080">
            <v>2.5</v>
          </cell>
          <cell r="E6080">
            <v>0</v>
          </cell>
          <cell r="F6080">
            <v>0.21</v>
          </cell>
          <cell r="G6080">
            <v>0</v>
          </cell>
          <cell r="H6080">
            <v>0</v>
          </cell>
          <cell r="I6080">
            <v>0</v>
          </cell>
          <cell r="J6080">
            <v>-21.8</v>
          </cell>
          <cell r="K6080">
            <v>0</v>
          </cell>
          <cell r="L6080">
            <v>0</v>
          </cell>
          <cell r="M6080">
            <v>0</v>
          </cell>
          <cell r="N6080">
            <v>0</v>
          </cell>
          <cell r="O6080">
            <v>0</v>
          </cell>
          <cell r="P6080">
            <v>0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 t="b">
            <v>1</v>
          </cell>
        </row>
        <row r="6081">
          <cell r="A6081" t="str">
            <v>Data split-8;Reg-104</v>
          </cell>
          <cell r="B6081">
            <v>-2.9</v>
          </cell>
          <cell r="C6081">
            <v>3.3</v>
          </cell>
          <cell r="D6081">
            <v>0</v>
          </cell>
          <cell r="E6081">
            <v>-1.3</v>
          </cell>
          <cell r="F6081">
            <v>0</v>
          </cell>
          <cell r="G6081">
            <v>0</v>
          </cell>
          <cell r="H6081">
            <v>0</v>
          </cell>
          <cell r="I6081">
            <v>0</v>
          </cell>
          <cell r="J6081">
            <v>0</v>
          </cell>
          <cell r="K6081">
            <v>-1.1000000000000001</v>
          </cell>
          <cell r="L6081">
            <v>0</v>
          </cell>
          <cell r="M6081">
            <v>0</v>
          </cell>
          <cell r="N6081">
            <v>0</v>
          </cell>
          <cell r="O6081">
            <v>0</v>
          </cell>
          <cell r="P6081">
            <v>0</v>
          </cell>
          <cell r="Q6081">
            <v>0</v>
          </cell>
          <cell r="R6081">
            <v>0</v>
          </cell>
          <cell r="S6081">
            <v>0</v>
          </cell>
          <cell r="T6081">
            <v>0</v>
          </cell>
          <cell r="U6081" t="b">
            <v>0</v>
          </cell>
        </row>
        <row r="6082">
          <cell r="A6082" t="str">
            <v>Data split-8;Reg-105</v>
          </cell>
          <cell r="B6082">
            <v>-2.1</v>
          </cell>
          <cell r="C6082">
            <v>3.3</v>
          </cell>
          <cell r="D6082">
            <v>0</v>
          </cell>
          <cell r="E6082">
            <v>-1.5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-9</v>
          </cell>
          <cell r="M6082">
            <v>0</v>
          </cell>
          <cell r="N6082">
            <v>0</v>
          </cell>
          <cell r="O6082">
            <v>0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 t="b">
            <v>0</v>
          </cell>
        </row>
        <row r="6083">
          <cell r="A6083" t="str">
            <v>Data split-8;Reg-106</v>
          </cell>
          <cell r="B6083">
            <v>-4.9000000000000004</v>
          </cell>
          <cell r="C6083">
            <v>2.7</v>
          </cell>
          <cell r="D6083">
            <v>0</v>
          </cell>
          <cell r="E6083">
            <v>0</v>
          </cell>
          <cell r="F6083">
            <v>0.2</v>
          </cell>
          <cell r="G6083">
            <v>0</v>
          </cell>
          <cell r="H6083">
            <v>0</v>
          </cell>
          <cell r="I6083">
            <v>0</v>
          </cell>
          <cell r="J6083">
            <v>0</v>
          </cell>
          <cell r="K6083">
            <v>-2.5</v>
          </cell>
          <cell r="L6083">
            <v>0</v>
          </cell>
          <cell r="M6083">
            <v>0</v>
          </cell>
          <cell r="N6083">
            <v>0</v>
          </cell>
          <cell r="O6083">
            <v>0</v>
          </cell>
          <cell r="P6083">
            <v>0</v>
          </cell>
          <cell r="Q6083">
            <v>0</v>
          </cell>
          <cell r="R6083">
            <v>0</v>
          </cell>
          <cell r="S6083">
            <v>0</v>
          </cell>
          <cell r="T6083">
            <v>0</v>
          </cell>
          <cell r="U6083" t="b">
            <v>1</v>
          </cell>
        </row>
        <row r="6084">
          <cell r="A6084" t="str">
            <v>Data split-8;Reg-107</v>
          </cell>
          <cell r="B6084">
            <v>-4.9000000000000004</v>
          </cell>
          <cell r="C6084">
            <v>2.6</v>
          </cell>
          <cell r="D6084">
            <v>0</v>
          </cell>
          <cell r="E6084">
            <v>0</v>
          </cell>
          <cell r="F6084">
            <v>0.18</v>
          </cell>
          <cell r="G6084">
            <v>0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-12.5</v>
          </cell>
          <cell r="M6084">
            <v>0</v>
          </cell>
          <cell r="N6084">
            <v>0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0</v>
          </cell>
          <cell r="U6084" t="b">
            <v>1</v>
          </cell>
        </row>
        <row r="6085">
          <cell r="A6085" t="str">
            <v>Data split-8;Reg-108</v>
          </cell>
          <cell r="B6085">
            <v>-2.9</v>
          </cell>
          <cell r="C6085">
            <v>0</v>
          </cell>
          <cell r="D6085">
            <v>3.3</v>
          </cell>
          <cell r="E6085">
            <v>-1.3</v>
          </cell>
          <cell r="F6085">
            <v>0</v>
          </cell>
          <cell r="G6085">
            <v>0</v>
          </cell>
          <cell r="H6085">
            <v>0</v>
          </cell>
          <cell r="I6085">
            <v>0</v>
          </cell>
          <cell r="J6085">
            <v>0</v>
          </cell>
          <cell r="K6085">
            <v>-1.2</v>
          </cell>
          <cell r="L6085">
            <v>0</v>
          </cell>
          <cell r="M6085">
            <v>0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  <cell r="R6085">
            <v>0</v>
          </cell>
          <cell r="S6085">
            <v>0</v>
          </cell>
          <cell r="T6085">
            <v>0</v>
          </cell>
          <cell r="U6085" t="b">
            <v>0</v>
          </cell>
        </row>
        <row r="6086">
          <cell r="A6086" t="str">
            <v>Data split-8;Reg-109</v>
          </cell>
          <cell r="B6086">
            <v>-2</v>
          </cell>
          <cell r="C6086">
            <v>0</v>
          </cell>
          <cell r="D6086">
            <v>3.3</v>
          </cell>
          <cell r="E6086">
            <v>-1.5</v>
          </cell>
          <cell r="F6086">
            <v>0</v>
          </cell>
          <cell r="G6086">
            <v>0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>
            <v>-9.1999999999999993</v>
          </cell>
          <cell r="M6086">
            <v>0</v>
          </cell>
          <cell r="N6086">
            <v>0</v>
          </cell>
          <cell r="O6086">
            <v>0</v>
          </cell>
          <cell r="P6086">
            <v>0</v>
          </cell>
          <cell r="Q6086">
            <v>0</v>
          </cell>
          <cell r="R6086">
            <v>0</v>
          </cell>
          <cell r="S6086">
            <v>0</v>
          </cell>
          <cell r="T6086">
            <v>0</v>
          </cell>
          <cell r="U6086" t="b">
            <v>0</v>
          </cell>
        </row>
        <row r="6087">
          <cell r="A6087" t="str">
            <v>Data split-8;Reg-110</v>
          </cell>
          <cell r="B6087">
            <v>-4.8</v>
          </cell>
          <cell r="C6087">
            <v>0</v>
          </cell>
          <cell r="D6087">
            <v>2.7</v>
          </cell>
          <cell r="E6087">
            <v>0</v>
          </cell>
          <cell r="F6087">
            <v>0.2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-2.5</v>
          </cell>
          <cell r="L6087">
            <v>0</v>
          </cell>
          <cell r="M6087">
            <v>0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0</v>
          </cell>
          <cell r="T6087">
            <v>0</v>
          </cell>
          <cell r="U6087" t="b">
            <v>1</v>
          </cell>
        </row>
        <row r="6088">
          <cell r="A6088" t="str">
            <v>Data split-8;Reg-111</v>
          </cell>
          <cell r="B6088">
            <v>-4.8</v>
          </cell>
          <cell r="C6088">
            <v>0</v>
          </cell>
          <cell r="D6088">
            <v>2.6</v>
          </cell>
          <cell r="E6088">
            <v>0</v>
          </cell>
          <cell r="F6088">
            <v>0.18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-12.6</v>
          </cell>
          <cell r="M6088">
            <v>0</v>
          </cell>
          <cell r="N6088">
            <v>0</v>
          </cell>
          <cell r="O6088">
            <v>0</v>
          </cell>
          <cell r="P6088">
            <v>0</v>
          </cell>
          <cell r="Q6088">
            <v>0</v>
          </cell>
          <cell r="R6088">
            <v>0</v>
          </cell>
          <cell r="S6088">
            <v>0</v>
          </cell>
          <cell r="T6088">
            <v>0</v>
          </cell>
          <cell r="U6088" t="b">
            <v>1</v>
          </cell>
        </row>
        <row r="6089">
          <cell r="A6089" t="str">
            <v>Data split-8;Reg-112</v>
          </cell>
          <cell r="B6089">
            <v>-2.7</v>
          </cell>
          <cell r="C6089">
            <v>3</v>
          </cell>
          <cell r="D6089">
            <v>0</v>
          </cell>
          <cell r="E6089">
            <v>0</v>
          </cell>
          <cell r="F6089">
            <v>0</v>
          </cell>
          <cell r="G6089">
            <v>-0.44</v>
          </cell>
          <cell r="H6089">
            <v>0</v>
          </cell>
          <cell r="I6089">
            <v>-2.9</v>
          </cell>
          <cell r="J6089">
            <v>0</v>
          </cell>
          <cell r="K6089">
            <v>0</v>
          </cell>
          <cell r="L6089">
            <v>0</v>
          </cell>
          <cell r="M6089">
            <v>0</v>
          </cell>
          <cell r="N6089">
            <v>0</v>
          </cell>
          <cell r="O6089">
            <v>0</v>
          </cell>
          <cell r="P6089">
            <v>0</v>
          </cell>
          <cell r="Q6089">
            <v>0</v>
          </cell>
          <cell r="R6089">
            <v>0</v>
          </cell>
          <cell r="S6089">
            <v>0</v>
          </cell>
          <cell r="T6089">
            <v>0</v>
          </cell>
          <cell r="U6089" t="b">
            <v>0</v>
          </cell>
        </row>
        <row r="6090">
          <cell r="A6090" t="str">
            <v>Data split-8;Reg-113</v>
          </cell>
          <cell r="B6090">
            <v>-4.2</v>
          </cell>
          <cell r="C6090">
            <v>3</v>
          </cell>
          <cell r="D6090">
            <v>0</v>
          </cell>
          <cell r="E6090">
            <v>0</v>
          </cell>
          <cell r="F6090">
            <v>0</v>
          </cell>
          <cell r="G6090">
            <v>-0.99</v>
          </cell>
          <cell r="H6090">
            <v>0</v>
          </cell>
          <cell r="I6090">
            <v>0</v>
          </cell>
          <cell r="J6090">
            <v>2.1</v>
          </cell>
          <cell r="K6090">
            <v>0</v>
          </cell>
          <cell r="L6090">
            <v>0</v>
          </cell>
          <cell r="M6090">
            <v>0</v>
          </cell>
          <cell r="N6090">
            <v>0</v>
          </cell>
          <cell r="O6090">
            <v>0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0</v>
          </cell>
          <cell r="U6090" t="b">
            <v>0</v>
          </cell>
        </row>
        <row r="6091">
          <cell r="A6091" t="str">
            <v>Data split-8;Reg-114</v>
          </cell>
          <cell r="B6091">
            <v>-2.7</v>
          </cell>
          <cell r="C6091">
            <v>3</v>
          </cell>
          <cell r="D6091">
            <v>0</v>
          </cell>
          <cell r="E6091">
            <v>0</v>
          </cell>
          <cell r="F6091">
            <v>0</v>
          </cell>
          <cell r="G6091">
            <v>0</v>
          </cell>
          <cell r="H6091">
            <v>-0.35</v>
          </cell>
          <cell r="I6091">
            <v>-3.5</v>
          </cell>
          <cell r="J6091">
            <v>0</v>
          </cell>
          <cell r="K6091">
            <v>0</v>
          </cell>
          <cell r="L6091">
            <v>0</v>
          </cell>
          <cell r="M6091">
            <v>0</v>
          </cell>
          <cell r="N6091">
            <v>0</v>
          </cell>
          <cell r="O6091">
            <v>0</v>
          </cell>
          <cell r="P6091">
            <v>0</v>
          </cell>
          <cell r="Q6091">
            <v>0</v>
          </cell>
          <cell r="R6091">
            <v>0</v>
          </cell>
          <cell r="S6091">
            <v>0</v>
          </cell>
          <cell r="T6091">
            <v>0</v>
          </cell>
          <cell r="U6091" t="b">
            <v>0</v>
          </cell>
        </row>
        <row r="6092">
          <cell r="A6092" t="str">
            <v>Data split-8;Reg-115</v>
          </cell>
          <cell r="B6092">
            <v>-5.0999999999999996</v>
          </cell>
          <cell r="C6092">
            <v>3.1</v>
          </cell>
          <cell r="D6092">
            <v>0</v>
          </cell>
          <cell r="E6092">
            <v>0</v>
          </cell>
          <cell r="F6092">
            <v>0</v>
          </cell>
          <cell r="G6092">
            <v>0</v>
          </cell>
          <cell r="H6092">
            <v>-1.7</v>
          </cell>
          <cell r="I6092">
            <v>0</v>
          </cell>
          <cell r="J6092">
            <v>8.8000000000000007</v>
          </cell>
          <cell r="K6092">
            <v>0</v>
          </cell>
          <cell r="L6092">
            <v>0</v>
          </cell>
          <cell r="M6092">
            <v>0</v>
          </cell>
          <cell r="N6092">
            <v>0</v>
          </cell>
          <cell r="O6092">
            <v>0</v>
          </cell>
          <cell r="P6092">
            <v>0</v>
          </cell>
          <cell r="Q6092">
            <v>0</v>
          </cell>
          <cell r="R6092">
            <v>0</v>
          </cell>
          <cell r="S6092">
            <v>0</v>
          </cell>
          <cell r="T6092">
            <v>0</v>
          </cell>
          <cell r="U6092" t="b">
            <v>0</v>
          </cell>
        </row>
        <row r="6093">
          <cell r="A6093" t="str">
            <v>Data split-8;Reg-116</v>
          </cell>
          <cell r="B6093">
            <v>-2.7</v>
          </cell>
          <cell r="C6093">
            <v>0</v>
          </cell>
          <cell r="D6093">
            <v>3</v>
          </cell>
          <cell r="E6093">
            <v>0</v>
          </cell>
          <cell r="F6093">
            <v>0</v>
          </cell>
          <cell r="G6093">
            <v>-0.47</v>
          </cell>
          <cell r="H6093">
            <v>0</v>
          </cell>
          <cell r="I6093">
            <v>-2.7</v>
          </cell>
          <cell r="J6093">
            <v>0</v>
          </cell>
          <cell r="K6093">
            <v>0</v>
          </cell>
          <cell r="L6093">
            <v>0</v>
          </cell>
          <cell r="M6093">
            <v>0</v>
          </cell>
          <cell r="N6093">
            <v>0</v>
          </cell>
          <cell r="O6093">
            <v>0</v>
          </cell>
          <cell r="P6093">
            <v>0</v>
          </cell>
          <cell r="Q6093">
            <v>0</v>
          </cell>
          <cell r="R6093">
            <v>0</v>
          </cell>
          <cell r="S6093">
            <v>0</v>
          </cell>
          <cell r="T6093">
            <v>0</v>
          </cell>
          <cell r="U6093" t="b">
            <v>0</v>
          </cell>
        </row>
        <row r="6094">
          <cell r="A6094" t="str">
            <v>Data split-8;Reg-117</v>
          </cell>
          <cell r="B6094">
            <v>-4.2</v>
          </cell>
          <cell r="C6094">
            <v>0</v>
          </cell>
          <cell r="D6094">
            <v>3</v>
          </cell>
          <cell r="E6094">
            <v>0</v>
          </cell>
          <cell r="F6094">
            <v>0</v>
          </cell>
          <cell r="G6094">
            <v>-1</v>
          </cell>
          <cell r="H6094">
            <v>0</v>
          </cell>
          <cell r="I6094">
            <v>0</v>
          </cell>
          <cell r="J6094">
            <v>2.8</v>
          </cell>
          <cell r="K6094">
            <v>0</v>
          </cell>
          <cell r="L6094">
            <v>0</v>
          </cell>
          <cell r="M6094">
            <v>0</v>
          </cell>
          <cell r="N6094">
            <v>0</v>
          </cell>
          <cell r="O6094">
            <v>0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 t="b">
            <v>0</v>
          </cell>
        </row>
        <row r="6095">
          <cell r="A6095" t="str">
            <v>Data split-8;Reg-118</v>
          </cell>
          <cell r="B6095">
            <v>-2.7</v>
          </cell>
          <cell r="C6095">
            <v>0</v>
          </cell>
          <cell r="D6095">
            <v>3</v>
          </cell>
          <cell r="E6095">
            <v>0</v>
          </cell>
          <cell r="F6095">
            <v>0</v>
          </cell>
          <cell r="G6095">
            <v>0</v>
          </cell>
          <cell r="H6095">
            <v>-0.44</v>
          </cell>
          <cell r="I6095">
            <v>-3.2</v>
          </cell>
          <cell r="J6095">
            <v>0</v>
          </cell>
          <cell r="K6095">
            <v>0</v>
          </cell>
          <cell r="L6095">
            <v>0</v>
          </cell>
          <cell r="M6095">
            <v>0</v>
          </cell>
          <cell r="N6095">
            <v>0</v>
          </cell>
          <cell r="O6095">
            <v>0</v>
          </cell>
          <cell r="P6095">
            <v>0</v>
          </cell>
          <cell r="Q6095">
            <v>0</v>
          </cell>
          <cell r="R6095">
            <v>0</v>
          </cell>
          <cell r="S6095">
            <v>0</v>
          </cell>
          <cell r="T6095">
            <v>0</v>
          </cell>
          <cell r="U6095" t="b">
            <v>0</v>
          </cell>
        </row>
        <row r="6096">
          <cell r="A6096" t="str">
            <v>Data split-8;Reg-119</v>
          </cell>
          <cell r="B6096">
            <v>-5.0999999999999996</v>
          </cell>
          <cell r="C6096">
            <v>0</v>
          </cell>
          <cell r="D6096">
            <v>3.1</v>
          </cell>
          <cell r="E6096">
            <v>0</v>
          </cell>
          <cell r="F6096">
            <v>0</v>
          </cell>
          <cell r="G6096">
            <v>0</v>
          </cell>
          <cell r="H6096">
            <v>-1.7</v>
          </cell>
          <cell r="I6096">
            <v>0</v>
          </cell>
          <cell r="J6096">
            <v>9.6999999999999993</v>
          </cell>
          <cell r="K6096">
            <v>0</v>
          </cell>
          <cell r="L6096">
            <v>0</v>
          </cell>
          <cell r="M6096">
            <v>0</v>
          </cell>
          <cell r="N6096">
            <v>0</v>
          </cell>
          <cell r="O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 t="b">
            <v>0</v>
          </cell>
        </row>
        <row r="6097">
          <cell r="A6097" t="str">
            <v>Data split-8;Reg-120</v>
          </cell>
          <cell r="B6097">
            <v>-3.4</v>
          </cell>
          <cell r="C6097">
            <v>3.1</v>
          </cell>
          <cell r="D6097">
            <v>0</v>
          </cell>
          <cell r="E6097">
            <v>0</v>
          </cell>
          <cell r="F6097">
            <v>0</v>
          </cell>
          <cell r="G6097">
            <v>-0.67</v>
          </cell>
          <cell r="H6097">
            <v>0</v>
          </cell>
          <cell r="I6097">
            <v>0</v>
          </cell>
          <cell r="J6097">
            <v>0</v>
          </cell>
          <cell r="K6097">
            <v>-1.9</v>
          </cell>
          <cell r="L6097">
            <v>0</v>
          </cell>
          <cell r="M6097">
            <v>0</v>
          </cell>
          <cell r="N6097">
            <v>0</v>
          </cell>
          <cell r="O6097">
            <v>0</v>
          </cell>
          <cell r="P6097">
            <v>0</v>
          </cell>
          <cell r="Q6097">
            <v>0</v>
          </cell>
          <cell r="R6097">
            <v>0</v>
          </cell>
          <cell r="S6097">
            <v>0</v>
          </cell>
          <cell r="T6097">
            <v>0</v>
          </cell>
          <cell r="U6097" t="b">
            <v>0</v>
          </cell>
        </row>
        <row r="6098">
          <cell r="A6098" t="str">
            <v>Data split-8;Reg-121</v>
          </cell>
          <cell r="B6098">
            <v>-2.1</v>
          </cell>
          <cell r="C6098">
            <v>3.1</v>
          </cell>
          <cell r="D6098">
            <v>0</v>
          </cell>
          <cell r="E6098">
            <v>0</v>
          </cell>
          <cell r="F6098">
            <v>0</v>
          </cell>
          <cell r="G6098">
            <v>-0.97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>
            <v>-13.4</v>
          </cell>
          <cell r="M6098">
            <v>0</v>
          </cell>
          <cell r="N6098">
            <v>0</v>
          </cell>
          <cell r="O6098">
            <v>0</v>
          </cell>
          <cell r="P6098">
            <v>0</v>
          </cell>
          <cell r="Q6098">
            <v>0</v>
          </cell>
          <cell r="R6098">
            <v>0</v>
          </cell>
          <cell r="S6098">
            <v>0</v>
          </cell>
          <cell r="T6098">
            <v>0</v>
          </cell>
          <cell r="U6098" t="b">
            <v>0</v>
          </cell>
        </row>
        <row r="6099">
          <cell r="A6099" t="str">
            <v>Data split-8;Reg-122</v>
          </cell>
          <cell r="B6099">
            <v>-3.7</v>
          </cell>
          <cell r="C6099">
            <v>3.1</v>
          </cell>
          <cell r="D6099">
            <v>0</v>
          </cell>
          <cell r="E6099">
            <v>0</v>
          </cell>
          <cell r="F6099">
            <v>0</v>
          </cell>
          <cell r="G6099">
            <v>0</v>
          </cell>
          <cell r="H6099">
            <v>-0.87</v>
          </cell>
          <cell r="I6099">
            <v>0</v>
          </cell>
          <cell r="J6099">
            <v>0</v>
          </cell>
          <cell r="K6099">
            <v>-1.9</v>
          </cell>
          <cell r="L6099">
            <v>0</v>
          </cell>
          <cell r="M6099">
            <v>0</v>
          </cell>
          <cell r="N6099">
            <v>0</v>
          </cell>
          <cell r="O6099">
            <v>0</v>
          </cell>
          <cell r="P6099">
            <v>0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 t="b">
            <v>0</v>
          </cell>
        </row>
        <row r="6100">
          <cell r="A6100" t="str">
            <v>Data split-8;Reg-123</v>
          </cell>
          <cell r="B6100">
            <v>-2.6</v>
          </cell>
          <cell r="C6100">
            <v>3.2</v>
          </cell>
          <cell r="D6100">
            <v>0</v>
          </cell>
          <cell r="E6100">
            <v>0</v>
          </cell>
          <cell r="F6100">
            <v>0</v>
          </cell>
          <cell r="G6100">
            <v>0</v>
          </cell>
          <cell r="H6100">
            <v>-1.3</v>
          </cell>
          <cell r="I6100">
            <v>0</v>
          </cell>
          <cell r="J6100">
            <v>0</v>
          </cell>
          <cell r="K6100">
            <v>0</v>
          </cell>
          <cell r="L6100">
            <v>-12.1</v>
          </cell>
          <cell r="M6100">
            <v>0</v>
          </cell>
          <cell r="N6100">
            <v>0</v>
          </cell>
          <cell r="O6100">
            <v>0</v>
          </cell>
          <cell r="P6100">
            <v>0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 t="b">
            <v>0</v>
          </cell>
        </row>
        <row r="6101">
          <cell r="A6101" t="str">
            <v>Data split-8;Reg-124</v>
          </cell>
          <cell r="B6101">
            <v>-3.3</v>
          </cell>
          <cell r="C6101">
            <v>0</v>
          </cell>
          <cell r="D6101">
            <v>3.1</v>
          </cell>
          <cell r="E6101">
            <v>0</v>
          </cell>
          <cell r="F6101">
            <v>0</v>
          </cell>
          <cell r="G6101">
            <v>-0.67</v>
          </cell>
          <cell r="H6101">
            <v>0</v>
          </cell>
          <cell r="I6101">
            <v>0</v>
          </cell>
          <cell r="J6101">
            <v>0</v>
          </cell>
          <cell r="K6101">
            <v>-2</v>
          </cell>
          <cell r="L6101">
            <v>0</v>
          </cell>
          <cell r="M6101">
            <v>0</v>
          </cell>
          <cell r="N6101">
            <v>0</v>
          </cell>
          <cell r="O6101">
            <v>0</v>
          </cell>
          <cell r="P6101">
            <v>0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 t="b">
            <v>0</v>
          </cell>
        </row>
        <row r="6102">
          <cell r="A6102" t="str">
            <v>Data split-8;Reg-125</v>
          </cell>
          <cell r="B6102">
            <v>-2</v>
          </cell>
          <cell r="C6102">
            <v>0</v>
          </cell>
          <cell r="D6102">
            <v>3.2</v>
          </cell>
          <cell r="E6102">
            <v>0</v>
          </cell>
          <cell r="F6102">
            <v>0</v>
          </cell>
          <cell r="G6102">
            <v>-0.97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-13.6</v>
          </cell>
          <cell r="M6102">
            <v>0</v>
          </cell>
          <cell r="N6102">
            <v>0</v>
          </cell>
          <cell r="O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 t="b">
            <v>0</v>
          </cell>
        </row>
        <row r="6103">
          <cell r="A6103" t="str">
            <v>Data split-8;Reg-126</v>
          </cell>
          <cell r="B6103">
            <v>-3.6</v>
          </cell>
          <cell r="C6103">
            <v>0</v>
          </cell>
          <cell r="D6103">
            <v>3.1</v>
          </cell>
          <cell r="E6103">
            <v>0</v>
          </cell>
          <cell r="F6103">
            <v>0</v>
          </cell>
          <cell r="G6103">
            <v>0</v>
          </cell>
          <cell r="H6103">
            <v>-0.88</v>
          </cell>
          <cell r="I6103">
            <v>0</v>
          </cell>
          <cell r="J6103">
            <v>0</v>
          </cell>
          <cell r="K6103">
            <v>-1.9</v>
          </cell>
          <cell r="L6103">
            <v>0</v>
          </cell>
          <cell r="M6103">
            <v>0</v>
          </cell>
          <cell r="N6103">
            <v>0</v>
          </cell>
          <cell r="O6103">
            <v>0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 t="b">
            <v>0</v>
          </cell>
        </row>
        <row r="6104">
          <cell r="A6104" t="str">
            <v>Data split-8;Reg-127</v>
          </cell>
          <cell r="B6104">
            <v>-2.5</v>
          </cell>
          <cell r="C6104">
            <v>0</v>
          </cell>
          <cell r="D6104">
            <v>3.2</v>
          </cell>
          <cell r="E6104">
            <v>0</v>
          </cell>
          <cell r="F6104">
            <v>0</v>
          </cell>
          <cell r="G6104">
            <v>0</v>
          </cell>
          <cell r="H6104">
            <v>-1.3</v>
          </cell>
          <cell r="I6104">
            <v>0</v>
          </cell>
          <cell r="J6104">
            <v>0</v>
          </cell>
          <cell r="K6104">
            <v>0</v>
          </cell>
          <cell r="L6104">
            <v>-12.2</v>
          </cell>
          <cell r="M6104">
            <v>0</v>
          </cell>
          <cell r="N6104">
            <v>0</v>
          </cell>
          <cell r="O6104">
            <v>0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 t="b">
            <v>0</v>
          </cell>
        </row>
        <row r="6105">
          <cell r="A6105" t="str">
            <v>Data split-9;Reg-1</v>
          </cell>
          <cell r="B6105">
            <v>-8.6999999999999993</v>
          </cell>
          <cell r="C6105">
            <v>3</v>
          </cell>
          <cell r="D6105">
            <v>0</v>
          </cell>
          <cell r="E6105">
            <v>0</v>
          </cell>
          <cell r="F6105">
            <v>0.17</v>
          </cell>
          <cell r="G6105">
            <v>0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>
            <v>-14.7</v>
          </cell>
          <cell r="M6105">
            <v>0</v>
          </cell>
          <cell r="N6105">
            <v>0</v>
          </cell>
          <cell r="O6105">
            <v>0</v>
          </cell>
          <cell r="P6105">
            <v>0</v>
          </cell>
          <cell r="Q6105">
            <v>0</v>
          </cell>
          <cell r="R6105">
            <v>0</v>
          </cell>
          <cell r="S6105">
            <v>0</v>
          </cell>
          <cell r="T6105">
            <v>0</v>
          </cell>
          <cell r="U6105" t="b">
            <v>1</v>
          </cell>
        </row>
        <row r="6106">
          <cell r="A6106" t="str">
            <v>Data split-9;Reg-2</v>
          </cell>
          <cell r="B6106">
            <v>-13.2</v>
          </cell>
          <cell r="C6106">
            <v>2.8</v>
          </cell>
          <cell r="D6106">
            <v>0</v>
          </cell>
          <cell r="E6106">
            <v>0</v>
          </cell>
          <cell r="F6106">
            <v>0.21</v>
          </cell>
          <cell r="G6106">
            <v>2.5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0</v>
          </cell>
          <cell r="M6106">
            <v>-0.25</v>
          </cell>
          <cell r="N6106">
            <v>0</v>
          </cell>
          <cell r="O6106">
            <v>0</v>
          </cell>
          <cell r="P6106">
            <v>0</v>
          </cell>
          <cell r="Q6106">
            <v>0</v>
          </cell>
          <cell r="R6106">
            <v>0</v>
          </cell>
          <cell r="S6106">
            <v>0</v>
          </cell>
          <cell r="T6106">
            <v>0</v>
          </cell>
          <cell r="U6106" t="b">
            <v>1</v>
          </cell>
        </row>
        <row r="6107">
          <cell r="A6107" t="str">
            <v>Data split-9;Reg-3</v>
          </cell>
          <cell r="B6107">
            <v>-14.5</v>
          </cell>
          <cell r="C6107">
            <v>3</v>
          </cell>
          <cell r="D6107">
            <v>0</v>
          </cell>
          <cell r="E6107">
            <v>0</v>
          </cell>
          <cell r="F6107">
            <v>0.23</v>
          </cell>
          <cell r="G6107">
            <v>3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0</v>
          </cell>
          <cell r="M6107">
            <v>0</v>
          </cell>
          <cell r="N6107">
            <v>-5.8999999999999997E-2</v>
          </cell>
          <cell r="O6107">
            <v>0</v>
          </cell>
          <cell r="P6107">
            <v>0</v>
          </cell>
          <cell r="Q6107">
            <v>0</v>
          </cell>
          <cell r="R6107">
            <v>0</v>
          </cell>
          <cell r="S6107">
            <v>0</v>
          </cell>
          <cell r="T6107">
            <v>0</v>
          </cell>
          <cell r="U6107" t="b">
            <v>1</v>
          </cell>
        </row>
        <row r="6108">
          <cell r="A6108" t="str">
            <v>Data split-9;Reg-4</v>
          </cell>
          <cell r="B6108">
            <v>-12.4</v>
          </cell>
          <cell r="C6108">
            <v>2.7</v>
          </cell>
          <cell r="D6108">
            <v>0</v>
          </cell>
          <cell r="E6108">
            <v>0</v>
          </cell>
          <cell r="F6108">
            <v>0.15</v>
          </cell>
          <cell r="G6108">
            <v>0</v>
          </cell>
          <cell r="H6108">
            <v>3.6</v>
          </cell>
          <cell r="I6108">
            <v>0</v>
          </cell>
          <cell r="J6108">
            <v>0</v>
          </cell>
          <cell r="K6108">
            <v>0</v>
          </cell>
          <cell r="L6108">
            <v>0</v>
          </cell>
          <cell r="M6108">
            <v>-0.25</v>
          </cell>
          <cell r="N6108">
            <v>0</v>
          </cell>
          <cell r="O6108">
            <v>0</v>
          </cell>
          <cell r="P6108">
            <v>0</v>
          </cell>
          <cell r="Q6108">
            <v>0</v>
          </cell>
          <cell r="R6108">
            <v>0</v>
          </cell>
          <cell r="S6108">
            <v>0</v>
          </cell>
          <cell r="T6108">
            <v>0</v>
          </cell>
          <cell r="U6108" t="b">
            <v>1</v>
          </cell>
        </row>
        <row r="6109">
          <cell r="A6109" t="str">
            <v>Data split-9;Reg-5</v>
          </cell>
          <cell r="B6109">
            <v>-12.4</v>
          </cell>
          <cell r="C6109">
            <v>0</v>
          </cell>
          <cell r="D6109">
            <v>2.7</v>
          </cell>
          <cell r="E6109">
            <v>0</v>
          </cell>
          <cell r="F6109">
            <v>0.15</v>
          </cell>
          <cell r="G6109">
            <v>0</v>
          </cell>
          <cell r="H6109">
            <v>3.6</v>
          </cell>
          <cell r="I6109">
            <v>0</v>
          </cell>
          <cell r="J6109">
            <v>0</v>
          </cell>
          <cell r="K6109">
            <v>0</v>
          </cell>
          <cell r="L6109">
            <v>0</v>
          </cell>
          <cell r="M6109">
            <v>-0.24</v>
          </cell>
          <cell r="N6109">
            <v>0</v>
          </cell>
          <cell r="O6109">
            <v>0</v>
          </cell>
          <cell r="P6109">
            <v>0</v>
          </cell>
          <cell r="Q6109">
            <v>0</v>
          </cell>
          <cell r="R6109">
            <v>0</v>
          </cell>
          <cell r="S6109">
            <v>0</v>
          </cell>
          <cell r="T6109">
            <v>0</v>
          </cell>
          <cell r="U6109" t="b">
            <v>1</v>
          </cell>
        </row>
        <row r="6110">
          <cell r="A6110" t="str">
            <v>Data split-9;Reg-6</v>
          </cell>
          <cell r="B6110">
            <v>-8.1999999999999993</v>
          </cell>
          <cell r="C6110">
            <v>3.3</v>
          </cell>
          <cell r="D6110">
            <v>0</v>
          </cell>
          <cell r="E6110">
            <v>0.75</v>
          </cell>
          <cell r="F6110">
            <v>0</v>
          </cell>
          <cell r="G6110">
            <v>0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-16.600000000000001</v>
          </cell>
          <cell r="M6110">
            <v>-8.8999999999999996E-2</v>
          </cell>
          <cell r="N6110">
            <v>0</v>
          </cell>
          <cell r="O6110">
            <v>0</v>
          </cell>
          <cell r="P6110">
            <v>0</v>
          </cell>
          <cell r="Q6110">
            <v>0</v>
          </cell>
          <cell r="R6110">
            <v>0</v>
          </cell>
          <cell r="S6110">
            <v>0</v>
          </cell>
          <cell r="T6110">
            <v>0</v>
          </cell>
          <cell r="U6110" t="b">
            <v>1</v>
          </cell>
        </row>
        <row r="6111">
          <cell r="A6111" t="str">
            <v>Data split-9;Reg-7</v>
          </cell>
          <cell r="B6111">
            <v>-6.8</v>
          </cell>
          <cell r="C6111">
            <v>3.3</v>
          </cell>
          <cell r="D6111">
            <v>0</v>
          </cell>
          <cell r="E6111">
            <v>0</v>
          </cell>
          <cell r="F6111">
            <v>0.19</v>
          </cell>
          <cell r="G6111">
            <v>0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>
            <v>-13.3</v>
          </cell>
          <cell r="M6111">
            <v>0</v>
          </cell>
          <cell r="N6111">
            <v>0</v>
          </cell>
          <cell r="O6111">
            <v>0</v>
          </cell>
          <cell r="P6111">
            <v>0</v>
          </cell>
          <cell r="Q6111">
            <v>0</v>
          </cell>
          <cell r="R6111">
            <v>0</v>
          </cell>
          <cell r="S6111">
            <v>-7.4999999999999997E-2</v>
          </cell>
          <cell r="T6111">
            <v>0</v>
          </cell>
          <cell r="U6111" t="b">
            <v>1</v>
          </cell>
        </row>
        <row r="6112">
          <cell r="A6112" t="str">
            <v>Data split-9;Reg-8</v>
          </cell>
          <cell r="B6112">
            <v>-9.3000000000000007</v>
          </cell>
          <cell r="C6112">
            <v>3.2</v>
          </cell>
          <cell r="D6112">
            <v>0</v>
          </cell>
          <cell r="E6112">
            <v>0</v>
          </cell>
          <cell r="F6112">
            <v>0</v>
          </cell>
          <cell r="G6112">
            <v>1.6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>
            <v>-13.3</v>
          </cell>
          <cell r="M6112">
            <v>0</v>
          </cell>
          <cell r="N6112">
            <v>0</v>
          </cell>
          <cell r="O6112">
            <v>0</v>
          </cell>
          <cell r="P6112">
            <v>0</v>
          </cell>
          <cell r="Q6112">
            <v>0</v>
          </cell>
          <cell r="R6112">
            <v>0</v>
          </cell>
          <cell r="S6112">
            <v>-0.18</v>
          </cell>
          <cell r="T6112">
            <v>0</v>
          </cell>
          <cell r="U6112" t="b">
            <v>1</v>
          </cell>
        </row>
        <row r="6113">
          <cell r="A6113" t="str">
            <v>Data split-9;Reg-9</v>
          </cell>
          <cell r="B6113">
            <v>-10.3</v>
          </cell>
          <cell r="C6113">
            <v>0</v>
          </cell>
          <cell r="D6113">
            <v>2.9</v>
          </cell>
          <cell r="E6113">
            <v>0</v>
          </cell>
          <cell r="F6113">
            <v>0</v>
          </cell>
          <cell r="G6113">
            <v>0</v>
          </cell>
          <cell r="H6113">
            <v>4.8</v>
          </cell>
          <cell r="I6113">
            <v>0</v>
          </cell>
          <cell r="J6113">
            <v>0</v>
          </cell>
          <cell r="K6113">
            <v>0</v>
          </cell>
          <cell r="L6113">
            <v>-16.399999999999999</v>
          </cell>
          <cell r="M6113">
            <v>0</v>
          </cell>
          <cell r="N6113">
            <v>0</v>
          </cell>
          <cell r="O6113">
            <v>0</v>
          </cell>
          <cell r="P6113">
            <v>0</v>
          </cell>
          <cell r="Q6113">
            <v>0</v>
          </cell>
          <cell r="R6113">
            <v>0</v>
          </cell>
          <cell r="S6113">
            <v>-0.31</v>
          </cell>
          <cell r="T6113">
            <v>0</v>
          </cell>
          <cell r="U6113" t="b">
            <v>1</v>
          </cell>
        </row>
        <row r="6114">
          <cell r="A6114" t="str">
            <v>Data split-9;Reg-10</v>
          </cell>
          <cell r="B6114">
            <v>-10.3</v>
          </cell>
          <cell r="C6114">
            <v>0</v>
          </cell>
          <cell r="D6114">
            <v>2.9</v>
          </cell>
          <cell r="E6114">
            <v>0</v>
          </cell>
          <cell r="F6114">
            <v>0</v>
          </cell>
          <cell r="G6114">
            <v>0</v>
          </cell>
          <cell r="H6114">
            <v>4.8</v>
          </cell>
          <cell r="I6114">
            <v>0</v>
          </cell>
          <cell r="J6114">
            <v>0</v>
          </cell>
          <cell r="K6114">
            <v>0</v>
          </cell>
          <cell r="L6114">
            <v>-16.399999999999999</v>
          </cell>
          <cell r="M6114">
            <v>0</v>
          </cell>
          <cell r="N6114">
            <v>0</v>
          </cell>
          <cell r="O6114">
            <v>0</v>
          </cell>
          <cell r="P6114">
            <v>0</v>
          </cell>
          <cell r="Q6114">
            <v>0</v>
          </cell>
          <cell r="R6114">
            <v>0</v>
          </cell>
          <cell r="S6114">
            <v>-0.31</v>
          </cell>
          <cell r="T6114">
            <v>0</v>
          </cell>
          <cell r="U6114" t="b">
            <v>1</v>
          </cell>
        </row>
        <row r="6115">
          <cell r="A6115" t="str">
            <v>Data split-9;Reg-11</v>
          </cell>
          <cell r="B6115">
            <v>-8.6</v>
          </cell>
          <cell r="C6115">
            <v>3.4</v>
          </cell>
          <cell r="D6115">
            <v>0</v>
          </cell>
          <cell r="E6115">
            <v>-2.6</v>
          </cell>
          <cell r="F6115">
            <v>0</v>
          </cell>
          <cell r="G6115">
            <v>1.4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0</v>
          </cell>
          <cell r="M6115">
            <v>0</v>
          </cell>
          <cell r="N6115">
            <v>0</v>
          </cell>
          <cell r="O6115">
            <v>0</v>
          </cell>
          <cell r="P6115">
            <v>0</v>
          </cell>
          <cell r="Q6115">
            <v>0</v>
          </cell>
          <cell r="R6115">
            <v>0</v>
          </cell>
          <cell r="S6115">
            <v>0</v>
          </cell>
          <cell r="T6115">
            <v>0</v>
          </cell>
          <cell r="U6115" t="b">
            <v>0</v>
          </cell>
        </row>
        <row r="6116">
          <cell r="A6116" t="str">
            <v>Data split-9;Reg-12</v>
          </cell>
          <cell r="B6116">
            <v>-8.1999999999999993</v>
          </cell>
          <cell r="C6116">
            <v>3.3</v>
          </cell>
          <cell r="D6116">
            <v>0</v>
          </cell>
          <cell r="E6116">
            <v>-5.0999999999999996</v>
          </cell>
          <cell r="F6116">
            <v>0</v>
          </cell>
          <cell r="G6116">
            <v>0</v>
          </cell>
          <cell r="H6116">
            <v>5.0999999999999996</v>
          </cell>
          <cell r="I6116">
            <v>0</v>
          </cell>
          <cell r="J6116">
            <v>0</v>
          </cell>
          <cell r="K6116">
            <v>0</v>
          </cell>
          <cell r="L6116">
            <v>0</v>
          </cell>
          <cell r="M6116">
            <v>0</v>
          </cell>
          <cell r="N6116">
            <v>0</v>
          </cell>
          <cell r="O6116">
            <v>0</v>
          </cell>
          <cell r="P6116">
            <v>0</v>
          </cell>
          <cell r="Q6116">
            <v>0</v>
          </cell>
          <cell r="R6116">
            <v>0</v>
          </cell>
          <cell r="S6116">
            <v>0</v>
          </cell>
          <cell r="T6116">
            <v>0</v>
          </cell>
          <cell r="U6116" t="b">
            <v>0</v>
          </cell>
        </row>
        <row r="6117">
          <cell r="A6117" t="str">
            <v>Data split-9;Reg-13</v>
          </cell>
          <cell r="B6117">
            <v>-9.1</v>
          </cell>
          <cell r="C6117">
            <v>3</v>
          </cell>
          <cell r="D6117">
            <v>0</v>
          </cell>
          <cell r="E6117">
            <v>0</v>
          </cell>
          <cell r="F6117">
            <v>0.19</v>
          </cell>
          <cell r="G6117">
            <v>-0.42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>
            <v>0</v>
          </cell>
          <cell r="M6117">
            <v>0</v>
          </cell>
          <cell r="N6117">
            <v>0</v>
          </cell>
          <cell r="O6117">
            <v>0</v>
          </cell>
          <cell r="P6117">
            <v>0</v>
          </cell>
          <cell r="Q6117">
            <v>0</v>
          </cell>
          <cell r="R6117">
            <v>0</v>
          </cell>
          <cell r="S6117">
            <v>0</v>
          </cell>
          <cell r="T6117">
            <v>0</v>
          </cell>
          <cell r="U6117" t="b">
            <v>0</v>
          </cell>
        </row>
        <row r="6118">
          <cell r="A6118" t="str">
            <v>Data split-9;Reg-14</v>
          </cell>
          <cell r="B6118">
            <v>-8.5</v>
          </cell>
          <cell r="C6118">
            <v>3.1</v>
          </cell>
          <cell r="D6118">
            <v>0</v>
          </cell>
          <cell r="E6118">
            <v>0</v>
          </cell>
          <cell r="F6118">
            <v>0.21</v>
          </cell>
          <cell r="G6118">
            <v>0</v>
          </cell>
          <cell r="H6118">
            <v>-0.97</v>
          </cell>
          <cell r="I6118">
            <v>0</v>
          </cell>
          <cell r="J6118">
            <v>0</v>
          </cell>
          <cell r="K6118">
            <v>0</v>
          </cell>
          <cell r="L6118">
            <v>0</v>
          </cell>
          <cell r="M6118">
            <v>0</v>
          </cell>
          <cell r="N6118">
            <v>0</v>
          </cell>
          <cell r="O6118">
            <v>0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 t="b">
            <v>0</v>
          </cell>
        </row>
        <row r="6119">
          <cell r="A6119" t="str">
            <v>Data split-9;Reg-15</v>
          </cell>
          <cell r="B6119">
            <v>-7.6</v>
          </cell>
          <cell r="C6119">
            <v>3.4</v>
          </cell>
          <cell r="D6119">
            <v>0</v>
          </cell>
          <cell r="E6119">
            <v>-1.2</v>
          </cell>
          <cell r="F6119">
            <v>0</v>
          </cell>
          <cell r="G6119">
            <v>0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>
            <v>0</v>
          </cell>
          <cell r="M6119">
            <v>4.5999999999999999E-3</v>
          </cell>
          <cell r="N6119">
            <v>0</v>
          </cell>
          <cell r="O6119">
            <v>0</v>
          </cell>
          <cell r="P6119">
            <v>0</v>
          </cell>
          <cell r="Q6119">
            <v>0</v>
          </cell>
          <cell r="R6119">
            <v>0</v>
          </cell>
          <cell r="S6119">
            <v>0</v>
          </cell>
          <cell r="T6119">
            <v>0</v>
          </cell>
          <cell r="U6119" t="b">
            <v>0</v>
          </cell>
        </row>
        <row r="6120">
          <cell r="A6120" t="str">
            <v>Data split-9;Reg-16</v>
          </cell>
          <cell r="B6120">
            <v>-7.9</v>
          </cell>
          <cell r="C6120">
            <v>3.4</v>
          </cell>
          <cell r="D6120">
            <v>0</v>
          </cell>
          <cell r="E6120">
            <v>-0.92</v>
          </cell>
          <cell r="F6120">
            <v>0</v>
          </cell>
          <cell r="G6120">
            <v>0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>
            <v>0</v>
          </cell>
          <cell r="M6120">
            <v>0</v>
          </cell>
          <cell r="N6120">
            <v>-2.5999999999999999E-3</v>
          </cell>
          <cell r="O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0</v>
          </cell>
          <cell r="U6120" t="b">
            <v>0</v>
          </cell>
        </row>
        <row r="6121">
          <cell r="A6121" t="str">
            <v>Data split-9;Reg-17</v>
          </cell>
          <cell r="B6121">
            <v>-9</v>
          </cell>
          <cell r="C6121">
            <v>3</v>
          </cell>
          <cell r="D6121">
            <v>0</v>
          </cell>
          <cell r="E6121">
            <v>0</v>
          </cell>
          <cell r="F6121">
            <v>0.2</v>
          </cell>
          <cell r="G6121">
            <v>0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>
            <v>0</v>
          </cell>
          <cell r="M6121">
            <v>-6.5000000000000002E-2</v>
          </cell>
          <cell r="N6121">
            <v>0</v>
          </cell>
          <cell r="O6121">
            <v>0</v>
          </cell>
          <cell r="P6121">
            <v>0</v>
          </cell>
          <cell r="Q6121">
            <v>0</v>
          </cell>
          <cell r="R6121">
            <v>0</v>
          </cell>
          <cell r="S6121">
            <v>0</v>
          </cell>
          <cell r="T6121">
            <v>0</v>
          </cell>
          <cell r="U6121" t="b">
            <v>1</v>
          </cell>
        </row>
        <row r="6122">
          <cell r="A6122" t="str">
            <v>Data split-9;Reg-18</v>
          </cell>
          <cell r="B6122">
            <v>-9</v>
          </cell>
          <cell r="C6122">
            <v>3.1</v>
          </cell>
          <cell r="D6122">
            <v>0</v>
          </cell>
          <cell r="E6122">
            <v>0</v>
          </cell>
          <cell r="F6122">
            <v>0.2</v>
          </cell>
          <cell r="G6122">
            <v>0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0</v>
          </cell>
          <cell r="M6122">
            <v>0</v>
          </cell>
          <cell r="N6122">
            <v>-1.4999999999999999E-2</v>
          </cell>
          <cell r="O6122">
            <v>0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 t="b">
            <v>1</v>
          </cell>
        </row>
        <row r="6123">
          <cell r="A6123" t="str">
            <v>Data split-9;Reg-19</v>
          </cell>
          <cell r="B6123">
            <v>-9.4</v>
          </cell>
          <cell r="C6123">
            <v>3.1</v>
          </cell>
          <cell r="D6123">
            <v>0</v>
          </cell>
          <cell r="E6123">
            <v>0</v>
          </cell>
          <cell r="F6123">
            <v>0</v>
          </cell>
          <cell r="G6123">
            <v>-0.14000000000000001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>
            <v>0</v>
          </cell>
          <cell r="M6123">
            <v>0</v>
          </cell>
          <cell r="N6123">
            <v>0</v>
          </cell>
          <cell r="O6123">
            <v>-2.1999999999999999E-2</v>
          </cell>
          <cell r="P6123">
            <v>0</v>
          </cell>
          <cell r="Q6123">
            <v>0</v>
          </cell>
          <cell r="R6123">
            <v>0</v>
          </cell>
          <cell r="S6123">
            <v>0</v>
          </cell>
          <cell r="T6123">
            <v>0</v>
          </cell>
          <cell r="U6123" t="b">
            <v>0</v>
          </cell>
        </row>
        <row r="6124">
          <cell r="A6124" t="str">
            <v>Data split-9;Reg-20</v>
          </cell>
          <cell r="B6124">
            <v>-9.1</v>
          </cell>
          <cell r="C6124">
            <v>3.1</v>
          </cell>
          <cell r="D6124">
            <v>0</v>
          </cell>
          <cell r="E6124">
            <v>0</v>
          </cell>
          <cell r="F6124">
            <v>0</v>
          </cell>
          <cell r="G6124">
            <v>-0.49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0</v>
          </cell>
          <cell r="M6124">
            <v>0</v>
          </cell>
          <cell r="N6124">
            <v>0</v>
          </cell>
          <cell r="O6124">
            <v>0</v>
          </cell>
          <cell r="P6124">
            <v>1.8E-3</v>
          </cell>
          <cell r="Q6124">
            <v>0</v>
          </cell>
          <cell r="R6124">
            <v>0</v>
          </cell>
          <cell r="S6124">
            <v>0</v>
          </cell>
          <cell r="T6124">
            <v>0</v>
          </cell>
          <cell r="U6124" t="b">
            <v>0</v>
          </cell>
        </row>
        <row r="6125">
          <cell r="A6125" t="str">
            <v>Data split-9;Reg-21</v>
          </cell>
          <cell r="B6125">
            <v>-9.1</v>
          </cell>
          <cell r="C6125">
            <v>3.2</v>
          </cell>
          <cell r="D6125">
            <v>0</v>
          </cell>
          <cell r="E6125">
            <v>0</v>
          </cell>
          <cell r="F6125">
            <v>0</v>
          </cell>
          <cell r="G6125">
            <v>0</v>
          </cell>
          <cell r="H6125">
            <v>-0.63</v>
          </cell>
          <cell r="I6125">
            <v>0</v>
          </cell>
          <cell r="J6125">
            <v>0</v>
          </cell>
          <cell r="K6125">
            <v>0</v>
          </cell>
          <cell r="L6125">
            <v>0</v>
          </cell>
          <cell r="M6125">
            <v>0</v>
          </cell>
          <cell r="N6125">
            <v>0</v>
          </cell>
          <cell r="O6125">
            <v>-4.1000000000000003E-3</v>
          </cell>
          <cell r="P6125">
            <v>0</v>
          </cell>
          <cell r="Q6125">
            <v>0</v>
          </cell>
          <cell r="R6125">
            <v>0</v>
          </cell>
          <cell r="S6125">
            <v>0</v>
          </cell>
          <cell r="T6125">
            <v>0</v>
          </cell>
          <cell r="U6125" t="b">
            <v>0</v>
          </cell>
        </row>
        <row r="6126">
          <cell r="A6126" t="str">
            <v>Data split-9;Reg-22</v>
          </cell>
          <cell r="B6126">
            <v>-8.8000000000000007</v>
          </cell>
          <cell r="C6126">
            <v>3.2</v>
          </cell>
          <cell r="D6126">
            <v>0</v>
          </cell>
          <cell r="E6126">
            <v>0</v>
          </cell>
          <cell r="F6126">
            <v>0</v>
          </cell>
          <cell r="G6126">
            <v>0</v>
          </cell>
          <cell r="H6126">
            <v>-1.1000000000000001</v>
          </cell>
          <cell r="I6126">
            <v>0</v>
          </cell>
          <cell r="J6126">
            <v>0</v>
          </cell>
          <cell r="K6126">
            <v>0</v>
          </cell>
          <cell r="L6126">
            <v>0</v>
          </cell>
          <cell r="M6126">
            <v>0</v>
          </cell>
          <cell r="N6126">
            <v>0</v>
          </cell>
          <cell r="O6126">
            <v>0</v>
          </cell>
          <cell r="P6126">
            <v>5.1999999999999998E-3</v>
          </cell>
          <cell r="Q6126">
            <v>0</v>
          </cell>
          <cell r="R6126">
            <v>0</v>
          </cell>
          <cell r="S6126">
            <v>0</v>
          </cell>
          <cell r="T6126">
            <v>0</v>
          </cell>
          <cell r="U6126" t="b">
            <v>0</v>
          </cell>
        </row>
        <row r="6127">
          <cell r="A6127" t="str">
            <v>Data split-9;Reg-23</v>
          </cell>
          <cell r="B6127">
            <v>-8.6999999999999993</v>
          </cell>
          <cell r="C6127">
            <v>0</v>
          </cell>
          <cell r="D6127">
            <v>3.4</v>
          </cell>
          <cell r="E6127">
            <v>-2.5</v>
          </cell>
          <cell r="F6127">
            <v>0</v>
          </cell>
          <cell r="G6127">
            <v>1.3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0</v>
          </cell>
          <cell r="M6127">
            <v>0</v>
          </cell>
          <cell r="N6127">
            <v>0</v>
          </cell>
          <cell r="O6127">
            <v>0</v>
          </cell>
          <cell r="P6127">
            <v>0</v>
          </cell>
          <cell r="Q6127">
            <v>0</v>
          </cell>
          <cell r="R6127">
            <v>0</v>
          </cell>
          <cell r="S6127">
            <v>0</v>
          </cell>
          <cell r="T6127">
            <v>0</v>
          </cell>
          <cell r="U6127" t="b">
            <v>0</v>
          </cell>
        </row>
        <row r="6128">
          <cell r="A6128" t="str">
            <v>Data split-9;Reg-24</v>
          </cell>
          <cell r="B6128">
            <v>-8.3000000000000007</v>
          </cell>
          <cell r="C6128">
            <v>0</v>
          </cell>
          <cell r="D6128">
            <v>3.3</v>
          </cell>
          <cell r="E6128">
            <v>-5.0999999999999996</v>
          </cell>
          <cell r="F6128">
            <v>0</v>
          </cell>
          <cell r="G6128">
            <v>0</v>
          </cell>
          <cell r="H6128">
            <v>5.0999999999999996</v>
          </cell>
          <cell r="I6128">
            <v>0</v>
          </cell>
          <cell r="J6128">
            <v>0</v>
          </cell>
          <cell r="K6128">
            <v>0</v>
          </cell>
          <cell r="L6128">
            <v>0</v>
          </cell>
          <cell r="M6128">
            <v>0</v>
          </cell>
          <cell r="N6128">
            <v>0</v>
          </cell>
          <cell r="O6128">
            <v>0</v>
          </cell>
          <cell r="P6128">
            <v>0</v>
          </cell>
          <cell r="Q6128">
            <v>0</v>
          </cell>
          <cell r="R6128">
            <v>0</v>
          </cell>
          <cell r="S6128">
            <v>0</v>
          </cell>
          <cell r="T6128">
            <v>0</v>
          </cell>
          <cell r="U6128" t="b">
            <v>0</v>
          </cell>
        </row>
        <row r="6129">
          <cell r="A6129" t="str">
            <v>Data split-9;Reg-25</v>
          </cell>
          <cell r="B6129">
            <v>-9.1999999999999993</v>
          </cell>
          <cell r="C6129">
            <v>0</v>
          </cell>
          <cell r="D6129">
            <v>3</v>
          </cell>
          <cell r="E6129">
            <v>0</v>
          </cell>
          <cell r="F6129">
            <v>0.19</v>
          </cell>
          <cell r="G6129">
            <v>-0.42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>
            <v>0</v>
          </cell>
          <cell r="M6129">
            <v>0</v>
          </cell>
          <cell r="N6129">
            <v>0</v>
          </cell>
          <cell r="O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 t="b">
            <v>0</v>
          </cell>
        </row>
        <row r="6130">
          <cell r="A6130" t="str">
            <v>Data split-9;Reg-26</v>
          </cell>
          <cell r="B6130">
            <v>-8.6</v>
          </cell>
          <cell r="C6130">
            <v>0</v>
          </cell>
          <cell r="D6130">
            <v>3.1</v>
          </cell>
          <cell r="E6130">
            <v>0</v>
          </cell>
          <cell r="F6130">
            <v>0.21</v>
          </cell>
          <cell r="G6130">
            <v>0</v>
          </cell>
          <cell r="H6130">
            <v>-0.96</v>
          </cell>
          <cell r="I6130">
            <v>0</v>
          </cell>
          <cell r="J6130">
            <v>0</v>
          </cell>
          <cell r="K6130">
            <v>0</v>
          </cell>
          <cell r="L6130">
            <v>0</v>
          </cell>
          <cell r="M6130">
            <v>0</v>
          </cell>
          <cell r="N6130">
            <v>0</v>
          </cell>
          <cell r="O6130">
            <v>0</v>
          </cell>
          <cell r="P6130">
            <v>0</v>
          </cell>
          <cell r="Q6130">
            <v>0</v>
          </cell>
          <cell r="R6130">
            <v>0</v>
          </cell>
          <cell r="S6130">
            <v>0</v>
          </cell>
          <cell r="T6130">
            <v>0</v>
          </cell>
          <cell r="U6130" t="b">
            <v>0</v>
          </cell>
        </row>
        <row r="6131">
          <cell r="A6131" t="str">
            <v>Data split-9;Reg-27</v>
          </cell>
          <cell r="B6131">
            <v>-7.7</v>
          </cell>
          <cell r="C6131">
            <v>0</v>
          </cell>
          <cell r="D6131">
            <v>3.4</v>
          </cell>
          <cell r="E6131">
            <v>-1.2</v>
          </cell>
          <cell r="F6131">
            <v>0</v>
          </cell>
          <cell r="G6131">
            <v>0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0</v>
          </cell>
          <cell r="M6131">
            <v>4.8999999999999998E-3</v>
          </cell>
          <cell r="N6131">
            <v>0</v>
          </cell>
          <cell r="O6131">
            <v>0</v>
          </cell>
          <cell r="P6131">
            <v>0</v>
          </cell>
          <cell r="Q6131">
            <v>0</v>
          </cell>
          <cell r="R6131">
            <v>0</v>
          </cell>
          <cell r="S6131">
            <v>0</v>
          </cell>
          <cell r="T6131">
            <v>0</v>
          </cell>
          <cell r="U6131" t="b">
            <v>0</v>
          </cell>
        </row>
        <row r="6132">
          <cell r="A6132" t="str">
            <v>Data split-9;Reg-28</v>
          </cell>
          <cell r="B6132">
            <v>-8</v>
          </cell>
          <cell r="C6132">
            <v>0</v>
          </cell>
          <cell r="D6132">
            <v>3.4</v>
          </cell>
          <cell r="E6132">
            <v>-0.92</v>
          </cell>
          <cell r="F6132">
            <v>0</v>
          </cell>
          <cell r="G6132">
            <v>0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0</v>
          </cell>
          <cell r="M6132">
            <v>0</v>
          </cell>
          <cell r="N6132">
            <v>-2.3999999999999998E-3</v>
          </cell>
          <cell r="O6132">
            <v>0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 t="b">
            <v>0</v>
          </cell>
        </row>
        <row r="6133">
          <cell r="A6133" t="str">
            <v>Data split-9;Reg-29</v>
          </cell>
          <cell r="B6133">
            <v>-9.1</v>
          </cell>
          <cell r="C6133">
            <v>0</v>
          </cell>
          <cell r="D6133">
            <v>3.1</v>
          </cell>
          <cell r="E6133">
            <v>0</v>
          </cell>
          <cell r="F6133">
            <v>0.2</v>
          </cell>
          <cell r="G6133">
            <v>0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>
            <v>0</v>
          </cell>
          <cell r="M6133">
            <v>-6.5000000000000002E-2</v>
          </cell>
          <cell r="N6133">
            <v>0</v>
          </cell>
          <cell r="O6133">
            <v>0</v>
          </cell>
          <cell r="P6133">
            <v>0</v>
          </cell>
          <cell r="Q6133">
            <v>0</v>
          </cell>
          <cell r="R6133">
            <v>0</v>
          </cell>
          <cell r="S6133">
            <v>0</v>
          </cell>
          <cell r="T6133">
            <v>0</v>
          </cell>
          <cell r="U6133" t="b">
            <v>1</v>
          </cell>
        </row>
        <row r="6134">
          <cell r="A6134" t="str">
            <v>Data split-9;Reg-30</v>
          </cell>
          <cell r="B6134">
            <v>-9.1</v>
          </cell>
          <cell r="C6134">
            <v>0</v>
          </cell>
          <cell r="D6134">
            <v>3.1</v>
          </cell>
          <cell r="E6134">
            <v>0</v>
          </cell>
          <cell r="F6134">
            <v>0.2</v>
          </cell>
          <cell r="G6134">
            <v>0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>
            <v>0</v>
          </cell>
          <cell r="M6134">
            <v>0</v>
          </cell>
          <cell r="N6134">
            <v>-1.4999999999999999E-2</v>
          </cell>
          <cell r="O6134">
            <v>0</v>
          </cell>
          <cell r="P6134">
            <v>0</v>
          </cell>
          <cell r="Q6134">
            <v>0</v>
          </cell>
          <cell r="R6134">
            <v>0</v>
          </cell>
          <cell r="S6134">
            <v>0</v>
          </cell>
          <cell r="T6134">
            <v>0</v>
          </cell>
          <cell r="U6134" t="b">
            <v>1</v>
          </cell>
        </row>
        <row r="6135">
          <cell r="A6135" t="str">
            <v>Data split-9;Reg-31</v>
          </cell>
          <cell r="B6135">
            <v>-9.4</v>
          </cell>
          <cell r="C6135">
            <v>0</v>
          </cell>
          <cell r="D6135">
            <v>3.1</v>
          </cell>
          <cell r="E6135">
            <v>0</v>
          </cell>
          <cell r="F6135">
            <v>0</v>
          </cell>
          <cell r="G6135">
            <v>-0.21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>
            <v>0</v>
          </cell>
          <cell r="M6135">
            <v>0</v>
          </cell>
          <cell r="N6135">
            <v>0</v>
          </cell>
          <cell r="O6135">
            <v>-1.7000000000000001E-2</v>
          </cell>
          <cell r="P6135">
            <v>0</v>
          </cell>
          <cell r="Q6135">
            <v>0</v>
          </cell>
          <cell r="R6135">
            <v>0</v>
          </cell>
          <cell r="S6135">
            <v>0</v>
          </cell>
          <cell r="T6135">
            <v>0</v>
          </cell>
          <cell r="U6135" t="b">
            <v>0</v>
          </cell>
        </row>
        <row r="6136">
          <cell r="A6136" t="str">
            <v>Data split-9;Reg-32</v>
          </cell>
          <cell r="B6136">
            <v>-9.1</v>
          </cell>
          <cell r="C6136">
            <v>0</v>
          </cell>
          <cell r="D6136">
            <v>3.2</v>
          </cell>
          <cell r="E6136">
            <v>0</v>
          </cell>
          <cell r="F6136">
            <v>0</v>
          </cell>
          <cell r="G6136">
            <v>-0.56999999999999995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0</v>
          </cell>
          <cell r="M6136">
            <v>0</v>
          </cell>
          <cell r="N6136">
            <v>0</v>
          </cell>
          <cell r="O6136">
            <v>0</v>
          </cell>
          <cell r="P6136">
            <v>3.0999999999999999E-3</v>
          </cell>
          <cell r="Q6136">
            <v>0</v>
          </cell>
          <cell r="R6136">
            <v>0</v>
          </cell>
          <cell r="S6136">
            <v>0</v>
          </cell>
          <cell r="T6136">
            <v>0</v>
          </cell>
          <cell r="U6136" t="b">
            <v>0</v>
          </cell>
        </row>
        <row r="6137">
          <cell r="A6137" t="str">
            <v>Data split-9;Reg-33</v>
          </cell>
          <cell r="B6137">
            <v>-9.1</v>
          </cell>
          <cell r="C6137">
            <v>0</v>
          </cell>
          <cell r="D6137">
            <v>3.2</v>
          </cell>
          <cell r="E6137">
            <v>0</v>
          </cell>
          <cell r="F6137">
            <v>0</v>
          </cell>
          <cell r="G6137">
            <v>0</v>
          </cell>
          <cell r="H6137">
            <v>-0.71</v>
          </cell>
          <cell r="I6137">
            <v>0</v>
          </cell>
          <cell r="J6137">
            <v>0</v>
          </cell>
          <cell r="K6137">
            <v>0</v>
          </cell>
          <cell r="L6137">
            <v>0</v>
          </cell>
          <cell r="M6137">
            <v>0</v>
          </cell>
          <cell r="N6137">
            <v>0</v>
          </cell>
          <cell r="O6137">
            <v>5.5999999999999995E-4</v>
          </cell>
          <cell r="P6137">
            <v>0</v>
          </cell>
          <cell r="Q6137">
            <v>0</v>
          </cell>
          <cell r="R6137">
            <v>0</v>
          </cell>
          <cell r="S6137">
            <v>0</v>
          </cell>
          <cell r="T6137">
            <v>0</v>
          </cell>
          <cell r="U6137" t="b">
            <v>0</v>
          </cell>
        </row>
        <row r="6138">
          <cell r="A6138" t="str">
            <v>Data split-9;Reg-34</v>
          </cell>
          <cell r="B6138">
            <v>-8.8000000000000007</v>
          </cell>
          <cell r="C6138">
            <v>0</v>
          </cell>
          <cell r="D6138">
            <v>3.2</v>
          </cell>
          <cell r="E6138">
            <v>0</v>
          </cell>
          <cell r="F6138">
            <v>0</v>
          </cell>
          <cell r="G6138">
            <v>0</v>
          </cell>
          <cell r="H6138">
            <v>-1.2</v>
          </cell>
          <cell r="I6138">
            <v>0</v>
          </cell>
          <cell r="J6138">
            <v>0</v>
          </cell>
          <cell r="K6138">
            <v>0</v>
          </cell>
          <cell r="L6138">
            <v>0</v>
          </cell>
          <cell r="M6138">
            <v>0</v>
          </cell>
          <cell r="N6138">
            <v>0</v>
          </cell>
          <cell r="O6138">
            <v>0</v>
          </cell>
          <cell r="P6138">
            <v>6.4000000000000003E-3</v>
          </cell>
          <cell r="Q6138">
            <v>0</v>
          </cell>
          <cell r="R6138">
            <v>0</v>
          </cell>
          <cell r="S6138">
            <v>0</v>
          </cell>
          <cell r="T6138">
            <v>0</v>
          </cell>
          <cell r="U6138" t="b">
            <v>0</v>
          </cell>
        </row>
        <row r="6139">
          <cell r="A6139" t="str">
            <v>Data split-9;Reg-35</v>
          </cell>
          <cell r="B6139">
            <v>-11.4</v>
          </cell>
          <cell r="C6139">
            <v>3.2</v>
          </cell>
          <cell r="D6139">
            <v>0</v>
          </cell>
          <cell r="E6139">
            <v>-1.7</v>
          </cell>
          <cell r="F6139">
            <v>0</v>
          </cell>
          <cell r="G6139">
            <v>2.6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0</v>
          </cell>
          <cell r="M6139">
            <v>-0.16</v>
          </cell>
          <cell r="N6139">
            <v>0</v>
          </cell>
          <cell r="O6139">
            <v>0</v>
          </cell>
          <cell r="P6139">
            <v>0</v>
          </cell>
          <cell r="Q6139">
            <v>0</v>
          </cell>
          <cell r="R6139">
            <v>0</v>
          </cell>
          <cell r="S6139">
            <v>0</v>
          </cell>
          <cell r="T6139">
            <v>0</v>
          </cell>
          <cell r="U6139" t="b">
            <v>0</v>
          </cell>
        </row>
        <row r="6140">
          <cell r="A6140" t="str">
            <v>Data split-9;Reg-36</v>
          </cell>
          <cell r="B6140">
            <v>-12.4</v>
          </cell>
          <cell r="C6140">
            <v>3.3</v>
          </cell>
          <cell r="D6140">
            <v>0</v>
          </cell>
          <cell r="E6140">
            <v>-1.2</v>
          </cell>
          <cell r="F6140">
            <v>0</v>
          </cell>
          <cell r="G6140">
            <v>2.7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>
            <v>0</v>
          </cell>
          <cell r="M6140">
            <v>0</v>
          </cell>
          <cell r="N6140">
            <v>-3.7999999999999999E-2</v>
          </cell>
          <cell r="O6140">
            <v>0</v>
          </cell>
          <cell r="P6140">
            <v>0</v>
          </cell>
          <cell r="Q6140">
            <v>0</v>
          </cell>
          <cell r="R6140">
            <v>0</v>
          </cell>
          <cell r="S6140">
            <v>0</v>
          </cell>
          <cell r="T6140">
            <v>0</v>
          </cell>
          <cell r="U6140" t="b">
            <v>0</v>
          </cell>
        </row>
        <row r="6141">
          <cell r="A6141" t="str">
            <v>Data split-9;Reg-37</v>
          </cell>
          <cell r="B6141">
            <v>-14.4</v>
          </cell>
          <cell r="C6141">
            <v>2.6</v>
          </cell>
          <cell r="D6141">
            <v>0</v>
          </cell>
          <cell r="E6141">
            <v>-6.3</v>
          </cell>
          <cell r="F6141">
            <v>0</v>
          </cell>
          <cell r="G6141">
            <v>0</v>
          </cell>
          <cell r="H6141">
            <v>14.3</v>
          </cell>
          <cell r="I6141">
            <v>0</v>
          </cell>
          <cell r="J6141">
            <v>0</v>
          </cell>
          <cell r="K6141">
            <v>0</v>
          </cell>
          <cell r="L6141">
            <v>0</v>
          </cell>
          <cell r="M6141">
            <v>-0.42</v>
          </cell>
          <cell r="N6141">
            <v>0</v>
          </cell>
          <cell r="O6141">
            <v>0</v>
          </cell>
          <cell r="P6141">
            <v>0</v>
          </cell>
          <cell r="Q6141">
            <v>0</v>
          </cell>
          <cell r="R6141">
            <v>0</v>
          </cell>
          <cell r="S6141">
            <v>0</v>
          </cell>
          <cell r="T6141">
            <v>0</v>
          </cell>
          <cell r="U6141" t="b">
            <v>0</v>
          </cell>
        </row>
        <row r="6142">
          <cell r="A6142" t="str">
            <v>Data split-9;Reg-38</v>
          </cell>
          <cell r="B6142">
            <v>-19.5</v>
          </cell>
          <cell r="C6142">
            <v>2.6</v>
          </cell>
          <cell r="D6142">
            <v>0</v>
          </cell>
          <cell r="E6142">
            <v>-6</v>
          </cell>
          <cell r="F6142">
            <v>0</v>
          </cell>
          <cell r="G6142">
            <v>0</v>
          </cell>
          <cell r="H6142">
            <v>17.899999999999999</v>
          </cell>
          <cell r="I6142">
            <v>0</v>
          </cell>
          <cell r="J6142">
            <v>0</v>
          </cell>
          <cell r="K6142">
            <v>0</v>
          </cell>
          <cell r="L6142">
            <v>0</v>
          </cell>
          <cell r="M6142">
            <v>0</v>
          </cell>
          <cell r="N6142">
            <v>-0.13</v>
          </cell>
          <cell r="O6142">
            <v>0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 t="b">
            <v>0</v>
          </cell>
        </row>
        <row r="6143">
          <cell r="A6143" t="str">
            <v>Data split-9;Reg-39</v>
          </cell>
          <cell r="B6143">
            <v>-13.2</v>
          </cell>
          <cell r="C6143">
            <v>2.8</v>
          </cell>
          <cell r="D6143">
            <v>0</v>
          </cell>
          <cell r="E6143">
            <v>0</v>
          </cell>
          <cell r="F6143">
            <v>0.21</v>
          </cell>
          <cell r="G6143">
            <v>2.5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>
            <v>0</v>
          </cell>
          <cell r="M6143">
            <v>-0.25</v>
          </cell>
          <cell r="N6143">
            <v>0</v>
          </cell>
          <cell r="O6143">
            <v>0</v>
          </cell>
          <cell r="P6143">
            <v>0</v>
          </cell>
          <cell r="Q6143">
            <v>0</v>
          </cell>
          <cell r="R6143">
            <v>0</v>
          </cell>
          <cell r="S6143">
            <v>0</v>
          </cell>
          <cell r="T6143">
            <v>0</v>
          </cell>
          <cell r="U6143" t="b">
            <v>1</v>
          </cell>
        </row>
        <row r="6144">
          <cell r="A6144" t="str">
            <v>Data split-9;Reg-40</v>
          </cell>
          <cell r="B6144">
            <v>-14.5</v>
          </cell>
          <cell r="C6144">
            <v>3</v>
          </cell>
          <cell r="D6144">
            <v>0</v>
          </cell>
          <cell r="E6144">
            <v>0</v>
          </cell>
          <cell r="F6144">
            <v>0.23</v>
          </cell>
          <cell r="G6144">
            <v>3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>
            <v>0</v>
          </cell>
          <cell r="M6144">
            <v>0</v>
          </cell>
          <cell r="N6144">
            <v>-5.8999999999999997E-2</v>
          </cell>
          <cell r="O6144">
            <v>0</v>
          </cell>
          <cell r="P6144">
            <v>0</v>
          </cell>
          <cell r="Q6144">
            <v>0</v>
          </cell>
          <cell r="R6144">
            <v>0</v>
          </cell>
          <cell r="S6144">
            <v>0</v>
          </cell>
          <cell r="T6144">
            <v>0</v>
          </cell>
          <cell r="U6144" t="b">
            <v>1</v>
          </cell>
        </row>
        <row r="6145">
          <cell r="A6145" t="str">
            <v>Data split-9;Reg-41</v>
          </cell>
          <cell r="B6145">
            <v>-12.4</v>
          </cell>
          <cell r="C6145">
            <v>2.7</v>
          </cell>
          <cell r="D6145">
            <v>0</v>
          </cell>
          <cell r="E6145">
            <v>0</v>
          </cell>
          <cell r="F6145">
            <v>0.15</v>
          </cell>
          <cell r="G6145">
            <v>0</v>
          </cell>
          <cell r="H6145">
            <v>3.6</v>
          </cell>
          <cell r="I6145">
            <v>0</v>
          </cell>
          <cell r="J6145">
            <v>0</v>
          </cell>
          <cell r="K6145">
            <v>0</v>
          </cell>
          <cell r="L6145">
            <v>0</v>
          </cell>
          <cell r="M6145">
            <v>-0.25</v>
          </cell>
          <cell r="N6145">
            <v>0</v>
          </cell>
          <cell r="O6145">
            <v>0</v>
          </cell>
          <cell r="P6145">
            <v>0</v>
          </cell>
          <cell r="Q6145">
            <v>0</v>
          </cell>
          <cell r="R6145">
            <v>0</v>
          </cell>
          <cell r="S6145">
            <v>0</v>
          </cell>
          <cell r="T6145">
            <v>0</v>
          </cell>
          <cell r="U6145" t="b">
            <v>1</v>
          </cell>
        </row>
        <row r="6146">
          <cell r="A6146" t="str">
            <v>Data split-9;Reg-42</v>
          </cell>
          <cell r="B6146">
            <v>-17.8</v>
          </cell>
          <cell r="C6146">
            <v>2.6</v>
          </cell>
          <cell r="D6146">
            <v>0</v>
          </cell>
          <cell r="E6146">
            <v>0</v>
          </cell>
          <cell r="F6146">
            <v>0.11</v>
          </cell>
          <cell r="G6146">
            <v>0</v>
          </cell>
          <cell r="H6146">
            <v>8.5</v>
          </cell>
          <cell r="I6146">
            <v>0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-0.1</v>
          </cell>
          <cell r="O6146">
            <v>0</v>
          </cell>
          <cell r="P6146">
            <v>0</v>
          </cell>
          <cell r="Q6146">
            <v>0</v>
          </cell>
          <cell r="R6146">
            <v>0</v>
          </cell>
          <cell r="S6146">
            <v>0</v>
          </cell>
          <cell r="T6146">
            <v>0</v>
          </cell>
          <cell r="U6146" t="b">
            <v>1</v>
          </cell>
        </row>
        <row r="6147">
          <cell r="A6147" t="str">
            <v>Data split-9;Reg-43</v>
          </cell>
          <cell r="B6147">
            <v>-8.6999999999999993</v>
          </cell>
          <cell r="C6147">
            <v>3.3</v>
          </cell>
          <cell r="D6147">
            <v>0</v>
          </cell>
          <cell r="E6147">
            <v>-2.6</v>
          </cell>
          <cell r="F6147">
            <v>0</v>
          </cell>
          <cell r="G6147">
            <v>1.5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  <cell r="N6147">
            <v>0</v>
          </cell>
          <cell r="O6147">
            <v>-1.4999999999999999E-2</v>
          </cell>
          <cell r="P6147">
            <v>0</v>
          </cell>
          <cell r="Q6147">
            <v>0</v>
          </cell>
          <cell r="R6147">
            <v>0</v>
          </cell>
          <cell r="S6147">
            <v>0</v>
          </cell>
          <cell r="T6147">
            <v>0</v>
          </cell>
          <cell r="U6147" t="b">
            <v>0</v>
          </cell>
        </row>
        <row r="6148">
          <cell r="A6148" t="str">
            <v>Data split-9;Reg-44</v>
          </cell>
          <cell r="B6148">
            <v>-8.4</v>
          </cell>
          <cell r="C6148">
            <v>3.4</v>
          </cell>
          <cell r="D6148">
            <v>0</v>
          </cell>
          <cell r="E6148">
            <v>-2.6</v>
          </cell>
          <cell r="F6148">
            <v>0</v>
          </cell>
          <cell r="G6148">
            <v>1.2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0</v>
          </cell>
          <cell r="M6148">
            <v>0</v>
          </cell>
          <cell r="N6148">
            <v>0</v>
          </cell>
          <cell r="O6148">
            <v>0</v>
          </cell>
          <cell r="P6148">
            <v>3.0999999999999999E-3</v>
          </cell>
          <cell r="Q6148">
            <v>0</v>
          </cell>
          <cell r="R6148">
            <v>0</v>
          </cell>
          <cell r="S6148">
            <v>0</v>
          </cell>
          <cell r="T6148">
            <v>0</v>
          </cell>
          <cell r="U6148" t="b">
            <v>0</v>
          </cell>
        </row>
        <row r="6149">
          <cell r="A6149" t="str">
            <v>Data split-9;Reg-45</v>
          </cell>
          <cell r="B6149">
            <v>-8.6999999999999993</v>
          </cell>
          <cell r="C6149">
            <v>3.1</v>
          </cell>
          <cell r="D6149">
            <v>0</v>
          </cell>
          <cell r="E6149">
            <v>-5.8</v>
          </cell>
          <cell r="F6149">
            <v>0</v>
          </cell>
          <cell r="G6149">
            <v>0</v>
          </cell>
          <cell r="H6149">
            <v>7.4</v>
          </cell>
          <cell r="I6149">
            <v>0</v>
          </cell>
          <cell r="J6149">
            <v>0</v>
          </cell>
          <cell r="K6149">
            <v>0</v>
          </cell>
          <cell r="L6149">
            <v>0</v>
          </cell>
          <cell r="M6149">
            <v>0</v>
          </cell>
          <cell r="N6149">
            <v>0</v>
          </cell>
          <cell r="O6149">
            <v>-8.5999999999999993E-2</v>
          </cell>
          <cell r="P6149">
            <v>0</v>
          </cell>
          <cell r="Q6149">
            <v>0</v>
          </cell>
          <cell r="R6149">
            <v>0</v>
          </cell>
          <cell r="S6149">
            <v>0</v>
          </cell>
          <cell r="T6149">
            <v>0</v>
          </cell>
          <cell r="U6149" t="b">
            <v>0</v>
          </cell>
        </row>
        <row r="6150">
          <cell r="A6150" t="str">
            <v>Data split-9;Reg-46</v>
          </cell>
          <cell r="B6150">
            <v>-8.6</v>
          </cell>
          <cell r="C6150">
            <v>3.2</v>
          </cell>
          <cell r="D6150">
            <v>0</v>
          </cell>
          <cell r="E6150">
            <v>-5.6</v>
          </cell>
          <cell r="F6150">
            <v>0</v>
          </cell>
          <cell r="G6150">
            <v>0</v>
          </cell>
          <cell r="H6150">
            <v>6.6</v>
          </cell>
          <cell r="I6150">
            <v>0</v>
          </cell>
          <cell r="J6150">
            <v>0</v>
          </cell>
          <cell r="K6150">
            <v>0</v>
          </cell>
          <cell r="L6150">
            <v>0</v>
          </cell>
          <cell r="M6150">
            <v>0</v>
          </cell>
          <cell r="N6150">
            <v>0</v>
          </cell>
          <cell r="O6150">
            <v>0</v>
          </cell>
          <cell r="P6150">
            <v>-1.0999999999999999E-2</v>
          </cell>
          <cell r="Q6150">
            <v>0</v>
          </cell>
          <cell r="R6150">
            <v>0</v>
          </cell>
          <cell r="S6150">
            <v>0</v>
          </cell>
          <cell r="T6150">
            <v>0</v>
          </cell>
          <cell r="U6150" t="b">
            <v>0</v>
          </cell>
        </row>
        <row r="6151">
          <cell r="A6151" t="str">
            <v>Data split-9;Reg-47</v>
          </cell>
          <cell r="B6151">
            <v>-9.6</v>
          </cell>
          <cell r="C6151">
            <v>2.9</v>
          </cell>
          <cell r="D6151">
            <v>0</v>
          </cell>
          <cell r="E6151">
            <v>0</v>
          </cell>
          <cell r="F6151">
            <v>0.2</v>
          </cell>
          <cell r="G6151">
            <v>0.12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0</v>
          </cell>
          <cell r="M6151">
            <v>0</v>
          </cell>
          <cell r="N6151">
            <v>0</v>
          </cell>
          <cell r="O6151">
            <v>-4.9000000000000002E-2</v>
          </cell>
          <cell r="P6151">
            <v>0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 t="b">
            <v>1</v>
          </cell>
        </row>
        <row r="6152">
          <cell r="A6152" t="str">
            <v>Data split-9;Reg-48</v>
          </cell>
          <cell r="B6152">
            <v>-9.4</v>
          </cell>
          <cell r="C6152">
            <v>3</v>
          </cell>
          <cell r="D6152">
            <v>0</v>
          </cell>
          <cell r="E6152">
            <v>0</v>
          </cell>
          <cell r="F6152">
            <v>0.2</v>
          </cell>
          <cell r="G6152">
            <v>-9.1999999999999998E-2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0</v>
          </cell>
          <cell r="M6152">
            <v>0</v>
          </cell>
          <cell r="N6152">
            <v>0</v>
          </cell>
          <cell r="O6152">
            <v>0</v>
          </cell>
          <cell r="P6152">
            <v>-5.8999999999999999E-3</v>
          </cell>
          <cell r="Q6152">
            <v>0</v>
          </cell>
          <cell r="R6152">
            <v>0</v>
          </cell>
          <cell r="S6152">
            <v>0</v>
          </cell>
          <cell r="T6152">
            <v>0</v>
          </cell>
          <cell r="U6152" t="b">
            <v>0</v>
          </cell>
        </row>
        <row r="6153">
          <cell r="A6153" t="str">
            <v>Data split-9;Reg-49</v>
          </cell>
          <cell r="B6153">
            <v>-8.4</v>
          </cell>
          <cell r="C6153">
            <v>3.1</v>
          </cell>
          <cell r="D6153">
            <v>0</v>
          </cell>
          <cell r="E6153">
            <v>0</v>
          </cell>
          <cell r="F6153">
            <v>0.21</v>
          </cell>
          <cell r="G6153">
            <v>0</v>
          </cell>
          <cell r="H6153">
            <v>-1.1000000000000001</v>
          </cell>
          <cell r="I6153">
            <v>0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  <cell r="O6153">
            <v>8.8000000000000005E-3</v>
          </cell>
          <cell r="P6153">
            <v>0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 t="b">
            <v>0</v>
          </cell>
        </row>
        <row r="6154">
          <cell r="A6154" t="str">
            <v>Data split-9;Reg-50</v>
          </cell>
          <cell r="B6154">
            <v>-8.1999999999999993</v>
          </cell>
          <cell r="C6154">
            <v>3.1</v>
          </cell>
          <cell r="D6154">
            <v>0</v>
          </cell>
          <cell r="E6154">
            <v>0</v>
          </cell>
          <cell r="F6154">
            <v>0.21</v>
          </cell>
          <cell r="G6154">
            <v>0</v>
          </cell>
          <cell r="H6154">
            <v>-1.4</v>
          </cell>
          <cell r="I6154">
            <v>0</v>
          </cell>
          <cell r="J6154">
            <v>0</v>
          </cell>
          <cell r="K6154">
            <v>0</v>
          </cell>
          <cell r="L6154">
            <v>0</v>
          </cell>
          <cell r="M6154">
            <v>0</v>
          </cell>
          <cell r="N6154">
            <v>0</v>
          </cell>
          <cell r="O6154">
            <v>0</v>
          </cell>
          <cell r="P6154">
            <v>5.4000000000000003E-3</v>
          </cell>
          <cell r="Q6154">
            <v>0</v>
          </cell>
          <cell r="R6154">
            <v>0</v>
          </cell>
          <cell r="S6154">
            <v>0</v>
          </cell>
          <cell r="T6154">
            <v>0</v>
          </cell>
          <cell r="U6154" t="b">
            <v>0</v>
          </cell>
        </row>
        <row r="6155">
          <cell r="A6155" t="str">
            <v>Data split-9;Reg-51</v>
          </cell>
          <cell r="B6155">
            <v>-11.4</v>
          </cell>
          <cell r="C6155">
            <v>0</v>
          </cell>
          <cell r="D6155">
            <v>3.2</v>
          </cell>
          <cell r="E6155">
            <v>-1.7</v>
          </cell>
          <cell r="F6155">
            <v>0</v>
          </cell>
          <cell r="G6155">
            <v>2.6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0</v>
          </cell>
          <cell r="M6155">
            <v>0</v>
          </cell>
          <cell r="N6155">
            <v>0</v>
          </cell>
          <cell r="O6155">
            <v>-0.15</v>
          </cell>
          <cell r="P6155">
            <v>0</v>
          </cell>
          <cell r="Q6155">
            <v>0</v>
          </cell>
          <cell r="R6155">
            <v>0</v>
          </cell>
          <cell r="S6155">
            <v>0</v>
          </cell>
          <cell r="T6155">
            <v>0</v>
          </cell>
          <cell r="U6155" t="b">
            <v>0</v>
          </cell>
        </row>
        <row r="6156">
          <cell r="A6156" t="str">
            <v>Data split-9;Reg-52</v>
          </cell>
          <cell r="B6156">
            <v>-12.4</v>
          </cell>
          <cell r="C6156">
            <v>0</v>
          </cell>
          <cell r="D6156">
            <v>3.3</v>
          </cell>
          <cell r="E6156">
            <v>-1.2</v>
          </cell>
          <cell r="F6156">
            <v>0</v>
          </cell>
          <cell r="G6156">
            <v>2.6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  <cell r="N6156">
            <v>-3.6999999999999998E-2</v>
          </cell>
          <cell r="O6156">
            <v>0</v>
          </cell>
          <cell r="P6156">
            <v>0</v>
          </cell>
          <cell r="Q6156">
            <v>0</v>
          </cell>
          <cell r="R6156">
            <v>0</v>
          </cell>
          <cell r="S6156">
            <v>0</v>
          </cell>
          <cell r="T6156">
            <v>0</v>
          </cell>
          <cell r="U6156" t="b">
            <v>0</v>
          </cell>
        </row>
        <row r="6157">
          <cell r="A6157" t="str">
            <v>Data split-9;Reg-53</v>
          </cell>
          <cell r="B6157">
            <v>-14.4</v>
          </cell>
          <cell r="C6157">
            <v>0</v>
          </cell>
          <cell r="D6157">
            <v>2.6</v>
          </cell>
          <cell r="E6157">
            <v>-6.3</v>
          </cell>
          <cell r="F6157">
            <v>0</v>
          </cell>
          <cell r="G6157">
            <v>0</v>
          </cell>
          <cell r="H6157">
            <v>14.2</v>
          </cell>
          <cell r="I6157">
            <v>0</v>
          </cell>
          <cell r="J6157">
            <v>0</v>
          </cell>
          <cell r="K6157">
            <v>0</v>
          </cell>
          <cell r="L6157">
            <v>0</v>
          </cell>
          <cell r="M6157">
            <v>-0.42</v>
          </cell>
          <cell r="N6157">
            <v>0</v>
          </cell>
          <cell r="O6157">
            <v>0</v>
          </cell>
          <cell r="P6157">
            <v>0</v>
          </cell>
          <cell r="Q6157">
            <v>0</v>
          </cell>
          <cell r="R6157">
            <v>0</v>
          </cell>
          <cell r="S6157">
            <v>0</v>
          </cell>
          <cell r="T6157">
            <v>0</v>
          </cell>
          <cell r="U6157" t="b">
            <v>0</v>
          </cell>
        </row>
        <row r="6158">
          <cell r="A6158" t="str">
            <v>Data split-9;Reg-54</v>
          </cell>
          <cell r="B6158">
            <v>-19.5</v>
          </cell>
          <cell r="C6158">
            <v>0</v>
          </cell>
          <cell r="D6158">
            <v>2.6</v>
          </cell>
          <cell r="E6158">
            <v>-5.9</v>
          </cell>
          <cell r="F6158">
            <v>0</v>
          </cell>
          <cell r="G6158">
            <v>0</v>
          </cell>
          <cell r="H6158">
            <v>17.8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-0.13</v>
          </cell>
          <cell r="O6158">
            <v>0</v>
          </cell>
          <cell r="P6158">
            <v>0</v>
          </cell>
          <cell r="Q6158">
            <v>0</v>
          </cell>
          <cell r="R6158">
            <v>0</v>
          </cell>
          <cell r="S6158">
            <v>0</v>
          </cell>
          <cell r="T6158">
            <v>0</v>
          </cell>
          <cell r="U6158" t="b">
            <v>0</v>
          </cell>
        </row>
        <row r="6159">
          <cell r="A6159" t="str">
            <v>Data split-9;Reg-55</v>
          </cell>
          <cell r="B6159">
            <v>-13.3</v>
          </cell>
          <cell r="C6159">
            <v>0</v>
          </cell>
          <cell r="D6159">
            <v>2.8</v>
          </cell>
          <cell r="E6159">
            <v>0</v>
          </cell>
          <cell r="F6159">
            <v>0.21</v>
          </cell>
          <cell r="G6159">
            <v>2.5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0</v>
          </cell>
          <cell r="M6159">
            <v>-0.25</v>
          </cell>
          <cell r="N6159">
            <v>0</v>
          </cell>
          <cell r="O6159">
            <v>0</v>
          </cell>
          <cell r="P6159">
            <v>0</v>
          </cell>
          <cell r="Q6159">
            <v>0</v>
          </cell>
          <cell r="R6159">
            <v>0</v>
          </cell>
          <cell r="S6159">
            <v>0</v>
          </cell>
          <cell r="T6159">
            <v>0</v>
          </cell>
          <cell r="U6159" t="b">
            <v>1</v>
          </cell>
        </row>
        <row r="6160">
          <cell r="A6160" t="str">
            <v>Data split-9;Reg-56</v>
          </cell>
          <cell r="B6160">
            <v>-14.5</v>
          </cell>
          <cell r="C6160">
            <v>0</v>
          </cell>
          <cell r="D6160">
            <v>3</v>
          </cell>
          <cell r="E6160">
            <v>0</v>
          </cell>
          <cell r="F6160">
            <v>0.23</v>
          </cell>
          <cell r="G6160">
            <v>2.9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  <cell r="N6160">
            <v>-5.8000000000000003E-2</v>
          </cell>
          <cell r="O6160">
            <v>0</v>
          </cell>
          <cell r="P6160">
            <v>0</v>
          </cell>
          <cell r="Q6160">
            <v>0</v>
          </cell>
          <cell r="R6160">
            <v>0</v>
          </cell>
          <cell r="S6160">
            <v>0</v>
          </cell>
          <cell r="T6160">
            <v>0</v>
          </cell>
          <cell r="U6160" t="b">
            <v>1</v>
          </cell>
        </row>
        <row r="6161">
          <cell r="A6161" t="str">
            <v>Data split-9;Reg-57</v>
          </cell>
          <cell r="B6161">
            <v>-12.4</v>
          </cell>
          <cell r="C6161">
            <v>0</v>
          </cell>
          <cell r="D6161">
            <v>2.7</v>
          </cell>
          <cell r="E6161">
            <v>0</v>
          </cell>
          <cell r="F6161">
            <v>0.15</v>
          </cell>
          <cell r="G6161">
            <v>0</v>
          </cell>
          <cell r="H6161">
            <v>3.6</v>
          </cell>
          <cell r="I6161">
            <v>0</v>
          </cell>
          <cell r="J6161">
            <v>0</v>
          </cell>
          <cell r="K6161">
            <v>0</v>
          </cell>
          <cell r="L6161">
            <v>0</v>
          </cell>
          <cell r="M6161">
            <v>-0.24</v>
          </cell>
          <cell r="N6161">
            <v>0</v>
          </cell>
          <cell r="O6161">
            <v>0</v>
          </cell>
          <cell r="P6161">
            <v>0</v>
          </cell>
          <cell r="Q6161">
            <v>0</v>
          </cell>
          <cell r="R6161">
            <v>0</v>
          </cell>
          <cell r="S6161">
            <v>0</v>
          </cell>
          <cell r="T6161">
            <v>0</v>
          </cell>
          <cell r="U6161" t="b">
            <v>1</v>
          </cell>
        </row>
        <row r="6162">
          <cell r="A6162" t="str">
            <v>Data split-9;Reg-58</v>
          </cell>
          <cell r="B6162">
            <v>-17.8</v>
          </cell>
          <cell r="C6162">
            <v>0</v>
          </cell>
          <cell r="D6162">
            <v>2.6</v>
          </cell>
          <cell r="E6162">
            <v>0</v>
          </cell>
          <cell r="F6162">
            <v>0.11</v>
          </cell>
          <cell r="G6162">
            <v>0</v>
          </cell>
          <cell r="H6162">
            <v>8.4</v>
          </cell>
          <cell r="I6162">
            <v>0</v>
          </cell>
          <cell r="J6162">
            <v>0</v>
          </cell>
          <cell r="K6162">
            <v>0</v>
          </cell>
          <cell r="L6162">
            <v>0</v>
          </cell>
          <cell r="M6162">
            <v>0</v>
          </cell>
          <cell r="N6162">
            <v>-0.1</v>
          </cell>
          <cell r="O6162">
            <v>0</v>
          </cell>
          <cell r="P6162">
            <v>0</v>
          </cell>
          <cell r="Q6162">
            <v>0</v>
          </cell>
          <cell r="R6162">
            <v>0</v>
          </cell>
          <cell r="S6162">
            <v>0</v>
          </cell>
          <cell r="T6162">
            <v>0</v>
          </cell>
          <cell r="U6162" t="b">
            <v>1</v>
          </cell>
        </row>
        <row r="6163">
          <cell r="A6163" t="str">
            <v>Data split-9;Reg-59</v>
          </cell>
          <cell r="B6163">
            <v>-8.8000000000000007</v>
          </cell>
          <cell r="C6163">
            <v>0</v>
          </cell>
          <cell r="D6163">
            <v>3.4</v>
          </cell>
          <cell r="E6163">
            <v>-2.5</v>
          </cell>
          <cell r="F6163">
            <v>0</v>
          </cell>
          <cell r="G6163">
            <v>1.4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-8.8999999999999999E-3</v>
          </cell>
          <cell r="P6163">
            <v>0</v>
          </cell>
          <cell r="Q6163">
            <v>0</v>
          </cell>
          <cell r="R6163">
            <v>0</v>
          </cell>
          <cell r="S6163">
            <v>0</v>
          </cell>
          <cell r="T6163">
            <v>0</v>
          </cell>
          <cell r="U6163" t="b">
            <v>0</v>
          </cell>
        </row>
        <row r="6164">
          <cell r="A6164" t="str">
            <v>Data split-9;Reg-60</v>
          </cell>
          <cell r="B6164">
            <v>-8.4</v>
          </cell>
          <cell r="C6164">
            <v>0</v>
          </cell>
          <cell r="D6164">
            <v>3.4</v>
          </cell>
          <cell r="E6164">
            <v>-2.5</v>
          </cell>
          <cell r="F6164">
            <v>0</v>
          </cell>
          <cell r="G6164">
            <v>1.1000000000000001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0</v>
          </cell>
          <cell r="P6164">
            <v>4.4999999999999997E-3</v>
          </cell>
          <cell r="Q6164">
            <v>0</v>
          </cell>
          <cell r="R6164">
            <v>0</v>
          </cell>
          <cell r="S6164">
            <v>0</v>
          </cell>
          <cell r="T6164">
            <v>0</v>
          </cell>
          <cell r="U6164" t="b">
            <v>0</v>
          </cell>
        </row>
        <row r="6165">
          <cell r="A6165" t="str">
            <v>Data split-9;Reg-61</v>
          </cell>
          <cell r="B6165">
            <v>-8.8000000000000007</v>
          </cell>
          <cell r="C6165">
            <v>0</v>
          </cell>
          <cell r="D6165">
            <v>3.1</v>
          </cell>
          <cell r="E6165">
            <v>-5.7</v>
          </cell>
          <cell r="F6165">
            <v>0</v>
          </cell>
          <cell r="G6165">
            <v>0</v>
          </cell>
          <cell r="H6165">
            <v>7.2</v>
          </cell>
          <cell r="I6165">
            <v>0</v>
          </cell>
          <cell r="J6165">
            <v>0</v>
          </cell>
          <cell r="K6165">
            <v>0</v>
          </cell>
          <cell r="L6165">
            <v>0</v>
          </cell>
          <cell r="M6165">
            <v>0</v>
          </cell>
          <cell r="N6165">
            <v>0</v>
          </cell>
          <cell r="O6165">
            <v>-8.1000000000000003E-2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0</v>
          </cell>
          <cell r="U6165" t="b">
            <v>0</v>
          </cell>
        </row>
        <row r="6166">
          <cell r="A6166" t="str">
            <v>Data split-9;Reg-62</v>
          </cell>
          <cell r="B6166">
            <v>-8.6999999999999993</v>
          </cell>
          <cell r="C6166">
            <v>0</v>
          </cell>
          <cell r="D6166">
            <v>3.2</v>
          </cell>
          <cell r="E6166">
            <v>-5.5</v>
          </cell>
          <cell r="F6166">
            <v>0</v>
          </cell>
          <cell r="G6166">
            <v>0</v>
          </cell>
          <cell r="H6166">
            <v>6.4</v>
          </cell>
          <cell r="I6166">
            <v>0</v>
          </cell>
          <cell r="J6166">
            <v>0</v>
          </cell>
          <cell r="K6166">
            <v>0</v>
          </cell>
          <cell r="L6166">
            <v>0</v>
          </cell>
          <cell r="M6166">
            <v>0</v>
          </cell>
          <cell r="N6166">
            <v>0</v>
          </cell>
          <cell r="O6166">
            <v>0</v>
          </cell>
          <cell r="P6166">
            <v>-9.9000000000000008E-3</v>
          </cell>
          <cell r="Q6166">
            <v>0</v>
          </cell>
          <cell r="R6166">
            <v>0</v>
          </cell>
          <cell r="S6166">
            <v>0</v>
          </cell>
          <cell r="T6166">
            <v>0</v>
          </cell>
          <cell r="U6166" t="b">
            <v>0</v>
          </cell>
        </row>
        <row r="6167">
          <cell r="A6167" t="str">
            <v>Data split-9;Reg-63</v>
          </cell>
          <cell r="B6167">
            <v>-9.6</v>
          </cell>
          <cell r="C6167">
            <v>0</v>
          </cell>
          <cell r="D6167">
            <v>2.9</v>
          </cell>
          <cell r="E6167">
            <v>0</v>
          </cell>
          <cell r="F6167">
            <v>0.2</v>
          </cell>
          <cell r="G6167">
            <v>5.5E-2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>
            <v>0</v>
          </cell>
          <cell r="M6167">
            <v>0</v>
          </cell>
          <cell r="N6167">
            <v>0</v>
          </cell>
          <cell r="O6167">
            <v>-4.2999999999999997E-2</v>
          </cell>
          <cell r="P6167">
            <v>0</v>
          </cell>
          <cell r="Q6167">
            <v>0</v>
          </cell>
          <cell r="R6167">
            <v>0</v>
          </cell>
          <cell r="S6167">
            <v>0</v>
          </cell>
          <cell r="T6167">
            <v>0</v>
          </cell>
          <cell r="U6167" t="b">
            <v>1</v>
          </cell>
        </row>
        <row r="6168">
          <cell r="A6168" t="str">
            <v>Data split-9;Reg-64</v>
          </cell>
          <cell r="B6168">
            <v>-9.4</v>
          </cell>
          <cell r="C6168">
            <v>0</v>
          </cell>
          <cell r="D6168">
            <v>3</v>
          </cell>
          <cell r="E6168">
            <v>0</v>
          </cell>
          <cell r="F6168">
            <v>0.19</v>
          </cell>
          <cell r="G6168">
            <v>-0.17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0</v>
          </cell>
          <cell r="M6168">
            <v>0</v>
          </cell>
          <cell r="N6168">
            <v>0</v>
          </cell>
          <cell r="O6168">
            <v>0</v>
          </cell>
          <cell r="P6168">
            <v>-4.4999999999999997E-3</v>
          </cell>
          <cell r="Q6168">
            <v>0</v>
          </cell>
          <cell r="R6168">
            <v>0</v>
          </cell>
          <cell r="S6168">
            <v>0</v>
          </cell>
          <cell r="T6168">
            <v>0</v>
          </cell>
          <cell r="U6168" t="b">
            <v>0</v>
          </cell>
        </row>
        <row r="6169">
          <cell r="A6169" t="str">
            <v>Data split-9;Reg-65</v>
          </cell>
          <cell r="B6169">
            <v>-8.5</v>
          </cell>
          <cell r="C6169">
            <v>0</v>
          </cell>
          <cell r="D6169">
            <v>3.1</v>
          </cell>
          <cell r="E6169">
            <v>0</v>
          </cell>
          <cell r="F6169">
            <v>0.21</v>
          </cell>
          <cell r="G6169">
            <v>0</v>
          </cell>
          <cell r="H6169">
            <v>-1.2</v>
          </cell>
          <cell r="I6169">
            <v>0</v>
          </cell>
          <cell r="J6169">
            <v>0</v>
          </cell>
          <cell r="K6169">
            <v>0</v>
          </cell>
          <cell r="L6169">
            <v>0</v>
          </cell>
          <cell r="M6169">
            <v>0</v>
          </cell>
          <cell r="N6169">
            <v>0</v>
          </cell>
          <cell r="O6169">
            <v>1.2999999999999999E-2</v>
          </cell>
          <cell r="P6169">
            <v>0</v>
          </cell>
          <cell r="Q6169">
            <v>0</v>
          </cell>
          <cell r="R6169">
            <v>0</v>
          </cell>
          <cell r="S6169">
            <v>0</v>
          </cell>
          <cell r="T6169">
            <v>0</v>
          </cell>
          <cell r="U6169" t="b">
            <v>0</v>
          </cell>
        </row>
        <row r="6170">
          <cell r="A6170" t="str">
            <v>Data split-9;Reg-66</v>
          </cell>
          <cell r="B6170">
            <v>-8.3000000000000007</v>
          </cell>
          <cell r="C6170">
            <v>0</v>
          </cell>
          <cell r="D6170">
            <v>3.1</v>
          </cell>
          <cell r="E6170">
            <v>0</v>
          </cell>
          <cell r="F6170">
            <v>0.21</v>
          </cell>
          <cell r="G6170">
            <v>0</v>
          </cell>
          <cell r="H6170">
            <v>-1.5</v>
          </cell>
          <cell r="I6170">
            <v>0</v>
          </cell>
          <cell r="J6170">
            <v>0</v>
          </cell>
          <cell r="K6170">
            <v>0</v>
          </cell>
          <cell r="L6170">
            <v>0</v>
          </cell>
          <cell r="M6170">
            <v>0</v>
          </cell>
          <cell r="N6170">
            <v>0</v>
          </cell>
          <cell r="O6170">
            <v>0</v>
          </cell>
          <cell r="P6170">
            <v>6.4999999999999997E-3</v>
          </cell>
          <cell r="Q6170">
            <v>0</v>
          </cell>
          <cell r="R6170">
            <v>0</v>
          </cell>
          <cell r="S6170">
            <v>0</v>
          </cell>
          <cell r="T6170">
            <v>0</v>
          </cell>
          <cell r="U6170" t="b">
            <v>0</v>
          </cell>
        </row>
        <row r="6171">
          <cell r="A6171" t="str">
            <v>Data split-9;Reg-67</v>
          </cell>
          <cell r="B6171">
            <v>-9.1999999999999993</v>
          </cell>
          <cell r="C6171">
            <v>3.1</v>
          </cell>
          <cell r="D6171">
            <v>0</v>
          </cell>
          <cell r="E6171">
            <v>0</v>
          </cell>
          <cell r="F6171">
            <v>0</v>
          </cell>
          <cell r="G6171">
            <v>-0.39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>
            <v>0</v>
          </cell>
          <cell r="M6171">
            <v>0</v>
          </cell>
          <cell r="N6171">
            <v>0</v>
          </cell>
          <cell r="O6171">
            <v>0</v>
          </cell>
          <cell r="P6171">
            <v>0</v>
          </cell>
          <cell r="Q6171">
            <v>0</v>
          </cell>
          <cell r="R6171">
            <v>0</v>
          </cell>
          <cell r="S6171">
            <v>0</v>
          </cell>
          <cell r="T6171">
            <v>0</v>
          </cell>
          <cell r="U6171" t="b">
            <v>0</v>
          </cell>
        </row>
        <row r="6172">
          <cell r="A6172" t="str">
            <v>Data split-9;Reg-68</v>
          </cell>
          <cell r="B6172">
            <v>-9.1</v>
          </cell>
          <cell r="C6172">
            <v>3</v>
          </cell>
          <cell r="D6172">
            <v>0</v>
          </cell>
          <cell r="E6172">
            <v>0</v>
          </cell>
          <cell r="F6172">
            <v>0.19</v>
          </cell>
          <cell r="G6172">
            <v>-0.42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  <cell r="R6172">
            <v>0</v>
          </cell>
          <cell r="S6172">
            <v>0</v>
          </cell>
          <cell r="T6172">
            <v>0</v>
          </cell>
          <cell r="U6172" t="b">
            <v>0</v>
          </cell>
        </row>
        <row r="6173">
          <cell r="A6173" t="str">
            <v>Data split-9;Reg-69</v>
          </cell>
          <cell r="B6173">
            <v>-9.9</v>
          </cell>
          <cell r="C6173">
            <v>3.1</v>
          </cell>
          <cell r="D6173">
            <v>0</v>
          </cell>
          <cell r="E6173">
            <v>0</v>
          </cell>
          <cell r="F6173">
            <v>0</v>
          </cell>
          <cell r="G6173">
            <v>-0.56999999999999995</v>
          </cell>
          <cell r="H6173">
            <v>0</v>
          </cell>
          <cell r="I6173">
            <v>0</v>
          </cell>
          <cell r="J6173">
            <v>8.8000000000000007</v>
          </cell>
          <cell r="K6173">
            <v>0</v>
          </cell>
          <cell r="L6173">
            <v>0</v>
          </cell>
          <cell r="M6173">
            <v>0</v>
          </cell>
          <cell r="N6173">
            <v>0</v>
          </cell>
          <cell r="O6173">
            <v>0</v>
          </cell>
          <cell r="P6173">
            <v>0</v>
          </cell>
          <cell r="Q6173">
            <v>0</v>
          </cell>
          <cell r="R6173">
            <v>0</v>
          </cell>
          <cell r="S6173">
            <v>0</v>
          </cell>
          <cell r="T6173">
            <v>0</v>
          </cell>
          <cell r="U6173" t="b">
            <v>0</v>
          </cell>
        </row>
        <row r="6174">
          <cell r="A6174" t="str">
            <v>Data split-9;Reg-70</v>
          </cell>
          <cell r="B6174">
            <v>-12</v>
          </cell>
          <cell r="C6174">
            <v>3</v>
          </cell>
          <cell r="D6174">
            <v>0</v>
          </cell>
          <cell r="E6174">
            <v>0</v>
          </cell>
          <cell r="F6174">
            <v>0</v>
          </cell>
          <cell r="G6174">
            <v>1.6</v>
          </cell>
          <cell r="H6174">
            <v>0</v>
          </cell>
          <cell r="I6174">
            <v>0</v>
          </cell>
          <cell r="J6174">
            <v>11.6</v>
          </cell>
          <cell r="K6174">
            <v>0</v>
          </cell>
          <cell r="L6174">
            <v>0</v>
          </cell>
          <cell r="M6174">
            <v>0</v>
          </cell>
          <cell r="N6174">
            <v>0</v>
          </cell>
          <cell r="O6174">
            <v>0</v>
          </cell>
          <cell r="P6174">
            <v>0</v>
          </cell>
          <cell r="Q6174">
            <v>0</v>
          </cell>
          <cell r="R6174">
            <v>0</v>
          </cell>
          <cell r="S6174">
            <v>-0.21</v>
          </cell>
          <cell r="T6174">
            <v>0</v>
          </cell>
          <cell r="U6174" t="b">
            <v>0</v>
          </cell>
        </row>
        <row r="6175">
          <cell r="A6175" t="str">
            <v>Data split-9;Reg-71</v>
          </cell>
          <cell r="B6175">
            <v>-10.9</v>
          </cell>
          <cell r="C6175">
            <v>2.7</v>
          </cell>
          <cell r="D6175">
            <v>0</v>
          </cell>
          <cell r="E6175">
            <v>0</v>
          </cell>
          <cell r="F6175">
            <v>0.16</v>
          </cell>
          <cell r="G6175">
            <v>0</v>
          </cell>
          <cell r="H6175">
            <v>3.4</v>
          </cell>
          <cell r="I6175">
            <v>0</v>
          </cell>
          <cell r="J6175">
            <v>0</v>
          </cell>
          <cell r="K6175">
            <v>0</v>
          </cell>
          <cell r="L6175">
            <v>0</v>
          </cell>
          <cell r="M6175">
            <v>0</v>
          </cell>
          <cell r="N6175">
            <v>0</v>
          </cell>
          <cell r="O6175">
            <v>0</v>
          </cell>
          <cell r="P6175">
            <v>0</v>
          </cell>
          <cell r="Q6175">
            <v>0</v>
          </cell>
          <cell r="R6175">
            <v>0</v>
          </cell>
          <cell r="S6175">
            <v>-0.26</v>
          </cell>
          <cell r="T6175">
            <v>0</v>
          </cell>
          <cell r="U6175" t="b">
            <v>1</v>
          </cell>
        </row>
        <row r="6176">
          <cell r="A6176" t="str">
            <v>Data split-9;Reg-72</v>
          </cell>
          <cell r="B6176">
            <v>-7.7</v>
          </cell>
          <cell r="C6176">
            <v>3.4</v>
          </cell>
          <cell r="D6176">
            <v>0</v>
          </cell>
          <cell r="E6176">
            <v>-1.1000000000000001</v>
          </cell>
          <cell r="F6176">
            <v>0</v>
          </cell>
          <cell r="G6176">
            <v>0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>
            <v>0</v>
          </cell>
          <cell r="Q6176">
            <v>0</v>
          </cell>
          <cell r="R6176">
            <v>0</v>
          </cell>
          <cell r="S6176">
            <v>0</v>
          </cell>
          <cell r="T6176">
            <v>0</v>
          </cell>
          <cell r="U6176" t="b">
            <v>0</v>
          </cell>
        </row>
        <row r="6177">
          <cell r="A6177" t="str">
            <v>Data split-9;Reg-73</v>
          </cell>
          <cell r="B6177">
            <v>-10.5</v>
          </cell>
          <cell r="C6177">
            <v>2.8</v>
          </cell>
          <cell r="D6177">
            <v>0</v>
          </cell>
          <cell r="E6177">
            <v>0</v>
          </cell>
          <cell r="F6177">
            <v>0.19</v>
          </cell>
          <cell r="G6177">
            <v>0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0</v>
          </cell>
          <cell r="M6177">
            <v>0</v>
          </cell>
          <cell r="N6177">
            <v>0</v>
          </cell>
          <cell r="O6177">
            <v>0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0</v>
          </cell>
          <cell r="U6177" t="b">
            <v>1</v>
          </cell>
        </row>
        <row r="6178">
          <cell r="A6178" t="str">
            <v>Data split-9;Reg-74</v>
          </cell>
          <cell r="B6178">
            <v>-7.8</v>
          </cell>
          <cell r="C6178">
            <v>0</v>
          </cell>
          <cell r="D6178">
            <v>3.4</v>
          </cell>
          <cell r="E6178">
            <v>-1.1000000000000001</v>
          </cell>
          <cell r="F6178">
            <v>0</v>
          </cell>
          <cell r="G6178">
            <v>0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>
            <v>0</v>
          </cell>
          <cell r="M6178">
            <v>0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  <cell r="R6178">
            <v>0</v>
          </cell>
          <cell r="S6178">
            <v>0</v>
          </cell>
          <cell r="T6178">
            <v>0</v>
          </cell>
          <cell r="U6178" t="b">
            <v>0</v>
          </cell>
        </row>
        <row r="6179">
          <cell r="A6179" t="str">
            <v>Data split-9;Reg-75</v>
          </cell>
          <cell r="B6179">
            <v>-10.6</v>
          </cell>
          <cell r="C6179">
            <v>0</v>
          </cell>
          <cell r="D6179">
            <v>2.8</v>
          </cell>
          <cell r="E6179">
            <v>0</v>
          </cell>
          <cell r="F6179">
            <v>0.19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0</v>
          </cell>
          <cell r="M6179">
            <v>0</v>
          </cell>
          <cell r="N6179">
            <v>0</v>
          </cell>
          <cell r="O6179">
            <v>0</v>
          </cell>
          <cell r="P6179">
            <v>0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 t="b">
            <v>1</v>
          </cell>
        </row>
        <row r="6180">
          <cell r="A6180" t="str">
            <v>Data split-9;Reg-76</v>
          </cell>
          <cell r="B6180">
            <v>-9.1999999999999993</v>
          </cell>
          <cell r="C6180">
            <v>3.1</v>
          </cell>
          <cell r="D6180">
            <v>0</v>
          </cell>
          <cell r="E6180">
            <v>0</v>
          </cell>
          <cell r="F6180">
            <v>0</v>
          </cell>
          <cell r="G6180">
            <v>-0.39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0</v>
          </cell>
          <cell r="M6180">
            <v>0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  <cell r="R6180">
            <v>0</v>
          </cell>
          <cell r="S6180">
            <v>0</v>
          </cell>
          <cell r="T6180">
            <v>0</v>
          </cell>
          <cell r="U6180" t="b">
            <v>0</v>
          </cell>
        </row>
        <row r="6181">
          <cell r="A6181" t="str">
            <v>Data split-9;Reg-77</v>
          </cell>
          <cell r="B6181">
            <v>-9</v>
          </cell>
          <cell r="C6181">
            <v>3.2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H6181">
            <v>-0.7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  <cell r="N6181">
            <v>0</v>
          </cell>
          <cell r="O6181">
            <v>0</v>
          </cell>
          <cell r="P6181">
            <v>0</v>
          </cell>
          <cell r="Q6181">
            <v>0</v>
          </cell>
          <cell r="R6181">
            <v>0</v>
          </cell>
          <cell r="S6181">
            <v>0</v>
          </cell>
          <cell r="T6181">
            <v>0</v>
          </cell>
          <cell r="U6181" t="b">
            <v>0</v>
          </cell>
        </row>
        <row r="6182">
          <cell r="A6182" t="str">
            <v>Data split-9;Reg-78</v>
          </cell>
          <cell r="B6182">
            <v>-9.3000000000000007</v>
          </cell>
          <cell r="C6182">
            <v>0</v>
          </cell>
          <cell r="D6182">
            <v>3.1</v>
          </cell>
          <cell r="E6182">
            <v>0</v>
          </cell>
          <cell r="F6182">
            <v>0</v>
          </cell>
          <cell r="G6182">
            <v>-0.4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>
            <v>0</v>
          </cell>
          <cell r="P6182">
            <v>0</v>
          </cell>
          <cell r="Q6182">
            <v>0</v>
          </cell>
          <cell r="R6182">
            <v>0</v>
          </cell>
          <cell r="S6182">
            <v>0</v>
          </cell>
          <cell r="T6182">
            <v>0</v>
          </cell>
          <cell r="U6182" t="b">
            <v>0</v>
          </cell>
        </row>
        <row r="6183">
          <cell r="A6183" t="str">
            <v>Data split-9;Reg-79</v>
          </cell>
          <cell r="B6183">
            <v>-9.1</v>
          </cell>
          <cell r="C6183">
            <v>0</v>
          </cell>
          <cell r="D6183">
            <v>3.2</v>
          </cell>
          <cell r="E6183">
            <v>0</v>
          </cell>
          <cell r="F6183">
            <v>0</v>
          </cell>
          <cell r="G6183">
            <v>0</v>
          </cell>
          <cell r="H6183">
            <v>-0.7</v>
          </cell>
          <cell r="I6183">
            <v>0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0</v>
          </cell>
          <cell r="U6183" t="b">
            <v>0</v>
          </cell>
        </row>
        <row r="6184">
          <cell r="A6184" t="str">
            <v>Data split-9;Reg-80</v>
          </cell>
          <cell r="B6184">
            <v>-11.4</v>
          </cell>
          <cell r="C6184">
            <v>2.9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H6184">
            <v>0</v>
          </cell>
          <cell r="I6184">
            <v>1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 t="b">
            <v>0</v>
          </cell>
        </row>
        <row r="6185">
          <cell r="A6185" t="str">
            <v>Data split-9;Reg-81</v>
          </cell>
          <cell r="B6185">
            <v>-10.1</v>
          </cell>
          <cell r="C6185">
            <v>3</v>
          </cell>
          <cell r="D6185">
            <v>0</v>
          </cell>
          <cell r="E6185">
            <v>0</v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-2.9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0</v>
          </cell>
          <cell r="U6185" t="b">
            <v>1</v>
          </cell>
        </row>
        <row r="6186">
          <cell r="A6186" t="str">
            <v>Data split-9;Reg-82</v>
          </cell>
          <cell r="B6186">
            <v>-11.5</v>
          </cell>
          <cell r="C6186">
            <v>0</v>
          </cell>
          <cell r="D6186">
            <v>2.9</v>
          </cell>
          <cell r="E6186">
            <v>0</v>
          </cell>
          <cell r="F6186">
            <v>0</v>
          </cell>
          <cell r="G6186">
            <v>0</v>
          </cell>
          <cell r="H6186">
            <v>0</v>
          </cell>
          <cell r="I6186">
            <v>0.99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 t="b">
            <v>0</v>
          </cell>
        </row>
        <row r="6187">
          <cell r="A6187" t="str">
            <v>Data split-9;Reg-83</v>
          </cell>
          <cell r="B6187">
            <v>-10.1</v>
          </cell>
          <cell r="C6187">
            <v>0</v>
          </cell>
          <cell r="D6187">
            <v>3</v>
          </cell>
          <cell r="E6187">
            <v>0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-3.6</v>
          </cell>
          <cell r="K6187">
            <v>0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0</v>
          </cell>
          <cell r="U6187" t="b">
            <v>1</v>
          </cell>
        </row>
        <row r="6188">
          <cell r="A6188" t="str">
            <v>Data split-9;Reg-84</v>
          </cell>
          <cell r="B6188">
            <v>-9.8000000000000007</v>
          </cell>
          <cell r="C6188">
            <v>3.2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-1.3</v>
          </cell>
          <cell r="L6188">
            <v>0</v>
          </cell>
          <cell r="M6188">
            <v>0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 t="b">
            <v>1</v>
          </cell>
        </row>
        <row r="6189">
          <cell r="A6189" t="str">
            <v>Data split-9;Reg-85</v>
          </cell>
          <cell r="B6189">
            <v>-8.5</v>
          </cell>
          <cell r="C6189">
            <v>3.2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-15.6</v>
          </cell>
          <cell r="M6189">
            <v>0</v>
          </cell>
          <cell r="N6189">
            <v>0</v>
          </cell>
          <cell r="O6189">
            <v>0</v>
          </cell>
          <cell r="P6189">
            <v>0</v>
          </cell>
          <cell r="Q6189">
            <v>0</v>
          </cell>
          <cell r="R6189">
            <v>0</v>
          </cell>
          <cell r="S6189">
            <v>0</v>
          </cell>
          <cell r="T6189">
            <v>0</v>
          </cell>
          <cell r="U6189" t="b">
            <v>1</v>
          </cell>
        </row>
        <row r="6190">
          <cell r="A6190" t="str">
            <v>Data split-9;Reg-86</v>
          </cell>
          <cell r="B6190">
            <v>-9.8000000000000007</v>
          </cell>
          <cell r="C6190">
            <v>0</v>
          </cell>
          <cell r="D6190">
            <v>3.2</v>
          </cell>
          <cell r="E6190">
            <v>0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-1.3</v>
          </cell>
          <cell r="L6190">
            <v>0</v>
          </cell>
          <cell r="M6190">
            <v>0</v>
          </cell>
          <cell r="N6190">
            <v>0</v>
          </cell>
          <cell r="O6190">
            <v>0</v>
          </cell>
          <cell r="P6190">
            <v>0</v>
          </cell>
          <cell r="Q6190">
            <v>0</v>
          </cell>
          <cell r="R6190">
            <v>0</v>
          </cell>
          <cell r="S6190">
            <v>0</v>
          </cell>
          <cell r="T6190">
            <v>0</v>
          </cell>
          <cell r="U6190" t="b">
            <v>1</v>
          </cell>
        </row>
        <row r="6191">
          <cell r="A6191" t="str">
            <v>Data split-9;Reg-87</v>
          </cell>
          <cell r="B6191">
            <v>-8.6</v>
          </cell>
          <cell r="C6191">
            <v>0</v>
          </cell>
          <cell r="D6191">
            <v>3.2</v>
          </cell>
          <cell r="E6191">
            <v>0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-15.8</v>
          </cell>
          <cell r="M6191">
            <v>0</v>
          </cell>
          <cell r="N6191">
            <v>0</v>
          </cell>
          <cell r="O6191">
            <v>0</v>
          </cell>
          <cell r="P6191">
            <v>0</v>
          </cell>
          <cell r="Q6191">
            <v>0</v>
          </cell>
          <cell r="R6191">
            <v>0</v>
          </cell>
          <cell r="S6191">
            <v>0</v>
          </cell>
          <cell r="T6191">
            <v>0</v>
          </cell>
          <cell r="U6191" t="b">
            <v>1</v>
          </cell>
        </row>
        <row r="6192">
          <cell r="A6192" t="str">
            <v>Data split-9;Reg-88</v>
          </cell>
          <cell r="B6192">
            <v>-9.1</v>
          </cell>
          <cell r="C6192">
            <v>3.2</v>
          </cell>
          <cell r="D6192">
            <v>0</v>
          </cell>
          <cell r="E6192">
            <v>0</v>
          </cell>
          <cell r="F6192">
            <v>0</v>
          </cell>
          <cell r="G6192">
            <v>0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>
            <v>0</v>
          </cell>
          <cell r="M6192">
            <v>-0.06</v>
          </cell>
          <cell r="N6192">
            <v>0</v>
          </cell>
          <cell r="O6192">
            <v>0</v>
          </cell>
          <cell r="P6192">
            <v>0</v>
          </cell>
          <cell r="Q6192">
            <v>0</v>
          </cell>
          <cell r="R6192">
            <v>0</v>
          </cell>
          <cell r="S6192">
            <v>0</v>
          </cell>
          <cell r="T6192">
            <v>0</v>
          </cell>
          <cell r="U6192" t="b">
            <v>1</v>
          </cell>
        </row>
        <row r="6193">
          <cell r="A6193" t="str">
            <v>Data split-9;Reg-89</v>
          </cell>
          <cell r="B6193">
            <v>-9.1</v>
          </cell>
          <cell r="C6193">
            <v>3.3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0</v>
          </cell>
          <cell r="M6193">
            <v>0</v>
          </cell>
          <cell r="N6193">
            <v>-1.2999999999999999E-2</v>
          </cell>
          <cell r="O6193">
            <v>0</v>
          </cell>
          <cell r="P6193">
            <v>0</v>
          </cell>
          <cell r="Q6193">
            <v>0</v>
          </cell>
          <cell r="R6193">
            <v>0</v>
          </cell>
          <cell r="S6193">
            <v>0</v>
          </cell>
          <cell r="T6193">
            <v>0</v>
          </cell>
          <cell r="U6193" t="b">
            <v>1</v>
          </cell>
        </row>
        <row r="6194">
          <cell r="A6194" t="str">
            <v>Data split-9;Reg-90</v>
          </cell>
          <cell r="B6194">
            <v>-9.1999999999999993</v>
          </cell>
          <cell r="C6194">
            <v>0</v>
          </cell>
          <cell r="D6194">
            <v>3.2</v>
          </cell>
          <cell r="E6194">
            <v>0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0</v>
          </cell>
          <cell r="M6194">
            <v>-0.06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 t="b">
            <v>1</v>
          </cell>
        </row>
        <row r="6195">
          <cell r="A6195" t="str">
            <v>Data split-9;Reg-91</v>
          </cell>
          <cell r="B6195">
            <v>-9.1999999999999993</v>
          </cell>
          <cell r="C6195">
            <v>0</v>
          </cell>
          <cell r="D6195">
            <v>3.3</v>
          </cell>
          <cell r="E6195">
            <v>0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0</v>
          </cell>
          <cell r="M6195">
            <v>0</v>
          </cell>
          <cell r="N6195">
            <v>-1.2999999999999999E-2</v>
          </cell>
          <cell r="O6195">
            <v>0</v>
          </cell>
          <cell r="P6195">
            <v>0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 t="b">
            <v>1</v>
          </cell>
        </row>
        <row r="6196">
          <cell r="A6196" t="str">
            <v>Data split-9;Reg-92</v>
          </cell>
          <cell r="B6196">
            <v>-9.6</v>
          </cell>
          <cell r="C6196">
            <v>3.1</v>
          </cell>
          <cell r="D6196">
            <v>0</v>
          </cell>
          <cell r="E6196">
            <v>0</v>
          </cell>
          <cell r="F6196">
            <v>0</v>
          </cell>
          <cell r="G6196">
            <v>0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  <cell r="N6196">
            <v>0</v>
          </cell>
          <cell r="O6196">
            <v>-3.2000000000000001E-2</v>
          </cell>
          <cell r="P6196">
            <v>0</v>
          </cell>
          <cell r="Q6196">
            <v>0</v>
          </cell>
          <cell r="R6196">
            <v>0</v>
          </cell>
          <cell r="S6196">
            <v>0</v>
          </cell>
          <cell r="T6196">
            <v>0</v>
          </cell>
          <cell r="U6196" t="b">
            <v>1</v>
          </cell>
        </row>
        <row r="6197">
          <cell r="A6197" t="str">
            <v>Data split-9;Reg-93</v>
          </cell>
          <cell r="B6197">
            <v>-9.9</v>
          </cell>
          <cell r="C6197">
            <v>3.1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0</v>
          </cell>
          <cell r="M6197">
            <v>0</v>
          </cell>
          <cell r="N6197">
            <v>0</v>
          </cell>
          <cell r="O6197">
            <v>0</v>
          </cell>
          <cell r="P6197">
            <v>-4.8999999999999998E-3</v>
          </cell>
          <cell r="Q6197">
            <v>0</v>
          </cell>
          <cell r="R6197">
            <v>0</v>
          </cell>
          <cell r="S6197">
            <v>0</v>
          </cell>
          <cell r="T6197">
            <v>0</v>
          </cell>
          <cell r="U6197" t="b">
            <v>1</v>
          </cell>
        </row>
        <row r="6198">
          <cell r="A6198" t="str">
            <v>Data split-9;Reg-94</v>
          </cell>
          <cell r="B6198">
            <v>-9.6999999999999993</v>
          </cell>
          <cell r="C6198">
            <v>0</v>
          </cell>
          <cell r="D6198">
            <v>3.1</v>
          </cell>
          <cell r="E6198">
            <v>0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0</v>
          </cell>
          <cell r="M6198">
            <v>0</v>
          </cell>
          <cell r="N6198">
            <v>0</v>
          </cell>
          <cell r="O6198">
            <v>-3.1E-2</v>
          </cell>
          <cell r="P6198">
            <v>0</v>
          </cell>
          <cell r="Q6198">
            <v>0</v>
          </cell>
          <cell r="R6198">
            <v>0</v>
          </cell>
          <cell r="S6198">
            <v>0</v>
          </cell>
          <cell r="T6198">
            <v>0</v>
          </cell>
          <cell r="U6198" t="b">
            <v>1</v>
          </cell>
        </row>
        <row r="6199">
          <cell r="A6199" t="str">
            <v>Data split-9;Reg-95</v>
          </cell>
          <cell r="B6199">
            <v>-10</v>
          </cell>
          <cell r="C6199">
            <v>0</v>
          </cell>
          <cell r="D6199">
            <v>3.1</v>
          </cell>
          <cell r="E6199">
            <v>0</v>
          </cell>
          <cell r="F6199">
            <v>0</v>
          </cell>
          <cell r="G6199">
            <v>0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  <cell r="N6199">
            <v>0</v>
          </cell>
          <cell r="O6199">
            <v>0</v>
          </cell>
          <cell r="P6199">
            <v>-4.5999999999999999E-3</v>
          </cell>
          <cell r="Q6199">
            <v>0</v>
          </cell>
          <cell r="R6199">
            <v>0</v>
          </cell>
          <cell r="S6199">
            <v>0</v>
          </cell>
          <cell r="T6199">
            <v>0</v>
          </cell>
          <cell r="U6199" t="b">
            <v>1</v>
          </cell>
        </row>
        <row r="6200">
          <cell r="A6200" t="str">
            <v>Data split-9;Reg-96</v>
          </cell>
          <cell r="B6200">
            <v>-8</v>
          </cell>
          <cell r="C6200">
            <v>3.4</v>
          </cell>
          <cell r="D6200">
            <v>0</v>
          </cell>
          <cell r="E6200">
            <v>-2.7</v>
          </cell>
          <cell r="F6200">
            <v>0</v>
          </cell>
          <cell r="G6200">
            <v>0</v>
          </cell>
          <cell r="H6200">
            <v>0</v>
          </cell>
          <cell r="I6200">
            <v>5.2</v>
          </cell>
          <cell r="J6200">
            <v>0</v>
          </cell>
          <cell r="K6200">
            <v>0</v>
          </cell>
          <cell r="L6200">
            <v>0</v>
          </cell>
          <cell r="M6200">
            <v>0</v>
          </cell>
          <cell r="N6200">
            <v>0</v>
          </cell>
          <cell r="O6200">
            <v>0</v>
          </cell>
          <cell r="P6200">
            <v>0</v>
          </cell>
          <cell r="Q6200">
            <v>0</v>
          </cell>
          <cell r="R6200">
            <v>0</v>
          </cell>
          <cell r="S6200">
            <v>0</v>
          </cell>
          <cell r="T6200">
            <v>0</v>
          </cell>
          <cell r="U6200" t="b">
            <v>0</v>
          </cell>
        </row>
        <row r="6201">
          <cell r="A6201" t="str">
            <v>Data split-9;Reg-97</v>
          </cell>
          <cell r="B6201">
            <v>-10.7</v>
          </cell>
          <cell r="C6201">
            <v>3.5</v>
          </cell>
          <cell r="D6201">
            <v>0</v>
          </cell>
          <cell r="E6201">
            <v>-2.2000000000000002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38.299999999999997</v>
          </cell>
          <cell r="K6201">
            <v>0</v>
          </cell>
          <cell r="L6201">
            <v>0</v>
          </cell>
          <cell r="M6201">
            <v>0</v>
          </cell>
          <cell r="N6201">
            <v>0</v>
          </cell>
          <cell r="O6201">
            <v>0</v>
          </cell>
          <cell r="P6201">
            <v>0</v>
          </cell>
          <cell r="Q6201">
            <v>0</v>
          </cell>
          <cell r="R6201">
            <v>0</v>
          </cell>
          <cell r="S6201">
            <v>0</v>
          </cell>
          <cell r="T6201">
            <v>0</v>
          </cell>
          <cell r="U6201" t="b">
            <v>0</v>
          </cell>
        </row>
        <row r="6202">
          <cell r="A6202" t="str">
            <v>Data split-9;Reg-98</v>
          </cell>
          <cell r="B6202">
            <v>-11.1</v>
          </cell>
          <cell r="C6202">
            <v>2.8</v>
          </cell>
          <cell r="D6202">
            <v>0</v>
          </cell>
          <cell r="E6202">
            <v>0</v>
          </cell>
          <cell r="F6202">
            <v>0.18</v>
          </cell>
          <cell r="G6202">
            <v>0</v>
          </cell>
          <cell r="H6202">
            <v>0</v>
          </cell>
          <cell r="I6202">
            <v>0.6</v>
          </cell>
          <cell r="J6202">
            <v>0</v>
          </cell>
          <cell r="K6202">
            <v>0</v>
          </cell>
          <cell r="L6202">
            <v>0</v>
          </cell>
          <cell r="M6202">
            <v>0</v>
          </cell>
          <cell r="N6202">
            <v>0</v>
          </cell>
          <cell r="O6202">
            <v>0</v>
          </cell>
          <cell r="P6202">
            <v>0</v>
          </cell>
          <cell r="Q6202">
            <v>0</v>
          </cell>
          <cell r="R6202">
            <v>0</v>
          </cell>
          <cell r="S6202">
            <v>0</v>
          </cell>
          <cell r="T6202">
            <v>0</v>
          </cell>
          <cell r="U6202" t="b">
            <v>0</v>
          </cell>
        </row>
        <row r="6203">
          <cell r="A6203" t="str">
            <v>Data split-9;Reg-99</v>
          </cell>
          <cell r="B6203">
            <v>-9.6</v>
          </cell>
          <cell r="C6203">
            <v>2.9</v>
          </cell>
          <cell r="D6203">
            <v>0</v>
          </cell>
          <cell r="E6203">
            <v>0</v>
          </cell>
          <cell r="F6203">
            <v>0.19</v>
          </cell>
          <cell r="G6203">
            <v>0</v>
          </cell>
          <cell r="H6203">
            <v>0</v>
          </cell>
          <cell r="I6203">
            <v>0</v>
          </cell>
          <cell r="J6203">
            <v>-6.1</v>
          </cell>
          <cell r="K6203">
            <v>0</v>
          </cell>
          <cell r="L6203">
            <v>0</v>
          </cell>
          <cell r="M6203">
            <v>0</v>
          </cell>
          <cell r="N6203">
            <v>0</v>
          </cell>
          <cell r="O6203">
            <v>0</v>
          </cell>
          <cell r="P6203">
            <v>0</v>
          </cell>
          <cell r="Q6203">
            <v>0</v>
          </cell>
          <cell r="R6203">
            <v>0</v>
          </cell>
          <cell r="S6203">
            <v>0</v>
          </cell>
          <cell r="T6203">
            <v>0</v>
          </cell>
          <cell r="U6203" t="b">
            <v>1</v>
          </cell>
        </row>
        <row r="6204">
          <cell r="A6204" t="str">
            <v>Data split-9;Reg-100</v>
          </cell>
          <cell r="B6204">
            <v>-8.1</v>
          </cell>
          <cell r="C6204">
            <v>0</v>
          </cell>
          <cell r="D6204">
            <v>3.4</v>
          </cell>
          <cell r="E6204">
            <v>-2.7</v>
          </cell>
          <cell r="F6204">
            <v>0</v>
          </cell>
          <cell r="G6204">
            <v>0</v>
          </cell>
          <cell r="H6204">
            <v>0</v>
          </cell>
          <cell r="I6204">
            <v>5.0999999999999996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  <cell r="R6204">
            <v>0</v>
          </cell>
          <cell r="S6204">
            <v>0</v>
          </cell>
          <cell r="T6204">
            <v>0</v>
          </cell>
          <cell r="U6204" t="b">
            <v>0</v>
          </cell>
        </row>
        <row r="6205">
          <cell r="A6205" t="str">
            <v>Data split-9;Reg-101</v>
          </cell>
          <cell r="B6205">
            <v>-10.6</v>
          </cell>
          <cell r="C6205">
            <v>0</v>
          </cell>
          <cell r="D6205">
            <v>3.5</v>
          </cell>
          <cell r="E6205">
            <v>-2.1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36.4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  <cell r="R6205">
            <v>0</v>
          </cell>
          <cell r="S6205">
            <v>0</v>
          </cell>
          <cell r="T6205">
            <v>0</v>
          </cell>
          <cell r="U6205" t="b">
            <v>0</v>
          </cell>
        </row>
        <row r="6206">
          <cell r="A6206" t="str">
            <v>Data split-9;Reg-102</v>
          </cell>
          <cell r="B6206">
            <v>-11.1</v>
          </cell>
          <cell r="C6206">
            <v>0</v>
          </cell>
          <cell r="D6206">
            <v>2.8</v>
          </cell>
          <cell r="E6206">
            <v>0</v>
          </cell>
          <cell r="F6206">
            <v>0.18</v>
          </cell>
          <cell r="G6206">
            <v>0</v>
          </cell>
          <cell r="H6206">
            <v>0</v>
          </cell>
          <cell r="I6206">
            <v>0.56999999999999995</v>
          </cell>
          <cell r="J6206">
            <v>0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  <cell r="R6206">
            <v>0</v>
          </cell>
          <cell r="S6206">
            <v>0</v>
          </cell>
          <cell r="T6206">
            <v>0</v>
          </cell>
          <cell r="U6206" t="b">
            <v>0</v>
          </cell>
        </row>
        <row r="6207">
          <cell r="A6207" t="str">
            <v>Data split-9;Reg-103</v>
          </cell>
          <cell r="B6207">
            <v>-9.6</v>
          </cell>
          <cell r="C6207">
            <v>0</v>
          </cell>
          <cell r="D6207">
            <v>2.9</v>
          </cell>
          <cell r="E6207">
            <v>0</v>
          </cell>
          <cell r="F6207">
            <v>0.19</v>
          </cell>
          <cell r="G6207">
            <v>0</v>
          </cell>
          <cell r="H6207">
            <v>0</v>
          </cell>
          <cell r="I6207">
            <v>0</v>
          </cell>
          <cell r="J6207">
            <v>-6.8</v>
          </cell>
          <cell r="K6207">
            <v>0</v>
          </cell>
          <cell r="L6207">
            <v>0</v>
          </cell>
          <cell r="M6207">
            <v>0</v>
          </cell>
          <cell r="N6207">
            <v>0</v>
          </cell>
          <cell r="O6207">
            <v>0</v>
          </cell>
          <cell r="P6207">
            <v>0</v>
          </cell>
          <cell r="Q6207">
            <v>0</v>
          </cell>
          <cell r="R6207">
            <v>0</v>
          </cell>
          <cell r="S6207">
            <v>0</v>
          </cell>
          <cell r="T6207">
            <v>0</v>
          </cell>
          <cell r="U6207" t="b">
            <v>1</v>
          </cell>
        </row>
        <row r="6208">
          <cell r="A6208" t="str">
            <v>Data split-9;Reg-104</v>
          </cell>
          <cell r="B6208">
            <v>-8</v>
          </cell>
          <cell r="C6208">
            <v>3.4</v>
          </cell>
          <cell r="D6208">
            <v>0</v>
          </cell>
          <cell r="E6208">
            <v>-0.86</v>
          </cell>
          <cell r="F6208">
            <v>0</v>
          </cell>
          <cell r="G6208">
            <v>0</v>
          </cell>
          <cell r="H6208">
            <v>0</v>
          </cell>
          <cell r="I6208">
            <v>0</v>
          </cell>
          <cell r="J6208">
            <v>0</v>
          </cell>
          <cell r="K6208">
            <v>-0.54</v>
          </cell>
          <cell r="L6208">
            <v>0</v>
          </cell>
          <cell r="M6208">
            <v>0</v>
          </cell>
          <cell r="N6208">
            <v>0</v>
          </cell>
          <cell r="O6208">
            <v>0</v>
          </cell>
          <cell r="P6208">
            <v>0</v>
          </cell>
          <cell r="Q6208">
            <v>0</v>
          </cell>
          <cell r="R6208">
            <v>0</v>
          </cell>
          <cell r="S6208">
            <v>0</v>
          </cell>
          <cell r="T6208">
            <v>0</v>
          </cell>
          <cell r="U6208" t="b">
            <v>0</v>
          </cell>
        </row>
        <row r="6209">
          <cell r="A6209" t="str">
            <v>Data split-9;Reg-105</v>
          </cell>
          <cell r="B6209">
            <v>-7.2</v>
          </cell>
          <cell r="C6209">
            <v>3.4</v>
          </cell>
          <cell r="D6209">
            <v>0</v>
          </cell>
          <cell r="E6209">
            <v>-0.63</v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-13</v>
          </cell>
          <cell r="M6209">
            <v>0</v>
          </cell>
          <cell r="N6209">
            <v>0</v>
          </cell>
          <cell r="O6209">
            <v>0</v>
          </cell>
          <cell r="P6209">
            <v>0</v>
          </cell>
          <cell r="Q6209">
            <v>0</v>
          </cell>
          <cell r="R6209">
            <v>0</v>
          </cell>
          <cell r="S6209">
            <v>0</v>
          </cell>
          <cell r="T6209">
            <v>0</v>
          </cell>
          <cell r="U6209" t="b">
            <v>0</v>
          </cell>
        </row>
        <row r="6210">
          <cell r="A6210" t="str">
            <v>Data split-9;Reg-106</v>
          </cell>
          <cell r="B6210">
            <v>-9.8000000000000007</v>
          </cell>
          <cell r="C6210">
            <v>3</v>
          </cell>
          <cell r="D6210">
            <v>0</v>
          </cell>
          <cell r="E6210">
            <v>0</v>
          </cell>
          <cell r="F6210">
            <v>0.19</v>
          </cell>
          <cell r="G6210">
            <v>0</v>
          </cell>
          <cell r="H6210">
            <v>0</v>
          </cell>
          <cell r="I6210">
            <v>0</v>
          </cell>
          <cell r="J6210">
            <v>0</v>
          </cell>
          <cell r="K6210">
            <v>-1.3</v>
          </cell>
          <cell r="L6210">
            <v>0</v>
          </cell>
          <cell r="M6210">
            <v>0</v>
          </cell>
          <cell r="N6210">
            <v>0</v>
          </cell>
          <cell r="O6210">
            <v>0</v>
          </cell>
          <cell r="P6210">
            <v>0</v>
          </cell>
          <cell r="Q6210">
            <v>0</v>
          </cell>
          <cell r="R6210">
            <v>0</v>
          </cell>
          <cell r="S6210">
            <v>0</v>
          </cell>
          <cell r="T6210">
            <v>0</v>
          </cell>
          <cell r="U6210" t="b">
            <v>1</v>
          </cell>
        </row>
        <row r="6211">
          <cell r="A6211" t="str">
            <v>Data split-9;Reg-107</v>
          </cell>
          <cell r="B6211">
            <v>-8.6999999999999993</v>
          </cell>
          <cell r="C6211">
            <v>3</v>
          </cell>
          <cell r="D6211">
            <v>0</v>
          </cell>
          <cell r="E6211">
            <v>0</v>
          </cell>
          <cell r="F6211">
            <v>0.17</v>
          </cell>
          <cell r="G6211">
            <v>0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-14.7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  <cell r="R6211">
            <v>0</v>
          </cell>
          <cell r="S6211">
            <v>0</v>
          </cell>
          <cell r="T6211">
            <v>0</v>
          </cell>
          <cell r="U6211" t="b">
            <v>1</v>
          </cell>
        </row>
        <row r="6212">
          <cell r="A6212" t="str">
            <v>Data split-9;Reg-108</v>
          </cell>
          <cell r="B6212">
            <v>-8.1</v>
          </cell>
          <cell r="C6212">
            <v>0</v>
          </cell>
          <cell r="D6212">
            <v>3.4</v>
          </cell>
          <cell r="E6212">
            <v>-0.83</v>
          </cell>
          <cell r="F6212">
            <v>0</v>
          </cell>
          <cell r="G6212">
            <v>0</v>
          </cell>
          <cell r="H6212">
            <v>0</v>
          </cell>
          <cell r="I6212">
            <v>0</v>
          </cell>
          <cell r="J6212">
            <v>0</v>
          </cell>
          <cell r="K6212">
            <v>-0.6</v>
          </cell>
          <cell r="L6212">
            <v>0</v>
          </cell>
          <cell r="M6212">
            <v>0</v>
          </cell>
          <cell r="N6212">
            <v>0</v>
          </cell>
          <cell r="O6212">
            <v>0</v>
          </cell>
          <cell r="P6212">
            <v>0</v>
          </cell>
          <cell r="Q6212">
            <v>0</v>
          </cell>
          <cell r="R6212">
            <v>0</v>
          </cell>
          <cell r="S6212">
            <v>0</v>
          </cell>
          <cell r="T6212">
            <v>0</v>
          </cell>
          <cell r="U6212" t="b">
            <v>0</v>
          </cell>
        </row>
        <row r="6213">
          <cell r="A6213" t="str">
            <v>Data split-9;Reg-109</v>
          </cell>
          <cell r="B6213">
            <v>-7.3</v>
          </cell>
          <cell r="C6213">
            <v>0</v>
          </cell>
          <cell r="D6213">
            <v>3.4</v>
          </cell>
          <cell r="E6213">
            <v>-0.61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-13.4</v>
          </cell>
          <cell r="M6213">
            <v>0</v>
          </cell>
          <cell r="N6213">
            <v>0</v>
          </cell>
          <cell r="O6213">
            <v>0</v>
          </cell>
          <cell r="P6213">
            <v>0</v>
          </cell>
          <cell r="Q6213">
            <v>0</v>
          </cell>
          <cell r="R6213">
            <v>0</v>
          </cell>
          <cell r="S6213">
            <v>0</v>
          </cell>
          <cell r="T6213">
            <v>0</v>
          </cell>
          <cell r="U6213" t="b">
            <v>0</v>
          </cell>
        </row>
        <row r="6214">
          <cell r="A6214" t="str">
            <v>Data split-9;Reg-110</v>
          </cell>
          <cell r="B6214">
            <v>-9.8000000000000007</v>
          </cell>
          <cell r="C6214">
            <v>0</v>
          </cell>
          <cell r="D6214">
            <v>3</v>
          </cell>
          <cell r="E6214">
            <v>0</v>
          </cell>
          <cell r="F6214">
            <v>0.19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-1.4</v>
          </cell>
          <cell r="L6214">
            <v>0</v>
          </cell>
          <cell r="M6214">
            <v>0</v>
          </cell>
          <cell r="N6214">
            <v>0</v>
          </cell>
          <cell r="O6214">
            <v>0</v>
          </cell>
          <cell r="P6214">
            <v>0</v>
          </cell>
          <cell r="Q6214">
            <v>0</v>
          </cell>
          <cell r="R6214">
            <v>0</v>
          </cell>
          <cell r="S6214">
            <v>0</v>
          </cell>
          <cell r="T6214">
            <v>0</v>
          </cell>
          <cell r="U6214" t="b">
            <v>1</v>
          </cell>
        </row>
        <row r="6215">
          <cell r="A6215" t="str">
            <v>Data split-9;Reg-111</v>
          </cell>
          <cell r="B6215">
            <v>-8.6999999999999993</v>
          </cell>
          <cell r="C6215">
            <v>0</v>
          </cell>
          <cell r="D6215">
            <v>3.1</v>
          </cell>
          <cell r="E6215">
            <v>0</v>
          </cell>
          <cell r="F6215">
            <v>0.17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-15</v>
          </cell>
          <cell r="M6215">
            <v>0</v>
          </cell>
          <cell r="N6215">
            <v>0</v>
          </cell>
          <cell r="O6215">
            <v>0</v>
          </cell>
          <cell r="P6215">
            <v>0</v>
          </cell>
          <cell r="Q6215">
            <v>0</v>
          </cell>
          <cell r="R6215">
            <v>0</v>
          </cell>
          <cell r="S6215">
            <v>0</v>
          </cell>
          <cell r="T6215">
            <v>0</v>
          </cell>
          <cell r="U6215" t="b">
            <v>1</v>
          </cell>
        </row>
        <row r="6216">
          <cell r="A6216" t="str">
            <v>Data split-9;Reg-112</v>
          </cell>
          <cell r="B6216">
            <v>-9.3000000000000007</v>
          </cell>
          <cell r="C6216">
            <v>3.1</v>
          </cell>
          <cell r="D6216">
            <v>0</v>
          </cell>
          <cell r="E6216">
            <v>0</v>
          </cell>
          <cell r="F6216">
            <v>0</v>
          </cell>
          <cell r="G6216">
            <v>-1.2</v>
          </cell>
          <cell r="H6216">
            <v>0</v>
          </cell>
          <cell r="I6216">
            <v>3.1</v>
          </cell>
          <cell r="J6216">
            <v>0</v>
          </cell>
          <cell r="K6216">
            <v>0</v>
          </cell>
          <cell r="L6216">
            <v>0</v>
          </cell>
          <cell r="M6216">
            <v>0</v>
          </cell>
          <cell r="N6216">
            <v>0</v>
          </cell>
          <cell r="O6216">
            <v>0</v>
          </cell>
          <cell r="P6216">
            <v>0</v>
          </cell>
          <cell r="Q6216">
            <v>0</v>
          </cell>
          <cell r="R6216">
            <v>0</v>
          </cell>
          <cell r="S6216">
            <v>0</v>
          </cell>
          <cell r="T6216">
            <v>0</v>
          </cell>
          <cell r="U6216" t="b">
            <v>0</v>
          </cell>
        </row>
        <row r="6217">
          <cell r="A6217" t="str">
            <v>Data split-9;Reg-113</v>
          </cell>
          <cell r="B6217">
            <v>-9.9</v>
          </cell>
          <cell r="C6217">
            <v>3.1</v>
          </cell>
          <cell r="D6217">
            <v>0</v>
          </cell>
          <cell r="E6217">
            <v>0</v>
          </cell>
          <cell r="F6217">
            <v>0</v>
          </cell>
          <cell r="G6217">
            <v>-0.56999999999999995</v>
          </cell>
          <cell r="H6217">
            <v>0</v>
          </cell>
          <cell r="I6217">
            <v>0</v>
          </cell>
          <cell r="J6217">
            <v>8.8000000000000007</v>
          </cell>
          <cell r="K6217">
            <v>0</v>
          </cell>
          <cell r="L6217">
            <v>0</v>
          </cell>
          <cell r="M6217">
            <v>0</v>
          </cell>
          <cell r="N6217">
            <v>0</v>
          </cell>
          <cell r="O6217">
            <v>0</v>
          </cell>
          <cell r="P6217">
            <v>0</v>
          </cell>
          <cell r="Q6217">
            <v>0</v>
          </cell>
          <cell r="R6217">
            <v>0</v>
          </cell>
          <cell r="S6217">
            <v>0</v>
          </cell>
          <cell r="T6217">
            <v>0</v>
          </cell>
          <cell r="U6217" t="b">
            <v>0</v>
          </cell>
        </row>
        <row r="6218">
          <cell r="A6218" t="str">
            <v>Data split-9;Reg-114</v>
          </cell>
          <cell r="B6218">
            <v>-9.5</v>
          </cell>
          <cell r="C6218">
            <v>3.2</v>
          </cell>
          <cell r="D6218">
            <v>0</v>
          </cell>
          <cell r="E6218">
            <v>0</v>
          </cell>
          <cell r="F6218">
            <v>0</v>
          </cell>
          <cell r="G6218">
            <v>0</v>
          </cell>
          <cell r="H6218">
            <v>-1.8</v>
          </cell>
          <cell r="I6218">
            <v>3.2</v>
          </cell>
          <cell r="J6218">
            <v>0</v>
          </cell>
          <cell r="K6218">
            <v>0</v>
          </cell>
          <cell r="L6218">
            <v>0</v>
          </cell>
          <cell r="M6218">
            <v>0</v>
          </cell>
          <cell r="N6218">
            <v>0</v>
          </cell>
          <cell r="O6218">
            <v>0</v>
          </cell>
          <cell r="P6218">
            <v>0</v>
          </cell>
          <cell r="Q6218">
            <v>0</v>
          </cell>
          <cell r="R6218">
            <v>0</v>
          </cell>
          <cell r="S6218">
            <v>0</v>
          </cell>
          <cell r="T6218">
            <v>0</v>
          </cell>
          <cell r="U6218" t="b">
            <v>0</v>
          </cell>
        </row>
        <row r="6219">
          <cell r="A6219" t="str">
            <v>Data split-9;Reg-115</v>
          </cell>
          <cell r="B6219">
            <v>-10.1</v>
          </cell>
          <cell r="C6219">
            <v>3.2</v>
          </cell>
          <cell r="D6219">
            <v>0</v>
          </cell>
          <cell r="E6219">
            <v>0</v>
          </cell>
          <cell r="F6219">
            <v>0</v>
          </cell>
          <cell r="G6219">
            <v>0</v>
          </cell>
          <cell r="H6219">
            <v>-1.1000000000000001</v>
          </cell>
          <cell r="I6219">
            <v>0</v>
          </cell>
          <cell r="J6219">
            <v>11.8</v>
          </cell>
          <cell r="K6219">
            <v>0</v>
          </cell>
          <cell r="L6219">
            <v>0</v>
          </cell>
          <cell r="M6219">
            <v>0</v>
          </cell>
          <cell r="N6219">
            <v>0</v>
          </cell>
          <cell r="O6219">
            <v>0</v>
          </cell>
          <cell r="P6219">
            <v>0</v>
          </cell>
          <cell r="Q6219">
            <v>0</v>
          </cell>
          <cell r="R6219">
            <v>0</v>
          </cell>
          <cell r="S6219">
            <v>0</v>
          </cell>
          <cell r="T6219">
            <v>0</v>
          </cell>
          <cell r="U6219" t="b">
            <v>0</v>
          </cell>
        </row>
        <row r="6220">
          <cell r="A6220" t="str">
            <v>Data split-9;Reg-116</v>
          </cell>
          <cell r="B6220">
            <v>-9.4</v>
          </cell>
          <cell r="C6220">
            <v>0</v>
          </cell>
          <cell r="D6220">
            <v>3.1</v>
          </cell>
          <cell r="E6220">
            <v>0</v>
          </cell>
          <cell r="F6220">
            <v>0</v>
          </cell>
          <cell r="G6220">
            <v>-1.1000000000000001</v>
          </cell>
          <cell r="H6220">
            <v>0</v>
          </cell>
          <cell r="I6220">
            <v>3.1</v>
          </cell>
          <cell r="J6220">
            <v>0</v>
          </cell>
          <cell r="K6220">
            <v>0</v>
          </cell>
          <cell r="L6220">
            <v>0</v>
          </cell>
          <cell r="M6220">
            <v>0</v>
          </cell>
          <cell r="N6220">
            <v>0</v>
          </cell>
          <cell r="O6220">
            <v>0</v>
          </cell>
          <cell r="P6220">
            <v>0</v>
          </cell>
          <cell r="Q6220">
            <v>0</v>
          </cell>
          <cell r="R6220">
            <v>0</v>
          </cell>
          <cell r="S6220">
            <v>0</v>
          </cell>
          <cell r="T6220">
            <v>0</v>
          </cell>
          <cell r="U6220" t="b">
            <v>0</v>
          </cell>
        </row>
        <row r="6221">
          <cell r="A6221" t="str">
            <v>Data split-9;Reg-117</v>
          </cell>
          <cell r="B6221">
            <v>-9.9</v>
          </cell>
          <cell r="C6221">
            <v>0</v>
          </cell>
          <cell r="D6221">
            <v>3.1</v>
          </cell>
          <cell r="E6221">
            <v>0</v>
          </cell>
          <cell r="F6221">
            <v>0</v>
          </cell>
          <cell r="G6221">
            <v>-0.55000000000000004</v>
          </cell>
          <cell r="H6221">
            <v>0</v>
          </cell>
          <cell r="I6221">
            <v>0</v>
          </cell>
          <cell r="J6221">
            <v>7.7</v>
          </cell>
          <cell r="K6221">
            <v>0</v>
          </cell>
          <cell r="L6221">
            <v>0</v>
          </cell>
          <cell r="M6221">
            <v>0</v>
          </cell>
          <cell r="N6221">
            <v>0</v>
          </cell>
          <cell r="O6221">
            <v>0</v>
          </cell>
          <cell r="P6221">
            <v>0</v>
          </cell>
          <cell r="Q6221">
            <v>0</v>
          </cell>
          <cell r="R6221">
            <v>0</v>
          </cell>
          <cell r="S6221">
            <v>0</v>
          </cell>
          <cell r="T6221">
            <v>0</v>
          </cell>
          <cell r="U6221" t="b">
            <v>0</v>
          </cell>
        </row>
        <row r="6222">
          <cell r="A6222" t="str">
            <v>Data split-9;Reg-118</v>
          </cell>
          <cell r="B6222">
            <v>-9.5</v>
          </cell>
          <cell r="C6222">
            <v>0</v>
          </cell>
          <cell r="D6222">
            <v>3.2</v>
          </cell>
          <cell r="E6222">
            <v>0</v>
          </cell>
          <cell r="F6222">
            <v>0</v>
          </cell>
          <cell r="G6222">
            <v>0</v>
          </cell>
          <cell r="H6222">
            <v>-1.8</v>
          </cell>
          <cell r="I6222">
            <v>3.1</v>
          </cell>
          <cell r="J6222">
            <v>0</v>
          </cell>
          <cell r="K6222">
            <v>0</v>
          </cell>
          <cell r="L6222">
            <v>0</v>
          </cell>
          <cell r="M6222">
            <v>0</v>
          </cell>
          <cell r="N6222">
            <v>0</v>
          </cell>
          <cell r="O6222">
            <v>0</v>
          </cell>
          <cell r="P6222">
            <v>0</v>
          </cell>
          <cell r="Q6222">
            <v>0</v>
          </cell>
          <cell r="R6222">
            <v>0</v>
          </cell>
          <cell r="S6222">
            <v>0</v>
          </cell>
          <cell r="T6222">
            <v>0</v>
          </cell>
          <cell r="U6222" t="b">
            <v>0</v>
          </cell>
        </row>
        <row r="6223">
          <cell r="A6223" t="str">
            <v>Data split-9;Reg-119</v>
          </cell>
          <cell r="B6223">
            <v>-10</v>
          </cell>
          <cell r="C6223">
            <v>0</v>
          </cell>
          <cell r="D6223">
            <v>3.2</v>
          </cell>
          <cell r="E6223">
            <v>0</v>
          </cell>
          <cell r="F6223">
            <v>0</v>
          </cell>
          <cell r="G6223">
            <v>0</v>
          </cell>
          <cell r="H6223">
            <v>-1</v>
          </cell>
          <cell r="I6223">
            <v>0</v>
          </cell>
          <cell r="J6223">
            <v>10.5</v>
          </cell>
          <cell r="K6223">
            <v>0</v>
          </cell>
          <cell r="L6223">
            <v>0</v>
          </cell>
          <cell r="M6223">
            <v>0</v>
          </cell>
          <cell r="N6223">
            <v>0</v>
          </cell>
          <cell r="O6223">
            <v>0</v>
          </cell>
          <cell r="P6223">
            <v>0</v>
          </cell>
          <cell r="Q6223">
            <v>0</v>
          </cell>
          <cell r="R6223">
            <v>0</v>
          </cell>
          <cell r="S6223">
            <v>0</v>
          </cell>
          <cell r="T6223">
            <v>0</v>
          </cell>
          <cell r="U6223" t="b">
            <v>0</v>
          </cell>
        </row>
        <row r="6224">
          <cell r="A6224" t="str">
            <v>Data split-9;Reg-120</v>
          </cell>
          <cell r="B6224">
            <v>-9.3000000000000007</v>
          </cell>
          <cell r="C6224">
            <v>3.2</v>
          </cell>
          <cell r="D6224">
            <v>0</v>
          </cell>
          <cell r="E6224">
            <v>0</v>
          </cell>
          <cell r="F6224">
            <v>0</v>
          </cell>
          <cell r="G6224">
            <v>-0.15</v>
          </cell>
          <cell r="H6224">
            <v>0</v>
          </cell>
          <cell r="I6224">
            <v>0</v>
          </cell>
          <cell r="J6224">
            <v>0</v>
          </cell>
          <cell r="K6224">
            <v>-1.2</v>
          </cell>
          <cell r="L6224">
            <v>0</v>
          </cell>
          <cell r="M6224">
            <v>0</v>
          </cell>
          <cell r="N6224">
            <v>0</v>
          </cell>
          <cell r="O6224">
            <v>0</v>
          </cell>
          <cell r="P6224">
            <v>0</v>
          </cell>
          <cell r="Q6224">
            <v>0</v>
          </cell>
          <cell r="R6224">
            <v>0</v>
          </cell>
          <cell r="S6224">
            <v>0</v>
          </cell>
          <cell r="T6224">
            <v>0</v>
          </cell>
          <cell r="U6224" t="b">
            <v>0</v>
          </cell>
        </row>
        <row r="6225">
          <cell r="A6225" t="str">
            <v>Data split-9;Reg-121</v>
          </cell>
          <cell r="B6225">
            <v>-7.4</v>
          </cell>
          <cell r="C6225">
            <v>3.3</v>
          </cell>
          <cell r="D6225">
            <v>0</v>
          </cell>
          <cell r="E6225">
            <v>0</v>
          </cell>
          <cell r="F6225">
            <v>0</v>
          </cell>
          <cell r="G6225">
            <v>-0.33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>
            <v>-15.3</v>
          </cell>
          <cell r="M6225">
            <v>0</v>
          </cell>
          <cell r="N6225">
            <v>0</v>
          </cell>
          <cell r="O6225">
            <v>0</v>
          </cell>
          <cell r="P6225">
            <v>0</v>
          </cell>
          <cell r="Q6225">
            <v>0</v>
          </cell>
          <cell r="R6225">
            <v>0</v>
          </cell>
          <cell r="S6225">
            <v>0</v>
          </cell>
          <cell r="T6225">
            <v>0</v>
          </cell>
          <cell r="U6225" t="b">
            <v>0</v>
          </cell>
        </row>
        <row r="6226">
          <cell r="A6226" t="str">
            <v>Data split-9;Reg-122</v>
          </cell>
          <cell r="B6226">
            <v>-9.3000000000000007</v>
          </cell>
          <cell r="C6226">
            <v>3.2</v>
          </cell>
          <cell r="D6226">
            <v>0</v>
          </cell>
          <cell r="E6226">
            <v>0</v>
          </cell>
          <cell r="F6226">
            <v>0</v>
          </cell>
          <cell r="G6226">
            <v>0</v>
          </cell>
          <cell r="H6226">
            <v>-0.27</v>
          </cell>
          <cell r="I6226">
            <v>0</v>
          </cell>
          <cell r="J6226">
            <v>0</v>
          </cell>
          <cell r="K6226">
            <v>-1.2</v>
          </cell>
          <cell r="L6226">
            <v>0</v>
          </cell>
          <cell r="M6226">
            <v>0</v>
          </cell>
          <cell r="N6226">
            <v>0</v>
          </cell>
          <cell r="O6226">
            <v>0</v>
          </cell>
          <cell r="P6226">
            <v>0</v>
          </cell>
          <cell r="Q6226">
            <v>0</v>
          </cell>
          <cell r="R6226">
            <v>0</v>
          </cell>
          <cell r="S6226">
            <v>0</v>
          </cell>
          <cell r="T6226">
            <v>0</v>
          </cell>
          <cell r="U6226" t="b">
            <v>0</v>
          </cell>
        </row>
        <row r="6227">
          <cell r="A6227" t="str">
            <v>Data split-9;Reg-123</v>
          </cell>
          <cell r="B6227">
            <v>-7.7</v>
          </cell>
          <cell r="C6227">
            <v>3.3</v>
          </cell>
          <cell r="D6227">
            <v>0</v>
          </cell>
          <cell r="E6227">
            <v>0</v>
          </cell>
          <cell r="F6227">
            <v>0</v>
          </cell>
          <cell r="G6227">
            <v>0</v>
          </cell>
          <cell r="H6227">
            <v>-0.44</v>
          </cell>
          <cell r="I6227">
            <v>0</v>
          </cell>
          <cell r="J6227">
            <v>0</v>
          </cell>
          <cell r="K6227">
            <v>0</v>
          </cell>
          <cell r="L6227">
            <v>-15</v>
          </cell>
          <cell r="M6227">
            <v>0</v>
          </cell>
          <cell r="N6227">
            <v>0</v>
          </cell>
          <cell r="O6227">
            <v>0</v>
          </cell>
          <cell r="P6227">
            <v>0</v>
          </cell>
          <cell r="Q6227">
            <v>0</v>
          </cell>
          <cell r="R6227">
            <v>0</v>
          </cell>
          <cell r="S6227">
            <v>0</v>
          </cell>
          <cell r="T6227">
            <v>0</v>
          </cell>
          <cell r="U6227" t="b">
            <v>0</v>
          </cell>
        </row>
        <row r="6228">
          <cell r="A6228" t="str">
            <v>Data split-9;Reg-124</v>
          </cell>
          <cell r="B6228">
            <v>-9.4</v>
          </cell>
          <cell r="C6228">
            <v>0</v>
          </cell>
          <cell r="D6228">
            <v>3.2</v>
          </cell>
          <cell r="E6228">
            <v>0</v>
          </cell>
          <cell r="F6228">
            <v>0</v>
          </cell>
          <cell r="G6228">
            <v>-0.15</v>
          </cell>
          <cell r="H6228">
            <v>0</v>
          </cell>
          <cell r="I6228">
            <v>0</v>
          </cell>
          <cell r="J6228">
            <v>0</v>
          </cell>
          <cell r="K6228">
            <v>-1.3</v>
          </cell>
          <cell r="L6228">
            <v>0</v>
          </cell>
          <cell r="M6228">
            <v>0</v>
          </cell>
          <cell r="N6228">
            <v>0</v>
          </cell>
          <cell r="O6228">
            <v>0</v>
          </cell>
          <cell r="P6228">
            <v>0</v>
          </cell>
          <cell r="Q6228">
            <v>0</v>
          </cell>
          <cell r="R6228">
            <v>0</v>
          </cell>
          <cell r="S6228">
            <v>0</v>
          </cell>
          <cell r="T6228">
            <v>0</v>
          </cell>
          <cell r="U6228" t="b">
            <v>0</v>
          </cell>
        </row>
        <row r="6229">
          <cell r="A6229" t="str">
            <v>Data split-9;Reg-125</v>
          </cell>
          <cell r="B6229">
            <v>-7.5</v>
          </cell>
          <cell r="C6229">
            <v>0</v>
          </cell>
          <cell r="D6229">
            <v>3.3</v>
          </cell>
          <cell r="E6229">
            <v>0</v>
          </cell>
          <cell r="F6229">
            <v>0</v>
          </cell>
          <cell r="G6229">
            <v>-0.34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>
            <v>-15.6</v>
          </cell>
          <cell r="M6229">
            <v>0</v>
          </cell>
          <cell r="N6229">
            <v>0</v>
          </cell>
          <cell r="O6229">
            <v>0</v>
          </cell>
          <cell r="P6229">
            <v>0</v>
          </cell>
          <cell r="Q6229">
            <v>0</v>
          </cell>
          <cell r="R6229">
            <v>0</v>
          </cell>
          <cell r="S6229">
            <v>0</v>
          </cell>
          <cell r="T6229">
            <v>0</v>
          </cell>
          <cell r="U6229" t="b">
            <v>0</v>
          </cell>
        </row>
        <row r="6230">
          <cell r="A6230" t="str">
            <v>Data split-9;Reg-126</v>
          </cell>
          <cell r="B6230">
            <v>-9.4</v>
          </cell>
          <cell r="C6230">
            <v>0</v>
          </cell>
          <cell r="D6230">
            <v>3.3</v>
          </cell>
          <cell r="E6230">
            <v>0</v>
          </cell>
          <cell r="F6230">
            <v>0</v>
          </cell>
          <cell r="G6230">
            <v>0</v>
          </cell>
          <cell r="H6230">
            <v>-0.26</v>
          </cell>
          <cell r="I6230">
            <v>0</v>
          </cell>
          <cell r="J6230">
            <v>0</v>
          </cell>
          <cell r="K6230">
            <v>-1.2</v>
          </cell>
          <cell r="L6230">
            <v>0</v>
          </cell>
          <cell r="M6230">
            <v>0</v>
          </cell>
          <cell r="N6230">
            <v>0</v>
          </cell>
          <cell r="O6230">
            <v>0</v>
          </cell>
          <cell r="P6230">
            <v>0</v>
          </cell>
          <cell r="Q6230">
            <v>0</v>
          </cell>
          <cell r="R6230">
            <v>0</v>
          </cell>
          <cell r="S6230">
            <v>0</v>
          </cell>
          <cell r="T6230">
            <v>0</v>
          </cell>
          <cell r="U6230" t="b">
            <v>0</v>
          </cell>
        </row>
        <row r="6231">
          <cell r="A6231" t="str">
            <v>Data split-9;Reg-127</v>
          </cell>
          <cell r="B6231">
            <v>-7.7</v>
          </cell>
          <cell r="C6231">
            <v>0</v>
          </cell>
          <cell r="D6231">
            <v>3.3</v>
          </cell>
          <cell r="E6231">
            <v>0</v>
          </cell>
          <cell r="F6231">
            <v>0</v>
          </cell>
          <cell r="G6231">
            <v>0</v>
          </cell>
          <cell r="H6231">
            <v>-0.44</v>
          </cell>
          <cell r="I6231">
            <v>0</v>
          </cell>
          <cell r="J6231">
            <v>0</v>
          </cell>
          <cell r="K6231">
            <v>0</v>
          </cell>
          <cell r="L6231">
            <v>-15.3</v>
          </cell>
          <cell r="M6231">
            <v>0</v>
          </cell>
          <cell r="N6231">
            <v>0</v>
          </cell>
          <cell r="O6231">
            <v>0</v>
          </cell>
          <cell r="P6231">
            <v>0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 t="b">
            <v>0</v>
          </cell>
        </row>
        <row r="6232">
          <cell r="A6232" t="str">
            <v>Data split-10;Reg-1</v>
          </cell>
          <cell r="B6232">
            <v>-8.4</v>
          </cell>
          <cell r="C6232">
            <v>2.6</v>
          </cell>
          <cell r="D6232">
            <v>0</v>
          </cell>
          <cell r="E6232">
            <v>0</v>
          </cell>
          <cell r="F6232">
            <v>0.67</v>
          </cell>
          <cell r="G6232">
            <v>0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-9.9</v>
          </cell>
          <cell r="M6232">
            <v>0</v>
          </cell>
          <cell r="N6232">
            <v>0</v>
          </cell>
          <cell r="O6232">
            <v>0</v>
          </cell>
          <cell r="P6232">
            <v>0</v>
          </cell>
          <cell r="Q6232">
            <v>0</v>
          </cell>
          <cell r="R6232">
            <v>0</v>
          </cell>
          <cell r="S6232">
            <v>0</v>
          </cell>
          <cell r="T6232">
            <v>0</v>
          </cell>
          <cell r="U6232" t="b">
            <v>1</v>
          </cell>
        </row>
        <row r="6233">
          <cell r="A6233" t="str">
            <v>Data split-10;Reg-2</v>
          </cell>
          <cell r="B6233">
            <v>-6.4</v>
          </cell>
          <cell r="C6233">
            <v>2.7</v>
          </cell>
          <cell r="D6233">
            <v>0</v>
          </cell>
          <cell r="E6233">
            <v>0</v>
          </cell>
          <cell r="F6233">
            <v>1</v>
          </cell>
          <cell r="G6233">
            <v>-0.89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0</v>
          </cell>
          <cell r="M6233">
            <v>-4.1000000000000002E-2</v>
          </cell>
          <cell r="N6233">
            <v>0</v>
          </cell>
          <cell r="O6233">
            <v>0</v>
          </cell>
          <cell r="P6233">
            <v>0</v>
          </cell>
          <cell r="Q6233">
            <v>0</v>
          </cell>
          <cell r="R6233">
            <v>0</v>
          </cell>
          <cell r="S6233">
            <v>0</v>
          </cell>
          <cell r="T6233">
            <v>0</v>
          </cell>
          <cell r="U6233" t="b">
            <v>0</v>
          </cell>
        </row>
        <row r="6234">
          <cell r="A6234" t="str">
            <v>Data split-10;Reg-3</v>
          </cell>
          <cell r="B6234">
            <v>-6.8</v>
          </cell>
          <cell r="C6234">
            <v>2.8</v>
          </cell>
          <cell r="D6234">
            <v>0</v>
          </cell>
          <cell r="E6234">
            <v>0</v>
          </cell>
          <cell r="F6234">
            <v>1.1000000000000001</v>
          </cell>
          <cell r="G6234">
            <v>-0.73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>
            <v>0</v>
          </cell>
          <cell r="M6234">
            <v>0</v>
          </cell>
          <cell r="N6234">
            <v>-1.2E-2</v>
          </cell>
          <cell r="O6234">
            <v>0</v>
          </cell>
          <cell r="P6234">
            <v>0</v>
          </cell>
          <cell r="Q6234">
            <v>0</v>
          </cell>
          <cell r="R6234">
            <v>0</v>
          </cell>
          <cell r="S6234">
            <v>0</v>
          </cell>
          <cell r="T6234">
            <v>0</v>
          </cell>
          <cell r="U6234" t="b">
            <v>0</v>
          </cell>
        </row>
        <row r="6235">
          <cell r="A6235" t="str">
            <v>Data split-10;Reg-4</v>
          </cell>
          <cell r="B6235">
            <v>-6.4</v>
          </cell>
          <cell r="C6235">
            <v>2.8</v>
          </cell>
          <cell r="D6235">
            <v>0</v>
          </cell>
          <cell r="E6235">
            <v>0</v>
          </cell>
          <cell r="F6235">
            <v>1.2</v>
          </cell>
          <cell r="G6235">
            <v>0</v>
          </cell>
          <cell r="H6235">
            <v>-2</v>
          </cell>
          <cell r="I6235">
            <v>0</v>
          </cell>
          <cell r="J6235">
            <v>0</v>
          </cell>
          <cell r="K6235">
            <v>0</v>
          </cell>
          <cell r="L6235">
            <v>0</v>
          </cell>
          <cell r="M6235">
            <v>-1.0999999999999999E-2</v>
          </cell>
          <cell r="N6235">
            <v>0</v>
          </cell>
          <cell r="O6235">
            <v>0</v>
          </cell>
          <cell r="P6235">
            <v>0</v>
          </cell>
          <cell r="Q6235">
            <v>0</v>
          </cell>
          <cell r="R6235">
            <v>0</v>
          </cell>
          <cell r="S6235">
            <v>0</v>
          </cell>
          <cell r="T6235">
            <v>0</v>
          </cell>
          <cell r="U6235" t="b">
            <v>0</v>
          </cell>
        </row>
        <row r="6236">
          <cell r="A6236" t="str">
            <v>Data split-10;Reg-5</v>
          </cell>
          <cell r="B6236">
            <v>-6.5</v>
          </cell>
          <cell r="C6236">
            <v>0</v>
          </cell>
          <cell r="D6236">
            <v>2.8</v>
          </cell>
          <cell r="E6236">
            <v>0</v>
          </cell>
          <cell r="F6236">
            <v>1.1000000000000001</v>
          </cell>
          <cell r="G6236">
            <v>0</v>
          </cell>
          <cell r="H6236">
            <v>-2.2999999999999998</v>
          </cell>
          <cell r="I6236">
            <v>0</v>
          </cell>
          <cell r="J6236">
            <v>0</v>
          </cell>
          <cell r="K6236">
            <v>0</v>
          </cell>
          <cell r="L6236">
            <v>0</v>
          </cell>
          <cell r="M6236">
            <v>-2.7E-4</v>
          </cell>
          <cell r="N6236">
            <v>0</v>
          </cell>
          <cell r="O6236">
            <v>0</v>
          </cell>
          <cell r="P6236">
            <v>0</v>
          </cell>
          <cell r="Q6236">
            <v>0</v>
          </cell>
          <cell r="R6236">
            <v>0</v>
          </cell>
          <cell r="S6236">
            <v>0</v>
          </cell>
          <cell r="T6236">
            <v>0</v>
          </cell>
          <cell r="U6236" t="b">
            <v>0</v>
          </cell>
        </row>
        <row r="6237">
          <cell r="A6237" t="str">
            <v>Data split-10;Reg-6</v>
          </cell>
          <cell r="B6237">
            <v>-5.2</v>
          </cell>
          <cell r="C6237">
            <v>3.2</v>
          </cell>
          <cell r="D6237">
            <v>0</v>
          </cell>
          <cell r="E6237">
            <v>-1.2</v>
          </cell>
          <cell r="F6237">
            <v>0</v>
          </cell>
          <cell r="G6237">
            <v>0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>
            <v>-4.4000000000000004</v>
          </cell>
          <cell r="M6237">
            <v>1.4999999999999999E-2</v>
          </cell>
          <cell r="N6237">
            <v>0</v>
          </cell>
          <cell r="O6237">
            <v>0</v>
          </cell>
          <cell r="P6237">
            <v>0</v>
          </cell>
          <cell r="Q6237">
            <v>0</v>
          </cell>
          <cell r="R6237">
            <v>0</v>
          </cell>
          <cell r="S6237">
            <v>0</v>
          </cell>
          <cell r="T6237">
            <v>0</v>
          </cell>
          <cell r="U6237" t="b">
            <v>0</v>
          </cell>
        </row>
        <row r="6238">
          <cell r="A6238" t="str">
            <v>Data split-10;Reg-7</v>
          </cell>
          <cell r="B6238">
            <v>-6.1</v>
          </cell>
          <cell r="C6238">
            <v>2.7</v>
          </cell>
          <cell r="D6238">
            <v>0</v>
          </cell>
          <cell r="E6238">
            <v>0</v>
          </cell>
          <cell r="F6238">
            <v>1.1000000000000001</v>
          </cell>
          <cell r="G6238">
            <v>0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-9.1</v>
          </cell>
          <cell r="M6238">
            <v>0</v>
          </cell>
          <cell r="N6238">
            <v>0</v>
          </cell>
          <cell r="O6238">
            <v>0</v>
          </cell>
          <cell r="P6238">
            <v>0</v>
          </cell>
          <cell r="Q6238">
            <v>0</v>
          </cell>
          <cell r="R6238">
            <v>0</v>
          </cell>
          <cell r="S6238">
            <v>-0.12</v>
          </cell>
          <cell r="T6238">
            <v>0</v>
          </cell>
          <cell r="U6238" t="b">
            <v>1</v>
          </cell>
        </row>
        <row r="6239">
          <cell r="A6239" t="str">
            <v>Data split-10;Reg-8</v>
          </cell>
          <cell r="B6239">
            <v>-4.5999999999999996</v>
          </cell>
          <cell r="C6239">
            <v>3.3</v>
          </cell>
          <cell r="D6239">
            <v>0</v>
          </cell>
          <cell r="E6239">
            <v>0</v>
          </cell>
          <cell r="F6239">
            <v>0</v>
          </cell>
          <cell r="G6239">
            <v>-0.45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-9</v>
          </cell>
          <cell r="M6239">
            <v>0</v>
          </cell>
          <cell r="N6239">
            <v>0</v>
          </cell>
          <cell r="O6239">
            <v>0</v>
          </cell>
          <cell r="P6239">
            <v>0</v>
          </cell>
          <cell r="Q6239">
            <v>0</v>
          </cell>
          <cell r="R6239">
            <v>0</v>
          </cell>
          <cell r="S6239">
            <v>-4.8000000000000001E-2</v>
          </cell>
          <cell r="T6239">
            <v>0</v>
          </cell>
          <cell r="U6239" t="b">
            <v>0</v>
          </cell>
        </row>
        <row r="6240">
          <cell r="A6240" t="str">
            <v>Data split-10;Reg-9</v>
          </cell>
          <cell r="B6240">
            <v>-6.3</v>
          </cell>
          <cell r="C6240">
            <v>0</v>
          </cell>
          <cell r="D6240">
            <v>3.1</v>
          </cell>
          <cell r="E6240">
            <v>0</v>
          </cell>
          <cell r="F6240">
            <v>0</v>
          </cell>
          <cell r="G6240">
            <v>0</v>
          </cell>
          <cell r="H6240">
            <v>1.2</v>
          </cell>
          <cell r="I6240">
            <v>0</v>
          </cell>
          <cell r="J6240">
            <v>0</v>
          </cell>
          <cell r="K6240">
            <v>0</v>
          </cell>
          <cell r="L6240">
            <v>-11.4</v>
          </cell>
          <cell r="M6240">
            <v>0</v>
          </cell>
          <cell r="N6240">
            <v>0</v>
          </cell>
          <cell r="O6240">
            <v>0</v>
          </cell>
          <cell r="P6240">
            <v>0</v>
          </cell>
          <cell r="Q6240">
            <v>0</v>
          </cell>
          <cell r="R6240">
            <v>0</v>
          </cell>
          <cell r="S6240">
            <v>-0.13</v>
          </cell>
          <cell r="T6240">
            <v>0</v>
          </cell>
          <cell r="U6240" t="b">
            <v>1</v>
          </cell>
        </row>
        <row r="6241">
          <cell r="A6241" t="str">
            <v>Data split-10;Reg-10</v>
          </cell>
          <cell r="B6241">
            <v>-6.3</v>
          </cell>
          <cell r="C6241">
            <v>0</v>
          </cell>
          <cell r="D6241">
            <v>3.1</v>
          </cell>
          <cell r="E6241">
            <v>0</v>
          </cell>
          <cell r="F6241">
            <v>0</v>
          </cell>
          <cell r="G6241">
            <v>0</v>
          </cell>
          <cell r="H6241">
            <v>1.2</v>
          </cell>
          <cell r="I6241">
            <v>0</v>
          </cell>
          <cell r="J6241">
            <v>0</v>
          </cell>
          <cell r="K6241">
            <v>0</v>
          </cell>
          <cell r="L6241">
            <v>-11.4</v>
          </cell>
          <cell r="M6241">
            <v>0</v>
          </cell>
          <cell r="N6241">
            <v>0</v>
          </cell>
          <cell r="O6241">
            <v>0</v>
          </cell>
          <cell r="P6241">
            <v>0</v>
          </cell>
          <cell r="Q6241">
            <v>0</v>
          </cell>
          <cell r="R6241">
            <v>0</v>
          </cell>
          <cell r="S6241">
            <v>-0.13</v>
          </cell>
          <cell r="T6241">
            <v>0</v>
          </cell>
          <cell r="U6241" t="b">
            <v>1</v>
          </cell>
        </row>
        <row r="6242">
          <cell r="A6242" t="str">
            <v>Data split-10;Reg-11</v>
          </cell>
          <cell r="B6242">
            <v>-5.2</v>
          </cell>
          <cell r="C6242">
            <v>3.2</v>
          </cell>
          <cell r="D6242">
            <v>0</v>
          </cell>
          <cell r="E6242">
            <v>-0.81</v>
          </cell>
          <cell r="F6242">
            <v>0</v>
          </cell>
          <cell r="G6242">
            <v>-0.34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>
            <v>0</v>
          </cell>
          <cell r="M6242">
            <v>0</v>
          </cell>
          <cell r="N6242">
            <v>0</v>
          </cell>
          <cell r="O6242">
            <v>0</v>
          </cell>
          <cell r="P6242">
            <v>0</v>
          </cell>
          <cell r="Q6242">
            <v>0</v>
          </cell>
          <cell r="R6242">
            <v>0</v>
          </cell>
          <cell r="S6242">
            <v>0</v>
          </cell>
          <cell r="T6242">
            <v>0</v>
          </cell>
          <cell r="U6242" t="b">
            <v>0</v>
          </cell>
        </row>
        <row r="6243">
          <cell r="A6243" t="str">
            <v>Data split-10;Reg-12</v>
          </cell>
          <cell r="B6243">
            <v>-5.9</v>
          </cell>
          <cell r="C6243">
            <v>3.1</v>
          </cell>
          <cell r="D6243">
            <v>0</v>
          </cell>
          <cell r="E6243">
            <v>-2.5</v>
          </cell>
          <cell r="F6243">
            <v>0</v>
          </cell>
          <cell r="G6243">
            <v>0</v>
          </cell>
          <cell r="H6243">
            <v>2</v>
          </cell>
          <cell r="I6243">
            <v>0</v>
          </cell>
          <cell r="J6243">
            <v>0</v>
          </cell>
          <cell r="K6243">
            <v>0</v>
          </cell>
          <cell r="L6243">
            <v>0</v>
          </cell>
          <cell r="M6243">
            <v>0</v>
          </cell>
          <cell r="N6243">
            <v>0</v>
          </cell>
          <cell r="O6243">
            <v>0</v>
          </cell>
          <cell r="P6243">
            <v>0</v>
          </cell>
          <cell r="Q6243">
            <v>0</v>
          </cell>
          <cell r="R6243">
            <v>0</v>
          </cell>
          <cell r="S6243">
            <v>0</v>
          </cell>
          <cell r="T6243">
            <v>0</v>
          </cell>
          <cell r="U6243" t="b">
            <v>0</v>
          </cell>
        </row>
        <row r="6244">
          <cell r="A6244" t="str">
            <v>Data split-10;Reg-13</v>
          </cell>
          <cell r="B6244">
            <v>-6.4</v>
          </cell>
          <cell r="C6244">
            <v>2.8</v>
          </cell>
          <cell r="D6244">
            <v>0</v>
          </cell>
          <cell r="E6244">
            <v>0</v>
          </cell>
          <cell r="F6244">
            <v>0.95</v>
          </cell>
          <cell r="G6244">
            <v>-1.2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0</v>
          </cell>
          <cell r="M6244">
            <v>0</v>
          </cell>
          <cell r="N6244">
            <v>0</v>
          </cell>
          <cell r="O6244">
            <v>0</v>
          </cell>
          <cell r="P6244">
            <v>0</v>
          </cell>
          <cell r="Q6244">
            <v>0</v>
          </cell>
          <cell r="R6244">
            <v>0</v>
          </cell>
          <cell r="S6244">
            <v>0</v>
          </cell>
          <cell r="T6244">
            <v>0</v>
          </cell>
          <cell r="U6244" t="b">
            <v>0</v>
          </cell>
        </row>
        <row r="6245">
          <cell r="A6245" t="str">
            <v>Data split-10;Reg-14</v>
          </cell>
          <cell r="B6245">
            <v>-6.3</v>
          </cell>
          <cell r="C6245">
            <v>2.8</v>
          </cell>
          <cell r="D6245">
            <v>0</v>
          </cell>
          <cell r="E6245">
            <v>0</v>
          </cell>
          <cell r="F6245">
            <v>1.2</v>
          </cell>
          <cell r="G6245">
            <v>0</v>
          </cell>
          <cell r="H6245">
            <v>-2.2000000000000002</v>
          </cell>
          <cell r="I6245">
            <v>0</v>
          </cell>
          <cell r="J6245">
            <v>0</v>
          </cell>
          <cell r="K6245">
            <v>0</v>
          </cell>
          <cell r="L6245">
            <v>0</v>
          </cell>
          <cell r="M6245">
            <v>0</v>
          </cell>
          <cell r="N6245">
            <v>0</v>
          </cell>
          <cell r="O6245">
            <v>0</v>
          </cell>
          <cell r="P6245">
            <v>0</v>
          </cell>
          <cell r="Q6245">
            <v>0</v>
          </cell>
          <cell r="R6245">
            <v>0</v>
          </cell>
          <cell r="S6245">
            <v>0</v>
          </cell>
          <cell r="T6245">
            <v>0</v>
          </cell>
          <cell r="U6245" t="b">
            <v>0</v>
          </cell>
        </row>
        <row r="6246">
          <cell r="A6246" t="str">
            <v>Data split-10;Reg-15</v>
          </cell>
          <cell r="B6246">
            <v>-5.3</v>
          </cell>
          <cell r="C6246">
            <v>3.2</v>
          </cell>
          <cell r="D6246">
            <v>0</v>
          </cell>
          <cell r="E6246">
            <v>-1.5</v>
          </cell>
          <cell r="F6246">
            <v>0</v>
          </cell>
          <cell r="G6246">
            <v>0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0</v>
          </cell>
          <cell r="M6246">
            <v>0.03</v>
          </cell>
          <cell r="N6246">
            <v>0</v>
          </cell>
          <cell r="O6246">
            <v>0</v>
          </cell>
          <cell r="P6246">
            <v>0</v>
          </cell>
          <cell r="Q6246">
            <v>0</v>
          </cell>
          <cell r="R6246">
            <v>0</v>
          </cell>
          <cell r="S6246">
            <v>0</v>
          </cell>
          <cell r="T6246">
            <v>0</v>
          </cell>
          <cell r="U6246" t="b">
            <v>0</v>
          </cell>
        </row>
        <row r="6247">
          <cell r="A6247" t="str">
            <v>Data split-10;Reg-16</v>
          </cell>
          <cell r="B6247">
            <v>-5.2</v>
          </cell>
          <cell r="C6247">
            <v>3.2</v>
          </cell>
          <cell r="D6247">
            <v>0</v>
          </cell>
          <cell r="E6247">
            <v>-1.4</v>
          </cell>
          <cell r="F6247">
            <v>0</v>
          </cell>
          <cell r="G6247">
            <v>0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0</v>
          </cell>
          <cell r="M6247">
            <v>0</v>
          </cell>
          <cell r="N6247">
            <v>4.4999999999999997E-3</v>
          </cell>
          <cell r="O6247">
            <v>0</v>
          </cell>
          <cell r="P6247">
            <v>0</v>
          </cell>
          <cell r="Q6247">
            <v>0</v>
          </cell>
          <cell r="R6247">
            <v>0</v>
          </cell>
          <cell r="S6247">
            <v>0</v>
          </cell>
          <cell r="T6247">
            <v>0</v>
          </cell>
          <cell r="U6247" t="b">
            <v>0</v>
          </cell>
        </row>
        <row r="6248">
          <cell r="A6248" t="str">
            <v>Data split-10;Reg-17</v>
          </cell>
          <cell r="B6248">
            <v>-7.7</v>
          </cell>
          <cell r="C6248">
            <v>2.5</v>
          </cell>
          <cell r="D6248">
            <v>0</v>
          </cell>
          <cell r="E6248">
            <v>0</v>
          </cell>
          <cell r="F6248">
            <v>1</v>
          </cell>
          <cell r="G6248">
            <v>0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>
            <v>0</v>
          </cell>
          <cell r="M6248">
            <v>-9.6000000000000002E-2</v>
          </cell>
          <cell r="N6248">
            <v>0</v>
          </cell>
          <cell r="O6248">
            <v>0</v>
          </cell>
          <cell r="P6248">
            <v>0</v>
          </cell>
          <cell r="Q6248">
            <v>0</v>
          </cell>
          <cell r="R6248">
            <v>0</v>
          </cell>
          <cell r="S6248">
            <v>0</v>
          </cell>
          <cell r="T6248">
            <v>0</v>
          </cell>
          <cell r="U6248" t="b">
            <v>1</v>
          </cell>
        </row>
        <row r="6249">
          <cell r="A6249" t="str">
            <v>Data split-10;Reg-18</v>
          </cell>
          <cell r="B6249">
            <v>-7.9</v>
          </cell>
          <cell r="C6249">
            <v>2.7</v>
          </cell>
          <cell r="D6249">
            <v>0</v>
          </cell>
          <cell r="E6249">
            <v>0</v>
          </cell>
          <cell r="F6249">
            <v>1.1000000000000001</v>
          </cell>
          <cell r="G6249">
            <v>0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0</v>
          </cell>
          <cell r="M6249">
            <v>0</v>
          </cell>
          <cell r="N6249">
            <v>-2.1999999999999999E-2</v>
          </cell>
          <cell r="O6249">
            <v>0</v>
          </cell>
          <cell r="P6249">
            <v>0</v>
          </cell>
          <cell r="Q6249">
            <v>0</v>
          </cell>
          <cell r="R6249">
            <v>0</v>
          </cell>
          <cell r="S6249">
            <v>0</v>
          </cell>
          <cell r="T6249">
            <v>0</v>
          </cell>
          <cell r="U6249" t="b">
            <v>1</v>
          </cell>
        </row>
        <row r="6250">
          <cell r="A6250" t="str">
            <v>Data split-10;Reg-19</v>
          </cell>
          <cell r="B6250">
            <v>-5.6</v>
          </cell>
          <cell r="C6250">
            <v>3.2</v>
          </cell>
          <cell r="D6250">
            <v>0</v>
          </cell>
          <cell r="E6250">
            <v>0</v>
          </cell>
          <cell r="F6250">
            <v>0</v>
          </cell>
          <cell r="G6250">
            <v>-0.81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0</v>
          </cell>
          <cell r="M6250">
            <v>0</v>
          </cell>
          <cell r="N6250">
            <v>0</v>
          </cell>
          <cell r="O6250">
            <v>-7.4999999999999997E-3</v>
          </cell>
          <cell r="P6250">
            <v>0</v>
          </cell>
          <cell r="Q6250">
            <v>0</v>
          </cell>
          <cell r="R6250">
            <v>0</v>
          </cell>
          <cell r="S6250">
            <v>0</v>
          </cell>
          <cell r="T6250">
            <v>0</v>
          </cell>
          <cell r="U6250" t="b">
            <v>0</v>
          </cell>
        </row>
        <row r="6251">
          <cell r="A6251" t="str">
            <v>Data split-10;Reg-20</v>
          </cell>
          <cell r="B6251">
            <v>-5.6</v>
          </cell>
          <cell r="C6251">
            <v>3.2</v>
          </cell>
          <cell r="D6251">
            <v>0</v>
          </cell>
          <cell r="E6251">
            <v>0</v>
          </cell>
          <cell r="F6251">
            <v>0</v>
          </cell>
          <cell r="G6251">
            <v>-0.92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0</v>
          </cell>
          <cell r="M6251">
            <v>0</v>
          </cell>
          <cell r="N6251">
            <v>0</v>
          </cell>
          <cell r="O6251">
            <v>0</v>
          </cell>
          <cell r="P6251">
            <v>1.1000000000000001E-3</v>
          </cell>
          <cell r="Q6251">
            <v>0</v>
          </cell>
          <cell r="R6251">
            <v>0</v>
          </cell>
          <cell r="S6251">
            <v>0</v>
          </cell>
          <cell r="T6251">
            <v>0</v>
          </cell>
          <cell r="U6251" t="b">
            <v>0</v>
          </cell>
        </row>
        <row r="6252">
          <cell r="A6252" t="str">
            <v>Data split-10;Reg-21</v>
          </cell>
          <cell r="B6252">
            <v>-6.2</v>
          </cell>
          <cell r="C6252">
            <v>3</v>
          </cell>
          <cell r="D6252">
            <v>0</v>
          </cell>
          <cell r="E6252">
            <v>0</v>
          </cell>
          <cell r="F6252">
            <v>0</v>
          </cell>
          <cell r="G6252">
            <v>0</v>
          </cell>
          <cell r="H6252">
            <v>-0.48</v>
          </cell>
          <cell r="I6252">
            <v>0</v>
          </cell>
          <cell r="J6252">
            <v>0</v>
          </cell>
          <cell r="K6252">
            <v>0</v>
          </cell>
          <cell r="L6252">
            <v>0</v>
          </cell>
          <cell r="M6252">
            <v>0</v>
          </cell>
          <cell r="N6252">
            <v>0</v>
          </cell>
          <cell r="O6252">
            <v>-4.2000000000000003E-2</v>
          </cell>
          <cell r="P6252">
            <v>0</v>
          </cell>
          <cell r="Q6252">
            <v>0</v>
          </cell>
          <cell r="R6252">
            <v>0</v>
          </cell>
          <cell r="S6252">
            <v>0</v>
          </cell>
          <cell r="T6252">
            <v>0</v>
          </cell>
          <cell r="U6252" t="b">
            <v>0</v>
          </cell>
        </row>
        <row r="6253">
          <cell r="A6253" t="str">
            <v>Data split-10;Reg-22</v>
          </cell>
          <cell r="B6253">
            <v>-6.5</v>
          </cell>
          <cell r="C6253">
            <v>3.1</v>
          </cell>
          <cell r="D6253">
            <v>0</v>
          </cell>
          <cell r="E6253">
            <v>0</v>
          </cell>
          <cell r="F6253">
            <v>0</v>
          </cell>
          <cell r="G6253">
            <v>0</v>
          </cell>
          <cell r="H6253">
            <v>-0.5</v>
          </cell>
          <cell r="I6253">
            <v>0</v>
          </cell>
          <cell r="J6253">
            <v>0</v>
          </cell>
          <cell r="K6253">
            <v>0</v>
          </cell>
          <cell r="L6253">
            <v>0</v>
          </cell>
          <cell r="M6253">
            <v>0</v>
          </cell>
          <cell r="N6253">
            <v>0</v>
          </cell>
          <cell r="O6253">
            <v>0</v>
          </cell>
          <cell r="P6253">
            <v>-7.4999999999999997E-3</v>
          </cell>
          <cell r="Q6253">
            <v>0</v>
          </cell>
          <cell r="R6253">
            <v>0</v>
          </cell>
          <cell r="S6253">
            <v>0</v>
          </cell>
          <cell r="T6253">
            <v>0</v>
          </cell>
          <cell r="U6253" t="b">
            <v>0</v>
          </cell>
        </row>
        <row r="6254">
          <cell r="A6254" t="str">
            <v>Data split-10;Reg-23</v>
          </cell>
          <cell r="B6254">
            <v>-5.5</v>
          </cell>
          <cell r="C6254">
            <v>0</v>
          </cell>
          <cell r="D6254">
            <v>3.3</v>
          </cell>
          <cell r="E6254">
            <v>-0.88</v>
          </cell>
          <cell r="F6254">
            <v>0</v>
          </cell>
          <cell r="G6254">
            <v>-0.38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>
            <v>0</v>
          </cell>
          <cell r="M6254">
            <v>0</v>
          </cell>
          <cell r="N6254">
            <v>0</v>
          </cell>
          <cell r="O6254">
            <v>0</v>
          </cell>
          <cell r="P6254">
            <v>0</v>
          </cell>
          <cell r="Q6254">
            <v>0</v>
          </cell>
          <cell r="R6254">
            <v>0</v>
          </cell>
          <cell r="S6254">
            <v>0</v>
          </cell>
          <cell r="T6254">
            <v>0</v>
          </cell>
          <cell r="U6254" t="b">
            <v>0</v>
          </cell>
        </row>
        <row r="6255">
          <cell r="A6255" t="str">
            <v>Data split-10;Reg-24</v>
          </cell>
          <cell r="B6255">
            <v>-6.2</v>
          </cell>
          <cell r="C6255">
            <v>0</v>
          </cell>
          <cell r="D6255">
            <v>3.2</v>
          </cell>
          <cell r="E6255">
            <v>-2.7</v>
          </cell>
          <cell r="F6255">
            <v>0</v>
          </cell>
          <cell r="G6255">
            <v>0</v>
          </cell>
          <cell r="H6255">
            <v>2.1</v>
          </cell>
          <cell r="I6255">
            <v>0</v>
          </cell>
          <cell r="J6255">
            <v>0</v>
          </cell>
          <cell r="K6255">
            <v>0</v>
          </cell>
          <cell r="L6255">
            <v>0</v>
          </cell>
          <cell r="M6255">
            <v>0</v>
          </cell>
          <cell r="N6255">
            <v>0</v>
          </cell>
          <cell r="O6255">
            <v>0</v>
          </cell>
          <cell r="P6255">
            <v>0</v>
          </cell>
          <cell r="Q6255">
            <v>0</v>
          </cell>
          <cell r="R6255">
            <v>0</v>
          </cell>
          <cell r="S6255">
            <v>0</v>
          </cell>
          <cell r="T6255">
            <v>0</v>
          </cell>
          <cell r="U6255" t="b">
            <v>0</v>
          </cell>
        </row>
        <row r="6256">
          <cell r="A6256" t="str">
            <v>Data split-10;Reg-25</v>
          </cell>
          <cell r="B6256">
            <v>-6.6</v>
          </cell>
          <cell r="C6256">
            <v>0</v>
          </cell>
          <cell r="D6256">
            <v>2.8</v>
          </cell>
          <cell r="E6256">
            <v>0</v>
          </cell>
          <cell r="F6256">
            <v>0.93</v>
          </cell>
          <cell r="G6256">
            <v>-1.3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>
            <v>0</v>
          </cell>
          <cell r="M6256">
            <v>0</v>
          </cell>
          <cell r="N6256">
            <v>0</v>
          </cell>
          <cell r="O6256">
            <v>0</v>
          </cell>
          <cell r="P6256">
            <v>0</v>
          </cell>
          <cell r="Q6256">
            <v>0</v>
          </cell>
          <cell r="R6256">
            <v>0</v>
          </cell>
          <cell r="S6256">
            <v>0</v>
          </cell>
          <cell r="T6256">
            <v>0</v>
          </cell>
          <cell r="U6256" t="b">
            <v>0</v>
          </cell>
        </row>
        <row r="6257">
          <cell r="A6257" t="str">
            <v>Data split-10;Reg-26</v>
          </cell>
          <cell r="B6257">
            <v>-6.5</v>
          </cell>
          <cell r="C6257">
            <v>0</v>
          </cell>
          <cell r="D6257">
            <v>2.8</v>
          </cell>
          <cell r="E6257">
            <v>0</v>
          </cell>
          <cell r="F6257">
            <v>1.1000000000000001</v>
          </cell>
          <cell r="G6257">
            <v>0</v>
          </cell>
          <cell r="H6257">
            <v>-2.2999999999999998</v>
          </cell>
          <cell r="I6257">
            <v>0</v>
          </cell>
          <cell r="J6257">
            <v>0</v>
          </cell>
          <cell r="K6257">
            <v>0</v>
          </cell>
          <cell r="L6257">
            <v>0</v>
          </cell>
          <cell r="M6257">
            <v>0</v>
          </cell>
          <cell r="N6257">
            <v>0</v>
          </cell>
          <cell r="O6257">
            <v>0</v>
          </cell>
          <cell r="P6257">
            <v>0</v>
          </cell>
          <cell r="Q6257">
            <v>0</v>
          </cell>
          <cell r="R6257">
            <v>0</v>
          </cell>
          <cell r="S6257">
            <v>0</v>
          </cell>
          <cell r="T6257">
            <v>0</v>
          </cell>
          <cell r="U6257" t="b">
            <v>0</v>
          </cell>
        </row>
        <row r="6258">
          <cell r="A6258" t="str">
            <v>Data split-10;Reg-27</v>
          </cell>
          <cell r="B6258">
            <v>-5.5</v>
          </cell>
          <cell r="C6258">
            <v>0</v>
          </cell>
          <cell r="D6258">
            <v>3.3</v>
          </cell>
          <cell r="E6258">
            <v>-1.7</v>
          </cell>
          <cell r="F6258">
            <v>0</v>
          </cell>
          <cell r="G6258">
            <v>0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0</v>
          </cell>
          <cell r="M6258">
            <v>3.7999999999999999E-2</v>
          </cell>
          <cell r="N6258">
            <v>0</v>
          </cell>
          <cell r="O6258">
            <v>0</v>
          </cell>
          <cell r="P6258">
            <v>0</v>
          </cell>
          <cell r="Q6258">
            <v>0</v>
          </cell>
          <cell r="R6258">
            <v>0</v>
          </cell>
          <cell r="S6258">
            <v>0</v>
          </cell>
          <cell r="T6258">
            <v>0</v>
          </cell>
          <cell r="U6258" t="b">
            <v>0</v>
          </cell>
        </row>
        <row r="6259">
          <cell r="A6259" t="str">
            <v>Data split-10;Reg-28</v>
          </cell>
          <cell r="B6259">
            <v>-5.4</v>
          </cell>
          <cell r="C6259">
            <v>0</v>
          </cell>
          <cell r="D6259">
            <v>3.3</v>
          </cell>
          <cell r="E6259">
            <v>-1.6</v>
          </cell>
          <cell r="F6259">
            <v>0</v>
          </cell>
          <cell r="G6259">
            <v>0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0</v>
          </cell>
          <cell r="M6259">
            <v>0</v>
          </cell>
          <cell r="N6259">
            <v>6.3E-3</v>
          </cell>
          <cell r="O6259">
            <v>0</v>
          </cell>
          <cell r="P6259">
            <v>0</v>
          </cell>
          <cell r="Q6259">
            <v>0</v>
          </cell>
          <cell r="R6259">
            <v>0</v>
          </cell>
          <cell r="S6259">
            <v>0</v>
          </cell>
          <cell r="T6259">
            <v>0</v>
          </cell>
          <cell r="U6259" t="b">
            <v>0</v>
          </cell>
        </row>
        <row r="6260">
          <cell r="A6260" t="str">
            <v>Data split-10;Reg-29</v>
          </cell>
          <cell r="B6260">
            <v>-8</v>
          </cell>
          <cell r="C6260">
            <v>0</v>
          </cell>
          <cell r="D6260">
            <v>2.6</v>
          </cell>
          <cell r="E6260">
            <v>0</v>
          </cell>
          <cell r="F6260">
            <v>0.99</v>
          </cell>
          <cell r="G6260">
            <v>0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>
            <v>0</v>
          </cell>
          <cell r="M6260">
            <v>-9.8000000000000004E-2</v>
          </cell>
          <cell r="N6260">
            <v>0</v>
          </cell>
          <cell r="O6260">
            <v>0</v>
          </cell>
          <cell r="P6260">
            <v>0</v>
          </cell>
          <cell r="Q6260">
            <v>0</v>
          </cell>
          <cell r="R6260">
            <v>0</v>
          </cell>
          <cell r="S6260">
            <v>0</v>
          </cell>
          <cell r="T6260">
            <v>0</v>
          </cell>
          <cell r="U6260" t="b">
            <v>1</v>
          </cell>
        </row>
        <row r="6261">
          <cell r="A6261" t="str">
            <v>Data split-10;Reg-30</v>
          </cell>
          <cell r="B6261">
            <v>-8.3000000000000007</v>
          </cell>
          <cell r="C6261">
            <v>0</v>
          </cell>
          <cell r="D6261">
            <v>2.7</v>
          </cell>
          <cell r="E6261">
            <v>0</v>
          </cell>
          <cell r="F6261">
            <v>1</v>
          </cell>
          <cell r="G6261">
            <v>0</v>
          </cell>
          <cell r="H6261">
            <v>0</v>
          </cell>
          <cell r="I6261">
            <v>0</v>
          </cell>
          <cell r="J6261">
            <v>0</v>
          </cell>
          <cell r="K6261">
            <v>0</v>
          </cell>
          <cell r="L6261">
            <v>0</v>
          </cell>
          <cell r="M6261">
            <v>0</v>
          </cell>
          <cell r="N6261">
            <v>-2.3E-2</v>
          </cell>
          <cell r="O6261">
            <v>0</v>
          </cell>
          <cell r="P6261">
            <v>0</v>
          </cell>
          <cell r="Q6261">
            <v>0</v>
          </cell>
          <cell r="R6261">
            <v>0</v>
          </cell>
          <cell r="S6261">
            <v>0</v>
          </cell>
          <cell r="T6261">
            <v>0</v>
          </cell>
          <cell r="U6261" t="b">
            <v>1</v>
          </cell>
        </row>
        <row r="6262">
          <cell r="A6262" t="str">
            <v>Data split-10;Reg-31</v>
          </cell>
          <cell r="B6262">
            <v>-5.9</v>
          </cell>
          <cell r="C6262">
            <v>0</v>
          </cell>
          <cell r="D6262">
            <v>3.2</v>
          </cell>
          <cell r="E6262">
            <v>0</v>
          </cell>
          <cell r="F6262">
            <v>0</v>
          </cell>
          <cell r="G6262">
            <v>-0.95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0</v>
          </cell>
          <cell r="M6262">
            <v>0</v>
          </cell>
          <cell r="N6262">
            <v>0</v>
          </cell>
          <cell r="O6262">
            <v>-1.1000000000000001E-3</v>
          </cell>
          <cell r="P6262">
            <v>0</v>
          </cell>
          <cell r="Q6262">
            <v>0</v>
          </cell>
          <cell r="R6262">
            <v>0</v>
          </cell>
          <cell r="S6262">
            <v>0</v>
          </cell>
          <cell r="T6262">
            <v>0</v>
          </cell>
          <cell r="U6262" t="b">
            <v>0</v>
          </cell>
        </row>
        <row r="6263">
          <cell r="A6263" t="str">
            <v>Data split-10;Reg-32</v>
          </cell>
          <cell r="B6263">
            <v>-5.9</v>
          </cell>
          <cell r="C6263">
            <v>0</v>
          </cell>
          <cell r="D6263">
            <v>3.2</v>
          </cell>
          <cell r="E6263">
            <v>0</v>
          </cell>
          <cell r="F6263">
            <v>0</v>
          </cell>
          <cell r="G6263">
            <v>-1.1000000000000001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0</v>
          </cell>
          <cell r="M6263">
            <v>0</v>
          </cell>
          <cell r="N6263">
            <v>0</v>
          </cell>
          <cell r="O6263">
            <v>0</v>
          </cell>
          <cell r="P6263">
            <v>2.7000000000000001E-3</v>
          </cell>
          <cell r="Q6263">
            <v>0</v>
          </cell>
          <cell r="R6263">
            <v>0</v>
          </cell>
          <cell r="S6263">
            <v>0</v>
          </cell>
          <cell r="T6263">
            <v>0</v>
          </cell>
          <cell r="U6263" t="b">
            <v>0</v>
          </cell>
        </row>
        <row r="6264">
          <cell r="A6264" t="str">
            <v>Data split-10;Reg-33</v>
          </cell>
          <cell r="B6264">
            <v>-6.5</v>
          </cell>
          <cell r="C6264">
            <v>0</v>
          </cell>
          <cell r="D6264">
            <v>3.1</v>
          </cell>
          <cell r="E6264">
            <v>0</v>
          </cell>
          <cell r="F6264">
            <v>0</v>
          </cell>
          <cell r="G6264">
            <v>0</v>
          </cell>
          <cell r="H6264">
            <v>-0.65</v>
          </cell>
          <cell r="I6264">
            <v>0</v>
          </cell>
          <cell r="J6264">
            <v>0</v>
          </cell>
          <cell r="K6264">
            <v>0</v>
          </cell>
          <cell r="L6264">
            <v>0</v>
          </cell>
          <cell r="M6264">
            <v>0</v>
          </cell>
          <cell r="N6264">
            <v>0</v>
          </cell>
          <cell r="O6264">
            <v>-3.6999999999999998E-2</v>
          </cell>
          <cell r="P6264">
            <v>0</v>
          </cell>
          <cell r="Q6264">
            <v>0</v>
          </cell>
          <cell r="R6264">
            <v>0</v>
          </cell>
          <cell r="S6264">
            <v>0</v>
          </cell>
          <cell r="T6264">
            <v>0</v>
          </cell>
          <cell r="U6264" t="b">
            <v>0</v>
          </cell>
        </row>
        <row r="6265">
          <cell r="A6265" t="str">
            <v>Data split-10;Reg-34</v>
          </cell>
          <cell r="B6265">
            <v>-6.8</v>
          </cell>
          <cell r="C6265">
            <v>0</v>
          </cell>
          <cell r="D6265">
            <v>3.1</v>
          </cell>
          <cell r="E6265">
            <v>0</v>
          </cell>
          <cell r="F6265">
            <v>0</v>
          </cell>
          <cell r="G6265">
            <v>0</v>
          </cell>
          <cell r="H6265">
            <v>-0.69</v>
          </cell>
          <cell r="I6265">
            <v>0</v>
          </cell>
          <cell r="J6265">
            <v>0</v>
          </cell>
          <cell r="K6265">
            <v>0</v>
          </cell>
          <cell r="L6265">
            <v>0</v>
          </cell>
          <cell r="M6265">
            <v>0</v>
          </cell>
          <cell r="N6265">
            <v>0</v>
          </cell>
          <cell r="O6265">
            <v>0</v>
          </cell>
          <cell r="P6265">
            <v>-6.3E-3</v>
          </cell>
          <cell r="Q6265">
            <v>0</v>
          </cell>
          <cell r="R6265">
            <v>0</v>
          </cell>
          <cell r="S6265">
            <v>0</v>
          </cell>
          <cell r="T6265">
            <v>0</v>
          </cell>
          <cell r="U6265" t="b">
            <v>0</v>
          </cell>
        </row>
        <row r="6266">
          <cell r="A6266" t="str">
            <v>Data split-10;Reg-35</v>
          </cell>
          <cell r="B6266">
            <v>-5</v>
          </cell>
          <cell r="C6266">
            <v>3.3</v>
          </cell>
          <cell r="D6266">
            <v>0</v>
          </cell>
          <cell r="E6266">
            <v>-1.2</v>
          </cell>
          <cell r="F6266">
            <v>0</v>
          </cell>
          <cell r="G6266">
            <v>-0.44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0</v>
          </cell>
          <cell r="M6266">
            <v>3.9E-2</v>
          </cell>
          <cell r="N6266">
            <v>0</v>
          </cell>
          <cell r="O6266">
            <v>0</v>
          </cell>
          <cell r="P6266">
            <v>0</v>
          </cell>
          <cell r="Q6266">
            <v>0</v>
          </cell>
          <cell r="R6266">
            <v>0</v>
          </cell>
          <cell r="S6266">
            <v>0</v>
          </cell>
          <cell r="T6266">
            <v>0</v>
          </cell>
          <cell r="U6266" t="b">
            <v>0</v>
          </cell>
        </row>
        <row r="6267">
          <cell r="A6267" t="str">
            <v>Data split-10;Reg-36</v>
          </cell>
          <cell r="B6267">
            <v>-4.8</v>
          </cell>
          <cell r="C6267">
            <v>3.2</v>
          </cell>
          <cell r="D6267">
            <v>0</v>
          </cell>
          <cell r="E6267">
            <v>-1.1000000000000001</v>
          </cell>
          <cell r="F6267">
            <v>0</v>
          </cell>
          <cell r="G6267">
            <v>-0.46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>
            <v>0</v>
          </cell>
          <cell r="M6267">
            <v>0</v>
          </cell>
          <cell r="N6267">
            <v>7.4000000000000003E-3</v>
          </cell>
          <cell r="O6267">
            <v>0</v>
          </cell>
          <cell r="P6267">
            <v>0</v>
          </cell>
          <cell r="Q6267">
            <v>0</v>
          </cell>
          <cell r="R6267">
            <v>0</v>
          </cell>
          <cell r="S6267">
            <v>0</v>
          </cell>
          <cell r="T6267">
            <v>0</v>
          </cell>
          <cell r="U6267" t="b">
            <v>0</v>
          </cell>
        </row>
        <row r="6268">
          <cell r="A6268" t="str">
            <v>Data split-10;Reg-37</v>
          </cell>
          <cell r="B6268">
            <v>-6.3</v>
          </cell>
          <cell r="C6268">
            <v>3</v>
          </cell>
          <cell r="D6268">
            <v>0</v>
          </cell>
          <cell r="E6268">
            <v>-2.5</v>
          </cell>
          <cell r="F6268">
            <v>0</v>
          </cell>
          <cell r="G6268">
            <v>0</v>
          </cell>
          <cell r="H6268">
            <v>2.8</v>
          </cell>
          <cell r="I6268">
            <v>0</v>
          </cell>
          <cell r="J6268">
            <v>0</v>
          </cell>
          <cell r="K6268">
            <v>0</v>
          </cell>
          <cell r="L6268">
            <v>0</v>
          </cell>
          <cell r="M6268">
            <v>-4.2999999999999997E-2</v>
          </cell>
          <cell r="N6268">
            <v>0</v>
          </cell>
          <cell r="O6268">
            <v>0</v>
          </cell>
          <cell r="P6268">
            <v>0</v>
          </cell>
          <cell r="Q6268">
            <v>0</v>
          </cell>
          <cell r="R6268">
            <v>0</v>
          </cell>
          <cell r="S6268">
            <v>0</v>
          </cell>
          <cell r="T6268">
            <v>0</v>
          </cell>
          <cell r="U6268" t="b">
            <v>0</v>
          </cell>
        </row>
        <row r="6269">
          <cell r="A6269" t="str">
            <v>Data split-10;Reg-38</v>
          </cell>
          <cell r="B6269">
            <v>-8.3000000000000007</v>
          </cell>
          <cell r="C6269">
            <v>2.9</v>
          </cell>
          <cell r="D6269">
            <v>0</v>
          </cell>
          <cell r="E6269">
            <v>-2.7</v>
          </cell>
          <cell r="F6269">
            <v>0</v>
          </cell>
          <cell r="G6269">
            <v>0</v>
          </cell>
          <cell r="H6269">
            <v>5.5</v>
          </cell>
          <cell r="I6269">
            <v>0</v>
          </cell>
          <cell r="J6269">
            <v>0</v>
          </cell>
          <cell r="K6269">
            <v>0</v>
          </cell>
          <cell r="L6269">
            <v>0</v>
          </cell>
          <cell r="M6269">
            <v>0</v>
          </cell>
          <cell r="N6269">
            <v>-3.5000000000000003E-2</v>
          </cell>
          <cell r="O6269">
            <v>0</v>
          </cell>
          <cell r="P6269">
            <v>0</v>
          </cell>
          <cell r="Q6269">
            <v>0</v>
          </cell>
          <cell r="R6269">
            <v>0</v>
          </cell>
          <cell r="S6269">
            <v>0</v>
          </cell>
          <cell r="T6269">
            <v>0</v>
          </cell>
          <cell r="U6269" t="b">
            <v>0</v>
          </cell>
        </row>
        <row r="6270">
          <cell r="A6270" t="str">
            <v>Data split-10;Reg-39</v>
          </cell>
          <cell r="B6270">
            <v>-6.4</v>
          </cell>
          <cell r="C6270">
            <v>2.7</v>
          </cell>
          <cell r="D6270">
            <v>0</v>
          </cell>
          <cell r="E6270">
            <v>0</v>
          </cell>
          <cell r="F6270">
            <v>1</v>
          </cell>
          <cell r="G6270">
            <v>-0.89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>
            <v>0</v>
          </cell>
          <cell r="M6270">
            <v>-4.1000000000000002E-2</v>
          </cell>
          <cell r="N6270">
            <v>0</v>
          </cell>
          <cell r="O6270">
            <v>0</v>
          </cell>
          <cell r="P6270">
            <v>0</v>
          </cell>
          <cell r="Q6270">
            <v>0</v>
          </cell>
          <cell r="R6270">
            <v>0</v>
          </cell>
          <cell r="S6270">
            <v>0</v>
          </cell>
          <cell r="T6270">
            <v>0</v>
          </cell>
          <cell r="U6270" t="b">
            <v>0</v>
          </cell>
        </row>
        <row r="6271">
          <cell r="A6271" t="str">
            <v>Data split-10;Reg-40</v>
          </cell>
          <cell r="B6271">
            <v>-6.8</v>
          </cell>
          <cell r="C6271">
            <v>2.8</v>
          </cell>
          <cell r="D6271">
            <v>0</v>
          </cell>
          <cell r="E6271">
            <v>0</v>
          </cell>
          <cell r="F6271">
            <v>1.1000000000000001</v>
          </cell>
          <cell r="G6271">
            <v>-0.73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>
            <v>0</v>
          </cell>
          <cell r="M6271">
            <v>0</v>
          </cell>
          <cell r="N6271">
            <v>-1.2E-2</v>
          </cell>
          <cell r="O6271">
            <v>0</v>
          </cell>
          <cell r="P6271">
            <v>0</v>
          </cell>
          <cell r="Q6271">
            <v>0</v>
          </cell>
          <cell r="R6271">
            <v>0</v>
          </cell>
          <cell r="S6271">
            <v>0</v>
          </cell>
          <cell r="T6271">
            <v>0</v>
          </cell>
          <cell r="U6271" t="b">
            <v>0</v>
          </cell>
        </row>
        <row r="6272">
          <cell r="A6272" t="str">
            <v>Data split-10;Reg-41</v>
          </cell>
          <cell r="B6272">
            <v>-6.4</v>
          </cell>
          <cell r="C6272">
            <v>2.8</v>
          </cell>
          <cell r="D6272">
            <v>0</v>
          </cell>
          <cell r="E6272">
            <v>0</v>
          </cell>
          <cell r="F6272">
            <v>1.2</v>
          </cell>
          <cell r="G6272">
            <v>0</v>
          </cell>
          <cell r="H6272">
            <v>-2</v>
          </cell>
          <cell r="I6272">
            <v>0</v>
          </cell>
          <cell r="J6272">
            <v>0</v>
          </cell>
          <cell r="K6272">
            <v>0</v>
          </cell>
          <cell r="L6272">
            <v>0</v>
          </cell>
          <cell r="M6272">
            <v>-1.0999999999999999E-2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  <cell r="R6272">
            <v>0</v>
          </cell>
          <cell r="S6272">
            <v>0</v>
          </cell>
          <cell r="T6272">
            <v>0</v>
          </cell>
          <cell r="U6272" t="b">
            <v>0</v>
          </cell>
        </row>
        <row r="6273">
          <cell r="A6273" t="str">
            <v>Data split-10;Reg-42</v>
          </cell>
          <cell r="B6273">
            <v>-7.1</v>
          </cell>
          <cell r="C6273">
            <v>2.7</v>
          </cell>
          <cell r="D6273">
            <v>0</v>
          </cell>
          <cell r="E6273">
            <v>0</v>
          </cell>
          <cell r="F6273">
            <v>1.1000000000000001</v>
          </cell>
          <cell r="G6273">
            <v>0</v>
          </cell>
          <cell r="H6273">
            <v>-1.1000000000000001</v>
          </cell>
          <cell r="I6273">
            <v>0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  <cell r="N6273">
            <v>-1.2E-2</v>
          </cell>
          <cell r="O6273">
            <v>0</v>
          </cell>
          <cell r="P6273">
            <v>0</v>
          </cell>
          <cell r="Q6273">
            <v>0</v>
          </cell>
          <cell r="R6273">
            <v>0</v>
          </cell>
          <cell r="S6273">
            <v>0</v>
          </cell>
          <cell r="T6273">
            <v>0</v>
          </cell>
          <cell r="U6273" t="b">
            <v>0</v>
          </cell>
        </row>
        <row r="6274">
          <cell r="A6274" t="str">
            <v>Data split-10;Reg-43</v>
          </cell>
          <cell r="B6274">
            <v>-5.2</v>
          </cell>
          <cell r="C6274">
            <v>3.2</v>
          </cell>
          <cell r="D6274">
            <v>0</v>
          </cell>
          <cell r="E6274">
            <v>-0.84</v>
          </cell>
          <cell r="F6274">
            <v>0</v>
          </cell>
          <cell r="G6274">
            <v>-0.37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0</v>
          </cell>
          <cell r="M6274">
            <v>0</v>
          </cell>
          <cell r="N6274">
            <v>0</v>
          </cell>
          <cell r="O6274">
            <v>6.7000000000000002E-3</v>
          </cell>
          <cell r="P6274">
            <v>0</v>
          </cell>
          <cell r="Q6274">
            <v>0</v>
          </cell>
          <cell r="R6274">
            <v>0</v>
          </cell>
          <cell r="S6274">
            <v>0</v>
          </cell>
          <cell r="T6274">
            <v>0</v>
          </cell>
          <cell r="U6274" t="b">
            <v>0</v>
          </cell>
        </row>
        <row r="6275">
          <cell r="A6275" t="str">
            <v>Data split-10;Reg-44</v>
          </cell>
          <cell r="B6275">
            <v>-5.0999999999999996</v>
          </cell>
          <cell r="C6275">
            <v>3.2</v>
          </cell>
          <cell r="D6275">
            <v>0</v>
          </cell>
          <cell r="E6275">
            <v>-0.88</v>
          </cell>
          <cell r="F6275">
            <v>0</v>
          </cell>
          <cell r="G6275">
            <v>-0.46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0</v>
          </cell>
          <cell r="M6275">
            <v>0</v>
          </cell>
          <cell r="N6275">
            <v>0</v>
          </cell>
          <cell r="O6275">
            <v>0</v>
          </cell>
          <cell r="P6275">
            <v>4.0000000000000001E-3</v>
          </cell>
          <cell r="Q6275">
            <v>0</v>
          </cell>
          <cell r="R6275">
            <v>0</v>
          </cell>
          <cell r="S6275">
            <v>0</v>
          </cell>
          <cell r="T6275">
            <v>0</v>
          </cell>
          <cell r="U6275" t="b">
            <v>0</v>
          </cell>
        </row>
        <row r="6276">
          <cell r="A6276" t="str">
            <v>Data split-10;Reg-45</v>
          </cell>
          <cell r="B6276">
            <v>-5.9</v>
          </cell>
          <cell r="C6276">
            <v>3</v>
          </cell>
          <cell r="D6276">
            <v>0</v>
          </cell>
          <cell r="E6276">
            <v>-2.5</v>
          </cell>
          <cell r="F6276">
            <v>0</v>
          </cell>
          <cell r="G6276">
            <v>0</v>
          </cell>
          <cell r="H6276">
            <v>2.4</v>
          </cell>
          <cell r="I6276">
            <v>0</v>
          </cell>
          <cell r="J6276">
            <v>0</v>
          </cell>
          <cell r="K6276">
            <v>0</v>
          </cell>
          <cell r="L6276">
            <v>0</v>
          </cell>
          <cell r="M6276">
            <v>0</v>
          </cell>
          <cell r="N6276">
            <v>0</v>
          </cell>
          <cell r="O6276">
            <v>-3.3000000000000002E-2</v>
          </cell>
          <cell r="P6276">
            <v>0</v>
          </cell>
          <cell r="Q6276">
            <v>0</v>
          </cell>
          <cell r="R6276">
            <v>0</v>
          </cell>
          <cell r="S6276">
            <v>0</v>
          </cell>
          <cell r="T6276">
            <v>0</v>
          </cell>
          <cell r="U6276" t="b">
            <v>0</v>
          </cell>
        </row>
        <row r="6277">
          <cell r="A6277" t="str">
            <v>Data split-10;Reg-46</v>
          </cell>
          <cell r="B6277">
            <v>-6.2</v>
          </cell>
          <cell r="C6277">
            <v>3.1</v>
          </cell>
          <cell r="D6277">
            <v>0</v>
          </cell>
          <cell r="E6277">
            <v>-2.5</v>
          </cell>
          <cell r="F6277">
            <v>0</v>
          </cell>
          <cell r="G6277">
            <v>0</v>
          </cell>
          <cell r="H6277">
            <v>2.6</v>
          </cell>
          <cell r="I6277">
            <v>0</v>
          </cell>
          <cell r="J6277">
            <v>0</v>
          </cell>
          <cell r="K6277">
            <v>0</v>
          </cell>
          <cell r="L6277">
            <v>0</v>
          </cell>
          <cell r="M6277">
            <v>0</v>
          </cell>
          <cell r="N6277">
            <v>0</v>
          </cell>
          <cell r="O6277">
            <v>0</v>
          </cell>
          <cell r="P6277">
            <v>-7.3000000000000001E-3</v>
          </cell>
          <cell r="Q6277">
            <v>0</v>
          </cell>
          <cell r="R6277">
            <v>0</v>
          </cell>
          <cell r="S6277">
            <v>0</v>
          </cell>
          <cell r="T6277">
            <v>0</v>
          </cell>
          <cell r="U6277" t="b">
            <v>0</v>
          </cell>
        </row>
        <row r="6278">
          <cell r="A6278" t="str">
            <v>Data split-10;Reg-47</v>
          </cell>
          <cell r="B6278">
            <v>-6.3</v>
          </cell>
          <cell r="C6278">
            <v>2.7</v>
          </cell>
          <cell r="D6278">
            <v>0</v>
          </cell>
          <cell r="E6278">
            <v>0</v>
          </cell>
          <cell r="F6278">
            <v>1</v>
          </cell>
          <cell r="G6278">
            <v>-0.87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  <cell r="N6278">
            <v>0</v>
          </cell>
          <cell r="O6278">
            <v>-4.8000000000000001E-2</v>
          </cell>
          <cell r="P6278">
            <v>0</v>
          </cell>
          <cell r="Q6278">
            <v>0</v>
          </cell>
          <cell r="R6278">
            <v>0</v>
          </cell>
          <cell r="S6278">
            <v>0</v>
          </cell>
          <cell r="T6278">
            <v>0</v>
          </cell>
          <cell r="U6278" t="b">
            <v>0</v>
          </cell>
        </row>
        <row r="6279">
          <cell r="A6279" t="str">
            <v>Data split-10;Reg-48</v>
          </cell>
          <cell r="B6279">
            <v>-6.6</v>
          </cell>
          <cell r="C6279">
            <v>2.7</v>
          </cell>
          <cell r="D6279">
            <v>0</v>
          </cell>
          <cell r="E6279">
            <v>0</v>
          </cell>
          <cell r="F6279">
            <v>1</v>
          </cell>
          <cell r="G6279">
            <v>-0.88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  <cell r="N6279">
            <v>0</v>
          </cell>
          <cell r="O6279">
            <v>0</v>
          </cell>
          <cell r="P6279">
            <v>-8.5000000000000006E-3</v>
          </cell>
          <cell r="Q6279">
            <v>0</v>
          </cell>
          <cell r="R6279">
            <v>0</v>
          </cell>
          <cell r="S6279">
            <v>0</v>
          </cell>
          <cell r="T6279">
            <v>0</v>
          </cell>
          <cell r="U6279" t="b">
            <v>0</v>
          </cell>
        </row>
        <row r="6280">
          <cell r="A6280" t="str">
            <v>Data split-10;Reg-49</v>
          </cell>
          <cell r="B6280">
            <v>-6.2</v>
          </cell>
          <cell r="C6280">
            <v>2.7</v>
          </cell>
          <cell r="D6280">
            <v>0</v>
          </cell>
          <cell r="E6280">
            <v>0</v>
          </cell>
          <cell r="F6280">
            <v>1.2</v>
          </cell>
          <cell r="G6280">
            <v>0</v>
          </cell>
          <cell r="H6280">
            <v>-1.5</v>
          </cell>
          <cell r="I6280">
            <v>0</v>
          </cell>
          <cell r="J6280">
            <v>0</v>
          </cell>
          <cell r="K6280">
            <v>0</v>
          </cell>
          <cell r="L6280">
            <v>0</v>
          </cell>
          <cell r="M6280">
            <v>0</v>
          </cell>
          <cell r="N6280">
            <v>0</v>
          </cell>
          <cell r="O6280">
            <v>-5.0999999999999997E-2</v>
          </cell>
          <cell r="P6280">
            <v>0</v>
          </cell>
          <cell r="Q6280">
            <v>0</v>
          </cell>
          <cell r="R6280">
            <v>0</v>
          </cell>
          <cell r="S6280">
            <v>0</v>
          </cell>
          <cell r="T6280">
            <v>0</v>
          </cell>
          <cell r="U6280" t="b">
            <v>0</v>
          </cell>
        </row>
        <row r="6281">
          <cell r="A6281" t="str">
            <v>Data split-10;Reg-50</v>
          </cell>
          <cell r="B6281">
            <v>-6.6</v>
          </cell>
          <cell r="C6281">
            <v>2.7</v>
          </cell>
          <cell r="D6281">
            <v>0</v>
          </cell>
          <cell r="E6281">
            <v>0</v>
          </cell>
          <cell r="F6281">
            <v>1.2</v>
          </cell>
          <cell r="G6281">
            <v>0</v>
          </cell>
          <cell r="H6281">
            <v>-1.5</v>
          </cell>
          <cell r="I6281">
            <v>0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>
            <v>0</v>
          </cell>
          <cell r="P6281">
            <v>-9.2999999999999992E-3</v>
          </cell>
          <cell r="Q6281">
            <v>0</v>
          </cell>
          <cell r="R6281">
            <v>0</v>
          </cell>
          <cell r="S6281">
            <v>0</v>
          </cell>
          <cell r="T6281">
            <v>0</v>
          </cell>
          <cell r="U6281" t="b">
            <v>0</v>
          </cell>
        </row>
        <row r="6282">
          <cell r="A6282" t="str">
            <v>Data split-10;Reg-51</v>
          </cell>
          <cell r="B6282">
            <v>-5.2</v>
          </cell>
          <cell r="C6282">
            <v>0</v>
          </cell>
          <cell r="D6282">
            <v>3.3</v>
          </cell>
          <cell r="E6282">
            <v>-1.3</v>
          </cell>
          <cell r="F6282">
            <v>0</v>
          </cell>
          <cell r="G6282">
            <v>-0.5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0</v>
          </cell>
          <cell r="M6282">
            <v>0</v>
          </cell>
          <cell r="N6282">
            <v>0</v>
          </cell>
          <cell r="O6282">
            <v>4.8000000000000001E-2</v>
          </cell>
          <cell r="P6282">
            <v>0</v>
          </cell>
          <cell r="Q6282">
            <v>0</v>
          </cell>
          <cell r="R6282">
            <v>0</v>
          </cell>
          <cell r="S6282">
            <v>0</v>
          </cell>
          <cell r="T6282">
            <v>0</v>
          </cell>
          <cell r="U6282" t="b">
            <v>0</v>
          </cell>
        </row>
        <row r="6283">
          <cell r="A6283" t="str">
            <v>Data split-10;Reg-52</v>
          </cell>
          <cell r="B6283">
            <v>-5</v>
          </cell>
          <cell r="C6283">
            <v>0</v>
          </cell>
          <cell r="D6283">
            <v>3.3</v>
          </cell>
          <cell r="E6283">
            <v>-1.3</v>
          </cell>
          <cell r="F6283">
            <v>0</v>
          </cell>
          <cell r="G6283">
            <v>-0.54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0</v>
          </cell>
          <cell r="M6283">
            <v>0</v>
          </cell>
          <cell r="N6283">
            <v>9.7999999999999997E-3</v>
          </cell>
          <cell r="O6283">
            <v>0</v>
          </cell>
          <cell r="P6283">
            <v>0</v>
          </cell>
          <cell r="Q6283">
            <v>0</v>
          </cell>
          <cell r="R6283">
            <v>0</v>
          </cell>
          <cell r="S6283">
            <v>0</v>
          </cell>
          <cell r="T6283">
            <v>0</v>
          </cell>
          <cell r="U6283" t="b">
            <v>0</v>
          </cell>
        </row>
        <row r="6284">
          <cell r="A6284" t="str">
            <v>Data split-10;Reg-53</v>
          </cell>
          <cell r="B6284">
            <v>-6.4</v>
          </cell>
          <cell r="C6284">
            <v>0</v>
          </cell>
          <cell r="D6284">
            <v>3.1</v>
          </cell>
          <cell r="E6284">
            <v>-2.7</v>
          </cell>
          <cell r="F6284">
            <v>0</v>
          </cell>
          <cell r="G6284">
            <v>0</v>
          </cell>
          <cell r="H6284">
            <v>2.7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-3.1E-2</v>
          </cell>
          <cell r="N6284">
            <v>0</v>
          </cell>
          <cell r="O6284">
            <v>0</v>
          </cell>
          <cell r="P6284">
            <v>0</v>
          </cell>
          <cell r="Q6284">
            <v>0</v>
          </cell>
          <cell r="R6284">
            <v>0</v>
          </cell>
          <cell r="S6284">
            <v>0</v>
          </cell>
          <cell r="T6284">
            <v>0</v>
          </cell>
          <cell r="U6284" t="b">
            <v>0</v>
          </cell>
        </row>
        <row r="6285">
          <cell r="A6285" t="str">
            <v>Data split-10;Reg-54</v>
          </cell>
          <cell r="B6285">
            <v>-8.3000000000000007</v>
          </cell>
          <cell r="C6285">
            <v>0</v>
          </cell>
          <cell r="D6285">
            <v>3</v>
          </cell>
          <cell r="E6285">
            <v>-2.8</v>
          </cell>
          <cell r="F6285">
            <v>0</v>
          </cell>
          <cell r="G6285">
            <v>0</v>
          </cell>
          <cell r="H6285">
            <v>5.0999999999999996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  <cell r="N6285">
            <v>-3.1E-2</v>
          </cell>
          <cell r="O6285">
            <v>0</v>
          </cell>
          <cell r="P6285">
            <v>0</v>
          </cell>
          <cell r="Q6285">
            <v>0</v>
          </cell>
          <cell r="R6285">
            <v>0</v>
          </cell>
          <cell r="S6285">
            <v>0</v>
          </cell>
          <cell r="T6285">
            <v>0</v>
          </cell>
          <cell r="U6285" t="b">
            <v>0</v>
          </cell>
        </row>
        <row r="6286">
          <cell r="A6286" t="str">
            <v>Data split-10;Reg-55</v>
          </cell>
          <cell r="B6286">
            <v>-6.6</v>
          </cell>
          <cell r="C6286">
            <v>0</v>
          </cell>
          <cell r="D6286">
            <v>2.8</v>
          </cell>
          <cell r="E6286">
            <v>0</v>
          </cell>
          <cell r="F6286">
            <v>1</v>
          </cell>
          <cell r="G6286">
            <v>-1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0</v>
          </cell>
          <cell r="M6286">
            <v>-3.5999999999999997E-2</v>
          </cell>
          <cell r="N6286">
            <v>0</v>
          </cell>
          <cell r="O6286">
            <v>0</v>
          </cell>
          <cell r="P6286">
            <v>0</v>
          </cell>
          <cell r="Q6286">
            <v>0</v>
          </cell>
          <cell r="R6286">
            <v>0</v>
          </cell>
          <cell r="S6286">
            <v>0</v>
          </cell>
          <cell r="T6286">
            <v>0</v>
          </cell>
          <cell r="U6286" t="b">
            <v>0</v>
          </cell>
        </row>
        <row r="6287">
          <cell r="A6287" t="str">
            <v>Data split-10;Reg-56</v>
          </cell>
          <cell r="B6287">
            <v>-7</v>
          </cell>
          <cell r="C6287">
            <v>0</v>
          </cell>
          <cell r="D6287">
            <v>2.8</v>
          </cell>
          <cell r="E6287">
            <v>0</v>
          </cell>
          <cell r="F6287">
            <v>1</v>
          </cell>
          <cell r="G6287">
            <v>-0.85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0</v>
          </cell>
          <cell r="M6287">
            <v>0</v>
          </cell>
          <cell r="N6287">
            <v>-1.0999999999999999E-2</v>
          </cell>
          <cell r="O6287">
            <v>0</v>
          </cell>
          <cell r="P6287">
            <v>0</v>
          </cell>
          <cell r="Q6287">
            <v>0</v>
          </cell>
          <cell r="R6287">
            <v>0</v>
          </cell>
          <cell r="S6287">
            <v>0</v>
          </cell>
          <cell r="T6287">
            <v>0</v>
          </cell>
          <cell r="U6287" t="b">
            <v>0</v>
          </cell>
        </row>
        <row r="6288">
          <cell r="A6288" t="str">
            <v>Data split-10;Reg-57</v>
          </cell>
          <cell r="B6288">
            <v>-6.5</v>
          </cell>
          <cell r="C6288">
            <v>0</v>
          </cell>
          <cell r="D6288">
            <v>2.8</v>
          </cell>
          <cell r="E6288">
            <v>0</v>
          </cell>
          <cell r="F6288">
            <v>1.1000000000000001</v>
          </cell>
          <cell r="G6288">
            <v>0</v>
          </cell>
          <cell r="H6288">
            <v>-2.2999999999999998</v>
          </cell>
          <cell r="I6288">
            <v>0</v>
          </cell>
          <cell r="J6288">
            <v>0</v>
          </cell>
          <cell r="K6288">
            <v>0</v>
          </cell>
          <cell r="L6288">
            <v>0</v>
          </cell>
          <cell r="M6288">
            <v>-2.7E-4</v>
          </cell>
          <cell r="N6288">
            <v>0</v>
          </cell>
          <cell r="O6288">
            <v>0</v>
          </cell>
          <cell r="P6288">
            <v>0</v>
          </cell>
          <cell r="Q6288">
            <v>0</v>
          </cell>
          <cell r="R6288">
            <v>0</v>
          </cell>
          <cell r="S6288">
            <v>0</v>
          </cell>
          <cell r="T6288">
            <v>0</v>
          </cell>
          <cell r="U6288" t="b">
            <v>0</v>
          </cell>
        </row>
        <row r="6289">
          <cell r="A6289" t="str">
            <v>Data split-10;Reg-58</v>
          </cell>
          <cell r="B6289">
            <v>-7</v>
          </cell>
          <cell r="C6289">
            <v>0</v>
          </cell>
          <cell r="D6289">
            <v>2.8</v>
          </cell>
          <cell r="E6289">
            <v>0</v>
          </cell>
          <cell r="F6289">
            <v>1.1000000000000001</v>
          </cell>
          <cell r="G6289">
            <v>0</v>
          </cell>
          <cell r="H6289">
            <v>-1.6</v>
          </cell>
          <cell r="I6289">
            <v>0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  <cell r="N6289">
            <v>-7.3000000000000001E-3</v>
          </cell>
          <cell r="O6289">
            <v>0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0</v>
          </cell>
          <cell r="U6289" t="b">
            <v>0</v>
          </cell>
        </row>
        <row r="6290">
          <cell r="A6290" t="str">
            <v>Data split-10;Reg-59</v>
          </cell>
          <cell r="B6290">
            <v>-5.5</v>
          </cell>
          <cell r="C6290">
            <v>0</v>
          </cell>
          <cell r="D6290">
            <v>3.3</v>
          </cell>
          <cell r="E6290">
            <v>-0.94</v>
          </cell>
          <cell r="F6290">
            <v>0</v>
          </cell>
          <cell r="G6290">
            <v>-0.46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0</v>
          </cell>
          <cell r="M6290">
            <v>0</v>
          </cell>
          <cell r="N6290">
            <v>0</v>
          </cell>
          <cell r="O6290">
            <v>1.4999999999999999E-2</v>
          </cell>
          <cell r="P6290">
            <v>0</v>
          </cell>
          <cell r="Q6290">
            <v>0</v>
          </cell>
          <cell r="R6290">
            <v>0</v>
          </cell>
          <cell r="S6290">
            <v>0</v>
          </cell>
          <cell r="T6290">
            <v>0</v>
          </cell>
          <cell r="U6290" t="b">
            <v>0</v>
          </cell>
        </row>
        <row r="6291">
          <cell r="A6291" t="str">
            <v>Data split-10;Reg-60</v>
          </cell>
          <cell r="B6291">
            <v>-5.3</v>
          </cell>
          <cell r="C6291">
            <v>0</v>
          </cell>
          <cell r="D6291">
            <v>3.3</v>
          </cell>
          <cell r="E6291">
            <v>-0.99</v>
          </cell>
          <cell r="F6291">
            <v>0</v>
          </cell>
          <cell r="G6291">
            <v>-0.56999999999999995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  <cell r="N6291">
            <v>0</v>
          </cell>
          <cell r="O6291">
            <v>0</v>
          </cell>
          <cell r="P6291">
            <v>6.0000000000000001E-3</v>
          </cell>
          <cell r="Q6291">
            <v>0</v>
          </cell>
          <cell r="R6291">
            <v>0</v>
          </cell>
          <cell r="S6291">
            <v>0</v>
          </cell>
          <cell r="T6291">
            <v>0</v>
          </cell>
          <cell r="U6291" t="b">
            <v>0</v>
          </cell>
        </row>
        <row r="6292">
          <cell r="A6292" t="str">
            <v>Data split-10;Reg-61</v>
          </cell>
          <cell r="B6292">
            <v>-6.2</v>
          </cell>
          <cell r="C6292">
            <v>0</v>
          </cell>
          <cell r="D6292">
            <v>3.1</v>
          </cell>
          <cell r="E6292">
            <v>-2.6</v>
          </cell>
          <cell r="F6292">
            <v>0</v>
          </cell>
          <cell r="G6292">
            <v>0</v>
          </cell>
          <cell r="H6292">
            <v>2.4</v>
          </cell>
          <cell r="I6292">
            <v>0</v>
          </cell>
          <cell r="J6292">
            <v>0</v>
          </cell>
          <cell r="K6292">
            <v>0</v>
          </cell>
          <cell r="L6292">
            <v>0</v>
          </cell>
          <cell r="M6292">
            <v>0</v>
          </cell>
          <cell r="N6292">
            <v>0</v>
          </cell>
          <cell r="O6292">
            <v>-2.7E-2</v>
          </cell>
          <cell r="P6292">
            <v>0</v>
          </cell>
          <cell r="Q6292">
            <v>0</v>
          </cell>
          <cell r="R6292">
            <v>0</v>
          </cell>
          <cell r="S6292">
            <v>0</v>
          </cell>
          <cell r="T6292">
            <v>0</v>
          </cell>
          <cell r="U6292" t="b">
            <v>0</v>
          </cell>
        </row>
        <row r="6293">
          <cell r="A6293" t="str">
            <v>Data split-10;Reg-62</v>
          </cell>
          <cell r="B6293">
            <v>-6.4</v>
          </cell>
          <cell r="C6293">
            <v>0</v>
          </cell>
          <cell r="D6293">
            <v>3.1</v>
          </cell>
          <cell r="E6293">
            <v>-2.7</v>
          </cell>
          <cell r="F6293">
            <v>0</v>
          </cell>
          <cell r="G6293">
            <v>0</v>
          </cell>
          <cell r="H6293">
            <v>2.5</v>
          </cell>
          <cell r="I6293">
            <v>0</v>
          </cell>
          <cell r="J6293">
            <v>0</v>
          </cell>
          <cell r="K6293">
            <v>0</v>
          </cell>
          <cell r="L6293">
            <v>0</v>
          </cell>
          <cell r="M6293">
            <v>0</v>
          </cell>
          <cell r="N6293">
            <v>0</v>
          </cell>
          <cell r="O6293">
            <v>0</v>
          </cell>
          <cell r="P6293">
            <v>-6.0000000000000001E-3</v>
          </cell>
          <cell r="Q6293">
            <v>0</v>
          </cell>
          <cell r="R6293">
            <v>0</v>
          </cell>
          <cell r="S6293">
            <v>0</v>
          </cell>
          <cell r="T6293">
            <v>0</v>
          </cell>
          <cell r="U6293" t="b">
            <v>0</v>
          </cell>
        </row>
        <row r="6294">
          <cell r="A6294" t="str">
            <v>Data split-10;Reg-63</v>
          </cell>
          <cell r="B6294">
            <v>-6.5</v>
          </cell>
          <cell r="C6294">
            <v>0</v>
          </cell>
          <cell r="D6294">
            <v>2.8</v>
          </cell>
          <cell r="E6294">
            <v>0</v>
          </cell>
          <cell r="F6294">
            <v>1</v>
          </cell>
          <cell r="G6294">
            <v>-0.99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L6294">
            <v>0</v>
          </cell>
          <cell r="M6294">
            <v>0</v>
          </cell>
          <cell r="N6294">
            <v>0</v>
          </cell>
          <cell r="O6294">
            <v>-4.1000000000000002E-2</v>
          </cell>
          <cell r="P6294">
            <v>0</v>
          </cell>
          <cell r="Q6294">
            <v>0</v>
          </cell>
          <cell r="R6294">
            <v>0</v>
          </cell>
          <cell r="S6294">
            <v>0</v>
          </cell>
          <cell r="T6294">
            <v>0</v>
          </cell>
          <cell r="U6294" t="b">
            <v>0</v>
          </cell>
        </row>
        <row r="6295">
          <cell r="A6295" t="str">
            <v>Data split-10;Reg-64</v>
          </cell>
          <cell r="B6295">
            <v>-6.8</v>
          </cell>
          <cell r="C6295">
            <v>0</v>
          </cell>
          <cell r="D6295">
            <v>2.8</v>
          </cell>
          <cell r="E6295">
            <v>0</v>
          </cell>
          <cell r="F6295">
            <v>0.99</v>
          </cell>
          <cell r="G6295">
            <v>-1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>
            <v>0</v>
          </cell>
          <cell r="M6295">
            <v>0</v>
          </cell>
          <cell r="N6295">
            <v>0</v>
          </cell>
          <cell r="O6295">
            <v>0</v>
          </cell>
          <cell r="P6295">
            <v>-6.7999999999999996E-3</v>
          </cell>
          <cell r="Q6295">
            <v>0</v>
          </cell>
          <cell r="R6295">
            <v>0</v>
          </cell>
          <cell r="S6295">
            <v>0</v>
          </cell>
          <cell r="T6295">
            <v>0</v>
          </cell>
          <cell r="U6295" t="b">
            <v>0</v>
          </cell>
        </row>
        <row r="6296">
          <cell r="A6296" t="str">
            <v>Data split-10;Reg-65</v>
          </cell>
          <cell r="B6296">
            <v>-6.5</v>
          </cell>
          <cell r="C6296">
            <v>0</v>
          </cell>
          <cell r="D6296">
            <v>2.8</v>
          </cell>
          <cell r="E6296">
            <v>0</v>
          </cell>
          <cell r="F6296">
            <v>1.2</v>
          </cell>
          <cell r="G6296">
            <v>0</v>
          </cell>
          <cell r="H6296">
            <v>-1.6</v>
          </cell>
          <cell r="I6296">
            <v>0</v>
          </cell>
          <cell r="J6296">
            <v>0</v>
          </cell>
          <cell r="K6296">
            <v>0</v>
          </cell>
          <cell r="L6296">
            <v>0</v>
          </cell>
          <cell r="M6296">
            <v>0</v>
          </cell>
          <cell r="N6296">
            <v>0</v>
          </cell>
          <cell r="O6296">
            <v>-4.5999999999999999E-2</v>
          </cell>
          <cell r="P6296">
            <v>0</v>
          </cell>
          <cell r="Q6296">
            <v>0</v>
          </cell>
          <cell r="R6296">
            <v>0</v>
          </cell>
          <cell r="S6296">
            <v>0</v>
          </cell>
          <cell r="T6296">
            <v>0</v>
          </cell>
          <cell r="U6296" t="b">
            <v>0</v>
          </cell>
        </row>
        <row r="6297">
          <cell r="A6297" t="str">
            <v>Data split-10;Reg-66</v>
          </cell>
          <cell r="B6297">
            <v>-6.8</v>
          </cell>
          <cell r="C6297">
            <v>0</v>
          </cell>
          <cell r="D6297">
            <v>2.8</v>
          </cell>
          <cell r="E6297">
            <v>0</v>
          </cell>
          <cell r="F6297">
            <v>1.2</v>
          </cell>
          <cell r="G6297">
            <v>0</v>
          </cell>
          <cell r="H6297">
            <v>-1.7</v>
          </cell>
          <cell r="I6297">
            <v>0</v>
          </cell>
          <cell r="J6297">
            <v>0</v>
          </cell>
          <cell r="K6297">
            <v>0</v>
          </cell>
          <cell r="L6297">
            <v>0</v>
          </cell>
          <cell r="M6297">
            <v>0</v>
          </cell>
          <cell r="N6297">
            <v>0</v>
          </cell>
          <cell r="O6297">
            <v>0</v>
          </cell>
          <cell r="P6297">
            <v>-8.0999999999999996E-3</v>
          </cell>
          <cell r="Q6297">
            <v>0</v>
          </cell>
          <cell r="R6297">
            <v>0</v>
          </cell>
          <cell r="S6297">
            <v>0</v>
          </cell>
          <cell r="T6297">
            <v>0</v>
          </cell>
          <cell r="U6297" t="b">
            <v>0</v>
          </cell>
        </row>
        <row r="6298">
          <cell r="A6298" t="str">
            <v>Data split-10;Reg-67</v>
          </cell>
          <cell r="B6298">
            <v>-5.7</v>
          </cell>
          <cell r="C6298">
            <v>3.2</v>
          </cell>
          <cell r="D6298">
            <v>0</v>
          </cell>
          <cell r="E6298">
            <v>0</v>
          </cell>
          <cell r="F6298">
            <v>0</v>
          </cell>
          <cell r="G6298">
            <v>-0.87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0</v>
          </cell>
          <cell r="M6298">
            <v>0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  <cell r="R6298">
            <v>0</v>
          </cell>
          <cell r="S6298">
            <v>0</v>
          </cell>
          <cell r="T6298">
            <v>0</v>
          </cell>
          <cell r="U6298" t="b">
            <v>0</v>
          </cell>
        </row>
        <row r="6299">
          <cell r="A6299" t="str">
            <v>Data split-10;Reg-68</v>
          </cell>
          <cell r="B6299">
            <v>-6.4</v>
          </cell>
          <cell r="C6299">
            <v>2.8</v>
          </cell>
          <cell r="D6299">
            <v>0</v>
          </cell>
          <cell r="E6299">
            <v>0</v>
          </cell>
          <cell r="F6299">
            <v>0.95</v>
          </cell>
          <cell r="G6299">
            <v>-1.2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>
            <v>0</v>
          </cell>
          <cell r="M6299">
            <v>0</v>
          </cell>
          <cell r="N6299">
            <v>0</v>
          </cell>
          <cell r="O6299">
            <v>0</v>
          </cell>
          <cell r="P6299">
            <v>0</v>
          </cell>
          <cell r="Q6299">
            <v>0</v>
          </cell>
          <cell r="R6299">
            <v>0</v>
          </cell>
          <cell r="S6299">
            <v>0</v>
          </cell>
          <cell r="T6299">
            <v>0</v>
          </cell>
          <cell r="U6299" t="b">
            <v>0</v>
          </cell>
        </row>
        <row r="6300">
          <cell r="A6300" t="str">
            <v>Data split-10;Reg-69</v>
          </cell>
          <cell r="B6300">
            <v>-10.3</v>
          </cell>
          <cell r="C6300">
            <v>3.2</v>
          </cell>
          <cell r="D6300">
            <v>0</v>
          </cell>
          <cell r="E6300">
            <v>0</v>
          </cell>
          <cell r="F6300">
            <v>0</v>
          </cell>
          <cell r="G6300">
            <v>-1.6</v>
          </cell>
          <cell r="H6300">
            <v>0</v>
          </cell>
          <cell r="I6300">
            <v>0</v>
          </cell>
          <cell r="J6300">
            <v>42</v>
          </cell>
          <cell r="K6300">
            <v>0</v>
          </cell>
          <cell r="L6300">
            <v>0</v>
          </cell>
          <cell r="M6300">
            <v>0</v>
          </cell>
          <cell r="N6300">
            <v>0</v>
          </cell>
          <cell r="O6300">
            <v>0</v>
          </cell>
          <cell r="P6300">
            <v>0</v>
          </cell>
          <cell r="Q6300">
            <v>0</v>
          </cell>
          <cell r="R6300">
            <v>0</v>
          </cell>
          <cell r="S6300">
            <v>0</v>
          </cell>
          <cell r="T6300">
            <v>0</v>
          </cell>
          <cell r="U6300" t="b">
            <v>0</v>
          </cell>
        </row>
        <row r="6301">
          <cell r="A6301" t="str">
            <v>Data split-10;Reg-70</v>
          </cell>
          <cell r="B6301">
            <v>-10.1</v>
          </cell>
          <cell r="C6301">
            <v>3.2</v>
          </cell>
          <cell r="D6301">
            <v>0</v>
          </cell>
          <cell r="E6301">
            <v>0</v>
          </cell>
          <cell r="F6301">
            <v>0</v>
          </cell>
          <cell r="G6301">
            <v>-1.2</v>
          </cell>
          <cell r="H6301">
            <v>0</v>
          </cell>
          <cell r="I6301">
            <v>0</v>
          </cell>
          <cell r="J6301">
            <v>41.2</v>
          </cell>
          <cell r="K6301">
            <v>0</v>
          </cell>
          <cell r="L6301">
            <v>0</v>
          </cell>
          <cell r="M6301">
            <v>0</v>
          </cell>
          <cell r="N6301">
            <v>0</v>
          </cell>
          <cell r="O6301">
            <v>0</v>
          </cell>
          <cell r="P6301">
            <v>0</v>
          </cell>
          <cell r="Q6301">
            <v>0</v>
          </cell>
          <cell r="R6301">
            <v>0</v>
          </cell>
          <cell r="S6301">
            <v>-0.04</v>
          </cell>
          <cell r="T6301">
            <v>0</v>
          </cell>
          <cell r="U6301" t="b">
            <v>0</v>
          </cell>
        </row>
        <row r="6302">
          <cell r="A6302" t="str">
            <v>Data split-10;Reg-71</v>
          </cell>
          <cell r="B6302">
            <v>-7</v>
          </cell>
          <cell r="C6302">
            <v>2.7</v>
          </cell>
          <cell r="D6302">
            <v>0</v>
          </cell>
          <cell r="E6302">
            <v>0</v>
          </cell>
          <cell r="F6302">
            <v>1.1000000000000001</v>
          </cell>
          <cell r="G6302">
            <v>0</v>
          </cell>
          <cell r="H6302">
            <v>-0.56999999999999995</v>
          </cell>
          <cell r="I6302">
            <v>0</v>
          </cell>
          <cell r="J6302">
            <v>0</v>
          </cell>
          <cell r="K6302">
            <v>0</v>
          </cell>
          <cell r="L6302">
            <v>0</v>
          </cell>
          <cell r="M6302">
            <v>0</v>
          </cell>
          <cell r="N6302">
            <v>0</v>
          </cell>
          <cell r="O6302">
            <v>0</v>
          </cell>
          <cell r="P6302">
            <v>0</v>
          </cell>
          <cell r="Q6302">
            <v>0</v>
          </cell>
          <cell r="R6302">
            <v>0</v>
          </cell>
          <cell r="S6302">
            <v>-0.1</v>
          </cell>
          <cell r="T6302">
            <v>0</v>
          </cell>
          <cell r="U6302" t="b">
            <v>0</v>
          </cell>
        </row>
        <row r="6303">
          <cell r="A6303" t="str">
            <v>Data split-10;Reg-72</v>
          </cell>
          <cell r="B6303">
            <v>-5.4</v>
          </cell>
          <cell r="C6303">
            <v>3.2</v>
          </cell>
          <cell r="D6303">
            <v>0</v>
          </cell>
          <cell r="E6303">
            <v>-1.1000000000000001</v>
          </cell>
          <cell r="F6303">
            <v>0</v>
          </cell>
          <cell r="G6303">
            <v>0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>
            <v>0</v>
          </cell>
          <cell r="M6303">
            <v>0</v>
          </cell>
          <cell r="N6303">
            <v>0</v>
          </cell>
          <cell r="O6303">
            <v>0</v>
          </cell>
          <cell r="P6303">
            <v>0</v>
          </cell>
          <cell r="Q6303">
            <v>0</v>
          </cell>
          <cell r="R6303">
            <v>0</v>
          </cell>
          <cell r="S6303">
            <v>0</v>
          </cell>
          <cell r="T6303">
            <v>0</v>
          </cell>
          <cell r="U6303" t="b">
            <v>0</v>
          </cell>
        </row>
        <row r="6304">
          <cell r="A6304" t="str">
            <v>Data split-10;Reg-73</v>
          </cell>
          <cell r="B6304">
            <v>-9.6</v>
          </cell>
          <cell r="C6304">
            <v>2.4</v>
          </cell>
          <cell r="D6304">
            <v>0</v>
          </cell>
          <cell r="E6304">
            <v>0</v>
          </cell>
          <cell r="F6304">
            <v>0.66</v>
          </cell>
          <cell r="G6304">
            <v>0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>
            <v>0</v>
          </cell>
          <cell r="M6304">
            <v>0</v>
          </cell>
          <cell r="N6304">
            <v>0</v>
          </cell>
          <cell r="O6304">
            <v>0</v>
          </cell>
          <cell r="P6304">
            <v>0</v>
          </cell>
          <cell r="Q6304">
            <v>0</v>
          </cell>
          <cell r="R6304">
            <v>0</v>
          </cell>
          <cell r="S6304">
            <v>0</v>
          </cell>
          <cell r="T6304">
            <v>0</v>
          </cell>
          <cell r="U6304" t="b">
            <v>1</v>
          </cell>
        </row>
        <row r="6305">
          <cell r="A6305" t="str">
            <v>Data split-10;Reg-74</v>
          </cell>
          <cell r="B6305">
            <v>-5.7</v>
          </cell>
          <cell r="C6305">
            <v>0</v>
          </cell>
          <cell r="D6305">
            <v>3.3</v>
          </cell>
          <cell r="E6305">
            <v>-1.3</v>
          </cell>
          <cell r="F6305">
            <v>0</v>
          </cell>
          <cell r="G6305">
            <v>0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>
            <v>0</v>
          </cell>
          <cell r="M6305">
            <v>0</v>
          </cell>
          <cell r="N6305">
            <v>0</v>
          </cell>
          <cell r="O6305">
            <v>0</v>
          </cell>
          <cell r="P6305">
            <v>0</v>
          </cell>
          <cell r="Q6305">
            <v>0</v>
          </cell>
          <cell r="R6305">
            <v>0</v>
          </cell>
          <cell r="S6305">
            <v>0</v>
          </cell>
          <cell r="T6305">
            <v>0</v>
          </cell>
          <cell r="U6305" t="b">
            <v>0</v>
          </cell>
        </row>
        <row r="6306">
          <cell r="A6306" t="str">
            <v>Data split-10;Reg-75</v>
          </cell>
          <cell r="B6306">
            <v>-9.9</v>
          </cell>
          <cell r="C6306">
            <v>0</v>
          </cell>
          <cell r="D6306">
            <v>2.5</v>
          </cell>
          <cell r="E6306">
            <v>0</v>
          </cell>
          <cell r="F6306">
            <v>0.62</v>
          </cell>
          <cell r="G6306">
            <v>0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>
            <v>0</v>
          </cell>
          <cell r="M6306">
            <v>0</v>
          </cell>
          <cell r="N6306">
            <v>0</v>
          </cell>
          <cell r="O6306">
            <v>0</v>
          </cell>
          <cell r="P6306">
            <v>0</v>
          </cell>
          <cell r="Q6306">
            <v>0</v>
          </cell>
          <cell r="R6306">
            <v>0</v>
          </cell>
          <cell r="S6306">
            <v>0</v>
          </cell>
          <cell r="T6306">
            <v>0</v>
          </cell>
          <cell r="U6306" t="b">
            <v>1</v>
          </cell>
        </row>
        <row r="6307">
          <cell r="A6307" t="str">
            <v>Data split-10;Reg-76</v>
          </cell>
          <cell r="B6307">
            <v>-5.7</v>
          </cell>
          <cell r="C6307">
            <v>3.2</v>
          </cell>
          <cell r="D6307">
            <v>0</v>
          </cell>
          <cell r="E6307">
            <v>0</v>
          </cell>
          <cell r="F6307">
            <v>0</v>
          </cell>
          <cell r="G6307">
            <v>-0.87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0</v>
          </cell>
          <cell r="M6307">
            <v>0</v>
          </cell>
          <cell r="N6307">
            <v>0</v>
          </cell>
          <cell r="O6307">
            <v>0</v>
          </cell>
          <cell r="P6307">
            <v>0</v>
          </cell>
          <cell r="Q6307">
            <v>0</v>
          </cell>
          <cell r="R6307">
            <v>0</v>
          </cell>
          <cell r="S6307">
            <v>0</v>
          </cell>
          <cell r="T6307">
            <v>0</v>
          </cell>
          <cell r="U6307" t="b">
            <v>0</v>
          </cell>
        </row>
        <row r="6308">
          <cell r="A6308" t="str">
            <v>Data split-10;Reg-77</v>
          </cell>
          <cell r="B6308">
            <v>-6.3</v>
          </cell>
          <cell r="C6308">
            <v>3.1</v>
          </cell>
          <cell r="D6308">
            <v>0</v>
          </cell>
          <cell r="E6308">
            <v>0</v>
          </cell>
          <cell r="F6308">
            <v>0</v>
          </cell>
          <cell r="G6308">
            <v>0</v>
          </cell>
          <cell r="H6308">
            <v>-1</v>
          </cell>
          <cell r="I6308">
            <v>0</v>
          </cell>
          <cell r="J6308">
            <v>0</v>
          </cell>
          <cell r="K6308">
            <v>0</v>
          </cell>
          <cell r="L6308">
            <v>0</v>
          </cell>
          <cell r="M6308">
            <v>0</v>
          </cell>
          <cell r="N6308">
            <v>0</v>
          </cell>
          <cell r="O6308">
            <v>0</v>
          </cell>
          <cell r="P6308">
            <v>0</v>
          </cell>
          <cell r="Q6308">
            <v>0</v>
          </cell>
          <cell r="R6308">
            <v>0</v>
          </cell>
          <cell r="S6308">
            <v>0</v>
          </cell>
          <cell r="T6308">
            <v>0</v>
          </cell>
          <cell r="U6308" t="b">
            <v>0</v>
          </cell>
        </row>
        <row r="6309">
          <cell r="A6309" t="str">
            <v>Data split-10;Reg-78</v>
          </cell>
          <cell r="B6309">
            <v>-5.9</v>
          </cell>
          <cell r="C6309">
            <v>0</v>
          </cell>
          <cell r="D6309">
            <v>3.2</v>
          </cell>
          <cell r="E6309">
            <v>0</v>
          </cell>
          <cell r="F6309">
            <v>0</v>
          </cell>
          <cell r="G6309">
            <v>-0.95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>
            <v>0</v>
          </cell>
          <cell r="M6309">
            <v>0</v>
          </cell>
          <cell r="N6309">
            <v>0</v>
          </cell>
          <cell r="O6309">
            <v>0</v>
          </cell>
          <cell r="P6309">
            <v>0</v>
          </cell>
          <cell r="Q6309">
            <v>0</v>
          </cell>
          <cell r="R6309">
            <v>0</v>
          </cell>
          <cell r="S6309">
            <v>0</v>
          </cell>
          <cell r="T6309">
            <v>0</v>
          </cell>
          <cell r="U6309" t="b">
            <v>0</v>
          </cell>
        </row>
        <row r="6310">
          <cell r="A6310" t="str">
            <v>Data split-10;Reg-79</v>
          </cell>
          <cell r="B6310">
            <v>-6.6</v>
          </cell>
          <cell r="C6310">
            <v>0</v>
          </cell>
          <cell r="D6310">
            <v>3.2</v>
          </cell>
          <cell r="E6310">
            <v>0</v>
          </cell>
          <cell r="F6310">
            <v>0</v>
          </cell>
          <cell r="G6310">
            <v>0</v>
          </cell>
          <cell r="H6310">
            <v>-1.2</v>
          </cell>
          <cell r="I6310">
            <v>0</v>
          </cell>
          <cell r="J6310">
            <v>0</v>
          </cell>
          <cell r="K6310">
            <v>0</v>
          </cell>
          <cell r="L6310">
            <v>0</v>
          </cell>
          <cell r="M6310">
            <v>0</v>
          </cell>
          <cell r="N6310">
            <v>0</v>
          </cell>
          <cell r="O6310">
            <v>0</v>
          </cell>
          <cell r="P6310">
            <v>0</v>
          </cell>
          <cell r="Q6310">
            <v>0</v>
          </cell>
          <cell r="R6310">
            <v>0</v>
          </cell>
          <cell r="S6310">
            <v>0</v>
          </cell>
          <cell r="T6310">
            <v>0</v>
          </cell>
          <cell r="U6310" t="b">
            <v>0</v>
          </cell>
        </row>
        <row r="6311">
          <cell r="A6311" t="str">
            <v>Data split-10;Reg-80</v>
          </cell>
          <cell r="B6311">
            <v>-10.4</v>
          </cell>
          <cell r="C6311">
            <v>2.6</v>
          </cell>
          <cell r="D6311">
            <v>0</v>
          </cell>
          <cell r="E6311">
            <v>0</v>
          </cell>
          <cell r="F6311">
            <v>0</v>
          </cell>
          <cell r="G6311">
            <v>0</v>
          </cell>
          <cell r="H6311">
            <v>0</v>
          </cell>
          <cell r="I6311">
            <v>2</v>
          </cell>
          <cell r="J6311">
            <v>0</v>
          </cell>
          <cell r="K6311">
            <v>0</v>
          </cell>
          <cell r="L6311">
            <v>0</v>
          </cell>
          <cell r="M6311">
            <v>0</v>
          </cell>
          <cell r="N6311">
            <v>0</v>
          </cell>
          <cell r="O6311">
            <v>0</v>
          </cell>
          <cell r="P6311">
            <v>0</v>
          </cell>
          <cell r="Q6311">
            <v>0</v>
          </cell>
          <cell r="R6311">
            <v>0</v>
          </cell>
          <cell r="S6311">
            <v>0</v>
          </cell>
          <cell r="T6311">
            <v>0</v>
          </cell>
          <cell r="U6311" t="b">
            <v>0</v>
          </cell>
        </row>
        <row r="6312">
          <cell r="A6312" t="str">
            <v>Data split-10;Reg-81</v>
          </cell>
          <cell r="B6312">
            <v>-11.9</v>
          </cell>
          <cell r="C6312">
            <v>2.6</v>
          </cell>
          <cell r="D6312">
            <v>0</v>
          </cell>
          <cell r="E6312">
            <v>0</v>
          </cell>
          <cell r="F6312">
            <v>0</v>
          </cell>
          <cell r="G6312">
            <v>0</v>
          </cell>
          <cell r="H6312">
            <v>0</v>
          </cell>
          <cell r="I6312">
            <v>0</v>
          </cell>
          <cell r="J6312">
            <v>22</v>
          </cell>
          <cell r="K6312">
            <v>0</v>
          </cell>
          <cell r="L6312">
            <v>0</v>
          </cell>
          <cell r="M6312">
            <v>0</v>
          </cell>
          <cell r="N6312">
            <v>0</v>
          </cell>
          <cell r="O6312">
            <v>0</v>
          </cell>
          <cell r="P6312">
            <v>0</v>
          </cell>
          <cell r="Q6312">
            <v>0</v>
          </cell>
          <cell r="R6312">
            <v>0</v>
          </cell>
          <cell r="S6312">
            <v>0</v>
          </cell>
          <cell r="T6312">
            <v>0</v>
          </cell>
          <cell r="U6312" t="b">
            <v>0</v>
          </cell>
        </row>
        <row r="6313">
          <cell r="A6313" t="str">
            <v>Data split-10;Reg-82</v>
          </cell>
          <cell r="B6313">
            <v>-10.5</v>
          </cell>
          <cell r="C6313">
            <v>0</v>
          </cell>
          <cell r="D6313">
            <v>2.7</v>
          </cell>
          <cell r="E6313">
            <v>0</v>
          </cell>
          <cell r="F6313">
            <v>0</v>
          </cell>
          <cell r="G6313">
            <v>0</v>
          </cell>
          <cell r="H6313">
            <v>0</v>
          </cell>
          <cell r="I6313">
            <v>1.7</v>
          </cell>
          <cell r="J6313">
            <v>0</v>
          </cell>
          <cell r="K6313">
            <v>0</v>
          </cell>
          <cell r="L6313">
            <v>0</v>
          </cell>
          <cell r="M6313">
            <v>0</v>
          </cell>
          <cell r="N6313">
            <v>0</v>
          </cell>
          <cell r="O6313">
            <v>0</v>
          </cell>
          <cell r="P6313">
            <v>0</v>
          </cell>
          <cell r="Q6313">
            <v>0</v>
          </cell>
          <cell r="R6313">
            <v>0</v>
          </cell>
          <cell r="S6313">
            <v>0</v>
          </cell>
          <cell r="T6313">
            <v>0</v>
          </cell>
          <cell r="U6313" t="b">
            <v>0</v>
          </cell>
        </row>
        <row r="6314">
          <cell r="A6314" t="str">
            <v>Data split-10;Reg-83</v>
          </cell>
          <cell r="B6314">
            <v>-11.5</v>
          </cell>
          <cell r="C6314">
            <v>0</v>
          </cell>
          <cell r="D6314">
            <v>2.7</v>
          </cell>
          <cell r="E6314">
            <v>0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17.3</v>
          </cell>
          <cell r="K6314">
            <v>0</v>
          </cell>
          <cell r="L6314">
            <v>0</v>
          </cell>
          <cell r="M6314">
            <v>0</v>
          </cell>
          <cell r="N6314">
            <v>0</v>
          </cell>
          <cell r="O6314">
            <v>0</v>
          </cell>
          <cell r="P6314">
            <v>0</v>
          </cell>
          <cell r="Q6314">
            <v>0</v>
          </cell>
          <cell r="R6314">
            <v>0</v>
          </cell>
          <cell r="S6314">
            <v>0</v>
          </cell>
          <cell r="T6314">
            <v>0</v>
          </cell>
          <cell r="U6314" t="b">
            <v>0</v>
          </cell>
        </row>
        <row r="6315">
          <cell r="A6315" t="str">
            <v>Data split-10;Reg-84</v>
          </cell>
          <cell r="B6315">
            <v>-7.8</v>
          </cell>
          <cell r="C6315">
            <v>2.9</v>
          </cell>
          <cell r="D6315">
            <v>0</v>
          </cell>
          <cell r="E6315">
            <v>0</v>
          </cell>
          <cell r="F6315">
            <v>0</v>
          </cell>
          <cell r="G6315">
            <v>0</v>
          </cell>
          <cell r="H6315">
            <v>0</v>
          </cell>
          <cell r="I6315">
            <v>0</v>
          </cell>
          <cell r="J6315">
            <v>0</v>
          </cell>
          <cell r="K6315">
            <v>-0.92</v>
          </cell>
          <cell r="L6315">
            <v>0</v>
          </cell>
          <cell r="M6315">
            <v>0</v>
          </cell>
          <cell r="N6315">
            <v>0</v>
          </cell>
          <cell r="O6315">
            <v>0</v>
          </cell>
          <cell r="P6315">
            <v>0</v>
          </cell>
          <cell r="Q6315">
            <v>0</v>
          </cell>
          <cell r="R6315">
            <v>0</v>
          </cell>
          <cell r="S6315">
            <v>0</v>
          </cell>
          <cell r="T6315">
            <v>0</v>
          </cell>
          <cell r="U6315" t="b">
            <v>1</v>
          </cell>
        </row>
        <row r="6316">
          <cell r="A6316" t="str">
            <v>Data split-10;Reg-85</v>
          </cell>
          <cell r="B6316">
            <v>-7.2</v>
          </cell>
          <cell r="C6316">
            <v>2.9</v>
          </cell>
          <cell r="D6316">
            <v>0</v>
          </cell>
          <cell r="E6316">
            <v>0</v>
          </cell>
          <cell r="F6316">
            <v>0</v>
          </cell>
          <cell r="G6316">
            <v>0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>
            <v>-9.6999999999999993</v>
          </cell>
          <cell r="M6316">
            <v>0</v>
          </cell>
          <cell r="N6316">
            <v>0</v>
          </cell>
          <cell r="O6316">
            <v>0</v>
          </cell>
          <cell r="P6316">
            <v>0</v>
          </cell>
          <cell r="Q6316">
            <v>0</v>
          </cell>
          <cell r="R6316">
            <v>0</v>
          </cell>
          <cell r="S6316">
            <v>0</v>
          </cell>
          <cell r="T6316">
            <v>0</v>
          </cell>
          <cell r="U6316" t="b">
            <v>1</v>
          </cell>
        </row>
        <row r="6317">
          <cell r="A6317" t="str">
            <v>Data split-10;Reg-86</v>
          </cell>
          <cell r="B6317">
            <v>-8.1999999999999993</v>
          </cell>
          <cell r="C6317">
            <v>0</v>
          </cell>
          <cell r="D6317">
            <v>3</v>
          </cell>
          <cell r="E6317">
            <v>0</v>
          </cell>
          <cell r="F6317">
            <v>0</v>
          </cell>
          <cell r="G6317">
            <v>0</v>
          </cell>
          <cell r="H6317">
            <v>0</v>
          </cell>
          <cell r="I6317">
            <v>0</v>
          </cell>
          <cell r="J6317">
            <v>0</v>
          </cell>
          <cell r="K6317">
            <v>-1.1000000000000001</v>
          </cell>
          <cell r="L6317">
            <v>0</v>
          </cell>
          <cell r="M6317">
            <v>0</v>
          </cell>
          <cell r="N6317">
            <v>0</v>
          </cell>
          <cell r="O6317">
            <v>0</v>
          </cell>
          <cell r="P6317">
            <v>0</v>
          </cell>
          <cell r="Q6317">
            <v>0</v>
          </cell>
          <cell r="R6317">
            <v>0</v>
          </cell>
          <cell r="S6317">
            <v>0</v>
          </cell>
          <cell r="T6317">
            <v>0</v>
          </cell>
          <cell r="U6317" t="b">
            <v>1</v>
          </cell>
        </row>
        <row r="6318">
          <cell r="A6318" t="str">
            <v>Data split-10;Reg-87</v>
          </cell>
          <cell r="B6318">
            <v>-7.6</v>
          </cell>
          <cell r="C6318">
            <v>0</v>
          </cell>
          <cell r="D6318">
            <v>3</v>
          </cell>
          <cell r="E6318">
            <v>0</v>
          </cell>
          <cell r="F6318">
            <v>0</v>
          </cell>
          <cell r="G6318">
            <v>0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>
            <v>-10.8</v>
          </cell>
          <cell r="M6318">
            <v>0</v>
          </cell>
          <cell r="N6318">
            <v>0</v>
          </cell>
          <cell r="O6318">
            <v>0</v>
          </cell>
          <cell r="P6318">
            <v>0</v>
          </cell>
          <cell r="Q6318">
            <v>0</v>
          </cell>
          <cell r="R6318">
            <v>0</v>
          </cell>
          <cell r="S6318">
            <v>0</v>
          </cell>
          <cell r="T6318">
            <v>0</v>
          </cell>
          <cell r="U6318" t="b">
            <v>1</v>
          </cell>
        </row>
        <row r="6319">
          <cell r="A6319" t="str">
            <v>Data split-10;Reg-88</v>
          </cell>
          <cell r="B6319">
            <v>-6.9</v>
          </cell>
          <cell r="C6319">
            <v>3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0</v>
          </cell>
          <cell r="M6319">
            <v>-5.3999999999999999E-2</v>
          </cell>
          <cell r="N6319">
            <v>0</v>
          </cell>
          <cell r="O6319">
            <v>0</v>
          </cell>
          <cell r="P6319">
            <v>0</v>
          </cell>
          <cell r="Q6319">
            <v>0</v>
          </cell>
          <cell r="R6319">
            <v>0</v>
          </cell>
          <cell r="S6319">
            <v>0</v>
          </cell>
          <cell r="T6319">
            <v>0</v>
          </cell>
          <cell r="U6319" t="b">
            <v>1</v>
          </cell>
        </row>
        <row r="6320">
          <cell r="A6320" t="str">
            <v>Data split-10;Reg-89</v>
          </cell>
          <cell r="B6320">
            <v>-6.9</v>
          </cell>
          <cell r="C6320">
            <v>3.1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0</v>
          </cell>
          <cell r="M6320">
            <v>0</v>
          </cell>
          <cell r="N6320">
            <v>-1.2999999999999999E-2</v>
          </cell>
          <cell r="O6320">
            <v>0</v>
          </cell>
          <cell r="P6320">
            <v>0</v>
          </cell>
          <cell r="Q6320">
            <v>0</v>
          </cell>
          <cell r="R6320">
            <v>0</v>
          </cell>
          <cell r="S6320">
            <v>0</v>
          </cell>
          <cell r="T6320">
            <v>0</v>
          </cell>
          <cell r="U6320" t="b">
            <v>1</v>
          </cell>
        </row>
        <row r="6321">
          <cell r="A6321" t="str">
            <v>Data split-10;Reg-90</v>
          </cell>
          <cell r="B6321">
            <v>-7.3</v>
          </cell>
          <cell r="C6321">
            <v>0</v>
          </cell>
          <cell r="D6321">
            <v>3</v>
          </cell>
          <cell r="E6321">
            <v>0</v>
          </cell>
          <cell r="F6321">
            <v>0</v>
          </cell>
          <cell r="G6321">
            <v>0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0</v>
          </cell>
          <cell r="M6321">
            <v>-5.7000000000000002E-2</v>
          </cell>
          <cell r="N6321">
            <v>0</v>
          </cell>
          <cell r="O6321">
            <v>0</v>
          </cell>
          <cell r="P6321">
            <v>0</v>
          </cell>
          <cell r="Q6321">
            <v>0</v>
          </cell>
          <cell r="R6321">
            <v>0</v>
          </cell>
          <cell r="S6321">
            <v>0</v>
          </cell>
          <cell r="T6321">
            <v>0</v>
          </cell>
          <cell r="U6321" t="b">
            <v>1</v>
          </cell>
        </row>
        <row r="6322">
          <cell r="A6322" t="str">
            <v>Data split-10;Reg-91</v>
          </cell>
          <cell r="B6322">
            <v>-7.4</v>
          </cell>
          <cell r="C6322">
            <v>0</v>
          </cell>
          <cell r="D6322">
            <v>3.1</v>
          </cell>
          <cell r="E6322">
            <v>0</v>
          </cell>
          <cell r="F6322">
            <v>0</v>
          </cell>
          <cell r="G6322">
            <v>0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>
            <v>0</v>
          </cell>
          <cell r="M6322">
            <v>0</v>
          </cell>
          <cell r="N6322">
            <v>-1.4E-2</v>
          </cell>
          <cell r="O6322">
            <v>0</v>
          </cell>
          <cell r="P6322">
            <v>0</v>
          </cell>
          <cell r="Q6322">
            <v>0</v>
          </cell>
          <cell r="R6322">
            <v>0</v>
          </cell>
          <cell r="S6322">
            <v>0</v>
          </cell>
          <cell r="T6322">
            <v>0</v>
          </cell>
          <cell r="U6322" t="b">
            <v>1</v>
          </cell>
        </row>
        <row r="6323">
          <cell r="A6323" t="str">
            <v>Data split-10;Reg-92</v>
          </cell>
          <cell r="B6323">
            <v>-6.6</v>
          </cell>
          <cell r="C6323">
            <v>3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0</v>
          </cell>
          <cell r="M6323">
            <v>0</v>
          </cell>
          <cell r="N6323">
            <v>0</v>
          </cell>
          <cell r="O6323">
            <v>-6.0999999999999999E-2</v>
          </cell>
          <cell r="P6323">
            <v>0</v>
          </cell>
          <cell r="Q6323">
            <v>0</v>
          </cell>
          <cell r="R6323">
            <v>0</v>
          </cell>
          <cell r="S6323">
            <v>0</v>
          </cell>
          <cell r="T6323">
            <v>0</v>
          </cell>
          <cell r="U6323" t="b">
            <v>1</v>
          </cell>
        </row>
        <row r="6324">
          <cell r="A6324" t="str">
            <v>Data split-10;Reg-93</v>
          </cell>
          <cell r="B6324">
            <v>-7</v>
          </cell>
          <cell r="C6324">
            <v>3</v>
          </cell>
          <cell r="D6324">
            <v>0</v>
          </cell>
          <cell r="E6324">
            <v>0</v>
          </cell>
          <cell r="F6324">
            <v>0</v>
          </cell>
          <cell r="G6324">
            <v>0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>
            <v>0</v>
          </cell>
          <cell r="M6324">
            <v>0</v>
          </cell>
          <cell r="N6324">
            <v>0</v>
          </cell>
          <cell r="O6324">
            <v>0</v>
          </cell>
          <cell r="P6324">
            <v>-1.2E-2</v>
          </cell>
          <cell r="Q6324">
            <v>0</v>
          </cell>
          <cell r="R6324">
            <v>0</v>
          </cell>
          <cell r="S6324">
            <v>0</v>
          </cell>
          <cell r="T6324">
            <v>0</v>
          </cell>
          <cell r="U6324" t="b">
            <v>1</v>
          </cell>
        </row>
        <row r="6325">
          <cell r="A6325" t="str">
            <v>Data split-10;Reg-94</v>
          </cell>
          <cell r="B6325">
            <v>-7.1</v>
          </cell>
          <cell r="C6325">
            <v>0</v>
          </cell>
          <cell r="D6325">
            <v>3</v>
          </cell>
          <cell r="E6325">
            <v>0</v>
          </cell>
          <cell r="F6325">
            <v>0</v>
          </cell>
          <cell r="G6325">
            <v>0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0</v>
          </cell>
          <cell r="M6325">
            <v>0</v>
          </cell>
          <cell r="N6325">
            <v>0</v>
          </cell>
          <cell r="O6325">
            <v>-6.3E-2</v>
          </cell>
          <cell r="P6325">
            <v>0</v>
          </cell>
          <cell r="Q6325">
            <v>0</v>
          </cell>
          <cell r="R6325">
            <v>0</v>
          </cell>
          <cell r="S6325">
            <v>0</v>
          </cell>
          <cell r="T6325">
            <v>0</v>
          </cell>
          <cell r="U6325" t="b">
            <v>1</v>
          </cell>
        </row>
        <row r="6326">
          <cell r="A6326" t="str">
            <v>Data split-10;Reg-95</v>
          </cell>
          <cell r="B6326">
            <v>-7.4</v>
          </cell>
          <cell r="C6326">
            <v>0</v>
          </cell>
          <cell r="D6326">
            <v>3</v>
          </cell>
          <cell r="E6326">
            <v>0</v>
          </cell>
          <cell r="F6326">
            <v>0</v>
          </cell>
          <cell r="G6326">
            <v>0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>
            <v>0</v>
          </cell>
          <cell r="M6326">
            <v>0</v>
          </cell>
          <cell r="N6326">
            <v>0</v>
          </cell>
          <cell r="O6326">
            <v>0</v>
          </cell>
          <cell r="P6326">
            <v>-1.2E-2</v>
          </cell>
          <cell r="Q6326">
            <v>0</v>
          </cell>
          <cell r="R6326">
            <v>0</v>
          </cell>
          <cell r="S6326">
            <v>0</v>
          </cell>
          <cell r="T6326">
            <v>0</v>
          </cell>
          <cell r="U6326" t="b">
            <v>1</v>
          </cell>
        </row>
        <row r="6327">
          <cell r="A6327" t="str">
            <v>Data split-10;Reg-96</v>
          </cell>
          <cell r="B6327">
            <v>-7.7</v>
          </cell>
          <cell r="C6327">
            <v>3.3</v>
          </cell>
          <cell r="D6327">
            <v>0</v>
          </cell>
          <cell r="E6327">
            <v>-3</v>
          </cell>
          <cell r="F6327">
            <v>0</v>
          </cell>
          <cell r="G6327">
            <v>0</v>
          </cell>
          <cell r="H6327">
            <v>0</v>
          </cell>
          <cell r="I6327">
            <v>6.7</v>
          </cell>
          <cell r="J6327">
            <v>0</v>
          </cell>
          <cell r="K6327">
            <v>0</v>
          </cell>
          <cell r="L6327">
            <v>0</v>
          </cell>
          <cell r="M6327">
            <v>0</v>
          </cell>
          <cell r="N6327">
            <v>0</v>
          </cell>
          <cell r="O6327">
            <v>0</v>
          </cell>
          <cell r="P6327">
            <v>0</v>
          </cell>
          <cell r="Q6327">
            <v>0</v>
          </cell>
          <cell r="R6327">
            <v>0</v>
          </cell>
          <cell r="S6327">
            <v>0</v>
          </cell>
          <cell r="T6327">
            <v>0</v>
          </cell>
          <cell r="U6327" t="b">
            <v>0</v>
          </cell>
        </row>
        <row r="6328">
          <cell r="A6328" t="str">
            <v>Data split-10;Reg-97</v>
          </cell>
          <cell r="B6328">
            <v>-10.9</v>
          </cell>
          <cell r="C6328">
            <v>3.4</v>
          </cell>
          <cell r="D6328">
            <v>0</v>
          </cell>
          <cell r="E6328">
            <v>-2.7</v>
          </cell>
          <cell r="F6328">
            <v>0</v>
          </cell>
          <cell r="G6328">
            <v>0</v>
          </cell>
          <cell r="H6328">
            <v>0</v>
          </cell>
          <cell r="I6328">
            <v>0</v>
          </cell>
          <cell r="J6328">
            <v>57.7</v>
          </cell>
          <cell r="K6328">
            <v>0</v>
          </cell>
          <cell r="L6328">
            <v>0</v>
          </cell>
          <cell r="M6328">
            <v>0</v>
          </cell>
          <cell r="N6328">
            <v>0</v>
          </cell>
          <cell r="O6328">
            <v>0</v>
          </cell>
          <cell r="P6328">
            <v>0</v>
          </cell>
          <cell r="Q6328">
            <v>0</v>
          </cell>
          <cell r="R6328">
            <v>0</v>
          </cell>
          <cell r="S6328">
            <v>0</v>
          </cell>
          <cell r="T6328">
            <v>0</v>
          </cell>
          <cell r="U6328" t="b">
            <v>0</v>
          </cell>
        </row>
        <row r="6329">
          <cell r="A6329" t="str">
            <v>Data split-10;Reg-98</v>
          </cell>
          <cell r="B6329">
            <v>-10.7</v>
          </cell>
          <cell r="C6329">
            <v>2.4</v>
          </cell>
          <cell r="D6329">
            <v>0</v>
          </cell>
          <cell r="E6329">
            <v>0</v>
          </cell>
          <cell r="F6329">
            <v>0.53</v>
          </cell>
          <cell r="G6329">
            <v>0</v>
          </cell>
          <cell r="H6329">
            <v>0</v>
          </cell>
          <cell r="I6329">
            <v>1.3</v>
          </cell>
          <cell r="J6329">
            <v>0</v>
          </cell>
          <cell r="K6329">
            <v>0</v>
          </cell>
          <cell r="L6329">
            <v>0</v>
          </cell>
          <cell r="M6329">
            <v>0</v>
          </cell>
          <cell r="N6329">
            <v>0</v>
          </cell>
          <cell r="O6329">
            <v>0</v>
          </cell>
          <cell r="P6329">
            <v>0</v>
          </cell>
          <cell r="Q6329">
            <v>0</v>
          </cell>
          <cell r="R6329">
            <v>0</v>
          </cell>
          <cell r="S6329">
            <v>0</v>
          </cell>
          <cell r="T6329">
            <v>0</v>
          </cell>
          <cell r="U6329" t="b">
            <v>0</v>
          </cell>
        </row>
        <row r="6330">
          <cell r="A6330" t="str">
            <v>Data split-10;Reg-99</v>
          </cell>
          <cell r="B6330">
            <v>-12.1</v>
          </cell>
          <cell r="C6330">
            <v>2.4</v>
          </cell>
          <cell r="D6330">
            <v>0</v>
          </cell>
          <cell r="E6330">
            <v>0</v>
          </cell>
          <cell r="F6330">
            <v>0.52</v>
          </cell>
          <cell r="G6330">
            <v>0</v>
          </cell>
          <cell r="H6330">
            <v>0</v>
          </cell>
          <cell r="I6330">
            <v>0</v>
          </cell>
          <cell r="J6330">
            <v>17</v>
          </cell>
          <cell r="K6330">
            <v>0</v>
          </cell>
          <cell r="L6330">
            <v>0</v>
          </cell>
          <cell r="M6330">
            <v>0</v>
          </cell>
          <cell r="N6330">
            <v>0</v>
          </cell>
          <cell r="O6330">
            <v>0</v>
          </cell>
          <cell r="P6330">
            <v>0</v>
          </cell>
          <cell r="Q6330">
            <v>0</v>
          </cell>
          <cell r="R6330">
            <v>0</v>
          </cell>
          <cell r="S6330">
            <v>0</v>
          </cell>
          <cell r="T6330">
            <v>0</v>
          </cell>
          <cell r="U6330" t="b">
            <v>0</v>
          </cell>
        </row>
        <row r="6331">
          <cell r="A6331" t="str">
            <v>Data split-10;Reg-100</v>
          </cell>
          <cell r="B6331">
            <v>-7.7</v>
          </cell>
          <cell r="C6331">
            <v>0</v>
          </cell>
          <cell r="D6331">
            <v>3.3</v>
          </cell>
          <cell r="E6331">
            <v>-2.9</v>
          </cell>
          <cell r="F6331">
            <v>0</v>
          </cell>
          <cell r="G6331">
            <v>0</v>
          </cell>
          <cell r="H6331">
            <v>0</v>
          </cell>
          <cell r="I6331">
            <v>6.2</v>
          </cell>
          <cell r="J6331">
            <v>0</v>
          </cell>
          <cell r="K6331">
            <v>0</v>
          </cell>
          <cell r="L6331">
            <v>0</v>
          </cell>
          <cell r="M6331">
            <v>0</v>
          </cell>
          <cell r="N6331">
            <v>0</v>
          </cell>
          <cell r="O6331">
            <v>0</v>
          </cell>
          <cell r="P6331">
            <v>0</v>
          </cell>
          <cell r="Q6331">
            <v>0</v>
          </cell>
          <cell r="R6331">
            <v>0</v>
          </cell>
          <cell r="S6331">
            <v>0</v>
          </cell>
          <cell r="T6331">
            <v>0</v>
          </cell>
          <cell r="U6331" t="b">
            <v>0</v>
          </cell>
        </row>
        <row r="6332">
          <cell r="A6332" t="str">
            <v>Data split-10;Reg-101</v>
          </cell>
          <cell r="B6332">
            <v>-10.4</v>
          </cell>
          <cell r="C6332">
            <v>0</v>
          </cell>
          <cell r="D6332">
            <v>3.4</v>
          </cell>
          <cell r="E6332">
            <v>-2.5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50.4</v>
          </cell>
          <cell r="K6332">
            <v>0</v>
          </cell>
          <cell r="L6332">
            <v>0</v>
          </cell>
          <cell r="M6332">
            <v>0</v>
          </cell>
          <cell r="N6332">
            <v>0</v>
          </cell>
          <cell r="O6332">
            <v>0</v>
          </cell>
          <cell r="P6332">
            <v>0</v>
          </cell>
          <cell r="Q6332">
            <v>0</v>
          </cell>
          <cell r="R6332">
            <v>0</v>
          </cell>
          <cell r="S6332">
            <v>0</v>
          </cell>
          <cell r="T6332">
            <v>0</v>
          </cell>
          <cell r="U6332" t="b">
            <v>0</v>
          </cell>
        </row>
        <row r="6333">
          <cell r="A6333" t="str">
            <v>Data split-10;Reg-102</v>
          </cell>
          <cell r="B6333">
            <v>-10.8</v>
          </cell>
          <cell r="C6333">
            <v>0</v>
          </cell>
          <cell r="D6333">
            <v>2.4</v>
          </cell>
          <cell r="E6333">
            <v>0</v>
          </cell>
          <cell r="F6333">
            <v>0.53</v>
          </cell>
          <cell r="G6333">
            <v>0</v>
          </cell>
          <cell r="H6333">
            <v>0</v>
          </cell>
          <cell r="I6333">
            <v>1</v>
          </cell>
          <cell r="J6333">
            <v>0</v>
          </cell>
          <cell r="K6333">
            <v>0</v>
          </cell>
          <cell r="L6333">
            <v>0</v>
          </cell>
          <cell r="M6333">
            <v>0</v>
          </cell>
          <cell r="N6333">
            <v>0</v>
          </cell>
          <cell r="O6333">
            <v>0</v>
          </cell>
          <cell r="P6333">
            <v>0</v>
          </cell>
          <cell r="Q6333">
            <v>0</v>
          </cell>
          <cell r="R6333">
            <v>0</v>
          </cell>
          <cell r="S6333">
            <v>0</v>
          </cell>
          <cell r="T6333">
            <v>0</v>
          </cell>
          <cell r="U6333" t="b">
            <v>0</v>
          </cell>
        </row>
        <row r="6334">
          <cell r="A6334" t="str">
            <v>Data split-10;Reg-103</v>
          </cell>
          <cell r="B6334">
            <v>-11.7</v>
          </cell>
          <cell r="C6334">
            <v>0</v>
          </cell>
          <cell r="D6334">
            <v>2.4</v>
          </cell>
          <cell r="E6334">
            <v>0</v>
          </cell>
          <cell r="F6334">
            <v>0.53</v>
          </cell>
          <cell r="G6334">
            <v>0</v>
          </cell>
          <cell r="H6334">
            <v>0</v>
          </cell>
          <cell r="I6334">
            <v>0</v>
          </cell>
          <cell r="J6334">
            <v>12.7</v>
          </cell>
          <cell r="K6334">
            <v>0</v>
          </cell>
          <cell r="L6334">
            <v>0</v>
          </cell>
          <cell r="M6334">
            <v>0</v>
          </cell>
          <cell r="N6334">
            <v>0</v>
          </cell>
          <cell r="O6334">
            <v>0</v>
          </cell>
          <cell r="P6334">
            <v>0</v>
          </cell>
          <cell r="Q6334">
            <v>0</v>
          </cell>
          <cell r="R6334">
            <v>0</v>
          </cell>
          <cell r="S6334">
            <v>0</v>
          </cell>
          <cell r="T6334">
            <v>0</v>
          </cell>
          <cell r="U6334" t="b">
            <v>0</v>
          </cell>
        </row>
        <row r="6335">
          <cell r="A6335" t="str">
            <v>Data split-10;Reg-104</v>
          </cell>
          <cell r="B6335">
            <v>-5.2</v>
          </cell>
          <cell r="C6335">
            <v>3.2</v>
          </cell>
          <cell r="D6335">
            <v>0</v>
          </cell>
          <cell r="E6335">
            <v>-1.3</v>
          </cell>
          <cell r="F6335">
            <v>0</v>
          </cell>
          <cell r="G6335">
            <v>0</v>
          </cell>
          <cell r="H6335">
            <v>0</v>
          </cell>
          <cell r="I6335">
            <v>0</v>
          </cell>
          <cell r="J6335">
            <v>0</v>
          </cell>
          <cell r="K6335">
            <v>0.48</v>
          </cell>
          <cell r="L6335">
            <v>0</v>
          </cell>
          <cell r="M6335">
            <v>0</v>
          </cell>
          <cell r="N6335">
            <v>0</v>
          </cell>
          <cell r="O6335">
            <v>0</v>
          </cell>
          <cell r="P6335">
            <v>0</v>
          </cell>
          <cell r="Q6335">
            <v>0</v>
          </cell>
          <cell r="R6335">
            <v>0</v>
          </cell>
          <cell r="S6335">
            <v>0</v>
          </cell>
          <cell r="T6335">
            <v>0</v>
          </cell>
          <cell r="U6335" t="b">
            <v>0</v>
          </cell>
        </row>
        <row r="6336">
          <cell r="A6336" t="str">
            <v>Data split-10;Reg-105</v>
          </cell>
          <cell r="B6336">
            <v>-5.2</v>
          </cell>
          <cell r="C6336">
            <v>3.2</v>
          </cell>
          <cell r="D6336">
            <v>0</v>
          </cell>
          <cell r="E6336">
            <v>-0.99</v>
          </cell>
          <cell r="F6336">
            <v>0</v>
          </cell>
          <cell r="G6336">
            <v>0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>
            <v>-5</v>
          </cell>
          <cell r="M6336">
            <v>0</v>
          </cell>
          <cell r="N6336">
            <v>0</v>
          </cell>
          <cell r="O6336">
            <v>0</v>
          </cell>
          <cell r="P6336">
            <v>0</v>
          </cell>
          <cell r="Q6336">
            <v>0</v>
          </cell>
          <cell r="R6336">
            <v>0</v>
          </cell>
          <cell r="S6336">
            <v>0</v>
          </cell>
          <cell r="T6336">
            <v>0</v>
          </cell>
          <cell r="U6336" t="b">
            <v>0</v>
          </cell>
        </row>
        <row r="6337">
          <cell r="A6337" t="str">
            <v>Data split-10;Reg-106</v>
          </cell>
          <cell r="B6337">
            <v>-9</v>
          </cell>
          <cell r="C6337">
            <v>2.6</v>
          </cell>
          <cell r="D6337">
            <v>0</v>
          </cell>
          <cell r="E6337">
            <v>0</v>
          </cell>
          <cell r="F6337">
            <v>0.76</v>
          </cell>
          <cell r="G6337">
            <v>0</v>
          </cell>
          <cell r="H6337">
            <v>0</v>
          </cell>
          <cell r="I6337">
            <v>0</v>
          </cell>
          <cell r="J6337">
            <v>0</v>
          </cell>
          <cell r="K6337">
            <v>-1.3</v>
          </cell>
          <cell r="L6337">
            <v>0</v>
          </cell>
          <cell r="M6337">
            <v>0</v>
          </cell>
          <cell r="N6337">
            <v>0</v>
          </cell>
          <cell r="O6337">
            <v>0</v>
          </cell>
          <cell r="P6337">
            <v>0</v>
          </cell>
          <cell r="Q6337">
            <v>0</v>
          </cell>
          <cell r="R6337">
            <v>0</v>
          </cell>
          <cell r="S6337">
            <v>0</v>
          </cell>
          <cell r="T6337">
            <v>0</v>
          </cell>
          <cell r="U6337" t="b">
            <v>1</v>
          </cell>
        </row>
        <row r="6338">
          <cell r="A6338" t="str">
            <v>Data split-10;Reg-107</v>
          </cell>
          <cell r="B6338">
            <v>-8.4</v>
          </cell>
          <cell r="C6338">
            <v>2.6</v>
          </cell>
          <cell r="D6338">
            <v>0</v>
          </cell>
          <cell r="E6338">
            <v>0</v>
          </cell>
          <cell r="F6338">
            <v>0.67</v>
          </cell>
          <cell r="G6338">
            <v>0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>
            <v>-9.9</v>
          </cell>
          <cell r="M6338">
            <v>0</v>
          </cell>
          <cell r="N6338">
            <v>0</v>
          </cell>
          <cell r="O6338">
            <v>0</v>
          </cell>
          <cell r="P6338">
            <v>0</v>
          </cell>
          <cell r="Q6338">
            <v>0</v>
          </cell>
          <cell r="R6338">
            <v>0</v>
          </cell>
          <cell r="S6338">
            <v>0</v>
          </cell>
          <cell r="T6338">
            <v>0</v>
          </cell>
          <cell r="U6338" t="b">
            <v>1</v>
          </cell>
        </row>
        <row r="6339">
          <cell r="A6339" t="str">
            <v>Data split-10;Reg-108</v>
          </cell>
          <cell r="B6339">
            <v>-5.5</v>
          </cell>
          <cell r="C6339">
            <v>0</v>
          </cell>
          <cell r="D6339">
            <v>3.3</v>
          </cell>
          <cell r="E6339">
            <v>-1.4</v>
          </cell>
          <cell r="F6339">
            <v>0</v>
          </cell>
          <cell r="G6339">
            <v>0</v>
          </cell>
          <cell r="H6339">
            <v>0</v>
          </cell>
          <cell r="I6339">
            <v>0</v>
          </cell>
          <cell r="J6339">
            <v>0</v>
          </cell>
          <cell r="K6339">
            <v>0.41</v>
          </cell>
          <cell r="L6339">
            <v>0</v>
          </cell>
          <cell r="M6339">
            <v>0</v>
          </cell>
          <cell r="N6339">
            <v>0</v>
          </cell>
          <cell r="O6339">
            <v>0</v>
          </cell>
          <cell r="P6339">
            <v>0</v>
          </cell>
          <cell r="Q6339">
            <v>0</v>
          </cell>
          <cell r="R6339">
            <v>0</v>
          </cell>
          <cell r="S6339">
            <v>0</v>
          </cell>
          <cell r="T6339">
            <v>0</v>
          </cell>
          <cell r="U6339" t="b">
            <v>0</v>
          </cell>
        </row>
        <row r="6340">
          <cell r="A6340" t="str">
            <v>Data split-10;Reg-109</v>
          </cell>
          <cell r="B6340">
            <v>-5.5</v>
          </cell>
          <cell r="C6340">
            <v>0</v>
          </cell>
          <cell r="D6340">
            <v>3.3</v>
          </cell>
          <cell r="E6340">
            <v>-1.1000000000000001</v>
          </cell>
          <cell r="F6340">
            <v>0</v>
          </cell>
          <cell r="G6340">
            <v>0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-5.8</v>
          </cell>
          <cell r="M6340">
            <v>0</v>
          </cell>
          <cell r="N6340">
            <v>0</v>
          </cell>
          <cell r="O6340">
            <v>0</v>
          </cell>
          <cell r="P6340">
            <v>0</v>
          </cell>
          <cell r="Q6340">
            <v>0</v>
          </cell>
          <cell r="R6340">
            <v>0</v>
          </cell>
          <cell r="S6340">
            <v>0</v>
          </cell>
          <cell r="T6340">
            <v>0</v>
          </cell>
          <cell r="U6340" t="b">
            <v>0</v>
          </cell>
        </row>
        <row r="6341">
          <cell r="A6341" t="str">
            <v>Data split-10;Reg-110</v>
          </cell>
          <cell r="B6341">
            <v>-9.3000000000000007</v>
          </cell>
          <cell r="C6341">
            <v>0</v>
          </cell>
          <cell r="D6341">
            <v>2.6</v>
          </cell>
          <cell r="E6341">
            <v>0</v>
          </cell>
          <cell r="F6341">
            <v>0.73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-1.4</v>
          </cell>
          <cell r="L6341">
            <v>0</v>
          </cell>
          <cell r="M6341">
            <v>0</v>
          </cell>
          <cell r="N6341">
            <v>0</v>
          </cell>
          <cell r="O6341">
            <v>0</v>
          </cell>
          <cell r="P6341">
            <v>0</v>
          </cell>
          <cell r="Q6341">
            <v>0</v>
          </cell>
          <cell r="R6341">
            <v>0</v>
          </cell>
          <cell r="S6341">
            <v>0</v>
          </cell>
          <cell r="T6341">
            <v>0</v>
          </cell>
          <cell r="U6341" t="b">
            <v>1</v>
          </cell>
        </row>
        <row r="6342">
          <cell r="A6342" t="str">
            <v>Data split-10;Reg-111</v>
          </cell>
          <cell r="B6342">
            <v>-8.6999999999999993</v>
          </cell>
          <cell r="C6342">
            <v>0</v>
          </cell>
          <cell r="D6342">
            <v>2.6</v>
          </cell>
          <cell r="E6342">
            <v>0</v>
          </cell>
          <cell r="F6342">
            <v>0.63</v>
          </cell>
          <cell r="G6342">
            <v>0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-10.9</v>
          </cell>
          <cell r="M6342">
            <v>0</v>
          </cell>
          <cell r="N6342">
            <v>0</v>
          </cell>
          <cell r="O6342">
            <v>0</v>
          </cell>
          <cell r="P6342">
            <v>0</v>
          </cell>
          <cell r="Q6342">
            <v>0</v>
          </cell>
          <cell r="R6342">
            <v>0</v>
          </cell>
          <cell r="S6342">
            <v>0</v>
          </cell>
          <cell r="T6342">
            <v>0</v>
          </cell>
          <cell r="U6342" t="b">
            <v>1</v>
          </cell>
        </row>
        <row r="6343">
          <cell r="A6343" t="str">
            <v>Data split-10;Reg-112</v>
          </cell>
          <cell r="B6343">
            <v>-7.9</v>
          </cell>
          <cell r="C6343">
            <v>3.1</v>
          </cell>
          <cell r="D6343">
            <v>0</v>
          </cell>
          <cell r="E6343">
            <v>0</v>
          </cell>
          <cell r="F6343">
            <v>0</v>
          </cell>
          <cell r="G6343">
            <v>-2</v>
          </cell>
          <cell r="H6343">
            <v>0</v>
          </cell>
          <cell r="I6343">
            <v>5.5</v>
          </cell>
          <cell r="J6343">
            <v>0</v>
          </cell>
          <cell r="K6343">
            <v>0</v>
          </cell>
          <cell r="L6343">
            <v>0</v>
          </cell>
          <cell r="M6343">
            <v>0</v>
          </cell>
          <cell r="N6343">
            <v>0</v>
          </cell>
          <cell r="O6343">
            <v>0</v>
          </cell>
          <cell r="P6343">
            <v>0</v>
          </cell>
          <cell r="Q6343">
            <v>0</v>
          </cell>
          <cell r="R6343">
            <v>0</v>
          </cell>
          <cell r="S6343">
            <v>0</v>
          </cell>
          <cell r="T6343">
            <v>0</v>
          </cell>
          <cell r="U6343" t="b">
            <v>0</v>
          </cell>
        </row>
        <row r="6344">
          <cell r="A6344" t="str">
            <v>Data split-10;Reg-113</v>
          </cell>
          <cell r="B6344">
            <v>-10.3</v>
          </cell>
          <cell r="C6344">
            <v>3.2</v>
          </cell>
          <cell r="D6344">
            <v>0</v>
          </cell>
          <cell r="E6344">
            <v>0</v>
          </cell>
          <cell r="F6344">
            <v>0</v>
          </cell>
          <cell r="G6344">
            <v>-1.6</v>
          </cell>
          <cell r="H6344">
            <v>0</v>
          </cell>
          <cell r="I6344">
            <v>0</v>
          </cell>
          <cell r="J6344">
            <v>42</v>
          </cell>
          <cell r="K6344">
            <v>0</v>
          </cell>
          <cell r="L6344">
            <v>0</v>
          </cell>
          <cell r="M6344">
            <v>0</v>
          </cell>
          <cell r="N6344">
            <v>0</v>
          </cell>
          <cell r="O6344">
            <v>0</v>
          </cell>
          <cell r="P6344">
            <v>0</v>
          </cell>
          <cell r="Q6344">
            <v>0</v>
          </cell>
          <cell r="R6344">
            <v>0</v>
          </cell>
          <cell r="S6344">
            <v>0</v>
          </cell>
          <cell r="T6344">
            <v>0</v>
          </cell>
          <cell r="U6344" t="b">
            <v>0</v>
          </cell>
        </row>
        <row r="6345">
          <cell r="A6345" t="str">
            <v>Data split-10;Reg-114</v>
          </cell>
          <cell r="B6345">
            <v>-8.1</v>
          </cell>
          <cell r="C6345">
            <v>3.2</v>
          </cell>
          <cell r="D6345">
            <v>0</v>
          </cell>
          <cell r="E6345">
            <v>0</v>
          </cell>
          <cell r="F6345">
            <v>0</v>
          </cell>
          <cell r="G6345">
            <v>0</v>
          </cell>
          <cell r="H6345">
            <v>-2.9</v>
          </cell>
          <cell r="I6345">
            <v>5.2</v>
          </cell>
          <cell r="J6345">
            <v>0</v>
          </cell>
          <cell r="K6345">
            <v>0</v>
          </cell>
          <cell r="L6345">
            <v>0</v>
          </cell>
          <cell r="M6345">
            <v>0</v>
          </cell>
          <cell r="N6345">
            <v>0</v>
          </cell>
          <cell r="O6345">
            <v>0</v>
          </cell>
          <cell r="P6345">
            <v>0</v>
          </cell>
          <cell r="Q6345">
            <v>0</v>
          </cell>
          <cell r="R6345">
            <v>0</v>
          </cell>
          <cell r="S6345">
            <v>0</v>
          </cell>
          <cell r="T6345">
            <v>0</v>
          </cell>
          <cell r="U6345" t="b">
            <v>0</v>
          </cell>
        </row>
        <row r="6346">
          <cell r="A6346" t="str">
            <v>Data split-10;Reg-115</v>
          </cell>
          <cell r="B6346">
            <v>-10.6</v>
          </cell>
          <cell r="C6346">
            <v>3.2</v>
          </cell>
          <cell r="D6346">
            <v>0</v>
          </cell>
          <cell r="E6346">
            <v>0</v>
          </cell>
          <cell r="F6346">
            <v>0</v>
          </cell>
          <cell r="G6346">
            <v>0</v>
          </cell>
          <cell r="H6346">
            <v>-2.4</v>
          </cell>
          <cell r="I6346">
            <v>0</v>
          </cell>
          <cell r="J6346">
            <v>42.3</v>
          </cell>
          <cell r="K6346">
            <v>0</v>
          </cell>
          <cell r="L6346">
            <v>0</v>
          </cell>
          <cell r="M6346">
            <v>0</v>
          </cell>
          <cell r="N6346">
            <v>0</v>
          </cell>
          <cell r="O6346">
            <v>0</v>
          </cell>
          <cell r="P6346">
            <v>0</v>
          </cell>
          <cell r="Q6346">
            <v>0</v>
          </cell>
          <cell r="R6346">
            <v>0</v>
          </cell>
          <cell r="S6346">
            <v>0</v>
          </cell>
          <cell r="T6346">
            <v>0</v>
          </cell>
          <cell r="U6346" t="b">
            <v>0</v>
          </cell>
        </row>
        <row r="6347">
          <cell r="A6347" t="str">
            <v>Data split-10;Reg-116</v>
          </cell>
          <cell r="B6347">
            <v>-8</v>
          </cell>
          <cell r="C6347">
            <v>0</v>
          </cell>
          <cell r="D6347">
            <v>3.2</v>
          </cell>
          <cell r="E6347">
            <v>0</v>
          </cell>
          <cell r="F6347">
            <v>0</v>
          </cell>
          <cell r="G6347">
            <v>-2</v>
          </cell>
          <cell r="H6347">
            <v>0</v>
          </cell>
          <cell r="I6347">
            <v>5.0999999999999996</v>
          </cell>
          <cell r="J6347">
            <v>0</v>
          </cell>
          <cell r="K6347">
            <v>0</v>
          </cell>
          <cell r="L6347">
            <v>0</v>
          </cell>
          <cell r="M6347">
            <v>0</v>
          </cell>
          <cell r="N6347">
            <v>0</v>
          </cell>
          <cell r="O6347">
            <v>0</v>
          </cell>
          <cell r="P6347">
            <v>0</v>
          </cell>
          <cell r="Q6347">
            <v>0</v>
          </cell>
          <cell r="R6347">
            <v>0</v>
          </cell>
          <cell r="S6347">
            <v>0</v>
          </cell>
          <cell r="T6347">
            <v>0</v>
          </cell>
          <cell r="U6347" t="b">
            <v>0</v>
          </cell>
        </row>
        <row r="6348">
          <cell r="A6348" t="str">
            <v>Data split-10;Reg-117</v>
          </cell>
          <cell r="B6348">
            <v>-9.9</v>
          </cell>
          <cell r="C6348">
            <v>0</v>
          </cell>
          <cell r="D6348">
            <v>3.2</v>
          </cell>
          <cell r="E6348">
            <v>0</v>
          </cell>
          <cell r="F6348">
            <v>0</v>
          </cell>
          <cell r="G6348">
            <v>-1.5</v>
          </cell>
          <cell r="H6348">
            <v>0</v>
          </cell>
          <cell r="I6348">
            <v>0</v>
          </cell>
          <cell r="J6348">
            <v>36</v>
          </cell>
          <cell r="K6348">
            <v>0</v>
          </cell>
          <cell r="L6348">
            <v>0</v>
          </cell>
          <cell r="M6348">
            <v>0</v>
          </cell>
          <cell r="N6348">
            <v>0</v>
          </cell>
          <cell r="O6348">
            <v>0</v>
          </cell>
          <cell r="P6348">
            <v>0</v>
          </cell>
          <cell r="Q6348">
            <v>0</v>
          </cell>
          <cell r="R6348">
            <v>0</v>
          </cell>
          <cell r="S6348">
            <v>0</v>
          </cell>
          <cell r="T6348">
            <v>0</v>
          </cell>
          <cell r="U6348" t="b">
            <v>0</v>
          </cell>
        </row>
        <row r="6349">
          <cell r="A6349" t="str">
            <v>Data split-10;Reg-118</v>
          </cell>
          <cell r="B6349">
            <v>-8.1999999999999993</v>
          </cell>
          <cell r="C6349">
            <v>0</v>
          </cell>
          <cell r="D6349">
            <v>3.2</v>
          </cell>
          <cell r="E6349">
            <v>0</v>
          </cell>
          <cell r="F6349">
            <v>0</v>
          </cell>
          <cell r="G6349">
            <v>0</v>
          </cell>
          <cell r="H6349">
            <v>-2.8</v>
          </cell>
          <cell r="I6349">
            <v>4.7</v>
          </cell>
          <cell r="J6349">
            <v>0</v>
          </cell>
          <cell r="K6349">
            <v>0</v>
          </cell>
          <cell r="L6349">
            <v>0</v>
          </cell>
          <cell r="M6349">
            <v>0</v>
          </cell>
          <cell r="N6349">
            <v>0</v>
          </cell>
          <cell r="O6349">
            <v>0</v>
          </cell>
          <cell r="P6349">
            <v>0</v>
          </cell>
          <cell r="Q6349">
            <v>0</v>
          </cell>
          <cell r="R6349">
            <v>0</v>
          </cell>
          <cell r="S6349">
            <v>0</v>
          </cell>
          <cell r="T6349">
            <v>0</v>
          </cell>
          <cell r="U6349" t="b">
            <v>0</v>
          </cell>
        </row>
        <row r="6350">
          <cell r="A6350" t="str">
            <v>Data split-10;Reg-119</v>
          </cell>
          <cell r="B6350">
            <v>-10.199999999999999</v>
          </cell>
          <cell r="C6350">
            <v>0</v>
          </cell>
          <cell r="D6350">
            <v>3.2</v>
          </cell>
          <cell r="E6350">
            <v>0</v>
          </cell>
          <cell r="F6350">
            <v>0</v>
          </cell>
          <cell r="G6350">
            <v>0</v>
          </cell>
          <cell r="H6350">
            <v>-2.2000000000000002</v>
          </cell>
          <cell r="I6350">
            <v>0</v>
          </cell>
          <cell r="J6350">
            <v>35.700000000000003</v>
          </cell>
          <cell r="K6350">
            <v>0</v>
          </cell>
          <cell r="L6350">
            <v>0</v>
          </cell>
          <cell r="M6350">
            <v>0</v>
          </cell>
          <cell r="N6350">
            <v>0</v>
          </cell>
          <cell r="O6350">
            <v>0</v>
          </cell>
          <cell r="P6350">
            <v>0</v>
          </cell>
          <cell r="Q6350">
            <v>0</v>
          </cell>
          <cell r="R6350">
            <v>0</v>
          </cell>
          <cell r="S6350">
            <v>0</v>
          </cell>
          <cell r="T6350">
            <v>0</v>
          </cell>
          <cell r="U6350" t="b">
            <v>0</v>
          </cell>
        </row>
        <row r="6351">
          <cell r="A6351" t="str">
            <v>Data split-10;Reg-120</v>
          </cell>
          <cell r="B6351">
            <v>-5.6</v>
          </cell>
          <cell r="C6351">
            <v>3.2</v>
          </cell>
          <cell r="D6351">
            <v>0</v>
          </cell>
          <cell r="E6351">
            <v>0</v>
          </cell>
          <cell r="F6351">
            <v>0</v>
          </cell>
          <cell r="G6351">
            <v>-0.82</v>
          </cell>
          <cell r="H6351">
            <v>0</v>
          </cell>
          <cell r="I6351">
            <v>0</v>
          </cell>
          <cell r="J6351">
            <v>0</v>
          </cell>
          <cell r="K6351">
            <v>-0.32</v>
          </cell>
          <cell r="L6351">
            <v>0</v>
          </cell>
          <cell r="M6351">
            <v>0</v>
          </cell>
          <cell r="N6351">
            <v>0</v>
          </cell>
          <cell r="O6351">
            <v>0</v>
          </cell>
          <cell r="P6351">
            <v>0</v>
          </cell>
          <cell r="Q6351">
            <v>0</v>
          </cell>
          <cell r="R6351">
            <v>0</v>
          </cell>
          <cell r="S6351">
            <v>0</v>
          </cell>
          <cell r="T6351">
            <v>0</v>
          </cell>
          <cell r="U6351" t="b">
            <v>0</v>
          </cell>
        </row>
        <row r="6352">
          <cell r="A6352" t="str">
            <v>Data split-10;Reg-121</v>
          </cell>
          <cell r="B6352">
            <v>-4.7</v>
          </cell>
          <cell r="C6352">
            <v>3.3</v>
          </cell>
          <cell r="D6352">
            <v>0</v>
          </cell>
          <cell r="E6352">
            <v>0</v>
          </cell>
          <cell r="F6352">
            <v>0</v>
          </cell>
          <cell r="G6352">
            <v>-0.85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>
            <v>-9.1</v>
          </cell>
          <cell r="M6352">
            <v>0</v>
          </cell>
          <cell r="N6352">
            <v>0</v>
          </cell>
          <cell r="O6352">
            <v>0</v>
          </cell>
          <cell r="P6352">
            <v>0</v>
          </cell>
          <cell r="Q6352">
            <v>0</v>
          </cell>
          <cell r="R6352">
            <v>0</v>
          </cell>
          <cell r="S6352">
            <v>0</v>
          </cell>
          <cell r="T6352">
            <v>0</v>
          </cell>
          <cell r="U6352" t="b">
            <v>0</v>
          </cell>
        </row>
        <row r="6353">
          <cell r="A6353" t="str">
            <v>Data split-10;Reg-122</v>
          </cell>
          <cell r="B6353">
            <v>-6.3</v>
          </cell>
          <cell r="C6353">
            <v>3.1</v>
          </cell>
          <cell r="D6353">
            <v>0</v>
          </cell>
          <cell r="E6353">
            <v>0</v>
          </cell>
          <cell r="F6353">
            <v>0</v>
          </cell>
          <cell r="G6353">
            <v>0</v>
          </cell>
          <cell r="H6353">
            <v>-0.89</v>
          </cell>
          <cell r="I6353">
            <v>0</v>
          </cell>
          <cell r="J6353">
            <v>0</v>
          </cell>
          <cell r="K6353">
            <v>-0.43</v>
          </cell>
          <cell r="L6353">
            <v>0</v>
          </cell>
          <cell r="M6353">
            <v>0</v>
          </cell>
          <cell r="N6353">
            <v>0</v>
          </cell>
          <cell r="O6353">
            <v>0</v>
          </cell>
          <cell r="P6353">
            <v>0</v>
          </cell>
          <cell r="Q6353">
            <v>0</v>
          </cell>
          <cell r="R6353">
            <v>0</v>
          </cell>
          <cell r="S6353">
            <v>0</v>
          </cell>
          <cell r="T6353">
            <v>0</v>
          </cell>
          <cell r="U6353" t="b">
            <v>0</v>
          </cell>
        </row>
        <row r="6354">
          <cell r="A6354" t="str">
            <v>Data split-10;Reg-123</v>
          </cell>
          <cell r="B6354">
            <v>-5.6</v>
          </cell>
          <cell r="C6354">
            <v>3.2</v>
          </cell>
          <cell r="D6354">
            <v>0</v>
          </cell>
          <cell r="E6354">
            <v>0</v>
          </cell>
          <cell r="F6354">
            <v>0</v>
          </cell>
          <cell r="G6354">
            <v>0</v>
          </cell>
          <cell r="H6354">
            <v>-0.9</v>
          </cell>
          <cell r="I6354">
            <v>0</v>
          </cell>
          <cell r="J6354">
            <v>0</v>
          </cell>
          <cell r="K6354">
            <v>0</v>
          </cell>
          <cell r="L6354">
            <v>-8.3000000000000007</v>
          </cell>
          <cell r="M6354">
            <v>0</v>
          </cell>
          <cell r="N6354">
            <v>0</v>
          </cell>
          <cell r="O6354">
            <v>0</v>
          </cell>
          <cell r="P6354">
            <v>0</v>
          </cell>
          <cell r="Q6354">
            <v>0</v>
          </cell>
          <cell r="R6354">
            <v>0</v>
          </cell>
          <cell r="S6354">
            <v>0</v>
          </cell>
          <cell r="T6354">
            <v>0</v>
          </cell>
          <cell r="U6354" t="b">
            <v>0</v>
          </cell>
        </row>
        <row r="6355">
          <cell r="A6355" t="str">
            <v>Data split-10;Reg-124</v>
          </cell>
          <cell r="B6355">
            <v>-5.9</v>
          </cell>
          <cell r="C6355">
            <v>0</v>
          </cell>
          <cell r="D6355">
            <v>3.3</v>
          </cell>
          <cell r="E6355">
            <v>0</v>
          </cell>
          <cell r="F6355">
            <v>0</v>
          </cell>
          <cell r="G6355">
            <v>-0.88</v>
          </cell>
          <cell r="H6355">
            <v>0</v>
          </cell>
          <cell r="I6355">
            <v>0</v>
          </cell>
          <cell r="J6355">
            <v>0</v>
          </cell>
          <cell r="K6355">
            <v>-0.43</v>
          </cell>
          <cell r="L6355">
            <v>0</v>
          </cell>
          <cell r="M6355">
            <v>0</v>
          </cell>
          <cell r="N6355">
            <v>0</v>
          </cell>
          <cell r="O6355">
            <v>0</v>
          </cell>
          <cell r="P6355">
            <v>0</v>
          </cell>
          <cell r="Q6355">
            <v>0</v>
          </cell>
          <cell r="R6355">
            <v>0</v>
          </cell>
          <cell r="S6355">
            <v>0</v>
          </cell>
          <cell r="T6355">
            <v>0</v>
          </cell>
          <cell r="U6355" t="b">
            <v>0</v>
          </cell>
        </row>
        <row r="6356">
          <cell r="A6356" t="str">
            <v>Data split-10;Reg-125</v>
          </cell>
          <cell r="B6356">
            <v>-4.8</v>
          </cell>
          <cell r="C6356">
            <v>0</v>
          </cell>
          <cell r="D6356">
            <v>3.4</v>
          </cell>
          <cell r="E6356">
            <v>0</v>
          </cell>
          <cell r="F6356">
            <v>0</v>
          </cell>
          <cell r="G6356">
            <v>-0.93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>
            <v>-10.3</v>
          </cell>
          <cell r="M6356">
            <v>0</v>
          </cell>
          <cell r="N6356">
            <v>0</v>
          </cell>
          <cell r="O6356">
            <v>0</v>
          </cell>
          <cell r="P6356">
            <v>0</v>
          </cell>
          <cell r="Q6356">
            <v>0</v>
          </cell>
          <cell r="R6356">
            <v>0</v>
          </cell>
          <cell r="S6356">
            <v>0</v>
          </cell>
          <cell r="T6356">
            <v>0</v>
          </cell>
          <cell r="U6356" t="b">
            <v>0</v>
          </cell>
        </row>
        <row r="6357">
          <cell r="A6357" t="str">
            <v>Data split-10;Reg-126</v>
          </cell>
          <cell r="B6357">
            <v>-6.7</v>
          </cell>
          <cell r="C6357">
            <v>0</v>
          </cell>
          <cell r="D6357">
            <v>3.2</v>
          </cell>
          <cell r="E6357">
            <v>0</v>
          </cell>
          <cell r="F6357">
            <v>0</v>
          </cell>
          <cell r="G6357">
            <v>0</v>
          </cell>
          <cell r="H6357">
            <v>-0.96</v>
          </cell>
          <cell r="I6357">
            <v>0</v>
          </cell>
          <cell r="J6357">
            <v>0</v>
          </cell>
          <cell r="K6357">
            <v>-0.54</v>
          </cell>
          <cell r="L6357">
            <v>0</v>
          </cell>
          <cell r="M6357">
            <v>0</v>
          </cell>
          <cell r="N6357">
            <v>0</v>
          </cell>
          <cell r="O6357">
            <v>0</v>
          </cell>
          <cell r="P6357">
            <v>0</v>
          </cell>
          <cell r="Q6357">
            <v>0</v>
          </cell>
          <cell r="R6357">
            <v>0</v>
          </cell>
          <cell r="S6357">
            <v>0</v>
          </cell>
          <cell r="T6357">
            <v>0</v>
          </cell>
          <cell r="U6357" t="b">
            <v>0</v>
          </cell>
        </row>
        <row r="6358">
          <cell r="A6358" t="str">
            <v>Data split-10;Reg-127</v>
          </cell>
          <cell r="B6358">
            <v>-5.8</v>
          </cell>
          <cell r="C6358">
            <v>0</v>
          </cell>
          <cell r="D6358">
            <v>3.2</v>
          </cell>
          <cell r="E6358">
            <v>0</v>
          </cell>
          <cell r="F6358">
            <v>0</v>
          </cell>
          <cell r="G6358">
            <v>0</v>
          </cell>
          <cell r="H6358">
            <v>-0.99</v>
          </cell>
          <cell r="I6358">
            <v>0</v>
          </cell>
          <cell r="J6358">
            <v>0</v>
          </cell>
          <cell r="K6358">
            <v>0</v>
          </cell>
          <cell r="L6358">
            <v>-9.4</v>
          </cell>
          <cell r="M6358">
            <v>0</v>
          </cell>
          <cell r="N6358">
            <v>0</v>
          </cell>
          <cell r="O6358">
            <v>0</v>
          </cell>
          <cell r="P6358">
            <v>0</v>
          </cell>
          <cell r="Q6358">
            <v>0</v>
          </cell>
          <cell r="R6358">
            <v>0</v>
          </cell>
          <cell r="S6358">
            <v>0</v>
          </cell>
          <cell r="T6358">
            <v>0</v>
          </cell>
          <cell r="U6358" t="b">
            <v>0</v>
          </cell>
        </row>
        <row r="6359">
          <cell r="A6359" t="str">
            <v>Data split-11;Reg-1</v>
          </cell>
          <cell r="B6359">
            <v>-8.1999999999999993</v>
          </cell>
          <cell r="C6359">
            <v>2.7</v>
          </cell>
          <cell r="D6359">
            <v>0</v>
          </cell>
          <cell r="E6359">
            <v>0</v>
          </cell>
          <cell r="F6359">
            <v>0.13</v>
          </cell>
          <cell r="G6359">
            <v>0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>
            <v>-4.9000000000000004</v>
          </cell>
          <cell r="M6359">
            <v>0</v>
          </cell>
          <cell r="N6359">
            <v>0</v>
          </cell>
          <cell r="O6359">
            <v>0</v>
          </cell>
          <cell r="P6359">
            <v>0</v>
          </cell>
          <cell r="Q6359">
            <v>0</v>
          </cell>
          <cell r="R6359">
            <v>0</v>
          </cell>
          <cell r="S6359">
            <v>0</v>
          </cell>
          <cell r="T6359">
            <v>0</v>
          </cell>
          <cell r="U6359" t="b">
            <v>1</v>
          </cell>
        </row>
        <row r="6360">
          <cell r="A6360" t="str">
            <v>Data split-11;Reg-2</v>
          </cell>
          <cell r="B6360">
            <v>-3.3</v>
          </cell>
          <cell r="C6360">
            <v>3.3</v>
          </cell>
          <cell r="D6360">
            <v>0</v>
          </cell>
          <cell r="E6360">
            <v>0</v>
          </cell>
          <cell r="F6360">
            <v>0.38</v>
          </cell>
          <cell r="G6360">
            <v>-1.5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0</v>
          </cell>
          <cell r="M6360">
            <v>-4.3999999999999997E-2</v>
          </cell>
          <cell r="N6360">
            <v>0</v>
          </cell>
          <cell r="O6360">
            <v>0</v>
          </cell>
          <cell r="P6360">
            <v>0</v>
          </cell>
          <cell r="Q6360">
            <v>0</v>
          </cell>
          <cell r="R6360">
            <v>0</v>
          </cell>
          <cell r="S6360">
            <v>0</v>
          </cell>
          <cell r="T6360">
            <v>0</v>
          </cell>
          <cell r="U6360" t="b">
            <v>0</v>
          </cell>
        </row>
        <row r="6361">
          <cell r="A6361" t="str">
            <v>Data split-11;Reg-3</v>
          </cell>
          <cell r="B6361">
            <v>-3.3</v>
          </cell>
          <cell r="C6361">
            <v>3.3</v>
          </cell>
          <cell r="D6361">
            <v>0</v>
          </cell>
          <cell r="E6361">
            <v>0</v>
          </cell>
          <cell r="F6361">
            <v>0.28999999999999998</v>
          </cell>
          <cell r="G6361">
            <v>-1.8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>
            <v>0</v>
          </cell>
          <cell r="M6361">
            <v>0</v>
          </cell>
          <cell r="N6361">
            <v>-7.2999999999999996E-4</v>
          </cell>
          <cell r="O6361">
            <v>0</v>
          </cell>
          <cell r="P6361">
            <v>0</v>
          </cell>
          <cell r="Q6361">
            <v>0</v>
          </cell>
          <cell r="R6361">
            <v>0</v>
          </cell>
          <cell r="S6361">
            <v>0</v>
          </cell>
          <cell r="T6361">
            <v>0</v>
          </cell>
          <cell r="U6361" t="b">
            <v>0</v>
          </cell>
        </row>
        <row r="6362">
          <cell r="A6362" t="str">
            <v>Data split-11;Reg-4</v>
          </cell>
          <cell r="B6362">
            <v>-3.6</v>
          </cell>
          <cell r="C6362">
            <v>3.3</v>
          </cell>
          <cell r="D6362">
            <v>0</v>
          </cell>
          <cell r="E6362">
            <v>0</v>
          </cell>
          <cell r="F6362">
            <v>0.61</v>
          </cell>
          <cell r="G6362">
            <v>0</v>
          </cell>
          <cell r="H6362">
            <v>-2.9</v>
          </cell>
          <cell r="I6362">
            <v>0</v>
          </cell>
          <cell r="J6362">
            <v>0</v>
          </cell>
          <cell r="K6362">
            <v>0</v>
          </cell>
          <cell r="L6362">
            <v>0</v>
          </cell>
          <cell r="M6362">
            <v>-8.0000000000000002E-3</v>
          </cell>
          <cell r="N6362">
            <v>0</v>
          </cell>
          <cell r="O6362">
            <v>0</v>
          </cell>
          <cell r="P6362">
            <v>0</v>
          </cell>
          <cell r="Q6362">
            <v>0</v>
          </cell>
          <cell r="R6362">
            <v>0</v>
          </cell>
          <cell r="S6362">
            <v>0</v>
          </cell>
          <cell r="T6362">
            <v>0</v>
          </cell>
          <cell r="U6362" t="b">
            <v>0</v>
          </cell>
        </row>
        <row r="6363">
          <cell r="A6363" t="str">
            <v>Data split-11;Reg-5</v>
          </cell>
          <cell r="B6363">
            <v>-3.4</v>
          </cell>
          <cell r="C6363">
            <v>0</v>
          </cell>
          <cell r="D6363">
            <v>3.3</v>
          </cell>
          <cell r="E6363">
            <v>0</v>
          </cell>
          <cell r="F6363">
            <v>0.61</v>
          </cell>
          <cell r="G6363">
            <v>0</v>
          </cell>
          <cell r="H6363">
            <v>-2.8</v>
          </cell>
          <cell r="I6363">
            <v>0</v>
          </cell>
          <cell r="J6363">
            <v>0</v>
          </cell>
          <cell r="K6363">
            <v>0</v>
          </cell>
          <cell r="L6363">
            <v>0</v>
          </cell>
          <cell r="M6363">
            <v>-1.0999999999999999E-2</v>
          </cell>
          <cell r="N6363">
            <v>0</v>
          </cell>
          <cell r="O6363">
            <v>0</v>
          </cell>
          <cell r="P6363">
            <v>0</v>
          </cell>
          <cell r="Q6363">
            <v>0</v>
          </cell>
          <cell r="R6363">
            <v>0</v>
          </cell>
          <cell r="S6363">
            <v>0</v>
          </cell>
          <cell r="T6363">
            <v>0</v>
          </cell>
          <cell r="U6363" t="b">
            <v>0</v>
          </cell>
        </row>
        <row r="6364">
          <cell r="A6364" t="str">
            <v>Data split-11;Reg-6</v>
          </cell>
          <cell r="B6364">
            <v>-3.2</v>
          </cell>
          <cell r="C6364">
            <v>3.6</v>
          </cell>
          <cell r="D6364">
            <v>0</v>
          </cell>
          <cell r="E6364">
            <v>-3.4</v>
          </cell>
          <cell r="F6364">
            <v>0</v>
          </cell>
          <cell r="G6364">
            <v>0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21.9</v>
          </cell>
          <cell r="M6364">
            <v>3.6999999999999998E-2</v>
          </cell>
          <cell r="N6364">
            <v>0</v>
          </cell>
          <cell r="O6364">
            <v>0</v>
          </cell>
          <cell r="P6364">
            <v>0</v>
          </cell>
          <cell r="Q6364">
            <v>0</v>
          </cell>
          <cell r="R6364">
            <v>0</v>
          </cell>
          <cell r="S6364">
            <v>0</v>
          </cell>
          <cell r="T6364">
            <v>0</v>
          </cell>
          <cell r="U6364" t="b">
            <v>0</v>
          </cell>
        </row>
        <row r="6365">
          <cell r="A6365" t="str">
            <v>Data split-11;Reg-7</v>
          </cell>
          <cell r="B6365">
            <v>-5.3</v>
          </cell>
          <cell r="C6365">
            <v>2.9</v>
          </cell>
          <cell r="D6365">
            <v>0</v>
          </cell>
          <cell r="E6365">
            <v>0</v>
          </cell>
          <cell r="F6365">
            <v>0.56999999999999995</v>
          </cell>
          <cell r="G6365">
            <v>0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4.0999999999999996</v>
          </cell>
          <cell r="M6365">
            <v>0</v>
          </cell>
          <cell r="N6365">
            <v>0</v>
          </cell>
          <cell r="O6365">
            <v>0</v>
          </cell>
          <cell r="P6365">
            <v>0</v>
          </cell>
          <cell r="Q6365">
            <v>0</v>
          </cell>
          <cell r="R6365">
            <v>0</v>
          </cell>
          <cell r="S6365">
            <v>-0.15</v>
          </cell>
          <cell r="T6365">
            <v>0</v>
          </cell>
          <cell r="U6365" t="b">
            <v>0</v>
          </cell>
        </row>
        <row r="6366">
          <cell r="A6366" t="str">
            <v>Data split-11;Reg-8</v>
          </cell>
          <cell r="B6366">
            <v>-2.8</v>
          </cell>
          <cell r="C6366">
            <v>3.5</v>
          </cell>
          <cell r="D6366">
            <v>0</v>
          </cell>
          <cell r="E6366">
            <v>0</v>
          </cell>
          <cell r="F6366">
            <v>0</v>
          </cell>
          <cell r="G6366">
            <v>-1.5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>
            <v>12.5</v>
          </cell>
          <cell r="M6366">
            <v>0</v>
          </cell>
          <cell r="N6366">
            <v>0</v>
          </cell>
          <cell r="O6366">
            <v>0</v>
          </cell>
          <cell r="P6366">
            <v>0</v>
          </cell>
          <cell r="Q6366">
            <v>0</v>
          </cell>
          <cell r="R6366">
            <v>0</v>
          </cell>
          <cell r="S6366">
            <v>-6.9000000000000006E-2</v>
          </cell>
          <cell r="T6366">
            <v>0</v>
          </cell>
          <cell r="U6366" t="b">
            <v>0</v>
          </cell>
        </row>
        <row r="6367">
          <cell r="A6367" t="str">
            <v>Data split-11;Reg-9</v>
          </cell>
          <cell r="B6367">
            <v>-3.4</v>
          </cell>
          <cell r="C6367">
            <v>0</v>
          </cell>
          <cell r="D6367">
            <v>3.4</v>
          </cell>
          <cell r="E6367">
            <v>0</v>
          </cell>
          <cell r="F6367">
            <v>0</v>
          </cell>
          <cell r="G6367">
            <v>0</v>
          </cell>
          <cell r="H6367">
            <v>-2</v>
          </cell>
          <cell r="I6367">
            <v>0</v>
          </cell>
          <cell r="J6367">
            <v>0</v>
          </cell>
          <cell r="K6367">
            <v>0</v>
          </cell>
          <cell r="L6367">
            <v>12.7</v>
          </cell>
          <cell r="M6367">
            <v>0</v>
          </cell>
          <cell r="N6367">
            <v>0</v>
          </cell>
          <cell r="O6367">
            <v>0</v>
          </cell>
          <cell r="P6367">
            <v>0</v>
          </cell>
          <cell r="Q6367">
            <v>0</v>
          </cell>
          <cell r="R6367">
            <v>0</v>
          </cell>
          <cell r="S6367">
            <v>-6.4000000000000001E-2</v>
          </cell>
          <cell r="T6367">
            <v>0</v>
          </cell>
          <cell r="U6367" t="b">
            <v>0</v>
          </cell>
        </row>
        <row r="6368">
          <cell r="A6368" t="str">
            <v>Data split-11;Reg-10</v>
          </cell>
          <cell r="B6368">
            <v>-3.4</v>
          </cell>
          <cell r="C6368">
            <v>0</v>
          </cell>
          <cell r="D6368">
            <v>3.4</v>
          </cell>
          <cell r="E6368">
            <v>0</v>
          </cell>
          <cell r="F6368">
            <v>0</v>
          </cell>
          <cell r="G6368">
            <v>0</v>
          </cell>
          <cell r="H6368">
            <v>-2</v>
          </cell>
          <cell r="I6368">
            <v>0</v>
          </cell>
          <cell r="J6368">
            <v>0</v>
          </cell>
          <cell r="K6368">
            <v>0</v>
          </cell>
          <cell r="L6368">
            <v>12.7</v>
          </cell>
          <cell r="M6368">
            <v>0</v>
          </cell>
          <cell r="N6368">
            <v>0</v>
          </cell>
          <cell r="O6368">
            <v>0</v>
          </cell>
          <cell r="P6368">
            <v>0</v>
          </cell>
          <cell r="Q6368">
            <v>0</v>
          </cell>
          <cell r="R6368">
            <v>0</v>
          </cell>
          <cell r="S6368">
            <v>-6.4000000000000001E-2</v>
          </cell>
          <cell r="T6368">
            <v>0</v>
          </cell>
          <cell r="U6368" t="b">
            <v>0</v>
          </cell>
        </row>
        <row r="6369">
          <cell r="A6369" t="str">
            <v>Data split-11;Reg-11</v>
          </cell>
          <cell r="B6369">
            <v>-1.9</v>
          </cell>
          <cell r="C6369">
            <v>3.6</v>
          </cell>
          <cell r="D6369">
            <v>0</v>
          </cell>
          <cell r="E6369">
            <v>-1.7</v>
          </cell>
          <cell r="F6369">
            <v>0</v>
          </cell>
          <cell r="G6369">
            <v>-0.63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0</v>
          </cell>
          <cell r="M6369">
            <v>0</v>
          </cell>
          <cell r="N6369">
            <v>0</v>
          </cell>
          <cell r="O6369">
            <v>0</v>
          </cell>
          <cell r="P6369">
            <v>0</v>
          </cell>
          <cell r="Q6369">
            <v>0</v>
          </cell>
          <cell r="R6369">
            <v>0</v>
          </cell>
          <cell r="S6369">
            <v>0</v>
          </cell>
          <cell r="T6369">
            <v>0</v>
          </cell>
          <cell r="U6369" t="b">
            <v>0</v>
          </cell>
        </row>
        <row r="6370">
          <cell r="A6370" t="str">
            <v>Data split-11;Reg-12</v>
          </cell>
          <cell r="B6370">
            <v>-3.7</v>
          </cell>
          <cell r="C6370">
            <v>3.4</v>
          </cell>
          <cell r="D6370">
            <v>0</v>
          </cell>
          <cell r="E6370">
            <v>-4.7</v>
          </cell>
          <cell r="F6370">
            <v>0</v>
          </cell>
          <cell r="G6370">
            <v>0</v>
          </cell>
          <cell r="H6370">
            <v>3.6</v>
          </cell>
          <cell r="I6370">
            <v>0</v>
          </cell>
          <cell r="J6370">
            <v>0</v>
          </cell>
          <cell r="K6370">
            <v>0</v>
          </cell>
          <cell r="L6370">
            <v>0</v>
          </cell>
          <cell r="M6370">
            <v>0</v>
          </cell>
          <cell r="N6370">
            <v>0</v>
          </cell>
          <cell r="O6370">
            <v>0</v>
          </cell>
          <cell r="P6370">
            <v>0</v>
          </cell>
          <cell r="Q6370">
            <v>0</v>
          </cell>
          <cell r="R6370">
            <v>0</v>
          </cell>
          <cell r="S6370">
            <v>0</v>
          </cell>
          <cell r="T6370">
            <v>0</v>
          </cell>
          <cell r="U6370" t="b">
            <v>0</v>
          </cell>
        </row>
        <row r="6371">
          <cell r="A6371" t="str">
            <v>Data split-11;Reg-13</v>
          </cell>
          <cell r="B6371">
            <v>-3.3</v>
          </cell>
          <cell r="C6371">
            <v>3.3</v>
          </cell>
          <cell r="D6371">
            <v>0</v>
          </cell>
          <cell r="E6371">
            <v>0</v>
          </cell>
          <cell r="F6371">
            <v>0.28000000000000003</v>
          </cell>
          <cell r="G6371">
            <v>-1.8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>
            <v>0</v>
          </cell>
          <cell r="M6371">
            <v>0</v>
          </cell>
          <cell r="N6371">
            <v>0</v>
          </cell>
          <cell r="O6371">
            <v>0</v>
          </cell>
          <cell r="P6371">
            <v>0</v>
          </cell>
          <cell r="Q6371">
            <v>0</v>
          </cell>
          <cell r="R6371">
            <v>0</v>
          </cell>
          <cell r="S6371">
            <v>0</v>
          </cell>
          <cell r="T6371">
            <v>0</v>
          </cell>
          <cell r="U6371" t="b">
            <v>0</v>
          </cell>
        </row>
        <row r="6372">
          <cell r="A6372" t="str">
            <v>Data split-11;Reg-14</v>
          </cell>
          <cell r="B6372">
            <v>-3.6</v>
          </cell>
          <cell r="C6372">
            <v>3.3</v>
          </cell>
          <cell r="D6372">
            <v>0</v>
          </cell>
          <cell r="E6372">
            <v>0</v>
          </cell>
          <cell r="F6372">
            <v>0.61</v>
          </cell>
          <cell r="G6372">
            <v>0</v>
          </cell>
          <cell r="H6372">
            <v>-3</v>
          </cell>
          <cell r="I6372">
            <v>0</v>
          </cell>
          <cell r="J6372">
            <v>0</v>
          </cell>
          <cell r="K6372">
            <v>0</v>
          </cell>
          <cell r="L6372">
            <v>0</v>
          </cell>
          <cell r="M6372">
            <v>0</v>
          </cell>
          <cell r="N6372">
            <v>0</v>
          </cell>
          <cell r="O6372">
            <v>0</v>
          </cell>
          <cell r="P6372">
            <v>0</v>
          </cell>
          <cell r="Q6372">
            <v>0</v>
          </cell>
          <cell r="R6372">
            <v>0</v>
          </cell>
          <cell r="S6372">
            <v>0</v>
          </cell>
          <cell r="T6372">
            <v>0</v>
          </cell>
          <cell r="U6372" t="b">
            <v>0</v>
          </cell>
        </row>
        <row r="6373">
          <cell r="A6373" t="str">
            <v>Data split-11;Reg-15</v>
          </cell>
          <cell r="B6373">
            <v>-2.5</v>
          </cell>
          <cell r="C6373">
            <v>3.6</v>
          </cell>
          <cell r="D6373">
            <v>0</v>
          </cell>
          <cell r="E6373">
            <v>-2.6</v>
          </cell>
          <cell r="F6373">
            <v>0</v>
          </cell>
          <cell r="G6373">
            <v>0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>
            <v>0</v>
          </cell>
          <cell r="M6373">
            <v>3.3000000000000002E-2</v>
          </cell>
          <cell r="N6373">
            <v>0</v>
          </cell>
          <cell r="O6373">
            <v>0</v>
          </cell>
          <cell r="P6373">
            <v>0</v>
          </cell>
          <cell r="Q6373">
            <v>0</v>
          </cell>
          <cell r="R6373">
            <v>0</v>
          </cell>
          <cell r="S6373">
            <v>0</v>
          </cell>
          <cell r="T6373">
            <v>0</v>
          </cell>
          <cell r="U6373" t="b">
            <v>0</v>
          </cell>
        </row>
        <row r="6374">
          <cell r="A6374" t="str">
            <v>Data split-11;Reg-16</v>
          </cell>
          <cell r="B6374">
            <v>-2.4</v>
          </cell>
          <cell r="C6374">
            <v>3.6</v>
          </cell>
          <cell r="D6374">
            <v>0</v>
          </cell>
          <cell r="E6374">
            <v>-3.1</v>
          </cell>
          <cell r="F6374">
            <v>0</v>
          </cell>
          <cell r="G6374">
            <v>0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0</v>
          </cell>
          <cell r="M6374">
            <v>0</v>
          </cell>
          <cell r="N6374">
            <v>1.4999999999999999E-2</v>
          </cell>
          <cell r="O6374">
            <v>0</v>
          </cell>
          <cell r="P6374">
            <v>0</v>
          </cell>
          <cell r="Q6374">
            <v>0</v>
          </cell>
          <cell r="R6374">
            <v>0</v>
          </cell>
          <cell r="S6374">
            <v>0</v>
          </cell>
          <cell r="T6374">
            <v>0</v>
          </cell>
          <cell r="U6374" t="b">
            <v>0</v>
          </cell>
        </row>
        <row r="6375">
          <cell r="A6375" t="str">
            <v>Data split-11;Reg-17</v>
          </cell>
          <cell r="B6375">
            <v>-5.8</v>
          </cell>
          <cell r="C6375">
            <v>2.9</v>
          </cell>
          <cell r="D6375">
            <v>0</v>
          </cell>
          <cell r="E6375">
            <v>0</v>
          </cell>
          <cell r="F6375">
            <v>0.47</v>
          </cell>
          <cell r="G6375">
            <v>0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>
            <v>0</v>
          </cell>
          <cell r="M6375">
            <v>-0.13</v>
          </cell>
          <cell r="N6375">
            <v>0</v>
          </cell>
          <cell r="O6375">
            <v>0</v>
          </cell>
          <cell r="P6375">
            <v>0</v>
          </cell>
          <cell r="Q6375">
            <v>0</v>
          </cell>
          <cell r="R6375">
            <v>0</v>
          </cell>
          <cell r="S6375">
            <v>0</v>
          </cell>
          <cell r="T6375">
            <v>0</v>
          </cell>
          <cell r="U6375" t="b">
            <v>1</v>
          </cell>
        </row>
        <row r="6376">
          <cell r="A6376" t="str">
            <v>Data split-11;Reg-18</v>
          </cell>
          <cell r="B6376">
            <v>-6.2</v>
          </cell>
          <cell r="C6376">
            <v>3</v>
          </cell>
          <cell r="D6376">
            <v>0</v>
          </cell>
          <cell r="E6376">
            <v>0</v>
          </cell>
          <cell r="F6376">
            <v>0.37</v>
          </cell>
          <cell r="G6376">
            <v>0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0</v>
          </cell>
          <cell r="M6376">
            <v>0</v>
          </cell>
          <cell r="N6376">
            <v>-2.4E-2</v>
          </cell>
          <cell r="O6376">
            <v>0</v>
          </cell>
          <cell r="P6376">
            <v>0</v>
          </cell>
          <cell r="Q6376">
            <v>0</v>
          </cell>
          <cell r="R6376">
            <v>0</v>
          </cell>
          <cell r="S6376">
            <v>0</v>
          </cell>
          <cell r="T6376">
            <v>0</v>
          </cell>
          <cell r="U6376" t="b">
            <v>1</v>
          </cell>
        </row>
        <row r="6377">
          <cell r="A6377" t="str">
            <v>Data split-11;Reg-19</v>
          </cell>
          <cell r="B6377">
            <v>-1.9</v>
          </cell>
          <cell r="C6377">
            <v>3.5</v>
          </cell>
          <cell r="D6377">
            <v>0</v>
          </cell>
          <cell r="E6377">
            <v>0</v>
          </cell>
          <cell r="F6377">
            <v>0</v>
          </cell>
          <cell r="G6377">
            <v>-1.3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>
            <v>0</v>
          </cell>
          <cell r="M6377">
            <v>0</v>
          </cell>
          <cell r="N6377">
            <v>0</v>
          </cell>
          <cell r="O6377">
            <v>-6.8000000000000005E-2</v>
          </cell>
          <cell r="P6377">
            <v>0</v>
          </cell>
          <cell r="Q6377">
            <v>0</v>
          </cell>
          <cell r="R6377">
            <v>0</v>
          </cell>
          <cell r="S6377">
            <v>0</v>
          </cell>
          <cell r="T6377">
            <v>0</v>
          </cell>
          <cell r="U6377" t="b">
            <v>0</v>
          </cell>
        </row>
        <row r="6378">
          <cell r="A6378" t="str">
            <v>Data split-11;Reg-20</v>
          </cell>
          <cell r="B6378">
            <v>-2.6</v>
          </cell>
          <cell r="C6378">
            <v>3.5</v>
          </cell>
          <cell r="D6378">
            <v>0</v>
          </cell>
          <cell r="E6378">
            <v>0</v>
          </cell>
          <cell r="F6378">
            <v>0</v>
          </cell>
          <cell r="G6378">
            <v>-1.6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>
            <v>0</v>
          </cell>
          <cell r="M6378">
            <v>0</v>
          </cell>
          <cell r="N6378">
            <v>0</v>
          </cell>
          <cell r="O6378">
            <v>0</v>
          </cell>
          <cell r="P6378">
            <v>-4.8999999999999998E-3</v>
          </cell>
          <cell r="Q6378">
            <v>0</v>
          </cell>
          <cell r="R6378">
            <v>0</v>
          </cell>
          <cell r="S6378">
            <v>0</v>
          </cell>
          <cell r="T6378">
            <v>0</v>
          </cell>
          <cell r="U6378" t="b">
            <v>0</v>
          </cell>
        </row>
        <row r="6379">
          <cell r="A6379" t="str">
            <v>Data split-11;Reg-21</v>
          </cell>
          <cell r="B6379">
            <v>-2.2000000000000002</v>
          </cell>
          <cell r="C6379">
            <v>3.4</v>
          </cell>
          <cell r="D6379">
            <v>0</v>
          </cell>
          <cell r="E6379">
            <v>0</v>
          </cell>
          <cell r="F6379">
            <v>0</v>
          </cell>
          <cell r="G6379">
            <v>0</v>
          </cell>
          <cell r="H6379">
            <v>-1.6</v>
          </cell>
          <cell r="I6379">
            <v>0</v>
          </cell>
          <cell r="J6379">
            <v>0</v>
          </cell>
          <cell r="K6379">
            <v>0</v>
          </cell>
          <cell r="L6379">
            <v>0</v>
          </cell>
          <cell r="M6379">
            <v>0</v>
          </cell>
          <cell r="N6379">
            <v>0</v>
          </cell>
          <cell r="O6379">
            <v>-8.5999999999999993E-2</v>
          </cell>
          <cell r="P6379">
            <v>0</v>
          </cell>
          <cell r="Q6379">
            <v>0</v>
          </cell>
          <cell r="R6379">
            <v>0</v>
          </cell>
          <cell r="S6379">
            <v>0</v>
          </cell>
          <cell r="T6379">
            <v>0</v>
          </cell>
          <cell r="U6379" t="b">
            <v>0</v>
          </cell>
        </row>
        <row r="6380">
          <cell r="A6380" t="str">
            <v>Data split-11;Reg-22</v>
          </cell>
          <cell r="B6380">
            <v>-2.8</v>
          </cell>
          <cell r="C6380">
            <v>3.5</v>
          </cell>
          <cell r="D6380">
            <v>0</v>
          </cell>
          <cell r="E6380">
            <v>0</v>
          </cell>
          <cell r="F6380">
            <v>0</v>
          </cell>
          <cell r="G6380">
            <v>0</v>
          </cell>
          <cell r="H6380">
            <v>-1.8</v>
          </cell>
          <cell r="I6380">
            <v>0</v>
          </cell>
          <cell r="J6380">
            <v>0</v>
          </cell>
          <cell r="K6380">
            <v>0</v>
          </cell>
          <cell r="L6380">
            <v>0</v>
          </cell>
          <cell r="M6380">
            <v>0</v>
          </cell>
          <cell r="N6380">
            <v>0</v>
          </cell>
          <cell r="O6380">
            <v>0</v>
          </cell>
          <cell r="P6380">
            <v>-1.2E-2</v>
          </cell>
          <cell r="Q6380">
            <v>0</v>
          </cell>
          <cell r="R6380">
            <v>0</v>
          </cell>
          <cell r="S6380">
            <v>0</v>
          </cell>
          <cell r="T6380">
            <v>0</v>
          </cell>
          <cell r="U6380" t="b">
            <v>0</v>
          </cell>
        </row>
        <row r="6381">
          <cell r="A6381" t="str">
            <v>Data split-11;Reg-23</v>
          </cell>
          <cell r="B6381">
            <v>-1.7</v>
          </cell>
          <cell r="C6381">
            <v>0</v>
          </cell>
          <cell r="D6381">
            <v>3.6</v>
          </cell>
          <cell r="E6381">
            <v>-1.7</v>
          </cell>
          <cell r="F6381">
            <v>0</v>
          </cell>
          <cell r="G6381">
            <v>-0.64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>
            <v>0</v>
          </cell>
          <cell r="M6381">
            <v>0</v>
          </cell>
          <cell r="N6381">
            <v>0</v>
          </cell>
          <cell r="O6381">
            <v>0</v>
          </cell>
          <cell r="P6381">
            <v>0</v>
          </cell>
          <cell r="Q6381">
            <v>0</v>
          </cell>
          <cell r="R6381">
            <v>0</v>
          </cell>
          <cell r="S6381">
            <v>0</v>
          </cell>
          <cell r="T6381">
            <v>0</v>
          </cell>
          <cell r="U6381" t="b">
            <v>0</v>
          </cell>
        </row>
        <row r="6382">
          <cell r="A6382" t="str">
            <v>Data split-11;Reg-24</v>
          </cell>
          <cell r="B6382">
            <v>-3.4</v>
          </cell>
          <cell r="C6382">
            <v>0</v>
          </cell>
          <cell r="D6382">
            <v>3.4</v>
          </cell>
          <cell r="E6382">
            <v>-4.7</v>
          </cell>
          <cell r="F6382">
            <v>0</v>
          </cell>
          <cell r="G6382">
            <v>0</v>
          </cell>
          <cell r="H6382">
            <v>3.6</v>
          </cell>
          <cell r="I6382">
            <v>0</v>
          </cell>
          <cell r="J6382">
            <v>0</v>
          </cell>
          <cell r="K6382">
            <v>0</v>
          </cell>
          <cell r="L6382">
            <v>0</v>
          </cell>
          <cell r="M6382">
            <v>0</v>
          </cell>
          <cell r="N6382">
            <v>0</v>
          </cell>
          <cell r="O6382">
            <v>0</v>
          </cell>
          <cell r="P6382">
            <v>0</v>
          </cell>
          <cell r="Q6382">
            <v>0</v>
          </cell>
          <cell r="R6382">
            <v>0</v>
          </cell>
          <cell r="S6382">
            <v>0</v>
          </cell>
          <cell r="T6382">
            <v>0</v>
          </cell>
          <cell r="U6382" t="b">
            <v>0</v>
          </cell>
        </row>
        <row r="6383">
          <cell r="A6383" t="str">
            <v>Data split-11;Reg-25</v>
          </cell>
          <cell r="B6383">
            <v>-3</v>
          </cell>
          <cell r="C6383">
            <v>0</v>
          </cell>
          <cell r="D6383">
            <v>3.3</v>
          </cell>
          <cell r="E6383">
            <v>0</v>
          </cell>
          <cell r="F6383">
            <v>0.28000000000000003</v>
          </cell>
          <cell r="G6383">
            <v>-1.8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0</v>
          </cell>
          <cell r="M6383">
            <v>0</v>
          </cell>
          <cell r="N6383">
            <v>0</v>
          </cell>
          <cell r="O6383">
            <v>0</v>
          </cell>
          <cell r="P6383">
            <v>0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 t="b">
            <v>0</v>
          </cell>
        </row>
        <row r="6384">
          <cell r="A6384" t="str">
            <v>Data split-11;Reg-26</v>
          </cell>
          <cell r="B6384">
            <v>-3.4</v>
          </cell>
          <cell r="C6384">
            <v>0</v>
          </cell>
          <cell r="D6384">
            <v>3.3</v>
          </cell>
          <cell r="E6384">
            <v>0</v>
          </cell>
          <cell r="F6384">
            <v>0.61</v>
          </cell>
          <cell r="G6384">
            <v>0</v>
          </cell>
          <cell r="H6384">
            <v>-3</v>
          </cell>
          <cell r="I6384">
            <v>0</v>
          </cell>
          <cell r="J6384">
            <v>0</v>
          </cell>
          <cell r="K6384">
            <v>0</v>
          </cell>
          <cell r="L6384">
            <v>0</v>
          </cell>
          <cell r="M6384">
            <v>0</v>
          </cell>
          <cell r="N6384">
            <v>0</v>
          </cell>
          <cell r="O6384">
            <v>0</v>
          </cell>
          <cell r="P6384">
            <v>0</v>
          </cell>
          <cell r="Q6384">
            <v>0</v>
          </cell>
          <cell r="R6384">
            <v>0</v>
          </cell>
          <cell r="S6384">
            <v>0</v>
          </cell>
          <cell r="T6384">
            <v>0</v>
          </cell>
          <cell r="U6384" t="b">
            <v>0</v>
          </cell>
        </row>
        <row r="6385">
          <cell r="A6385" t="str">
            <v>Data split-11;Reg-27</v>
          </cell>
          <cell r="B6385">
            <v>-2.2999999999999998</v>
          </cell>
          <cell r="C6385">
            <v>0</v>
          </cell>
          <cell r="D6385">
            <v>3.6</v>
          </cell>
          <cell r="E6385">
            <v>-2.6</v>
          </cell>
          <cell r="F6385">
            <v>0</v>
          </cell>
          <cell r="G6385">
            <v>0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0</v>
          </cell>
          <cell r="M6385">
            <v>0.03</v>
          </cell>
          <cell r="N6385">
            <v>0</v>
          </cell>
          <cell r="O6385">
            <v>0</v>
          </cell>
          <cell r="P6385">
            <v>0</v>
          </cell>
          <cell r="Q6385">
            <v>0</v>
          </cell>
          <cell r="R6385">
            <v>0</v>
          </cell>
          <cell r="S6385">
            <v>0</v>
          </cell>
          <cell r="T6385">
            <v>0</v>
          </cell>
          <cell r="U6385" t="b">
            <v>0</v>
          </cell>
        </row>
        <row r="6386">
          <cell r="A6386" t="str">
            <v>Data split-11;Reg-28</v>
          </cell>
          <cell r="B6386">
            <v>-2.1</v>
          </cell>
          <cell r="C6386">
            <v>0</v>
          </cell>
          <cell r="D6386">
            <v>3.5</v>
          </cell>
          <cell r="E6386">
            <v>-3.1</v>
          </cell>
          <cell r="F6386">
            <v>0</v>
          </cell>
          <cell r="G6386">
            <v>0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>
            <v>0</v>
          </cell>
          <cell r="M6386">
            <v>0</v>
          </cell>
          <cell r="N6386">
            <v>1.4999999999999999E-2</v>
          </cell>
          <cell r="O6386">
            <v>0</v>
          </cell>
          <cell r="P6386">
            <v>0</v>
          </cell>
          <cell r="Q6386">
            <v>0</v>
          </cell>
          <cell r="R6386">
            <v>0</v>
          </cell>
          <cell r="S6386">
            <v>0</v>
          </cell>
          <cell r="T6386">
            <v>0</v>
          </cell>
          <cell r="U6386" t="b">
            <v>0</v>
          </cell>
        </row>
        <row r="6387">
          <cell r="A6387" t="str">
            <v>Data split-11;Reg-29</v>
          </cell>
          <cell r="B6387">
            <v>-5.6</v>
          </cell>
          <cell r="C6387">
            <v>0</v>
          </cell>
          <cell r="D6387">
            <v>2.9</v>
          </cell>
          <cell r="E6387">
            <v>0</v>
          </cell>
          <cell r="F6387">
            <v>0.47</v>
          </cell>
          <cell r="G6387">
            <v>0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>
            <v>0</v>
          </cell>
          <cell r="M6387">
            <v>-0.13</v>
          </cell>
          <cell r="N6387">
            <v>0</v>
          </cell>
          <cell r="O6387">
            <v>0</v>
          </cell>
          <cell r="P6387">
            <v>0</v>
          </cell>
          <cell r="Q6387">
            <v>0</v>
          </cell>
          <cell r="R6387">
            <v>0</v>
          </cell>
          <cell r="S6387">
            <v>0</v>
          </cell>
          <cell r="T6387">
            <v>0</v>
          </cell>
          <cell r="U6387" t="b">
            <v>1</v>
          </cell>
        </row>
        <row r="6388">
          <cell r="A6388" t="str">
            <v>Data split-11;Reg-30</v>
          </cell>
          <cell r="B6388">
            <v>-6</v>
          </cell>
          <cell r="C6388">
            <v>0</v>
          </cell>
          <cell r="D6388">
            <v>3</v>
          </cell>
          <cell r="E6388">
            <v>0</v>
          </cell>
          <cell r="F6388">
            <v>0.37</v>
          </cell>
          <cell r="G6388">
            <v>0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0</v>
          </cell>
          <cell r="M6388">
            <v>0</v>
          </cell>
          <cell r="N6388">
            <v>-2.4E-2</v>
          </cell>
          <cell r="O6388">
            <v>0</v>
          </cell>
          <cell r="P6388">
            <v>0</v>
          </cell>
          <cell r="Q6388">
            <v>0</v>
          </cell>
          <cell r="R6388">
            <v>0</v>
          </cell>
          <cell r="S6388">
            <v>0</v>
          </cell>
          <cell r="T6388">
            <v>0</v>
          </cell>
          <cell r="U6388" t="b">
            <v>1</v>
          </cell>
        </row>
        <row r="6389">
          <cell r="A6389" t="str">
            <v>Data split-11;Reg-31</v>
          </cell>
          <cell r="B6389">
            <v>-1.6</v>
          </cell>
          <cell r="C6389">
            <v>0</v>
          </cell>
          <cell r="D6389">
            <v>3.5</v>
          </cell>
          <cell r="E6389">
            <v>0</v>
          </cell>
          <cell r="F6389">
            <v>0</v>
          </cell>
          <cell r="G6389">
            <v>-1.3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0</v>
          </cell>
          <cell r="M6389">
            <v>0</v>
          </cell>
          <cell r="N6389">
            <v>0</v>
          </cell>
          <cell r="O6389">
            <v>-7.0000000000000007E-2</v>
          </cell>
          <cell r="P6389">
            <v>0</v>
          </cell>
          <cell r="Q6389">
            <v>0</v>
          </cell>
          <cell r="R6389">
            <v>0</v>
          </cell>
          <cell r="S6389">
            <v>0</v>
          </cell>
          <cell r="T6389">
            <v>0</v>
          </cell>
          <cell r="U6389" t="b">
            <v>0</v>
          </cell>
        </row>
        <row r="6390">
          <cell r="A6390" t="str">
            <v>Data split-11;Reg-32</v>
          </cell>
          <cell r="B6390">
            <v>-2.4</v>
          </cell>
          <cell r="C6390">
            <v>0</v>
          </cell>
          <cell r="D6390">
            <v>3.5</v>
          </cell>
          <cell r="E6390">
            <v>0</v>
          </cell>
          <cell r="F6390">
            <v>0</v>
          </cell>
          <cell r="G6390">
            <v>-1.6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0</v>
          </cell>
          <cell r="M6390">
            <v>0</v>
          </cell>
          <cell r="N6390">
            <v>0</v>
          </cell>
          <cell r="O6390">
            <v>0</v>
          </cell>
          <cell r="P6390">
            <v>-5.1999999999999998E-3</v>
          </cell>
          <cell r="Q6390">
            <v>0</v>
          </cell>
          <cell r="R6390">
            <v>0</v>
          </cell>
          <cell r="S6390">
            <v>0</v>
          </cell>
          <cell r="T6390">
            <v>0</v>
          </cell>
          <cell r="U6390" t="b">
            <v>0</v>
          </cell>
        </row>
        <row r="6391">
          <cell r="A6391" t="str">
            <v>Data split-11;Reg-33</v>
          </cell>
          <cell r="B6391">
            <v>-2</v>
          </cell>
          <cell r="C6391">
            <v>0</v>
          </cell>
          <cell r="D6391">
            <v>3.4</v>
          </cell>
          <cell r="E6391">
            <v>0</v>
          </cell>
          <cell r="F6391">
            <v>0</v>
          </cell>
          <cell r="G6391">
            <v>0</v>
          </cell>
          <cell r="H6391">
            <v>-1.6</v>
          </cell>
          <cell r="I6391">
            <v>0</v>
          </cell>
          <cell r="J6391">
            <v>0</v>
          </cell>
          <cell r="K6391">
            <v>0</v>
          </cell>
          <cell r="L6391">
            <v>0</v>
          </cell>
          <cell r="M6391">
            <v>0</v>
          </cell>
          <cell r="N6391">
            <v>0</v>
          </cell>
          <cell r="O6391">
            <v>-8.7999999999999995E-2</v>
          </cell>
          <cell r="P6391">
            <v>0</v>
          </cell>
          <cell r="Q6391">
            <v>0</v>
          </cell>
          <cell r="R6391">
            <v>0</v>
          </cell>
          <cell r="S6391">
            <v>0</v>
          </cell>
          <cell r="T6391">
            <v>0</v>
          </cell>
          <cell r="U6391" t="b">
            <v>0</v>
          </cell>
        </row>
        <row r="6392">
          <cell r="A6392" t="str">
            <v>Data split-11;Reg-34</v>
          </cell>
          <cell r="B6392">
            <v>-2.6</v>
          </cell>
          <cell r="C6392">
            <v>0</v>
          </cell>
          <cell r="D6392">
            <v>3.5</v>
          </cell>
          <cell r="E6392">
            <v>0</v>
          </cell>
          <cell r="F6392">
            <v>0</v>
          </cell>
          <cell r="G6392">
            <v>0</v>
          </cell>
          <cell r="H6392">
            <v>-1.8</v>
          </cell>
          <cell r="I6392">
            <v>0</v>
          </cell>
          <cell r="J6392">
            <v>0</v>
          </cell>
          <cell r="K6392">
            <v>0</v>
          </cell>
          <cell r="L6392">
            <v>0</v>
          </cell>
          <cell r="M6392">
            <v>0</v>
          </cell>
          <cell r="N6392">
            <v>0</v>
          </cell>
          <cell r="O6392">
            <v>0</v>
          </cell>
          <cell r="P6392">
            <v>-1.2E-2</v>
          </cell>
          <cell r="Q6392">
            <v>0</v>
          </cell>
          <cell r="R6392">
            <v>0</v>
          </cell>
          <cell r="S6392">
            <v>0</v>
          </cell>
          <cell r="T6392">
            <v>0</v>
          </cell>
          <cell r="U6392" t="b">
            <v>0</v>
          </cell>
        </row>
        <row r="6393">
          <cell r="A6393" t="str">
            <v>Data split-11;Reg-35</v>
          </cell>
          <cell r="B6393">
            <v>-1.9</v>
          </cell>
          <cell r="C6393">
            <v>3.7</v>
          </cell>
          <cell r="D6393">
            <v>0</v>
          </cell>
          <cell r="E6393">
            <v>-2.1</v>
          </cell>
          <cell r="F6393">
            <v>0</v>
          </cell>
          <cell r="G6393">
            <v>-0.73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>
            <v>0</v>
          </cell>
          <cell r="M6393">
            <v>4.3999999999999997E-2</v>
          </cell>
          <cell r="N6393">
            <v>0</v>
          </cell>
          <cell r="O6393">
            <v>0</v>
          </cell>
          <cell r="P6393">
            <v>0</v>
          </cell>
          <cell r="Q6393">
            <v>0</v>
          </cell>
          <cell r="R6393">
            <v>0</v>
          </cell>
          <cell r="S6393">
            <v>0</v>
          </cell>
          <cell r="T6393">
            <v>0</v>
          </cell>
          <cell r="U6393" t="b">
            <v>0</v>
          </cell>
        </row>
        <row r="6394">
          <cell r="A6394" t="str">
            <v>Data split-11;Reg-36</v>
          </cell>
          <cell r="B6394">
            <v>-1.4</v>
          </cell>
          <cell r="C6394">
            <v>3.7</v>
          </cell>
          <cell r="D6394">
            <v>0</v>
          </cell>
          <cell r="E6394">
            <v>-2.5</v>
          </cell>
          <cell r="F6394">
            <v>0</v>
          </cell>
          <cell r="G6394">
            <v>-1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0</v>
          </cell>
          <cell r="M6394">
            <v>0</v>
          </cell>
          <cell r="N6394">
            <v>2.1999999999999999E-2</v>
          </cell>
          <cell r="O6394">
            <v>0</v>
          </cell>
          <cell r="P6394">
            <v>0</v>
          </cell>
          <cell r="Q6394">
            <v>0</v>
          </cell>
          <cell r="R6394">
            <v>0</v>
          </cell>
          <cell r="S6394">
            <v>0</v>
          </cell>
          <cell r="T6394">
            <v>0</v>
          </cell>
          <cell r="U6394" t="b">
            <v>0</v>
          </cell>
        </row>
        <row r="6395">
          <cell r="A6395" t="str">
            <v>Data split-11;Reg-37</v>
          </cell>
          <cell r="B6395">
            <v>-3.9</v>
          </cell>
          <cell r="C6395">
            <v>3.3</v>
          </cell>
          <cell r="D6395">
            <v>0</v>
          </cell>
          <cell r="E6395">
            <v>-4.9000000000000004</v>
          </cell>
          <cell r="F6395">
            <v>0</v>
          </cell>
          <cell r="G6395">
            <v>0</v>
          </cell>
          <cell r="H6395">
            <v>4.5</v>
          </cell>
          <cell r="I6395">
            <v>0</v>
          </cell>
          <cell r="J6395">
            <v>0</v>
          </cell>
          <cell r="K6395">
            <v>0</v>
          </cell>
          <cell r="L6395">
            <v>0</v>
          </cell>
          <cell r="M6395">
            <v>-4.2000000000000003E-2</v>
          </cell>
          <cell r="N6395">
            <v>0</v>
          </cell>
          <cell r="O6395">
            <v>0</v>
          </cell>
          <cell r="P6395">
            <v>0</v>
          </cell>
          <cell r="Q6395">
            <v>0</v>
          </cell>
          <cell r="R6395">
            <v>0</v>
          </cell>
          <cell r="S6395">
            <v>0</v>
          </cell>
          <cell r="T6395">
            <v>0</v>
          </cell>
          <cell r="U6395" t="b">
            <v>0</v>
          </cell>
        </row>
        <row r="6396">
          <cell r="A6396" t="str">
            <v>Data split-11;Reg-38</v>
          </cell>
          <cell r="B6396">
            <v>-4.0999999999999996</v>
          </cell>
          <cell r="C6396">
            <v>3.3</v>
          </cell>
          <cell r="D6396">
            <v>0</v>
          </cell>
          <cell r="E6396">
            <v>-5</v>
          </cell>
          <cell r="F6396">
            <v>0</v>
          </cell>
          <cell r="G6396">
            <v>0</v>
          </cell>
          <cell r="H6396">
            <v>4.8</v>
          </cell>
          <cell r="I6396">
            <v>0</v>
          </cell>
          <cell r="J6396">
            <v>0</v>
          </cell>
          <cell r="K6396">
            <v>0</v>
          </cell>
          <cell r="L6396">
            <v>0</v>
          </cell>
          <cell r="M6396">
            <v>0</v>
          </cell>
          <cell r="N6396">
            <v>-9.1000000000000004E-3</v>
          </cell>
          <cell r="O6396">
            <v>0</v>
          </cell>
          <cell r="P6396">
            <v>0</v>
          </cell>
          <cell r="Q6396">
            <v>0</v>
          </cell>
          <cell r="R6396">
            <v>0</v>
          </cell>
          <cell r="S6396">
            <v>0</v>
          </cell>
          <cell r="T6396">
            <v>0</v>
          </cell>
          <cell r="U6396" t="b">
            <v>0</v>
          </cell>
        </row>
        <row r="6397">
          <cell r="A6397" t="str">
            <v>Data split-11;Reg-39</v>
          </cell>
          <cell r="B6397">
            <v>-3.3</v>
          </cell>
          <cell r="C6397">
            <v>3.3</v>
          </cell>
          <cell r="D6397">
            <v>0</v>
          </cell>
          <cell r="E6397">
            <v>0</v>
          </cell>
          <cell r="F6397">
            <v>0.38</v>
          </cell>
          <cell r="G6397">
            <v>-1.5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>
            <v>0</v>
          </cell>
          <cell r="M6397">
            <v>-4.3999999999999997E-2</v>
          </cell>
          <cell r="N6397">
            <v>0</v>
          </cell>
          <cell r="O6397">
            <v>0</v>
          </cell>
          <cell r="P6397">
            <v>0</v>
          </cell>
          <cell r="Q6397">
            <v>0</v>
          </cell>
          <cell r="R6397">
            <v>0</v>
          </cell>
          <cell r="S6397">
            <v>0</v>
          </cell>
          <cell r="T6397">
            <v>0</v>
          </cell>
          <cell r="U6397" t="b">
            <v>0</v>
          </cell>
        </row>
        <row r="6398">
          <cell r="A6398" t="str">
            <v>Data split-11;Reg-40</v>
          </cell>
          <cell r="B6398">
            <v>-3.3</v>
          </cell>
          <cell r="C6398">
            <v>3.3</v>
          </cell>
          <cell r="D6398">
            <v>0</v>
          </cell>
          <cell r="E6398">
            <v>0</v>
          </cell>
          <cell r="F6398">
            <v>0.28999999999999998</v>
          </cell>
          <cell r="G6398">
            <v>-1.8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>
            <v>0</v>
          </cell>
          <cell r="M6398">
            <v>0</v>
          </cell>
          <cell r="N6398">
            <v>-7.2999999999999996E-4</v>
          </cell>
          <cell r="O6398">
            <v>0</v>
          </cell>
          <cell r="P6398">
            <v>0</v>
          </cell>
          <cell r="Q6398">
            <v>0</v>
          </cell>
          <cell r="R6398">
            <v>0</v>
          </cell>
          <cell r="S6398">
            <v>0</v>
          </cell>
          <cell r="T6398">
            <v>0</v>
          </cell>
          <cell r="U6398" t="b">
            <v>0</v>
          </cell>
        </row>
        <row r="6399">
          <cell r="A6399" t="str">
            <v>Data split-11;Reg-41</v>
          </cell>
          <cell r="B6399">
            <v>-3.6</v>
          </cell>
          <cell r="C6399">
            <v>3.3</v>
          </cell>
          <cell r="D6399">
            <v>0</v>
          </cell>
          <cell r="E6399">
            <v>0</v>
          </cell>
          <cell r="F6399">
            <v>0.61</v>
          </cell>
          <cell r="G6399">
            <v>0</v>
          </cell>
          <cell r="H6399">
            <v>-2.9</v>
          </cell>
          <cell r="I6399">
            <v>0</v>
          </cell>
          <cell r="J6399">
            <v>0</v>
          </cell>
          <cell r="K6399">
            <v>0</v>
          </cell>
          <cell r="L6399">
            <v>0</v>
          </cell>
          <cell r="M6399">
            <v>-8.0000000000000002E-3</v>
          </cell>
          <cell r="N6399">
            <v>0</v>
          </cell>
          <cell r="O6399">
            <v>0</v>
          </cell>
          <cell r="P6399">
            <v>0</v>
          </cell>
          <cell r="Q6399">
            <v>0</v>
          </cell>
          <cell r="R6399">
            <v>0</v>
          </cell>
          <cell r="S6399">
            <v>0</v>
          </cell>
          <cell r="T6399">
            <v>0</v>
          </cell>
          <cell r="U6399" t="b">
            <v>0</v>
          </cell>
        </row>
        <row r="6400">
          <cell r="A6400" t="str">
            <v>Data split-11;Reg-42</v>
          </cell>
          <cell r="B6400">
            <v>-2.2999999999999998</v>
          </cell>
          <cell r="C6400">
            <v>3.4</v>
          </cell>
          <cell r="D6400">
            <v>0</v>
          </cell>
          <cell r="E6400">
            <v>0</v>
          </cell>
          <cell r="F6400">
            <v>0.71</v>
          </cell>
          <cell r="G6400">
            <v>0</v>
          </cell>
          <cell r="H6400">
            <v>-5.4</v>
          </cell>
          <cell r="I6400">
            <v>0</v>
          </cell>
          <cell r="J6400">
            <v>0</v>
          </cell>
          <cell r="K6400">
            <v>0</v>
          </cell>
          <cell r="L6400">
            <v>0</v>
          </cell>
          <cell r="M6400">
            <v>0</v>
          </cell>
          <cell r="N6400">
            <v>2.8000000000000001E-2</v>
          </cell>
          <cell r="O6400">
            <v>0</v>
          </cell>
          <cell r="P6400">
            <v>0</v>
          </cell>
          <cell r="Q6400">
            <v>0</v>
          </cell>
          <cell r="R6400">
            <v>0</v>
          </cell>
          <cell r="S6400">
            <v>0</v>
          </cell>
          <cell r="T6400">
            <v>0</v>
          </cell>
          <cell r="U6400" t="b">
            <v>0</v>
          </cell>
        </row>
        <row r="6401">
          <cell r="A6401" t="str">
            <v>Data split-11;Reg-43</v>
          </cell>
          <cell r="B6401">
            <v>-1.4</v>
          </cell>
          <cell r="C6401">
            <v>3.6</v>
          </cell>
          <cell r="D6401">
            <v>0</v>
          </cell>
          <cell r="E6401">
            <v>-1.5</v>
          </cell>
          <cell r="F6401">
            <v>0</v>
          </cell>
          <cell r="G6401">
            <v>-0.48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0</v>
          </cell>
          <cell r="M6401">
            <v>0</v>
          </cell>
          <cell r="N6401">
            <v>0</v>
          </cell>
          <cell r="O6401">
            <v>-4.2000000000000003E-2</v>
          </cell>
          <cell r="P6401">
            <v>0</v>
          </cell>
          <cell r="Q6401">
            <v>0</v>
          </cell>
          <cell r="R6401">
            <v>0</v>
          </cell>
          <cell r="S6401">
            <v>0</v>
          </cell>
          <cell r="T6401">
            <v>0</v>
          </cell>
          <cell r="U6401" t="b">
            <v>0</v>
          </cell>
        </row>
        <row r="6402">
          <cell r="A6402" t="str">
            <v>Data split-11;Reg-44</v>
          </cell>
          <cell r="B6402">
            <v>-1.9</v>
          </cell>
          <cell r="C6402">
            <v>3.6</v>
          </cell>
          <cell r="D6402">
            <v>0</v>
          </cell>
          <cell r="E6402">
            <v>-1.7</v>
          </cell>
          <cell r="F6402">
            <v>0</v>
          </cell>
          <cell r="G6402">
            <v>-0.67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0</v>
          </cell>
          <cell r="M6402">
            <v>0</v>
          </cell>
          <cell r="N6402">
            <v>0</v>
          </cell>
          <cell r="O6402">
            <v>0</v>
          </cell>
          <cell r="P6402">
            <v>1.1999999999999999E-3</v>
          </cell>
          <cell r="Q6402">
            <v>0</v>
          </cell>
          <cell r="R6402">
            <v>0</v>
          </cell>
          <cell r="S6402">
            <v>0</v>
          </cell>
          <cell r="T6402">
            <v>0</v>
          </cell>
          <cell r="U6402" t="b">
            <v>0</v>
          </cell>
        </row>
        <row r="6403">
          <cell r="A6403" t="str">
            <v>Data split-11;Reg-45</v>
          </cell>
          <cell r="B6403">
            <v>-2.8</v>
          </cell>
          <cell r="C6403">
            <v>3.3</v>
          </cell>
          <cell r="D6403">
            <v>0</v>
          </cell>
          <cell r="E6403">
            <v>-4.5</v>
          </cell>
          <cell r="F6403">
            <v>0</v>
          </cell>
          <cell r="G6403">
            <v>0</v>
          </cell>
          <cell r="H6403">
            <v>4</v>
          </cell>
          <cell r="I6403">
            <v>0</v>
          </cell>
          <cell r="J6403">
            <v>0</v>
          </cell>
          <cell r="K6403">
            <v>0</v>
          </cell>
          <cell r="L6403">
            <v>0</v>
          </cell>
          <cell r="M6403">
            <v>0</v>
          </cell>
          <cell r="N6403">
            <v>0</v>
          </cell>
          <cell r="O6403">
            <v>-6.6000000000000003E-2</v>
          </cell>
          <cell r="P6403">
            <v>0</v>
          </cell>
          <cell r="Q6403">
            <v>0</v>
          </cell>
          <cell r="R6403">
            <v>0</v>
          </cell>
          <cell r="S6403">
            <v>0</v>
          </cell>
          <cell r="T6403">
            <v>0</v>
          </cell>
          <cell r="U6403" t="b">
            <v>0</v>
          </cell>
        </row>
        <row r="6404">
          <cell r="A6404" t="str">
            <v>Data split-11;Reg-46</v>
          </cell>
          <cell r="B6404">
            <v>-3.2</v>
          </cell>
          <cell r="C6404">
            <v>3.4</v>
          </cell>
          <cell r="D6404">
            <v>0</v>
          </cell>
          <cell r="E6404">
            <v>-4.7</v>
          </cell>
          <cell r="F6404">
            <v>0</v>
          </cell>
          <cell r="G6404">
            <v>0</v>
          </cell>
          <cell r="H6404">
            <v>4.2</v>
          </cell>
          <cell r="I6404">
            <v>0</v>
          </cell>
          <cell r="J6404">
            <v>0</v>
          </cell>
          <cell r="K6404">
            <v>0</v>
          </cell>
          <cell r="L6404">
            <v>0</v>
          </cell>
          <cell r="M6404">
            <v>0</v>
          </cell>
          <cell r="N6404">
            <v>0</v>
          </cell>
          <cell r="O6404">
            <v>0</v>
          </cell>
          <cell r="P6404">
            <v>-1.2E-2</v>
          </cell>
          <cell r="Q6404">
            <v>0</v>
          </cell>
          <cell r="R6404">
            <v>0</v>
          </cell>
          <cell r="S6404">
            <v>0</v>
          </cell>
          <cell r="T6404">
            <v>0</v>
          </cell>
          <cell r="U6404" t="b">
            <v>0</v>
          </cell>
        </row>
        <row r="6405">
          <cell r="A6405" t="str">
            <v>Data split-11;Reg-47</v>
          </cell>
          <cell r="B6405">
            <v>-2.4</v>
          </cell>
          <cell r="C6405">
            <v>3.2</v>
          </cell>
          <cell r="D6405">
            <v>0</v>
          </cell>
          <cell r="E6405">
            <v>0</v>
          </cell>
          <cell r="F6405">
            <v>0.49</v>
          </cell>
          <cell r="G6405">
            <v>-1.2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0</v>
          </cell>
          <cell r="M6405">
            <v>0</v>
          </cell>
          <cell r="N6405">
            <v>0</v>
          </cell>
          <cell r="O6405">
            <v>-9.6000000000000002E-2</v>
          </cell>
          <cell r="P6405">
            <v>0</v>
          </cell>
          <cell r="Q6405">
            <v>0</v>
          </cell>
          <cell r="R6405">
            <v>0</v>
          </cell>
          <cell r="S6405">
            <v>0</v>
          </cell>
          <cell r="T6405">
            <v>0</v>
          </cell>
          <cell r="U6405" t="b">
            <v>0</v>
          </cell>
        </row>
        <row r="6406">
          <cell r="A6406" t="str">
            <v>Data split-11;Reg-48</v>
          </cell>
          <cell r="B6406">
            <v>-3</v>
          </cell>
          <cell r="C6406">
            <v>3.3</v>
          </cell>
          <cell r="D6406">
            <v>0</v>
          </cell>
          <cell r="E6406">
            <v>0</v>
          </cell>
          <cell r="F6406">
            <v>0.35</v>
          </cell>
          <cell r="G6406">
            <v>-1.5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0</v>
          </cell>
          <cell r="M6406">
            <v>0</v>
          </cell>
          <cell r="N6406">
            <v>0</v>
          </cell>
          <cell r="O6406">
            <v>0</v>
          </cell>
          <cell r="P6406">
            <v>-9.1000000000000004E-3</v>
          </cell>
          <cell r="Q6406">
            <v>0</v>
          </cell>
          <cell r="R6406">
            <v>0</v>
          </cell>
          <cell r="S6406">
            <v>0</v>
          </cell>
          <cell r="T6406">
            <v>0</v>
          </cell>
          <cell r="U6406" t="b">
            <v>0</v>
          </cell>
        </row>
        <row r="6407">
          <cell r="A6407" t="str">
            <v>Data split-11;Reg-49</v>
          </cell>
          <cell r="B6407">
            <v>-2.2999999999999998</v>
          </cell>
          <cell r="C6407">
            <v>3.2</v>
          </cell>
          <cell r="D6407">
            <v>0</v>
          </cell>
          <cell r="E6407">
            <v>0</v>
          </cell>
          <cell r="F6407">
            <v>0.74</v>
          </cell>
          <cell r="G6407">
            <v>0</v>
          </cell>
          <cell r="H6407">
            <v>-2</v>
          </cell>
          <cell r="I6407">
            <v>0</v>
          </cell>
          <cell r="J6407">
            <v>0</v>
          </cell>
          <cell r="K6407">
            <v>0</v>
          </cell>
          <cell r="L6407">
            <v>0</v>
          </cell>
          <cell r="M6407">
            <v>0</v>
          </cell>
          <cell r="N6407">
            <v>0</v>
          </cell>
          <cell r="O6407">
            <v>-0.11</v>
          </cell>
          <cell r="P6407">
            <v>0</v>
          </cell>
          <cell r="Q6407">
            <v>0</v>
          </cell>
          <cell r="R6407">
            <v>0</v>
          </cell>
          <cell r="S6407">
            <v>0</v>
          </cell>
          <cell r="T6407">
            <v>0</v>
          </cell>
          <cell r="U6407" t="b">
            <v>0</v>
          </cell>
        </row>
        <row r="6408">
          <cell r="A6408" t="str">
            <v>Data split-11;Reg-50</v>
          </cell>
          <cell r="B6408">
            <v>-3.1</v>
          </cell>
          <cell r="C6408">
            <v>3.3</v>
          </cell>
          <cell r="D6408">
            <v>0</v>
          </cell>
          <cell r="E6408">
            <v>0</v>
          </cell>
          <cell r="F6408">
            <v>0.64</v>
          </cell>
          <cell r="G6408">
            <v>0</v>
          </cell>
          <cell r="H6408">
            <v>-2.2999999999999998</v>
          </cell>
          <cell r="I6408">
            <v>0</v>
          </cell>
          <cell r="J6408">
            <v>0</v>
          </cell>
          <cell r="K6408">
            <v>0</v>
          </cell>
          <cell r="L6408">
            <v>0</v>
          </cell>
          <cell r="M6408">
            <v>0</v>
          </cell>
          <cell r="N6408">
            <v>0</v>
          </cell>
          <cell r="O6408">
            <v>0</v>
          </cell>
          <cell r="P6408">
            <v>-1.2999999999999999E-2</v>
          </cell>
          <cell r="Q6408">
            <v>0</v>
          </cell>
          <cell r="R6408">
            <v>0</v>
          </cell>
          <cell r="S6408">
            <v>0</v>
          </cell>
          <cell r="T6408">
            <v>0</v>
          </cell>
          <cell r="U6408" t="b">
            <v>0</v>
          </cell>
        </row>
        <row r="6409">
          <cell r="A6409" t="str">
            <v>Data split-11;Reg-51</v>
          </cell>
          <cell r="B6409">
            <v>-1.6</v>
          </cell>
          <cell r="C6409">
            <v>0</v>
          </cell>
          <cell r="D6409">
            <v>3.7</v>
          </cell>
          <cell r="E6409">
            <v>-2.1</v>
          </cell>
          <cell r="F6409">
            <v>0</v>
          </cell>
          <cell r="G6409">
            <v>-0.73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0</v>
          </cell>
          <cell r="M6409">
            <v>0</v>
          </cell>
          <cell r="N6409">
            <v>0</v>
          </cell>
          <cell r="O6409">
            <v>4.1000000000000002E-2</v>
          </cell>
          <cell r="P6409">
            <v>0</v>
          </cell>
          <cell r="Q6409">
            <v>0</v>
          </cell>
          <cell r="R6409">
            <v>0</v>
          </cell>
          <cell r="S6409">
            <v>0</v>
          </cell>
          <cell r="T6409">
            <v>0</v>
          </cell>
          <cell r="U6409" t="b">
            <v>0</v>
          </cell>
        </row>
        <row r="6410">
          <cell r="A6410" t="str">
            <v>Data split-11;Reg-52</v>
          </cell>
          <cell r="B6410">
            <v>-1.1000000000000001</v>
          </cell>
          <cell r="C6410">
            <v>0</v>
          </cell>
          <cell r="D6410">
            <v>3.6</v>
          </cell>
          <cell r="E6410">
            <v>-2.5</v>
          </cell>
          <cell r="F6410">
            <v>0</v>
          </cell>
          <cell r="G6410">
            <v>-1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0</v>
          </cell>
          <cell r="M6410">
            <v>0</v>
          </cell>
          <cell r="N6410">
            <v>2.1000000000000001E-2</v>
          </cell>
          <cell r="O6410">
            <v>0</v>
          </cell>
          <cell r="P6410">
            <v>0</v>
          </cell>
          <cell r="Q6410">
            <v>0</v>
          </cell>
          <cell r="R6410">
            <v>0</v>
          </cell>
          <cell r="S6410">
            <v>0</v>
          </cell>
          <cell r="T6410">
            <v>0</v>
          </cell>
          <cell r="U6410" t="b">
            <v>0</v>
          </cell>
        </row>
        <row r="6411">
          <cell r="A6411" t="str">
            <v>Data split-11;Reg-53</v>
          </cell>
          <cell r="B6411">
            <v>-3.7</v>
          </cell>
          <cell r="C6411">
            <v>0</v>
          </cell>
          <cell r="D6411">
            <v>3.3</v>
          </cell>
          <cell r="E6411">
            <v>-4.9000000000000004</v>
          </cell>
          <cell r="F6411">
            <v>0</v>
          </cell>
          <cell r="G6411">
            <v>0</v>
          </cell>
          <cell r="H6411">
            <v>4.5</v>
          </cell>
          <cell r="I6411">
            <v>0</v>
          </cell>
          <cell r="J6411">
            <v>0</v>
          </cell>
          <cell r="K6411">
            <v>0</v>
          </cell>
          <cell r="L6411">
            <v>0</v>
          </cell>
          <cell r="M6411">
            <v>-4.4999999999999998E-2</v>
          </cell>
          <cell r="N6411">
            <v>0</v>
          </cell>
          <cell r="O6411">
            <v>0</v>
          </cell>
          <cell r="P6411">
            <v>0</v>
          </cell>
          <cell r="Q6411">
            <v>0</v>
          </cell>
          <cell r="R6411">
            <v>0</v>
          </cell>
          <cell r="S6411">
            <v>0</v>
          </cell>
          <cell r="T6411">
            <v>0</v>
          </cell>
          <cell r="U6411" t="b">
            <v>0</v>
          </cell>
        </row>
        <row r="6412">
          <cell r="A6412" t="str">
            <v>Data split-11;Reg-54</v>
          </cell>
          <cell r="B6412">
            <v>-3.9</v>
          </cell>
          <cell r="C6412">
            <v>0</v>
          </cell>
          <cell r="D6412">
            <v>3.3</v>
          </cell>
          <cell r="E6412">
            <v>-5</v>
          </cell>
          <cell r="F6412">
            <v>0</v>
          </cell>
          <cell r="G6412">
            <v>0</v>
          </cell>
          <cell r="H6412">
            <v>4.8</v>
          </cell>
          <cell r="I6412">
            <v>0</v>
          </cell>
          <cell r="J6412">
            <v>0</v>
          </cell>
          <cell r="K6412">
            <v>0</v>
          </cell>
          <cell r="L6412">
            <v>0</v>
          </cell>
          <cell r="M6412">
            <v>0</v>
          </cell>
          <cell r="N6412">
            <v>-9.7999999999999997E-3</v>
          </cell>
          <cell r="O6412">
            <v>0</v>
          </cell>
          <cell r="P6412">
            <v>0</v>
          </cell>
          <cell r="Q6412">
            <v>0</v>
          </cell>
          <cell r="R6412">
            <v>0</v>
          </cell>
          <cell r="S6412">
            <v>0</v>
          </cell>
          <cell r="T6412">
            <v>0</v>
          </cell>
          <cell r="U6412" t="b">
            <v>0</v>
          </cell>
        </row>
        <row r="6413">
          <cell r="A6413" t="str">
            <v>Data split-11;Reg-55</v>
          </cell>
          <cell r="B6413">
            <v>-3</v>
          </cell>
          <cell r="C6413">
            <v>0</v>
          </cell>
          <cell r="D6413">
            <v>3.3</v>
          </cell>
          <cell r="E6413">
            <v>0</v>
          </cell>
          <cell r="F6413">
            <v>0.38</v>
          </cell>
          <cell r="G6413">
            <v>-1.5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0</v>
          </cell>
          <cell r="M6413">
            <v>-4.5999999999999999E-2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  <cell r="R6413">
            <v>0</v>
          </cell>
          <cell r="S6413">
            <v>0</v>
          </cell>
          <cell r="T6413">
            <v>0</v>
          </cell>
          <cell r="U6413" t="b">
            <v>0</v>
          </cell>
        </row>
        <row r="6414">
          <cell r="A6414" t="str">
            <v>Data split-11;Reg-56</v>
          </cell>
          <cell r="B6414">
            <v>-3.1</v>
          </cell>
          <cell r="C6414">
            <v>0</v>
          </cell>
          <cell r="D6414">
            <v>3.3</v>
          </cell>
          <cell r="E6414">
            <v>0</v>
          </cell>
          <cell r="F6414">
            <v>0.28000000000000003</v>
          </cell>
          <cell r="G6414">
            <v>-1.8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0</v>
          </cell>
          <cell r="M6414">
            <v>0</v>
          </cell>
          <cell r="N6414">
            <v>-1E-3</v>
          </cell>
          <cell r="O6414">
            <v>0</v>
          </cell>
          <cell r="P6414">
            <v>0</v>
          </cell>
          <cell r="Q6414">
            <v>0</v>
          </cell>
          <cell r="R6414">
            <v>0</v>
          </cell>
          <cell r="S6414">
            <v>0</v>
          </cell>
          <cell r="T6414">
            <v>0</v>
          </cell>
          <cell r="U6414" t="b">
            <v>0</v>
          </cell>
        </row>
        <row r="6415">
          <cell r="A6415" t="str">
            <v>Data split-11;Reg-57</v>
          </cell>
          <cell r="B6415">
            <v>-3.4</v>
          </cell>
          <cell r="C6415">
            <v>0</v>
          </cell>
          <cell r="D6415">
            <v>3.3</v>
          </cell>
          <cell r="E6415">
            <v>0</v>
          </cell>
          <cell r="F6415">
            <v>0.61</v>
          </cell>
          <cell r="G6415">
            <v>0</v>
          </cell>
          <cell r="H6415">
            <v>-2.8</v>
          </cell>
          <cell r="I6415">
            <v>0</v>
          </cell>
          <cell r="J6415">
            <v>0</v>
          </cell>
          <cell r="K6415">
            <v>0</v>
          </cell>
          <cell r="L6415">
            <v>0</v>
          </cell>
          <cell r="M6415">
            <v>-1.0999999999999999E-2</v>
          </cell>
          <cell r="N6415">
            <v>0</v>
          </cell>
          <cell r="O6415">
            <v>0</v>
          </cell>
          <cell r="P6415">
            <v>0</v>
          </cell>
          <cell r="Q6415">
            <v>0</v>
          </cell>
          <cell r="R6415">
            <v>0</v>
          </cell>
          <cell r="S6415">
            <v>0</v>
          </cell>
          <cell r="T6415">
            <v>0</v>
          </cell>
          <cell r="U6415" t="b">
            <v>0</v>
          </cell>
        </row>
        <row r="6416">
          <cell r="A6416" t="str">
            <v>Data split-11;Reg-58</v>
          </cell>
          <cell r="B6416">
            <v>-2.1</v>
          </cell>
          <cell r="C6416">
            <v>0</v>
          </cell>
          <cell r="D6416">
            <v>3.4</v>
          </cell>
          <cell r="E6416">
            <v>0</v>
          </cell>
          <cell r="F6416">
            <v>0.7</v>
          </cell>
          <cell r="G6416">
            <v>0</v>
          </cell>
          <cell r="H6416">
            <v>-5.3</v>
          </cell>
          <cell r="I6416">
            <v>0</v>
          </cell>
          <cell r="J6416">
            <v>0</v>
          </cell>
          <cell r="K6416">
            <v>0</v>
          </cell>
          <cell r="L6416">
            <v>0</v>
          </cell>
          <cell r="M6416">
            <v>0</v>
          </cell>
          <cell r="N6416">
            <v>2.7E-2</v>
          </cell>
          <cell r="O6416">
            <v>0</v>
          </cell>
          <cell r="P6416">
            <v>0</v>
          </cell>
          <cell r="Q6416">
            <v>0</v>
          </cell>
          <cell r="R6416">
            <v>0</v>
          </cell>
          <cell r="S6416">
            <v>0</v>
          </cell>
          <cell r="T6416">
            <v>0</v>
          </cell>
          <cell r="U6416" t="b">
            <v>0</v>
          </cell>
        </row>
        <row r="6417">
          <cell r="A6417" t="str">
            <v>Data split-11;Reg-59</v>
          </cell>
          <cell r="B6417">
            <v>-1.2</v>
          </cell>
          <cell r="C6417">
            <v>0</v>
          </cell>
          <cell r="D6417">
            <v>3.6</v>
          </cell>
          <cell r="E6417">
            <v>-1.5</v>
          </cell>
          <cell r="F6417">
            <v>0</v>
          </cell>
          <cell r="G6417">
            <v>-0.48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>
            <v>0</v>
          </cell>
          <cell r="M6417">
            <v>0</v>
          </cell>
          <cell r="N6417">
            <v>0</v>
          </cell>
          <cell r="O6417">
            <v>-4.3999999999999997E-2</v>
          </cell>
          <cell r="P6417">
            <v>0</v>
          </cell>
          <cell r="Q6417">
            <v>0</v>
          </cell>
          <cell r="R6417">
            <v>0</v>
          </cell>
          <cell r="S6417">
            <v>0</v>
          </cell>
          <cell r="T6417">
            <v>0</v>
          </cell>
          <cell r="U6417" t="b">
            <v>0</v>
          </cell>
        </row>
        <row r="6418">
          <cell r="A6418" t="str">
            <v>Data split-11;Reg-60</v>
          </cell>
          <cell r="B6418">
            <v>-1.7</v>
          </cell>
          <cell r="C6418">
            <v>0</v>
          </cell>
          <cell r="D6418">
            <v>3.6</v>
          </cell>
          <cell r="E6418">
            <v>-1.7</v>
          </cell>
          <cell r="F6418">
            <v>0</v>
          </cell>
          <cell r="G6418">
            <v>-0.67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>
            <v>0</v>
          </cell>
          <cell r="M6418">
            <v>0</v>
          </cell>
          <cell r="N6418">
            <v>0</v>
          </cell>
          <cell r="O6418">
            <v>0</v>
          </cell>
          <cell r="P6418">
            <v>9.5E-4</v>
          </cell>
          <cell r="Q6418">
            <v>0</v>
          </cell>
          <cell r="R6418">
            <v>0</v>
          </cell>
          <cell r="S6418">
            <v>0</v>
          </cell>
          <cell r="T6418">
            <v>0</v>
          </cell>
          <cell r="U6418" t="b">
            <v>0</v>
          </cell>
        </row>
        <row r="6419">
          <cell r="A6419" t="str">
            <v>Data split-11;Reg-61</v>
          </cell>
          <cell r="B6419">
            <v>-2.6</v>
          </cell>
          <cell r="C6419">
            <v>0</v>
          </cell>
          <cell r="D6419">
            <v>3.3</v>
          </cell>
          <cell r="E6419">
            <v>-4.5</v>
          </cell>
          <cell r="F6419">
            <v>0</v>
          </cell>
          <cell r="G6419">
            <v>0</v>
          </cell>
          <cell r="H6419">
            <v>3.9</v>
          </cell>
          <cell r="I6419">
            <v>0</v>
          </cell>
          <cell r="J6419">
            <v>0</v>
          </cell>
          <cell r="K6419">
            <v>0</v>
          </cell>
          <cell r="L6419">
            <v>0</v>
          </cell>
          <cell r="M6419">
            <v>0</v>
          </cell>
          <cell r="N6419">
            <v>0</v>
          </cell>
          <cell r="O6419">
            <v>-6.8000000000000005E-2</v>
          </cell>
          <cell r="P6419">
            <v>0</v>
          </cell>
          <cell r="Q6419">
            <v>0</v>
          </cell>
          <cell r="R6419">
            <v>0</v>
          </cell>
          <cell r="S6419">
            <v>0</v>
          </cell>
          <cell r="T6419">
            <v>0</v>
          </cell>
          <cell r="U6419" t="b">
            <v>0</v>
          </cell>
        </row>
        <row r="6420">
          <cell r="A6420" t="str">
            <v>Data split-11;Reg-62</v>
          </cell>
          <cell r="B6420">
            <v>-3</v>
          </cell>
          <cell r="C6420">
            <v>0</v>
          </cell>
          <cell r="D6420">
            <v>3.4</v>
          </cell>
          <cell r="E6420">
            <v>-4.7</v>
          </cell>
          <cell r="F6420">
            <v>0</v>
          </cell>
          <cell r="G6420">
            <v>0</v>
          </cell>
          <cell r="H6420">
            <v>4.2</v>
          </cell>
          <cell r="I6420">
            <v>0</v>
          </cell>
          <cell r="J6420">
            <v>0</v>
          </cell>
          <cell r="K6420">
            <v>0</v>
          </cell>
          <cell r="L6420">
            <v>0</v>
          </cell>
          <cell r="M6420">
            <v>0</v>
          </cell>
          <cell r="N6420">
            <v>0</v>
          </cell>
          <cell r="O6420">
            <v>0</v>
          </cell>
          <cell r="P6420">
            <v>-1.2E-2</v>
          </cell>
          <cell r="Q6420">
            <v>0</v>
          </cell>
          <cell r="R6420">
            <v>0</v>
          </cell>
          <cell r="S6420">
            <v>0</v>
          </cell>
          <cell r="T6420">
            <v>0</v>
          </cell>
          <cell r="U6420" t="b">
            <v>0</v>
          </cell>
        </row>
        <row r="6421">
          <cell r="A6421" t="str">
            <v>Data split-11;Reg-63</v>
          </cell>
          <cell r="B6421">
            <v>-2.1</v>
          </cell>
          <cell r="C6421">
            <v>0</v>
          </cell>
          <cell r="D6421">
            <v>3.2</v>
          </cell>
          <cell r="E6421">
            <v>0</v>
          </cell>
          <cell r="F6421">
            <v>0.49</v>
          </cell>
          <cell r="G6421">
            <v>-1.2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>
            <v>0</v>
          </cell>
          <cell r="M6421">
            <v>0</v>
          </cell>
          <cell r="N6421">
            <v>0</v>
          </cell>
          <cell r="O6421">
            <v>-9.7000000000000003E-2</v>
          </cell>
          <cell r="P6421">
            <v>0</v>
          </cell>
          <cell r="Q6421">
            <v>0</v>
          </cell>
          <cell r="R6421">
            <v>0</v>
          </cell>
          <cell r="S6421">
            <v>0</v>
          </cell>
          <cell r="T6421">
            <v>0</v>
          </cell>
          <cell r="U6421" t="b">
            <v>0</v>
          </cell>
        </row>
        <row r="6422">
          <cell r="A6422" t="str">
            <v>Data split-11;Reg-64</v>
          </cell>
          <cell r="B6422">
            <v>-2.8</v>
          </cell>
          <cell r="C6422">
            <v>0</v>
          </cell>
          <cell r="D6422">
            <v>3.3</v>
          </cell>
          <cell r="E6422">
            <v>0</v>
          </cell>
          <cell r="F6422">
            <v>0.35</v>
          </cell>
          <cell r="G6422">
            <v>-1.5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0</v>
          </cell>
          <cell r="M6422">
            <v>0</v>
          </cell>
          <cell r="N6422">
            <v>0</v>
          </cell>
          <cell r="O6422">
            <v>0</v>
          </cell>
          <cell r="P6422">
            <v>-9.2999999999999992E-3</v>
          </cell>
          <cell r="Q6422">
            <v>0</v>
          </cell>
          <cell r="R6422">
            <v>0</v>
          </cell>
          <cell r="S6422">
            <v>0</v>
          </cell>
          <cell r="T6422">
            <v>0</v>
          </cell>
          <cell r="U6422" t="b">
            <v>0</v>
          </cell>
        </row>
        <row r="6423">
          <cell r="A6423" t="str">
            <v>Data split-11;Reg-65</v>
          </cell>
          <cell r="B6423">
            <v>-2.1</v>
          </cell>
          <cell r="C6423">
            <v>0</v>
          </cell>
          <cell r="D6423">
            <v>3.2</v>
          </cell>
          <cell r="E6423">
            <v>0</v>
          </cell>
          <cell r="F6423">
            <v>0.74</v>
          </cell>
          <cell r="G6423">
            <v>0</v>
          </cell>
          <cell r="H6423">
            <v>-2</v>
          </cell>
          <cell r="I6423">
            <v>0</v>
          </cell>
          <cell r="J6423">
            <v>0</v>
          </cell>
          <cell r="K6423">
            <v>0</v>
          </cell>
          <cell r="L6423">
            <v>0</v>
          </cell>
          <cell r="M6423">
            <v>0</v>
          </cell>
          <cell r="N6423">
            <v>0</v>
          </cell>
          <cell r="O6423">
            <v>-0.11</v>
          </cell>
          <cell r="P6423">
            <v>0</v>
          </cell>
          <cell r="Q6423">
            <v>0</v>
          </cell>
          <cell r="R6423">
            <v>0</v>
          </cell>
          <cell r="S6423">
            <v>0</v>
          </cell>
          <cell r="T6423">
            <v>0</v>
          </cell>
          <cell r="U6423" t="b">
            <v>0</v>
          </cell>
        </row>
        <row r="6424">
          <cell r="A6424" t="str">
            <v>Data split-11;Reg-66</v>
          </cell>
          <cell r="B6424">
            <v>-2.8</v>
          </cell>
          <cell r="C6424">
            <v>0</v>
          </cell>
          <cell r="D6424">
            <v>3.3</v>
          </cell>
          <cell r="E6424">
            <v>0</v>
          </cell>
          <cell r="F6424">
            <v>0.63</v>
          </cell>
          <cell r="G6424">
            <v>0</v>
          </cell>
          <cell r="H6424">
            <v>-2.2999999999999998</v>
          </cell>
          <cell r="I6424">
            <v>0</v>
          </cell>
          <cell r="J6424">
            <v>0</v>
          </cell>
          <cell r="K6424">
            <v>0</v>
          </cell>
          <cell r="L6424">
            <v>0</v>
          </cell>
          <cell r="M6424">
            <v>0</v>
          </cell>
          <cell r="N6424">
            <v>0</v>
          </cell>
          <cell r="O6424">
            <v>0</v>
          </cell>
          <cell r="P6424">
            <v>-1.2999999999999999E-2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 t="b">
            <v>0</v>
          </cell>
        </row>
        <row r="6425">
          <cell r="A6425" t="str">
            <v>Data split-11;Reg-67</v>
          </cell>
          <cell r="B6425">
            <v>-2.8</v>
          </cell>
          <cell r="C6425">
            <v>3.5</v>
          </cell>
          <cell r="D6425">
            <v>0</v>
          </cell>
          <cell r="E6425">
            <v>0</v>
          </cell>
          <cell r="F6425">
            <v>0</v>
          </cell>
          <cell r="G6425">
            <v>-1.7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0</v>
          </cell>
          <cell r="M6425">
            <v>0</v>
          </cell>
          <cell r="N6425">
            <v>0</v>
          </cell>
          <cell r="O6425">
            <v>0</v>
          </cell>
          <cell r="P6425">
            <v>0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 t="b">
            <v>0</v>
          </cell>
        </row>
        <row r="6426">
          <cell r="A6426" t="str">
            <v>Data split-11;Reg-68</v>
          </cell>
          <cell r="B6426">
            <v>-3.3</v>
          </cell>
          <cell r="C6426">
            <v>3.3</v>
          </cell>
          <cell r="D6426">
            <v>0</v>
          </cell>
          <cell r="E6426">
            <v>0</v>
          </cell>
          <cell r="F6426">
            <v>0.28000000000000003</v>
          </cell>
          <cell r="G6426">
            <v>-1.8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0</v>
          </cell>
          <cell r="M6426">
            <v>0</v>
          </cell>
          <cell r="N6426">
            <v>0</v>
          </cell>
          <cell r="O6426">
            <v>0</v>
          </cell>
          <cell r="P6426">
            <v>0</v>
          </cell>
          <cell r="Q6426">
            <v>0</v>
          </cell>
          <cell r="R6426">
            <v>0</v>
          </cell>
          <cell r="S6426">
            <v>0</v>
          </cell>
          <cell r="T6426">
            <v>0</v>
          </cell>
          <cell r="U6426" t="b">
            <v>0</v>
          </cell>
        </row>
        <row r="6427">
          <cell r="A6427" t="str">
            <v>Data split-11;Reg-69</v>
          </cell>
          <cell r="B6427">
            <v>-6.1</v>
          </cell>
          <cell r="C6427">
            <v>3.5</v>
          </cell>
          <cell r="D6427">
            <v>0</v>
          </cell>
          <cell r="E6427">
            <v>0</v>
          </cell>
          <cell r="F6427">
            <v>0</v>
          </cell>
          <cell r="G6427">
            <v>-2.2000000000000002</v>
          </cell>
          <cell r="H6427">
            <v>0</v>
          </cell>
          <cell r="I6427">
            <v>0</v>
          </cell>
          <cell r="J6427">
            <v>30</v>
          </cell>
          <cell r="K6427">
            <v>0</v>
          </cell>
          <cell r="L6427">
            <v>0</v>
          </cell>
          <cell r="M6427">
            <v>0</v>
          </cell>
          <cell r="N6427">
            <v>0</v>
          </cell>
          <cell r="O6427">
            <v>0</v>
          </cell>
          <cell r="P6427">
            <v>0</v>
          </cell>
          <cell r="Q6427">
            <v>0</v>
          </cell>
          <cell r="R6427">
            <v>0</v>
          </cell>
          <cell r="S6427">
            <v>0</v>
          </cell>
          <cell r="T6427">
            <v>0</v>
          </cell>
          <cell r="U6427" t="b">
            <v>0</v>
          </cell>
        </row>
        <row r="6428">
          <cell r="A6428" t="str">
            <v>Data split-11;Reg-70</v>
          </cell>
          <cell r="B6428">
            <v>-5.5</v>
          </cell>
          <cell r="C6428">
            <v>3.5</v>
          </cell>
          <cell r="D6428">
            <v>0</v>
          </cell>
          <cell r="E6428">
            <v>0</v>
          </cell>
          <cell r="F6428">
            <v>0</v>
          </cell>
          <cell r="G6428">
            <v>-1.7</v>
          </cell>
          <cell r="H6428">
            <v>0</v>
          </cell>
          <cell r="I6428">
            <v>0</v>
          </cell>
          <cell r="J6428">
            <v>28.6</v>
          </cell>
          <cell r="K6428">
            <v>0</v>
          </cell>
          <cell r="L6428">
            <v>0</v>
          </cell>
          <cell r="M6428">
            <v>0</v>
          </cell>
          <cell r="N6428">
            <v>0</v>
          </cell>
          <cell r="O6428">
            <v>0</v>
          </cell>
          <cell r="P6428">
            <v>0</v>
          </cell>
          <cell r="Q6428">
            <v>0</v>
          </cell>
          <cell r="R6428">
            <v>0</v>
          </cell>
          <cell r="S6428">
            <v>-5.8999999999999997E-2</v>
          </cell>
          <cell r="T6428">
            <v>0</v>
          </cell>
          <cell r="U6428" t="b">
            <v>0</v>
          </cell>
        </row>
        <row r="6429">
          <cell r="A6429" t="str">
            <v>Data split-11;Reg-71</v>
          </cell>
          <cell r="B6429">
            <v>-3.4</v>
          </cell>
          <cell r="C6429">
            <v>3.1</v>
          </cell>
          <cell r="D6429">
            <v>0</v>
          </cell>
          <cell r="E6429">
            <v>0</v>
          </cell>
          <cell r="F6429">
            <v>0.67</v>
          </cell>
          <cell r="G6429">
            <v>0</v>
          </cell>
          <cell r="H6429">
            <v>-1.7</v>
          </cell>
          <cell r="I6429">
            <v>0</v>
          </cell>
          <cell r="J6429">
            <v>0</v>
          </cell>
          <cell r="K6429">
            <v>0</v>
          </cell>
          <cell r="L6429">
            <v>0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  <cell r="R6429">
            <v>0</v>
          </cell>
          <cell r="S6429">
            <v>-8.7999999999999995E-2</v>
          </cell>
          <cell r="T6429">
            <v>0</v>
          </cell>
          <cell r="U6429" t="b">
            <v>0</v>
          </cell>
        </row>
        <row r="6430">
          <cell r="A6430" t="str">
            <v>Data split-11;Reg-72</v>
          </cell>
          <cell r="B6430">
            <v>-2.5</v>
          </cell>
          <cell r="C6430">
            <v>3.6</v>
          </cell>
          <cell r="D6430">
            <v>0</v>
          </cell>
          <cell r="E6430">
            <v>-2.2999999999999998</v>
          </cell>
          <cell r="F6430">
            <v>0</v>
          </cell>
          <cell r="G6430">
            <v>0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0</v>
          </cell>
          <cell r="M6430">
            <v>0</v>
          </cell>
          <cell r="N6430">
            <v>0</v>
          </cell>
          <cell r="O6430">
            <v>0</v>
          </cell>
          <cell r="P6430">
            <v>0</v>
          </cell>
          <cell r="Q6430">
            <v>0</v>
          </cell>
          <cell r="R6430">
            <v>0</v>
          </cell>
          <cell r="S6430">
            <v>0</v>
          </cell>
          <cell r="T6430">
            <v>0</v>
          </cell>
          <cell r="U6430" t="b">
            <v>0</v>
          </cell>
        </row>
        <row r="6431">
          <cell r="A6431" t="str">
            <v>Data split-11;Reg-73</v>
          </cell>
          <cell r="B6431">
            <v>-8.6999999999999993</v>
          </cell>
          <cell r="C6431">
            <v>2.7</v>
          </cell>
          <cell r="D6431">
            <v>0</v>
          </cell>
          <cell r="E6431">
            <v>0</v>
          </cell>
          <cell r="F6431">
            <v>0.1</v>
          </cell>
          <cell r="G6431">
            <v>0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0</v>
          </cell>
          <cell r="M6431">
            <v>0</v>
          </cell>
          <cell r="N6431">
            <v>0</v>
          </cell>
          <cell r="O6431">
            <v>0</v>
          </cell>
          <cell r="P6431">
            <v>0</v>
          </cell>
          <cell r="Q6431">
            <v>0</v>
          </cell>
          <cell r="R6431">
            <v>0</v>
          </cell>
          <cell r="S6431">
            <v>0</v>
          </cell>
          <cell r="T6431">
            <v>0</v>
          </cell>
          <cell r="U6431" t="b">
            <v>1</v>
          </cell>
        </row>
        <row r="6432">
          <cell r="A6432" t="str">
            <v>Data split-11;Reg-74</v>
          </cell>
          <cell r="B6432">
            <v>-2.2999999999999998</v>
          </cell>
          <cell r="C6432">
            <v>0</v>
          </cell>
          <cell r="D6432">
            <v>3.6</v>
          </cell>
          <cell r="E6432">
            <v>-2.2999999999999998</v>
          </cell>
          <cell r="F6432">
            <v>0</v>
          </cell>
          <cell r="G6432">
            <v>0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0</v>
          </cell>
          <cell r="M6432">
            <v>0</v>
          </cell>
          <cell r="N6432">
            <v>0</v>
          </cell>
          <cell r="O6432">
            <v>0</v>
          </cell>
          <cell r="P6432">
            <v>0</v>
          </cell>
          <cell r="Q6432">
            <v>0</v>
          </cell>
          <cell r="R6432">
            <v>0</v>
          </cell>
          <cell r="S6432">
            <v>0</v>
          </cell>
          <cell r="T6432">
            <v>0</v>
          </cell>
          <cell r="U6432" t="b">
            <v>0</v>
          </cell>
        </row>
        <row r="6433">
          <cell r="A6433" t="str">
            <v>Data split-11;Reg-75</v>
          </cell>
          <cell r="B6433">
            <v>-8.5</v>
          </cell>
          <cell r="C6433">
            <v>0</v>
          </cell>
          <cell r="D6433">
            <v>2.7</v>
          </cell>
          <cell r="E6433">
            <v>0</v>
          </cell>
          <cell r="F6433">
            <v>9.6000000000000002E-2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0</v>
          </cell>
          <cell r="M6433">
            <v>0</v>
          </cell>
          <cell r="N6433">
            <v>0</v>
          </cell>
          <cell r="O6433">
            <v>0</v>
          </cell>
          <cell r="P6433">
            <v>0</v>
          </cell>
          <cell r="Q6433">
            <v>0</v>
          </cell>
          <cell r="R6433">
            <v>0</v>
          </cell>
          <cell r="S6433">
            <v>0</v>
          </cell>
          <cell r="T6433">
            <v>0</v>
          </cell>
          <cell r="U6433" t="b">
            <v>1</v>
          </cell>
        </row>
        <row r="6434">
          <cell r="A6434" t="str">
            <v>Data split-11;Reg-76</v>
          </cell>
          <cell r="B6434">
            <v>-2.8</v>
          </cell>
          <cell r="C6434">
            <v>3.5</v>
          </cell>
          <cell r="D6434">
            <v>0</v>
          </cell>
          <cell r="E6434">
            <v>0</v>
          </cell>
          <cell r="F6434">
            <v>0</v>
          </cell>
          <cell r="G6434">
            <v>-1.7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0</v>
          </cell>
          <cell r="M6434">
            <v>0</v>
          </cell>
          <cell r="N6434">
            <v>0</v>
          </cell>
          <cell r="O6434">
            <v>0</v>
          </cell>
          <cell r="P6434">
            <v>0</v>
          </cell>
          <cell r="Q6434">
            <v>0</v>
          </cell>
          <cell r="R6434">
            <v>0</v>
          </cell>
          <cell r="S6434">
            <v>0</v>
          </cell>
          <cell r="T6434">
            <v>0</v>
          </cell>
          <cell r="U6434" t="b">
            <v>0</v>
          </cell>
        </row>
        <row r="6435">
          <cell r="A6435" t="str">
            <v>Data split-11;Reg-77</v>
          </cell>
          <cell r="B6435">
            <v>-3.3</v>
          </cell>
          <cell r="C6435">
            <v>3.5</v>
          </cell>
          <cell r="D6435">
            <v>0</v>
          </cell>
          <cell r="E6435">
            <v>0</v>
          </cell>
          <cell r="F6435">
            <v>0</v>
          </cell>
          <cell r="G6435">
            <v>0</v>
          </cell>
          <cell r="H6435">
            <v>-2.5</v>
          </cell>
          <cell r="I6435">
            <v>0</v>
          </cell>
          <cell r="J6435">
            <v>0</v>
          </cell>
          <cell r="K6435">
            <v>0</v>
          </cell>
          <cell r="L6435">
            <v>0</v>
          </cell>
          <cell r="M6435">
            <v>0</v>
          </cell>
          <cell r="N6435">
            <v>0</v>
          </cell>
          <cell r="O6435">
            <v>0</v>
          </cell>
          <cell r="P6435">
            <v>0</v>
          </cell>
          <cell r="Q6435">
            <v>0</v>
          </cell>
          <cell r="R6435">
            <v>0</v>
          </cell>
          <cell r="S6435">
            <v>0</v>
          </cell>
          <cell r="T6435">
            <v>0</v>
          </cell>
          <cell r="U6435" t="b">
            <v>0</v>
          </cell>
        </row>
        <row r="6436">
          <cell r="A6436" t="str">
            <v>Data split-11;Reg-78</v>
          </cell>
          <cell r="B6436">
            <v>-2.6</v>
          </cell>
          <cell r="C6436">
            <v>0</v>
          </cell>
          <cell r="D6436">
            <v>3.5</v>
          </cell>
          <cell r="E6436">
            <v>0</v>
          </cell>
          <cell r="F6436">
            <v>0</v>
          </cell>
          <cell r="G6436">
            <v>-1.7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0</v>
          </cell>
          <cell r="M6436">
            <v>0</v>
          </cell>
          <cell r="N6436">
            <v>0</v>
          </cell>
          <cell r="O6436">
            <v>0</v>
          </cell>
          <cell r="P6436">
            <v>0</v>
          </cell>
          <cell r="Q6436">
            <v>0</v>
          </cell>
          <cell r="R6436">
            <v>0</v>
          </cell>
          <cell r="S6436">
            <v>0</v>
          </cell>
          <cell r="T6436">
            <v>0</v>
          </cell>
          <cell r="U6436" t="b">
            <v>0</v>
          </cell>
        </row>
        <row r="6437">
          <cell r="A6437" t="str">
            <v>Data split-11;Reg-79</v>
          </cell>
          <cell r="B6437">
            <v>-3.1</v>
          </cell>
          <cell r="C6437">
            <v>0</v>
          </cell>
          <cell r="D6437">
            <v>3.5</v>
          </cell>
          <cell r="E6437">
            <v>0</v>
          </cell>
          <cell r="F6437">
            <v>0</v>
          </cell>
          <cell r="G6437">
            <v>0</v>
          </cell>
          <cell r="H6437">
            <v>-2.5</v>
          </cell>
          <cell r="I6437">
            <v>0</v>
          </cell>
          <cell r="J6437">
            <v>0</v>
          </cell>
          <cell r="K6437">
            <v>0</v>
          </cell>
          <cell r="L6437">
            <v>0</v>
          </cell>
          <cell r="M6437">
            <v>0</v>
          </cell>
          <cell r="N6437">
            <v>0</v>
          </cell>
          <cell r="O6437">
            <v>0</v>
          </cell>
          <cell r="P6437">
            <v>0</v>
          </cell>
          <cell r="Q6437">
            <v>0</v>
          </cell>
          <cell r="R6437">
            <v>0</v>
          </cell>
          <cell r="S6437">
            <v>0</v>
          </cell>
          <cell r="T6437">
            <v>0</v>
          </cell>
          <cell r="U6437" t="b">
            <v>0</v>
          </cell>
        </row>
        <row r="6438">
          <cell r="A6438" t="str">
            <v>Data split-11;Reg-80</v>
          </cell>
          <cell r="B6438">
            <v>-7.8</v>
          </cell>
          <cell r="C6438">
            <v>2.8</v>
          </cell>
          <cell r="D6438">
            <v>0</v>
          </cell>
          <cell r="E6438">
            <v>0</v>
          </cell>
          <cell r="F6438">
            <v>0</v>
          </cell>
          <cell r="G6438">
            <v>0</v>
          </cell>
          <cell r="H6438">
            <v>0</v>
          </cell>
          <cell r="I6438">
            <v>-0.69</v>
          </cell>
          <cell r="J6438">
            <v>0</v>
          </cell>
          <cell r="K6438">
            <v>0</v>
          </cell>
          <cell r="L6438">
            <v>0</v>
          </cell>
          <cell r="M6438">
            <v>0</v>
          </cell>
          <cell r="N6438">
            <v>0</v>
          </cell>
          <cell r="O6438">
            <v>0</v>
          </cell>
          <cell r="P6438">
            <v>0</v>
          </cell>
          <cell r="Q6438">
            <v>0</v>
          </cell>
          <cell r="R6438">
            <v>0</v>
          </cell>
          <cell r="S6438">
            <v>0</v>
          </cell>
          <cell r="T6438">
            <v>0</v>
          </cell>
          <cell r="U6438" t="b">
            <v>1</v>
          </cell>
        </row>
        <row r="6439">
          <cell r="A6439" t="str">
            <v>Data split-11;Reg-81</v>
          </cell>
          <cell r="B6439">
            <v>-9</v>
          </cell>
          <cell r="C6439">
            <v>2.7</v>
          </cell>
          <cell r="D6439">
            <v>0</v>
          </cell>
          <cell r="E6439">
            <v>0</v>
          </cell>
          <cell r="F6439">
            <v>0</v>
          </cell>
          <cell r="G6439">
            <v>0</v>
          </cell>
          <cell r="H6439">
            <v>0</v>
          </cell>
          <cell r="I6439">
            <v>0</v>
          </cell>
          <cell r="J6439">
            <v>3.1</v>
          </cell>
          <cell r="K6439">
            <v>0</v>
          </cell>
          <cell r="L6439">
            <v>0</v>
          </cell>
          <cell r="M6439">
            <v>0</v>
          </cell>
          <cell r="N6439">
            <v>0</v>
          </cell>
          <cell r="O6439">
            <v>0</v>
          </cell>
          <cell r="P6439">
            <v>0</v>
          </cell>
          <cell r="Q6439">
            <v>0</v>
          </cell>
          <cell r="R6439">
            <v>0</v>
          </cell>
          <cell r="S6439">
            <v>0</v>
          </cell>
          <cell r="T6439">
            <v>0</v>
          </cell>
          <cell r="U6439" t="b">
            <v>0</v>
          </cell>
        </row>
        <row r="6440">
          <cell r="A6440" t="str">
            <v>Data split-11;Reg-82</v>
          </cell>
          <cell r="B6440">
            <v>-7.6</v>
          </cell>
          <cell r="C6440">
            <v>0</v>
          </cell>
          <cell r="D6440">
            <v>2.8</v>
          </cell>
          <cell r="E6440">
            <v>0</v>
          </cell>
          <cell r="F6440">
            <v>0</v>
          </cell>
          <cell r="G6440">
            <v>0</v>
          </cell>
          <cell r="H6440">
            <v>0</v>
          </cell>
          <cell r="I6440">
            <v>-0.65</v>
          </cell>
          <cell r="J6440">
            <v>0</v>
          </cell>
          <cell r="K6440">
            <v>0</v>
          </cell>
          <cell r="L6440">
            <v>0</v>
          </cell>
          <cell r="M6440">
            <v>0</v>
          </cell>
          <cell r="N6440">
            <v>0</v>
          </cell>
          <cell r="O6440">
            <v>0</v>
          </cell>
          <cell r="P6440">
            <v>0</v>
          </cell>
          <cell r="Q6440">
            <v>0</v>
          </cell>
          <cell r="R6440">
            <v>0</v>
          </cell>
          <cell r="S6440">
            <v>0</v>
          </cell>
          <cell r="T6440">
            <v>0</v>
          </cell>
          <cell r="U6440" t="b">
            <v>1</v>
          </cell>
        </row>
        <row r="6441">
          <cell r="A6441" t="str">
            <v>Data split-11;Reg-83</v>
          </cell>
          <cell r="B6441">
            <v>-8.9</v>
          </cell>
          <cell r="C6441">
            <v>0</v>
          </cell>
          <cell r="D6441">
            <v>2.7</v>
          </cell>
          <cell r="E6441">
            <v>0</v>
          </cell>
          <cell r="F6441">
            <v>0</v>
          </cell>
          <cell r="G6441">
            <v>0</v>
          </cell>
          <cell r="H6441">
            <v>0</v>
          </cell>
          <cell r="I6441">
            <v>0</v>
          </cell>
          <cell r="J6441">
            <v>3.8</v>
          </cell>
          <cell r="K6441">
            <v>0</v>
          </cell>
          <cell r="L6441">
            <v>0</v>
          </cell>
          <cell r="M6441">
            <v>0</v>
          </cell>
          <cell r="N6441">
            <v>0</v>
          </cell>
          <cell r="O6441">
            <v>0</v>
          </cell>
          <cell r="P6441">
            <v>0</v>
          </cell>
          <cell r="Q6441">
            <v>0</v>
          </cell>
          <cell r="R6441">
            <v>0</v>
          </cell>
          <cell r="S6441">
            <v>0</v>
          </cell>
          <cell r="T6441">
            <v>0</v>
          </cell>
          <cell r="U6441" t="b">
            <v>0</v>
          </cell>
        </row>
        <row r="6442">
          <cell r="A6442" t="str">
            <v>Data split-11;Reg-84</v>
          </cell>
          <cell r="B6442">
            <v>-8</v>
          </cell>
          <cell r="C6442">
            <v>2.8</v>
          </cell>
          <cell r="D6442">
            <v>0</v>
          </cell>
          <cell r="E6442">
            <v>0</v>
          </cell>
          <cell r="F6442">
            <v>0</v>
          </cell>
          <cell r="G6442">
            <v>0</v>
          </cell>
          <cell r="H6442">
            <v>0</v>
          </cell>
          <cell r="I6442">
            <v>0</v>
          </cell>
          <cell r="J6442">
            <v>0</v>
          </cell>
          <cell r="K6442">
            <v>-0.85</v>
          </cell>
          <cell r="L6442">
            <v>0</v>
          </cell>
          <cell r="M6442">
            <v>0</v>
          </cell>
          <cell r="N6442">
            <v>0</v>
          </cell>
          <cell r="O6442">
            <v>0</v>
          </cell>
          <cell r="P6442">
            <v>0</v>
          </cell>
          <cell r="Q6442">
            <v>0</v>
          </cell>
          <cell r="R6442">
            <v>0</v>
          </cell>
          <cell r="S6442">
            <v>0</v>
          </cell>
          <cell r="T6442">
            <v>0</v>
          </cell>
          <cell r="U6442" t="b">
            <v>1</v>
          </cell>
        </row>
        <row r="6443">
          <cell r="A6443" t="str">
            <v>Data split-11;Reg-85</v>
          </cell>
          <cell r="B6443">
            <v>-8</v>
          </cell>
          <cell r="C6443">
            <v>2.8</v>
          </cell>
          <cell r="D6443">
            <v>0</v>
          </cell>
          <cell r="E6443">
            <v>0</v>
          </cell>
          <cell r="F6443">
            <v>0</v>
          </cell>
          <cell r="G6443">
            <v>0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-4.4000000000000004</v>
          </cell>
          <cell r="M6443">
            <v>0</v>
          </cell>
          <cell r="N6443">
            <v>0</v>
          </cell>
          <cell r="O6443">
            <v>0</v>
          </cell>
          <cell r="P6443">
            <v>0</v>
          </cell>
          <cell r="Q6443">
            <v>0</v>
          </cell>
          <cell r="R6443">
            <v>0</v>
          </cell>
          <cell r="S6443">
            <v>0</v>
          </cell>
          <cell r="T6443">
            <v>0</v>
          </cell>
          <cell r="U6443" t="b">
            <v>1</v>
          </cell>
        </row>
        <row r="6444">
          <cell r="A6444" t="str">
            <v>Data split-11;Reg-86</v>
          </cell>
          <cell r="B6444">
            <v>-7.8</v>
          </cell>
          <cell r="C6444">
            <v>0</v>
          </cell>
          <cell r="D6444">
            <v>2.8</v>
          </cell>
          <cell r="E6444">
            <v>0</v>
          </cell>
          <cell r="F6444">
            <v>0</v>
          </cell>
          <cell r="G6444">
            <v>0</v>
          </cell>
          <cell r="H6444">
            <v>0</v>
          </cell>
          <cell r="I6444">
            <v>0</v>
          </cell>
          <cell r="J6444">
            <v>0</v>
          </cell>
          <cell r="K6444">
            <v>-0.83</v>
          </cell>
          <cell r="L6444">
            <v>0</v>
          </cell>
          <cell r="M6444">
            <v>0</v>
          </cell>
          <cell r="N6444">
            <v>0</v>
          </cell>
          <cell r="O6444">
            <v>0</v>
          </cell>
          <cell r="P6444">
            <v>0</v>
          </cell>
          <cell r="Q6444">
            <v>0</v>
          </cell>
          <cell r="R6444">
            <v>0</v>
          </cell>
          <cell r="S6444">
            <v>0</v>
          </cell>
          <cell r="T6444">
            <v>0</v>
          </cell>
          <cell r="U6444" t="b">
            <v>1</v>
          </cell>
        </row>
        <row r="6445">
          <cell r="A6445" t="str">
            <v>Data split-11;Reg-87</v>
          </cell>
          <cell r="B6445">
            <v>-7.8</v>
          </cell>
          <cell r="C6445">
            <v>0</v>
          </cell>
          <cell r="D6445">
            <v>2.8</v>
          </cell>
          <cell r="E6445">
            <v>0</v>
          </cell>
          <cell r="F6445">
            <v>0</v>
          </cell>
          <cell r="G6445">
            <v>0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-4.0999999999999996</v>
          </cell>
          <cell r="M6445">
            <v>0</v>
          </cell>
          <cell r="N6445">
            <v>0</v>
          </cell>
          <cell r="O6445">
            <v>0</v>
          </cell>
          <cell r="P6445">
            <v>0</v>
          </cell>
          <cell r="Q6445">
            <v>0</v>
          </cell>
          <cell r="R6445">
            <v>0</v>
          </cell>
          <cell r="S6445">
            <v>0</v>
          </cell>
          <cell r="T6445">
            <v>0</v>
          </cell>
          <cell r="U6445" t="b">
            <v>1</v>
          </cell>
        </row>
        <row r="6446">
          <cell r="A6446" t="str">
            <v>Data split-11;Reg-88</v>
          </cell>
          <cell r="B6446">
            <v>-5.3</v>
          </cell>
          <cell r="C6446">
            <v>3.1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0</v>
          </cell>
          <cell r="M6446">
            <v>-0.11</v>
          </cell>
          <cell r="N6446">
            <v>0</v>
          </cell>
          <cell r="O6446">
            <v>0</v>
          </cell>
          <cell r="P6446">
            <v>0</v>
          </cell>
          <cell r="Q6446">
            <v>0</v>
          </cell>
          <cell r="R6446">
            <v>0</v>
          </cell>
          <cell r="S6446">
            <v>0</v>
          </cell>
          <cell r="T6446">
            <v>0</v>
          </cell>
          <cell r="U6446" t="b">
            <v>1</v>
          </cell>
        </row>
        <row r="6447">
          <cell r="A6447" t="str">
            <v>Data split-11;Reg-89</v>
          </cell>
          <cell r="B6447">
            <v>-5.7</v>
          </cell>
          <cell r="C6447">
            <v>3.2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0</v>
          </cell>
          <cell r="M6447">
            <v>0</v>
          </cell>
          <cell r="N6447">
            <v>-2.1000000000000001E-2</v>
          </cell>
          <cell r="O6447">
            <v>0</v>
          </cell>
          <cell r="P6447">
            <v>0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 t="b">
            <v>1</v>
          </cell>
        </row>
        <row r="6448">
          <cell r="A6448" t="str">
            <v>Data split-11;Reg-90</v>
          </cell>
          <cell r="B6448">
            <v>-5</v>
          </cell>
          <cell r="C6448">
            <v>0</v>
          </cell>
          <cell r="D6448">
            <v>3.1</v>
          </cell>
          <cell r="E6448">
            <v>0</v>
          </cell>
          <cell r="F6448">
            <v>0</v>
          </cell>
          <cell r="G6448">
            <v>0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>
            <v>0</v>
          </cell>
          <cell r="M6448">
            <v>-0.11</v>
          </cell>
          <cell r="N6448">
            <v>0</v>
          </cell>
          <cell r="O6448">
            <v>0</v>
          </cell>
          <cell r="P6448">
            <v>0</v>
          </cell>
          <cell r="Q6448">
            <v>0</v>
          </cell>
          <cell r="R6448">
            <v>0</v>
          </cell>
          <cell r="S6448">
            <v>0</v>
          </cell>
          <cell r="T6448">
            <v>0</v>
          </cell>
          <cell r="U6448" t="b">
            <v>1</v>
          </cell>
        </row>
        <row r="6449">
          <cell r="A6449" t="str">
            <v>Data split-11;Reg-91</v>
          </cell>
          <cell r="B6449">
            <v>-5.5</v>
          </cell>
          <cell r="C6449">
            <v>0</v>
          </cell>
          <cell r="D6449">
            <v>3.2</v>
          </cell>
          <cell r="E6449">
            <v>0</v>
          </cell>
          <cell r="F6449">
            <v>0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0</v>
          </cell>
          <cell r="M6449">
            <v>0</v>
          </cell>
          <cell r="N6449">
            <v>-2.1999999999999999E-2</v>
          </cell>
          <cell r="O6449">
            <v>0</v>
          </cell>
          <cell r="P6449">
            <v>0</v>
          </cell>
          <cell r="Q6449">
            <v>0</v>
          </cell>
          <cell r="R6449">
            <v>0</v>
          </cell>
          <cell r="S6449">
            <v>0</v>
          </cell>
          <cell r="T6449">
            <v>0</v>
          </cell>
          <cell r="U6449" t="b">
            <v>1</v>
          </cell>
        </row>
        <row r="6450">
          <cell r="A6450" t="str">
            <v>Data split-11;Reg-92</v>
          </cell>
          <cell r="B6450">
            <v>-3.8</v>
          </cell>
          <cell r="C6450">
            <v>3.1</v>
          </cell>
          <cell r="D6450">
            <v>0</v>
          </cell>
          <cell r="E6450">
            <v>0</v>
          </cell>
          <cell r="F6450">
            <v>0</v>
          </cell>
          <cell r="G6450">
            <v>0</v>
          </cell>
          <cell r="H6450">
            <v>0</v>
          </cell>
          <cell r="I6450">
            <v>0</v>
          </cell>
          <cell r="J6450">
            <v>0</v>
          </cell>
          <cell r="K6450">
            <v>0</v>
          </cell>
          <cell r="L6450">
            <v>0</v>
          </cell>
          <cell r="M6450">
            <v>0</v>
          </cell>
          <cell r="N6450">
            <v>0</v>
          </cell>
          <cell r="O6450">
            <v>-0.14000000000000001</v>
          </cell>
          <cell r="P6450">
            <v>0</v>
          </cell>
          <cell r="Q6450">
            <v>0</v>
          </cell>
          <cell r="R6450">
            <v>0</v>
          </cell>
          <cell r="S6450">
            <v>0</v>
          </cell>
          <cell r="T6450">
            <v>0</v>
          </cell>
          <cell r="U6450" t="b">
            <v>1</v>
          </cell>
        </row>
        <row r="6451">
          <cell r="A6451" t="str">
            <v>Data split-11;Reg-93</v>
          </cell>
          <cell r="B6451">
            <v>-4.3</v>
          </cell>
          <cell r="C6451">
            <v>3.2</v>
          </cell>
          <cell r="D6451">
            <v>0</v>
          </cell>
          <cell r="E6451">
            <v>0</v>
          </cell>
          <cell r="F6451">
            <v>0</v>
          </cell>
          <cell r="G6451">
            <v>0</v>
          </cell>
          <cell r="H6451">
            <v>0</v>
          </cell>
          <cell r="I6451">
            <v>0</v>
          </cell>
          <cell r="J6451">
            <v>0</v>
          </cell>
          <cell r="K6451">
            <v>0</v>
          </cell>
          <cell r="L6451">
            <v>0</v>
          </cell>
          <cell r="M6451">
            <v>0</v>
          </cell>
          <cell r="N6451">
            <v>0</v>
          </cell>
          <cell r="O6451">
            <v>0</v>
          </cell>
          <cell r="P6451">
            <v>-2.7E-2</v>
          </cell>
          <cell r="Q6451">
            <v>0</v>
          </cell>
          <cell r="R6451">
            <v>0</v>
          </cell>
          <cell r="S6451">
            <v>0</v>
          </cell>
          <cell r="T6451">
            <v>0</v>
          </cell>
          <cell r="U6451" t="b">
            <v>1</v>
          </cell>
        </row>
        <row r="6452">
          <cell r="A6452" t="str">
            <v>Data split-11;Reg-94</v>
          </cell>
          <cell r="B6452">
            <v>-3.5</v>
          </cell>
          <cell r="C6452">
            <v>0</v>
          </cell>
          <cell r="D6452">
            <v>3.1</v>
          </cell>
          <cell r="E6452">
            <v>0</v>
          </cell>
          <cell r="F6452">
            <v>0</v>
          </cell>
          <cell r="G6452">
            <v>0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>
            <v>0</v>
          </cell>
          <cell r="M6452">
            <v>0</v>
          </cell>
          <cell r="N6452">
            <v>0</v>
          </cell>
          <cell r="O6452">
            <v>-0.14000000000000001</v>
          </cell>
          <cell r="P6452">
            <v>0</v>
          </cell>
          <cell r="Q6452">
            <v>0</v>
          </cell>
          <cell r="R6452">
            <v>0</v>
          </cell>
          <cell r="S6452">
            <v>0</v>
          </cell>
          <cell r="T6452">
            <v>0</v>
          </cell>
          <cell r="U6452" t="b">
            <v>1</v>
          </cell>
        </row>
        <row r="6453">
          <cell r="A6453" t="str">
            <v>Data split-11;Reg-95</v>
          </cell>
          <cell r="B6453">
            <v>-4</v>
          </cell>
          <cell r="C6453">
            <v>0</v>
          </cell>
          <cell r="D6453">
            <v>3.2</v>
          </cell>
          <cell r="E6453">
            <v>0</v>
          </cell>
          <cell r="F6453">
            <v>0</v>
          </cell>
          <cell r="G6453">
            <v>0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0</v>
          </cell>
          <cell r="M6453">
            <v>0</v>
          </cell>
          <cell r="N6453">
            <v>0</v>
          </cell>
          <cell r="O6453">
            <v>0</v>
          </cell>
          <cell r="P6453">
            <v>-2.8000000000000001E-2</v>
          </cell>
          <cell r="Q6453">
            <v>0</v>
          </cell>
          <cell r="R6453">
            <v>0</v>
          </cell>
          <cell r="S6453">
            <v>0</v>
          </cell>
          <cell r="T6453">
            <v>0</v>
          </cell>
          <cell r="U6453" t="b">
            <v>1</v>
          </cell>
        </row>
        <row r="6454">
          <cell r="A6454" t="str">
            <v>Data split-11;Reg-96</v>
          </cell>
          <cell r="B6454">
            <v>-3.4</v>
          </cell>
          <cell r="C6454">
            <v>3.5</v>
          </cell>
          <cell r="D6454">
            <v>0</v>
          </cell>
          <cell r="E6454">
            <v>-2.9</v>
          </cell>
          <cell r="F6454">
            <v>0</v>
          </cell>
          <cell r="G6454">
            <v>0</v>
          </cell>
          <cell r="H6454">
            <v>0</v>
          </cell>
          <cell r="I6454">
            <v>2.6</v>
          </cell>
          <cell r="J6454">
            <v>0</v>
          </cell>
          <cell r="K6454">
            <v>0</v>
          </cell>
          <cell r="L6454">
            <v>0</v>
          </cell>
          <cell r="M6454">
            <v>0</v>
          </cell>
          <cell r="N6454">
            <v>0</v>
          </cell>
          <cell r="O6454">
            <v>0</v>
          </cell>
          <cell r="P6454">
            <v>0</v>
          </cell>
          <cell r="Q6454">
            <v>0</v>
          </cell>
          <cell r="R6454">
            <v>0</v>
          </cell>
          <cell r="S6454">
            <v>0</v>
          </cell>
          <cell r="T6454">
            <v>0</v>
          </cell>
          <cell r="U6454" t="b">
            <v>0</v>
          </cell>
        </row>
        <row r="6455">
          <cell r="A6455" t="str">
            <v>Data split-11;Reg-97</v>
          </cell>
          <cell r="B6455">
            <v>-6.6</v>
          </cell>
          <cell r="C6455">
            <v>3.6</v>
          </cell>
          <cell r="D6455">
            <v>0</v>
          </cell>
          <cell r="E6455">
            <v>-3</v>
          </cell>
          <cell r="F6455">
            <v>0</v>
          </cell>
          <cell r="G6455">
            <v>0</v>
          </cell>
          <cell r="H6455">
            <v>0</v>
          </cell>
          <cell r="I6455">
            <v>0</v>
          </cell>
          <cell r="J6455">
            <v>37.799999999999997</v>
          </cell>
          <cell r="K6455">
            <v>0</v>
          </cell>
          <cell r="L6455">
            <v>0</v>
          </cell>
          <cell r="M6455">
            <v>0</v>
          </cell>
          <cell r="N6455">
            <v>0</v>
          </cell>
          <cell r="O6455">
            <v>0</v>
          </cell>
          <cell r="P6455">
            <v>0</v>
          </cell>
          <cell r="Q6455">
            <v>0</v>
          </cell>
          <cell r="R6455">
            <v>0</v>
          </cell>
          <cell r="S6455">
            <v>0</v>
          </cell>
          <cell r="T6455">
            <v>0</v>
          </cell>
          <cell r="U6455" t="b">
            <v>0</v>
          </cell>
        </row>
        <row r="6456">
          <cell r="A6456" t="str">
            <v>Data split-11;Reg-98</v>
          </cell>
          <cell r="B6456">
            <v>-8</v>
          </cell>
          <cell r="C6456">
            <v>2.7</v>
          </cell>
          <cell r="D6456">
            <v>0</v>
          </cell>
          <cell r="E6456">
            <v>0</v>
          </cell>
          <cell r="F6456">
            <v>0.16</v>
          </cell>
          <cell r="G6456">
            <v>0</v>
          </cell>
          <cell r="H6456">
            <v>0</v>
          </cell>
          <cell r="I6456">
            <v>-0.85</v>
          </cell>
          <cell r="J6456">
            <v>0</v>
          </cell>
          <cell r="K6456">
            <v>0</v>
          </cell>
          <cell r="L6456">
            <v>0</v>
          </cell>
          <cell r="M6456">
            <v>0</v>
          </cell>
          <cell r="N6456">
            <v>0</v>
          </cell>
          <cell r="O6456">
            <v>0</v>
          </cell>
          <cell r="P6456">
            <v>0</v>
          </cell>
          <cell r="Q6456">
            <v>0</v>
          </cell>
          <cell r="R6456">
            <v>0</v>
          </cell>
          <cell r="S6456">
            <v>0</v>
          </cell>
          <cell r="T6456">
            <v>0</v>
          </cell>
          <cell r="U6456" t="b">
            <v>1</v>
          </cell>
        </row>
        <row r="6457">
          <cell r="A6457" t="str">
            <v>Data split-11;Reg-99</v>
          </cell>
          <cell r="B6457">
            <v>-9.1</v>
          </cell>
          <cell r="C6457">
            <v>2.6</v>
          </cell>
          <cell r="D6457">
            <v>0</v>
          </cell>
          <cell r="E6457">
            <v>0</v>
          </cell>
          <cell r="F6457">
            <v>8.7999999999999995E-2</v>
          </cell>
          <cell r="G6457">
            <v>0</v>
          </cell>
          <cell r="H6457">
            <v>0</v>
          </cell>
          <cell r="I6457">
            <v>0</v>
          </cell>
          <cell r="J6457">
            <v>2.4</v>
          </cell>
          <cell r="K6457">
            <v>0</v>
          </cell>
          <cell r="L6457">
            <v>0</v>
          </cell>
          <cell r="M6457">
            <v>0</v>
          </cell>
          <cell r="N6457">
            <v>0</v>
          </cell>
          <cell r="O6457">
            <v>0</v>
          </cell>
          <cell r="P6457">
            <v>0</v>
          </cell>
          <cell r="Q6457">
            <v>0</v>
          </cell>
          <cell r="R6457">
            <v>0</v>
          </cell>
          <cell r="S6457">
            <v>0</v>
          </cell>
          <cell r="T6457">
            <v>0</v>
          </cell>
          <cell r="U6457" t="b">
            <v>0</v>
          </cell>
        </row>
        <row r="6458">
          <cell r="A6458" t="str">
            <v>Data split-11;Reg-100</v>
          </cell>
          <cell r="B6458">
            <v>-3.2</v>
          </cell>
          <cell r="C6458">
            <v>0</v>
          </cell>
          <cell r="D6458">
            <v>3.5</v>
          </cell>
          <cell r="E6458">
            <v>-2.9</v>
          </cell>
          <cell r="F6458">
            <v>0</v>
          </cell>
          <cell r="G6458">
            <v>0</v>
          </cell>
          <cell r="H6458">
            <v>0</v>
          </cell>
          <cell r="I6458">
            <v>2.6</v>
          </cell>
          <cell r="J6458">
            <v>0</v>
          </cell>
          <cell r="K6458">
            <v>0</v>
          </cell>
          <cell r="L6458">
            <v>0</v>
          </cell>
          <cell r="M6458">
            <v>0</v>
          </cell>
          <cell r="N6458">
            <v>0</v>
          </cell>
          <cell r="O6458">
            <v>0</v>
          </cell>
          <cell r="P6458">
            <v>0</v>
          </cell>
          <cell r="Q6458">
            <v>0</v>
          </cell>
          <cell r="R6458">
            <v>0</v>
          </cell>
          <cell r="S6458">
            <v>0</v>
          </cell>
          <cell r="T6458">
            <v>0</v>
          </cell>
          <cell r="U6458" t="b">
            <v>0</v>
          </cell>
        </row>
        <row r="6459">
          <cell r="A6459" t="str">
            <v>Data split-11;Reg-101</v>
          </cell>
          <cell r="B6459">
            <v>-6.5</v>
          </cell>
          <cell r="C6459">
            <v>0</v>
          </cell>
          <cell r="D6459">
            <v>3.6</v>
          </cell>
          <cell r="E6459">
            <v>-3</v>
          </cell>
          <cell r="F6459">
            <v>0</v>
          </cell>
          <cell r="G6459">
            <v>0</v>
          </cell>
          <cell r="H6459">
            <v>0</v>
          </cell>
          <cell r="I6459">
            <v>0</v>
          </cell>
          <cell r="J6459">
            <v>38.9</v>
          </cell>
          <cell r="K6459">
            <v>0</v>
          </cell>
          <cell r="L6459">
            <v>0</v>
          </cell>
          <cell r="M6459">
            <v>0</v>
          </cell>
          <cell r="N6459">
            <v>0</v>
          </cell>
          <cell r="O6459">
            <v>0</v>
          </cell>
          <cell r="P6459">
            <v>0</v>
          </cell>
          <cell r="Q6459">
            <v>0</v>
          </cell>
          <cell r="R6459">
            <v>0</v>
          </cell>
          <cell r="S6459">
            <v>0</v>
          </cell>
          <cell r="T6459">
            <v>0</v>
          </cell>
          <cell r="U6459" t="b">
            <v>0</v>
          </cell>
        </row>
        <row r="6460">
          <cell r="A6460" t="str">
            <v>Data split-11;Reg-102</v>
          </cell>
          <cell r="B6460">
            <v>-7.9</v>
          </cell>
          <cell r="C6460">
            <v>0</v>
          </cell>
          <cell r="D6460">
            <v>2.7</v>
          </cell>
          <cell r="E6460">
            <v>0</v>
          </cell>
          <cell r="F6460">
            <v>0.16</v>
          </cell>
          <cell r="G6460">
            <v>0</v>
          </cell>
          <cell r="H6460">
            <v>0</v>
          </cell>
          <cell r="I6460">
            <v>-0.81</v>
          </cell>
          <cell r="J6460">
            <v>0</v>
          </cell>
          <cell r="K6460">
            <v>0</v>
          </cell>
          <cell r="L6460">
            <v>0</v>
          </cell>
          <cell r="M6460">
            <v>0</v>
          </cell>
          <cell r="N6460">
            <v>0</v>
          </cell>
          <cell r="O6460">
            <v>0</v>
          </cell>
          <cell r="P6460">
            <v>0</v>
          </cell>
          <cell r="Q6460">
            <v>0</v>
          </cell>
          <cell r="R6460">
            <v>0</v>
          </cell>
          <cell r="S6460">
            <v>0</v>
          </cell>
          <cell r="T6460">
            <v>0</v>
          </cell>
          <cell r="U6460" t="b">
            <v>1</v>
          </cell>
        </row>
        <row r="6461">
          <cell r="A6461" t="str">
            <v>Data split-11;Reg-103</v>
          </cell>
          <cell r="B6461">
            <v>-9</v>
          </cell>
          <cell r="C6461">
            <v>0</v>
          </cell>
          <cell r="D6461">
            <v>2.6</v>
          </cell>
          <cell r="E6461">
            <v>0</v>
          </cell>
          <cell r="F6461">
            <v>8.1000000000000003E-2</v>
          </cell>
          <cell r="G6461">
            <v>0</v>
          </cell>
          <cell r="H6461">
            <v>0</v>
          </cell>
          <cell r="I6461">
            <v>0</v>
          </cell>
          <cell r="J6461">
            <v>3.1</v>
          </cell>
          <cell r="K6461">
            <v>0</v>
          </cell>
          <cell r="L6461">
            <v>0</v>
          </cell>
          <cell r="M6461">
            <v>0</v>
          </cell>
          <cell r="N6461">
            <v>0</v>
          </cell>
          <cell r="O6461">
            <v>0</v>
          </cell>
          <cell r="P6461">
            <v>0</v>
          </cell>
          <cell r="Q6461">
            <v>0</v>
          </cell>
          <cell r="R6461">
            <v>0</v>
          </cell>
          <cell r="S6461">
            <v>0</v>
          </cell>
          <cell r="T6461">
            <v>0</v>
          </cell>
          <cell r="U6461" t="b">
            <v>0</v>
          </cell>
        </row>
        <row r="6462">
          <cell r="A6462" t="str">
            <v>Data split-11;Reg-104</v>
          </cell>
          <cell r="B6462">
            <v>-1.7</v>
          </cell>
          <cell r="C6462">
            <v>3.5</v>
          </cell>
          <cell r="D6462">
            <v>0</v>
          </cell>
          <cell r="E6462">
            <v>-3</v>
          </cell>
          <cell r="F6462">
            <v>0</v>
          </cell>
          <cell r="G6462">
            <v>0</v>
          </cell>
          <cell r="H6462">
            <v>0</v>
          </cell>
          <cell r="I6462">
            <v>0</v>
          </cell>
          <cell r="J6462">
            <v>0</v>
          </cell>
          <cell r="K6462">
            <v>1.9</v>
          </cell>
          <cell r="L6462">
            <v>0</v>
          </cell>
          <cell r="M6462">
            <v>0</v>
          </cell>
          <cell r="N6462">
            <v>0</v>
          </cell>
          <cell r="O6462">
            <v>0</v>
          </cell>
          <cell r="P6462">
            <v>0</v>
          </cell>
          <cell r="Q6462">
            <v>0</v>
          </cell>
          <cell r="R6462">
            <v>0</v>
          </cell>
          <cell r="S6462">
            <v>0</v>
          </cell>
          <cell r="T6462">
            <v>0</v>
          </cell>
          <cell r="U6462" t="b">
            <v>0</v>
          </cell>
        </row>
        <row r="6463">
          <cell r="A6463" t="str">
            <v>Data split-11;Reg-105</v>
          </cell>
          <cell r="B6463">
            <v>-3.1</v>
          </cell>
          <cell r="C6463">
            <v>3.6</v>
          </cell>
          <cell r="D6463">
            <v>0</v>
          </cell>
          <cell r="E6463">
            <v>-2.9</v>
          </cell>
          <cell r="F6463">
            <v>0</v>
          </cell>
          <cell r="G6463">
            <v>0</v>
          </cell>
          <cell r="H6463">
            <v>0</v>
          </cell>
          <cell r="I6463">
            <v>0</v>
          </cell>
          <cell r="J6463">
            <v>0</v>
          </cell>
          <cell r="K6463">
            <v>0</v>
          </cell>
          <cell r="L6463">
            <v>21.6</v>
          </cell>
          <cell r="M6463">
            <v>0</v>
          </cell>
          <cell r="N6463">
            <v>0</v>
          </cell>
          <cell r="O6463">
            <v>0</v>
          </cell>
          <cell r="P6463">
            <v>0</v>
          </cell>
          <cell r="Q6463">
            <v>0</v>
          </cell>
          <cell r="R6463">
            <v>0</v>
          </cell>
          <cell r="S6463">
            <v>0</v>
          </cell>
          <cell r="T6463">
            <v>0</v>
          </cell>
          <cell r="U6463" t="b">
            <v>0</v>
          </cell>
        </row>
        <row r="6464">
          <cell r="A6464" t="str">
            <v>Data split-11;Reg-106</v>
          </cell>
          <cell r="B6464">
            <v>-8.4</v>
          </cell>
          <cell r="C6464">
            <v>2.8</v>
          </cell>
          <cell r="D6464">
            <v>0</v>
          </cell>
          <cell r="E6464">
            <v>0</v>
          </cell>
          <cell r="F6464">
            <v>0.18</v>
          </cell>
          <cell r="G6464">
            <v>0</v>
          </cell>
          <cell r="H6464">
            <v>0</v>
          </cell>
          <cell r="I6464">
            <v>0</v>
          </cell>
          <cell r="J6464">
            <v>0</v>
          </cell>
          <cell r="K6464">
            <v>-0.95</v>
          </cell>
          <cell r="L6464">
            <v>0</v>
          </cell>
          <cell r="M6464">
            <v>0</v>
          </cell>
          <cell r="N6464">
            <v>0</v>
          </cell>
          <cell r="O6464">
            <v>0</v>
          </cell>
          <cell r="P6464">
            <v>0</v>
          </cell>
          <cell r="Q6464">
            <v>0</v>
          </cell>
          <cell r="R6464">
            <v>0</v>
          </cell>
          <cell r="S6464">
            <v>0</v>
          </cell>
          <cell r="T6464">
            <v>0</v>
          </cell>
          <cell r="U6464" t="b">
            <v>1</v>
          </cell>
        </row>
        <row r="6465">
          <cell r="A6465" t="str">
            <v>Data split-11;Reg-107</v>
          </cell>
          <cell r="B6465">
            <v>-8.1999999999999993</v>
          </cell>
          <cell r="C6465">
            <v>2.7</v>
          </cell>
          <cell r="D6465">
            <v>0</v>
          </cell>
          <cell r="E6465">
            <v>0</v>
          </cell>
          <cell r="F6465">
            <v>0.13</v>
          </cell>
          <cell r="G6465">
            <v>0</v>
          </cell>
          <cell r="H6465">
            <v>0</v>
          </cell>
          <cell r="I6465">
            <v>0</v>
          </cell>
          <cell r="J6465">
            <v>0</v>
          </cell>
          <cell r="K6465">
            <v>0</v>
          </cell>
          <cell r="L6465">
            <v>-4.9000000000000004</v>
          </cell>
          <cell r="M6465">
            <v>0</v>
          </cell>
          <cell r="N6465">
            <v>0</v>
          </cell>
          <cell r="O6465">
            <v>0</v>
          </cell>
          <cell r="P6465">
            <v>0</v>
          </cell>
          <cell r="Q6465">
            <v>0</v>
          </cell>
          <cell r="R6465">
            <v>0</v>
          </cell>
          <cell r="S6465">
            <v>0</v>
          </cell>
          <cell r="T6465">
            <v>0</v>
          </cell>
          <cell r="U6465" t="b">
            <v>1</v>
          </cell>
        </row>
        <row r="6466">
          <cell r="A6466" t="str">
            <v>Data split-11;Reg-108</v>
          </cell>
          <cell r="B6466">
            <v>-1.5</v>
          </cell>
          <cell r="C6466">
            <v>0</v>
          </cell>
          <cell r="D6466">
            <v>3.5</v>
          </cell>
          <cell r="E6466">
            <v>-3</v>
          </cell>
          <cell r="F6466">
            <v>0</v>
          </cell>
          <cell r="G6466">
            <v>0</v>
          </cell>
          <cell r="H6466">
            <v>0</v>
          </cell>
          <cell r="I6466">
            <v>0</v>
          </cell>
          <cell r="J6466">
            <v>0</v>
          </cell>
          <cell r="K6466">
            <v>1.9</v>
          </cell>
          <cell r="L6466">
            <v>0</v>
          </cell>
          <cell r="M6466">
            <v>0</v>
          </cell>
          <cell r="N6466">
            <v>0</v>
          </cell>
          <cell r="O6466">
            <v>0</v>
          </cell>
          <cell r="P6466">
            <v>0</v>
          </cell>
          <cell r="Q6466">
            <v>0</v>
          </cell>
          <cell r="R6466">
            <v>0</v>
          </cell>
          <cell r="S6466">
            <v>0</v>
          </cell>
          <cell r="T6466">
            <v>0</v>
          </cell>
          <cell r="U6466" t="b">
            <v>0</v>
          </cell>
        </row>
        <row r="6467">
          <cell r="A6467" t="str">
            <v>Data split-11;Reg-109</v>
          </cell>
          <cell r="B6467">
            <v>-2.9</v>
          </cell>
          <cell r="C6467">
            <v>0</v>
          </cell>
          <cell r="D6467">
            <v>3.6</v>
          </cell>
          <cell r="E6467">
            <v>-3</v>
          </cell>
          <cell r="F6467">
            <v>0</v>
          </cell>
          <cell r="G6467">
            <v>0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22.1</v>
          </cell>
          <cell r="M6467">
            <v>0</v>
          </cell>
          <cell r="N6467">
            <v>0</v>
          </cell>
          <cell r="O6467">
            <v>0</v>
          </cell>
          <cell r="P6467">
            <v>0</v>
          </cell>
          <cell r="Q6467">
            <v>0</v>
          </cell>
          <cell r="R6467">
            <v>0</v>
          </cell>
          <cell r="S6467">
            <v>0</v>
          </cell>
          <cell r="T6467">
            <v>0</v>
          </cell>
          <cell r="U6467" t="b">
            <v>0</v>
          </cell>
        </row>
        <row r="6468">
          <cell r="A6468" t="str">
            <v>Data split-11;Reg-110</v>
          </cell>
          <cell r="B6468">
            <v>-8.1999999999999993</v>
          </cell>
          <cell r="C6468">
            <v>0</v>
          </cell>
          <cell r="D6468">
            <v>2.7</v>
          </cell>
          <cell r="E6468">
            <v>0</v>
          </cell>
          <cell r="F6468">
            <v>0.18</v>
          </cell>
          <cell r="G6468">
            <v>0</v>
          </cell>
          <cell r="H6468">
            <v>0</v>
          </cell>
          <cell r="I6468">
            <v>0</v>
          </cell>
          <cell r="J6468">
            <v>0</v>
          </cell>
          <cell r="K6468">
            <v>-0.93</v>
          </cell>
          <cell r="L6468">
            <v>0</v>
          </cell>
          <cell r="M6468">
            <v>0</v>
          </cell>
          <cell r="N6468">
            <v>0</v>
          </cell>
          <cell r="O6468">
            <v>0</v>
          </cell>
          <cell r="P6468">
            <v>0</v>
          </cell>
          <cell r="Q6468">
            <v>0</v>
          </cell>
          <cell r="R6468">
            <v>0</v>
          </cell>
          <cell r="S6468">
            <v>0</v>
          </cell>
          <cell r="T6468">
            <v>0</v>
          </cell>
          <cell r="U6468" t="b">
            <v>1</v>
          </cell>
        </row>
        <row r="6469">
          <cell r="A6469" t="str">
            <v>Data split-11;Reg-111</v>
          </cell>
          <cell r="B6469">
            <v>-8.1</v>
          </cell>
          <cell r="C6469">
            <v>0</v>
          </cell>
          <cell r="D6469">
            <v>2.7</v>
          </cell>
          <cell r="E6469">
            <v>0</v>
          </cell>
          <cell r="F6469">
            <v>0.12</v>
          </cell>
          <cell r="G6469">
            <v>0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>
            <v>-4.5999999999999996</v>
          </cell>
          <cell r="M6469">
            <v>0</v>
          </cell>
          <cell r="N6469">
            <v>0</v>
          </cell>
          <cell r="O6469">
            <v>0</v>
          </cell>
          <cell r="P6469">
            <v>0</v>
          </cell>
          <cell r="Q6469">
            <v>0</v>
          </cell>
          <cell r="R6469">
            <v>0</v>
          </cell>
          <cell r="S6469">
            <v>0</v>
          </cell>
          <cell r="T6469">
            <v>0</v>
          </cell>
          <cell r="U6469" t="b">
            <v>1</v>
          </cell>
        </row>
        <row r="6470">
          <cell r="A6470" t="str">
            <v>Data split-11;Reg-112</v>
          </cell>
          <cell r="B6470">
            <v>-3.5</v>
          </cell>
          <cell r="C6470">
            <v>3.4</v>
          </cell>
          <cell r="D6470">
            <v>0</v>
          </cell>
          <cell r="E6470">
            <v>0</v>
          </cell>
          <cell r="F6470">
            <v>0</v>
          </cell>
          <cell r="G6470">
            <v>-2.1</v>
          </cell>
          <cell r="H6470">
            <v>0</v>
          </cell>
          <cell r="I6470">
            <v>1.7</v>
          </cell>
          <cell r="J6470">
            <v>0</v>
          </cell>
          <cell r="K6470">
            <v>0</v>
          </cell>
          <cell r="L6470">
            <v>0</v>
          </cell>
          <cell r="M6470">
            <v>0</v>
          </cell>
          <cell r="N6470">
            <v>0</v>
          </cell>
          <cell r="O6470">
            <v>0</v>
          </cell>
          <cell r="P6470">
            <v>0</v>
          </cell>
          <cell r="Q6470">
            <v>0</v>
          </cell>
          <cell r="R6470">
            <v>0</v>
          </cell>
          <cell r="S6470">
            <v>0</v>
          </cell>
          <cell r="T6470">
            <v>0</v>
          </cell>
          <cell r="U6470" t="b">
            <v>0</v>
          </cell>
        </row>
        <row r="6471">
          <cell r="A6471" t="str">
            <v>Data split-11;Reg-113</v>
          </cell>
          <cell r="B6471">
            <v>-6.1</v>
          </cell>
          <cell r="C6471">
            <v>3.5</v>
          </cell>
          <cell r="D6471">
            <v>0</v>
          </cell>
          <cell r="E6471">
            <v>0</v>
          </cell>
          <cell r="F6471">
            <v>0</v>
          </cell>
          <cell r="G6471">
            <v>-2.2000000000000002</v>
          </cell>
          <cell r="H6471">
            <v>0</v>
          </cell>
          <cell r="I6471">
            <v>0</v>
          </cell>
          <cell r="J6471">
            <v>30</v>
          </cell>
          <cell r="K6471">
            <v>0</v>
          </cell>
          <cell r="L6471">
            <v>0</v>
          </cell>
          <cell r="M6471">
            <v>0</v>
          </cell>
          <cell r="N6471">
            <v>0</v>
          </cell>
          <cell r="O6471">
            <v>0</v>
          </cell>
          <cell r="P6471">
            <v>0</v>
          </cell>
          <cell r="Q6471">
            <v>0</v>
          </cell>
          <cell r="R6471">
            <v>0</v>
          </cell>
          <cell r="S6471">
            <v>0</v>
          </cell>
          <cell r="T6471">
            <v>0</v>
          </cell>
          <cell r="U6471" t="b">
            <v>0</v>
          </cell>
        </row>
        <row r="6472">
          <cell r="A6472" t="str">
            <v>Data split-11;Reg-114</v>
          </cell>
          <cell r="B6472">
            <v>-3.8</v>
          </cell>
          <cell r="C6472">
            <v>3.5</v>
          </cell>
          <cell r="D6472">
            <v>0</v>
          </cell>
          <cell r="E6472">
            <v>0</v>
          </cell>
          <cell r="F6472">
            <v>0</v>
          </cell>
          <cell r="G6472">
            <v>0</v>
          </cell>
          <cell r="H6472">
            <v>-3</v>
          </cell>
          <cell r="I6472">
            <v>1.7</v>
          </cell>
          <cell r="J6472">
            <v>0</v>
          </cell>
          <cell r="K6472">
            <v>0</v>
          </cell>
          <cell r="L6472">
            <v>0</v>
          </cell>
          <cell r="M6472">
            <v>0</v>
          </cell>
          <cell r="N6472">
            <v>0</v>
          </cell>
          <cell r="O6472">
            <v>0</v>
          </cell>
          <cell r="P6472">
            <v>0</v>
          </cell>
          <cell r="Q6472">
            <v>0</v>
          </cell>
          <cell r="R6472">
            <v>0</v>
          </cell>
          <cell r="S6472">
            <v>0</v>
          </cell>
          <cell r="T6472">
            <v>0</v>
          </cell>
          <cell r="U6472" t="b">
            <v>0</v>
          </cell>
        </row>
        <row r="6473">
          <cell r="A6473" t="str">
            <v>Data split-11;Reg-115</v>
          </cell>
          <cell r="B6473">
            <v>-6.6</v>
          </cell>
          <cell r="C6473">
            <v>3.5</v>
          </cell>
          <cell r="D6473">
            <v>0</v>
          </cell>
          <cell r="E6473">
            <v>0</v>
          </cell>
          <cell r="F6473">
            <v>0</v>
          </cell>
          <cell r="G6473">
            <v>0</v>
          </cell>
          <cell r="H6473">
            <v>-3.3</v>
          </cell>
          <cell r="I6473">
            <v>0</v>
          </cell>
          <cell r="J6473">
            <v>32.9</v>
          </cell>
          <cell r="K6473">
            <v>0</v>
          </cell>
          <cell r="L6473">
            <v>0</v>
          </cell>
          <cell r="M6473">
            <v>0</v>
          </cell>
          <cell r="N6473">
            <v>0</v>
          </cell>
          <cell r="O6473">
            <v>0</v>
          </cell>
          <cell r="P6473">
            <v>0</v>
          </cell>
          <cell r="Q6473">
            <v>0</v>
          </cell>
          <cell r="R6473">
            <v>0</v>
          </cell>
          <cell r="S6473">
            <v>0</v>
          </cell>
          <cell r="T6473">
            <v>0</v>
          </cell>
          <cell r="U6473" t="b">
            <v>0</v>
          </cell>
        </row>
        <row r="6474">
          <cell r="A6474" t="str">
            <v>Data split-11;Reg-116</v>
          </cell>
          <cell r="B6474">
            <v>-3.3</v>
          </cell>
          <cell r="C6474">
            <v>0</v>
          </cell>
          <cell r="D6474">
            <v>3.4</v>
          </cell>
          <cell r="E6474">
            <v>0</v>
          </cell>
          <cell r="F6474">
            <v>0</v>
          </cell>
          <cell r="G6474">
            <v>-2.1</v>
          </cell>
          <cell r="H6474">
            <v>0</v>
          </cell>
          <cell r="I6474">
            <v>1.8</v>
          </cell>
          <cell r="J6474">
            <v>0</v>
          </cell>
          <cell r="K6474">
            <v>0</v>
          </cell>
          <cell r="L6474">
            <v>0</v>
          </cell>
          <cell r="M6474">
            <v>0</v>
          </cell>
          <cell r="N6474">
            <v>0</v>
          </cell>
          <cell r="O6474">
            <v>0</v>
          </cell>
          <cell r="P6474">
            <v>0</v>
          </cell>
          <cell r="Q6474">
            <v>0</v>
          </cell>
          <cell r="R6474">
            <v>0</v>
          </cell>
          <cell r="S6474">
            <v>0</v>
          </cell>
          <cell r="T6474">
            <v>0</v>
          </cell>
          <cell r="U6474" t="b">
            <v>0</v>
          </cell>
        </row>
        <row r="6475">
          <cell r="A6475" t="str">
            <v>Data split-11;Reg-117</v>
          </cell>
          <cell r="B6475">
            <v>-6</v>
          </cell>
          <cell r="C6475">
            <v>0</v>
          </cell>
          <cell r="D6475">
            <v>3.5</v>
          </cell>
          <cell r="E6475">
            <v>0</v>
          </cell>
          <cell r="F6475">
            <v>0</v>
          </cell>
          <cell r="G6475">
            <v>-2.2000000000000002</v>
          </cell>
          <cell r="H6475">
            <v>0</v>
          </cell>
          <cell r="I6475">
            <v>0</v>
          </cell>
          <cell r="J6475">
            <v>31</v>
          </cell>
          <cell r="K6475">
            <v>0</v>
          </cell>
          <cell r="L6475">
            <v>0</v>
          </cell>
          <cell r="M6475">
            <v>0</v>
          </cell>
          <cell r="N6475">
            <v>0</v>
          </cell>
          <cell r="O6475">
            <v>0</v>
          </cell>
          <cell r="P6475">
            <v>0</v>
          </cell>
          <cell r="Q6475">
            <v>0</v>
          </cell>
          <cell r="R6475">
            <v>0</v>
          </cell>
          <cell r="S6475">
            <v>0</v>
          </cell>
          <cell r="T6475">
            <v>0</v>
          </cell>
          <cell r="U6475" t="b">
            <v>0</v>
          </cell>
        </row>
        <row r="6476">
          <cell r="A6476" t="str">
            <v>Data split-11;Reg-118</v>
          </cell>
          <cell r="B6476">
            <v>-3.6</v>
          </cell>
          <cell r="C6476">
            <v>0</v>
          </cell>
          <cell r="D6476">
            <v>3.5</v>
          </cell>
          <cell r="E6476">
            <v>0</v>
          </cell>
          <cell r="F6476">
            <v>0</v>
          </cell>
          <cell r="G6476">
            <v>0</v>
          </cell>
          <cell r="H6476">
            <v>-3</v>
          </cell>
          <cell r="I6476">
            <v>1.8</v>
          </cell>
          <cell r="J6476">
            <v>0</v>
          </cell>
          <cell r="K6476">
            <v>0</v>
          </cell>
          <cell r="L6476">
            <v>0</v>
          </cell>
          <cell r="M6476">
            <v>0</v>
          </cell>
          <cell r="N6476">
            <v>0</v>
          </cell>
          <cell r="O6476">
            <v>0</v>
          </cell>
          <cell r="P6476">
            <v>0</v>
          </cell>
          <cell r="Q6476">
            <v>0</v>
          </cell>
          <cell r="R6476">
            <v>0</v>
          </cell>
          <cell r="S6476">
            <v>0</v>
          </cell>
          <cell r="T6476">
            <v>0</v>
          </cell>
          <cell r="U6476" t="b">
            <v>0</v>
          </cell>
        </row>
        <row r="6477">
          <cell r="A6477" t="str">
            <v>Data split-11;Reg-119</v>
          </cell>
          <cell r="B6477">
            <v>-6.5</v>
          </cell>
          <cell r="C6477">
            <v>0</v>
          </cell>
          <cell r="D6477">
            <v>3.5</v>
          </cell>
          <cell r="E6477">
            <v>0</v>
          </cell>
          <cell r="F6477">
            <v>0</v>
          </cell>
          <cell r="G6477">
            <v>0</v>
          </cell>
          <cell r="H6477">
            <v>-3.4</v>
          </cell>
          <cell r="I6477">
            <v>0</v>
          </cell>
          <cell r="J6477">
            <v>34.200000000000003</v>
          </cell>
          <cell r="K6477">
            <v>0</v>
          </cell>
          <cell r="L6477">
            <v>0</v>
          </cell>
          <cell r="M6477">
            <v>0</v>
          </cell>
          <cell r="N6477">
            <v>0</v>
          </cell>
          <cell r="O6477">
            <v>0</v>
          </cell>
          <cell r="P6477">
            <v>0</v>
          </cell>
          <cell r="Q6477">
            <v>0</v>
          </cell>
          <cell r="R6477">
            <v>0</v>
          </cell>
          <cell r="S6477">
            <v>0</v>
          </cell>
          <cell r="T6477">
            <v>0</v>
          </cell>
          <cell r="U6477" t="b">
            <v>0</v>
          </cell>
        </row>
        <row r="6478">
          <cell r="A6478" t="str">
            <v>Data split-11;Reg-120</v>
          </cell>
          <cell r="B6478">
            <v>-2.6</v>
          </cell>
          <cell r="C6478">
            <v>3.4</v>
          </cell>
          <cell r="D6478">
            <v>0</v>
          </cell>
          <cell r="E6478">
            <v>0</v>
          </cell>
          <cell r="F6478">
            <v>0</v>
          </cell>
          <cell r="G6478">
            <v>-2</v>
          </cell>
          <cell r="H6478">
            <v>0</v>
          </cell>
          <cell r="I6478">
            <v>0</v>
          </cell>
          <cell r="J6478">
            <v>0</v>
          </cell>
          <cell r="K6478">
            <v>0.83</v>
          </cell>
          <cell r="L6478">
            <v>0</v>
          </cell>
          <cell r="M6478">
            <v>0</v>
          </cell>
          <cell r="N6478">
            <v>0</v>
          </cell>
          <cell r="O6478">
            <v>0</v>
          </cell>
          <cell r="P6478">
            <v>0</v>
          </cell>
          <cell r="Q6478">
            <v>0</v>
          </cell>
          <cell r="R6478">
            <v>0</v>
          </cell>
          <cell r="S6478">
            <v>0</v>
          </cell>
          <cell r="T6478">
            <v>0</v>
          </cell>
          <cell r="U6478" t="b">
            <v>0</v>
          </cell>
        </row>
        <row r="6479">
          <cell r="A6479" t="str">
            <v>Data split-11;Reg-121</v>
          </cell>
          <cell r="B6479">
            <v>-3.3</v>
          </cell>
          <cell r="C6479">
            <v>3.5</v>
          </cell>
          <cell r="D6479">
            <v>0</v>
          </cell>
          <cell r="E6479">
            <v>0</v>
          </cell>
          <cell r="F6479">
            <v>0</v>
          </cell>
          <cell r="G6479">
            <v>-2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>
            <v>11.5</v>
          </cell>
          <cell r="M6479">
            <v>0</v>
          </cell>
          <cell r="N6479">
            <v>0</v>
          </cell>
          <cell r="O6479">
            <v>0</v>
          </cell>
          <cell r="P6479">
            <v>0</v>
          </cell>
          <cell r="Q6479">
            <v>0</v>
          </cell>
          <cell r="R6479">
            <v>0</v>
          </cell>
          <cell r="S6479">
            <v>0</v>
          </cell>
          <cell r="T6479">
            <v>0</v>
          </cell>
          <cell r="U6479" t="b">
            <v>0</v>
          </cell>
        </row>
        <row r="6480">
          <cell r="A6480" t="str">
            <v>Data split-11;Reg-122</v>
          </cell>
          <cell r="B6480">
            <v>-2.9</v>
          </cell>
          <cell r="C6480">
            <v>3.5</v>
          </cell>
          <cell r="D6480">
            <v>0</v>
          </cell>
          <cell r="E6480">
            <v>0</v>
          </cell>
          <cell r="F6480">
            <v>0</v>
          </cell>
          <cell r="G6480">
            <v>0</v>
          </cell>
          <cell r="H6480">
            <v>-2.9</v>
          </cell>
          <cell r="I6480">
            <v>0</v>
          </cell>
          <cell r="J6480">
            <v>0</v>
          </cell>
          <cell r="K6480">
            <v>0.97</v>
          </cell>
          <cell r="L6480">
            <v>0</v>
          </cell>
          <cell r="M6480">
            <v>0</v>
          </cell>
          <cell r="N6480">
            <v>0</v>
          </cell>
          <cell r="O6480">
            <v>0</v>
          </cell>
          <cell r="P6480">
            <v>0</v>
          </cell>
          <cell r="Q6480">
            <v>0</v>
          </cell>
          <cell r="R6480">
            <v>0</v>
          </cell>
          <cell r="S6480">
            <v>0</v>
          </cell>
          <cell r="T6480">
            <v>0</v>
          </cell>
          <cell r="U6480" t="b">
            <v>0</v>
          </cell>
        </row>
        <row r="6481">
          <cell r="A6481" t="str">
            <v>Data split-11;Reg-123</v>
          </cell>
          <cell r="B6481">
            <v>-3.7</v>
          </cell>
          <cell r="C6481">
            <v>3.5</v>
          </cell>
          <cell r="D6481">
            <v>0</v>
          </cell>
          <cell r="E6481">
            <v>0</v>
          </cell>
          <cell r="F6481">
            <v>0</v>
          </cell>
          <cell r="G6481">
            <v>0</v>
          </cell>
          <cell r="H6481">
            <v>-3</v>
          </cell>
          <cell r="I6481">
            <v>0</v>
          </cell>
          <cell r="J6481">
            <v>0</v>
          </cell>
          <cell r="K6481">
            <v>0</v>
          </cell>
          <cell r="L6481">
            <v>14.2</v>
          </cell>
          <cell r="M6481">
            <v>0</v>
          </cell>
          <cell r="N6481">
            <v>0</v>
          </cell>
          <cell r="O6481">
            <v>0</v>
          </cell>
          <cell r="P6481">
            <v>0</v>
          </cell>
          <cell r="Q6481">
            <v>0</v>
          </cell>
          <cell r="R6481">
            <v>0</v>
          </cell>
          <cell r="S6481">
            <v>0</v>
          </cell>
          <cell r="T6481">
            <v>0</v>
          </cell>
          <cell r="U6481" t="b">
            <v>0</v>
          </cell>
        </row>
        <row r="6482">
          <cell r="A6482" t="str">
            <v>Data split-11;Reg-124</v>
          </cell>
          <cell r="B6482">
            <v>-2.4</v>
          </cell>
          <cell r="C6482">
            <v>0</v>
          </cell>
          <cell r="D6482">
            <v>3.4</v>
          </cell>
          <cell r="E6482">
            <v>0</v>
          </cell>
          <cell r="F6482">
            <v>0</v>
          </cell>
          <cell r="G6482">
            <v>-2</v>
          </cell>
          <cell r="H6482">
            <v>0</v>
          </cell>
          <cell r="I6482">
            <v>0</v>
          </cell>
          <cell r="J6482">
            <v>0</v>
          </cell>
          <cell r="K6482">
            <v>0.86</v>
          </cell>
          <cell r="L6482">
            <v>0</v>
          </cell>
          <cell r="M6482">
            <v>0</v>
          </cell>
          <cell r="N6482">
            <v>0</v>
          </cell>
          <cell r="O6482">
            <v>0</v>
          </cell>
          <cell r="P6482">
            <v>0</v>
          </cell>
          <cell r="Q6482">
            <v>0</v>
          </cell>
          <cell r="R6482">
            <v>0</v>
          </cell>
          <cell r="S6482">
            <v>0</v>
          </cell>
          <cell r="T6482">
            <v>0</v>
          </cell>
          <cell r="U6482" t="b">
            <v>0</v>
          </cell>
        </row>
        <row r="6483">
          <cell r="A6483" t="str">
            <v>Data split-11;Reg-125</v>
          </cell>
          <cell r="B6483">
            <v>-3.1</v>
          </cell>
          <cell r="C6483">
            <v>0</v>
          </cell>
          <cell r="D6483">
            <v>3.4</v>
          </cell>
          <cell r="E6483">
            <v>0</v>
          </cell>
          <cell r="F6483">
            <v>0</v>
          </cell>
          <cell r="G6483">
            <v>-2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>
            <v>11.8</v>
          </cell>
          <cell r="M6483">
            <v>0</v>
          </cell>
          <cell r="N6483">
            <v>0</v>
          </cell>
          <cell r="O6483">
            <v>0</v>
          </cell>
          <cell r="P6483">
            <v>0</v>
          </cell>
          <cell r="Q6483">
            <v>0</v>
          </cell>
          <cell r="R6483">
            <v>0</v>
          </cell>
          <cell r="S6483">
            <v>0</v>
          </cell>
          <cell r="T6483">
            <v>0</v>
          </cell>
          <cell r="U6483" t="b">
            <v>0</v>
          </cell>
        </row>
        <row r="6484">
          <cell r="A6484" t="str">
            <v>Data split-11;Reg-126</v>
          </cell>
          <cell r="B6484">
            <v>-2.6</v>
          </cell>
          <cell r="C6484">
            <v>0</v>
          </cell>
          <cell r="D6484">
            <v>3.5</v>
          </cell>
          <cell r="E6484">
            <v>0</v>
          </cell>
          <cell r="F6484">
            <v>0</v>
          </cell>
          <cell r="G6484">
            <v>0</v>
          </cell>
          <cell r="H6484">
            <v>-2.9</v>
          </cell>
          <cell r="I6484">
            <v>0</v>
          </cell>
          <cell r="J6484">
            <v>0</v>
          </cell>
          <cell r="K6484">
            <v>1</v>
          </cell>
          <cell r="L6484">
            <v>0</v>
          </cell>
          <cell r="M6484">
            <v>0</v>
          </cell>
          <cell r="N6484">
            <v>0</v>
          </cell>
          <cell r="O6484">
            <v>0</v>
          </cell>
          <cell r="P6484">
            <v>0</v>
          </cell>
          <cell r="Q6484">
            <v>0</v>
          </cell>
          <cell r="R6484">
            <v>0</v>
          </cell>
          <cell r="S6484">
            <v>0</v>
          </cell>
          <cell r="T6484">
            <v>0</v>
          </cell>
          <cell r="U6484" t="b">
            <v>0</v>
          </cell>
        </row>
        <row r="6485">
          <cell r="A6485" t="str">
            <v>Data split-11;Reg-127</v>
          </cell>
          <cell r="B6485">
            <v>-3.4</v>
          </cell>
          <cell r="C6485">
            <v>0</v>
          </cell>
          <cell r="D6485">
            <v>3.5</v>
          </cell>
          <cell r="E6485">
            <v>0</v>
          </cell>
          <cell r="F6485">
            <v>0</v>
          </cell>
          <cell r="G6485">
            <v>0</v>
          </cell>
          <cell r="H6485">
            <v>-3.1</v>
          </cell>
          <cell r="I6485">
            <v>0</v>
          </cell>
          <cell r="J6485">
            <v>0</v>
          </cell>
          <cell r="K6485">
            <v>0</v>
          </cell>
          <cell r="L6485">
            <v>14.6</v>
          </cell>
          <cell r="M6485">
            <v>0</v>
          </cell>
          <cell r="N6485">
            <v>0</v>
          </cell>
          <cell r="O6485">
            <v>0</v>
          </cell>
          <cell r="P6485">
            <v>0</v>
          </cell>
          <cell r="Q6485">
            <v>0</v>
          </cell>
          <cell r="R6485">
            <v>0</v>
          </cell>
          <cell r="S6485">
            <v>0</v>
          </cell>
          <cell r="T6485">
            <v>0</v>
          </cell>
          <cell r="U6485" t="b">
            <v>0</v>
          </cell>
        </row>
        <row r="6486">
          <cell r="A6486" t="str">
            <v>Data split-12;Reg-1</v>
          </cell>
          <cell r="B6486">
            <v>-2.5</v>
          </cell>
          <cell r="C6486">
            <v>1.5</v>
          </cell>
          <cell r="D6486">
            <v>0</v>
          </cell>
          <cell r="E6486">
            <v>0</v>
          </cell>
          <cell r="F6486">
            <v>7.9000000000000001E-2</v>
          </cell>
          <cell r="G6486">
            <v>0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>
            <v>25.9</v>
          </cell>
          <cell r="M6486">
            <v>0</v>
          </cell>
          <cell r="N6486">
            <v>0</v>
          </cell>
          <cell r="O6486">
            <v>0</v>
          </cell>
          <cell r="P6486">
            <v>0</v>
          </cell>
          <cell r="Q6486">
            <v>0</v>
          </cell>
          <cell r="R6486">
            <v>0</v>
          </cell>
          <cell r="S6486">
            <v>0</v>
          </cell>
          <cell r="T6486">
            <v>0</v>
          </cell>
          <cell r="U6486" t="b">
            <v>0</v>
          </cell>
        </row>
        <row r="6487">
          <cell r="A6487" t="str">
            <v>Data split-12;Reg-2</v>
          </cell>
          <cell r="B6487">
            <v>9.4E-2</v>
          </cell>
          <cell r="C6487">
            <v>1.8</v>
          </cell>
          <cell r="D6487">
            <v>0</v>
          </cell>
          <cell r="E6487">
            <v>0</v>
          </cell>
          <cell r="F6487">
            <v>5.3999999999999999E-2</v>
          </cell>
          <cell r="G6487">
            <v>0.13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0</v>
          </cell>
          <cell r="M6487">
            <v>5.8999999999999999E-3</v>
          </cell>
          <cell r="N6487">
            <v>0</v>
          </cell>
          <cell r="O6487">
            <v>0</v>
          </cell>
          <cell r="P6487">
            <v>0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 t="b">
            <v>0</v>
          </cell>
        </row>
        <row r="6488">
          <cell r="A6488" t="str">
            <v>Data split-12;Reg-3</v>
          </cell>
          <cell r="B6488">
            <v>0.31</v>
          </cell>
          <cell r="C6488">
            <v>1.8</v>
          </cell>
          <cell r="D6488">
            <v>0</v>
          </cell>
          <cell r="E6488">
            <v>0</v>
          </cell>
          <cell r="F6488">
            <v>5.3999999999999999E-2</v>
          </cell>
          <cell r="G6488">
            <v>-4.7000000000000002E-3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>
            <v>0</v>
          </cell>
          <cell r="M6488">
            <v>0</v>
          </cell>
          <cell r="N6488">
            <v>5.1000000000000004E-3</v>
          </cell>
          <cell r="O6488">
            <v>0</v>
          </cell>
          <cell r="P6488">
            <v>0</v>
          </cell>
          <cell r="Q6488">
            <v>0</v>
          </cell>
          <cell r="R6488">
            <v>0</v>
          </cell>
          <cell r="S6488">
            <v>0</v>
          </cell>
          <cell r="T6488">
            <v>0</v>
          </cell>
          <cell r="U6488" t="b">
            <v>0</v>
          </cell>
        </row>
        <row r="6489">
          <cell r="A6489" t="str">
            <v>Data split-12;Reg-4</v>
          </cell>
          <cell r="B6489">
            <v>-0.61</v>
          </cell>
          <cell r="C6489">
            <v>1.4</v>
          </cell>
          <cell r="D6489">
            <v>0</v>
          </cell>
          <cell r="E6489">
            <v>0</v>
          </cell>
          <cell r="F6489">
            <v>4.9000000000000002E-2</v>
          </cell>
          <cell r="G6489">
            <v>0</v>
          </cell>
          <cell r="H6489">
            <v>1.7</v>
          </cell>
          <cell r="I6489">
            <v>0</v>
          </cell>
          <cell r="J6489">
            <v>0</v>
          </cell>
          <cell r="K6489">
            <v>0</v>
          </cell>
          <cell r="L6489">
            <v>0</v>
          </cell>
          <cell r="M6489">
            <v>-0.04</v>
          </cell>
          <cell r="N6489">
            <v>0</v>
          </cell>
          <cell r="O6489">
            <v>0</v>
          </cell>
          <cell r="P6489">
            <v>0</v>
          </cell>
          <cell r="Q6489">
            <v>0</v>
          </cell>
          <cell r="R6489">
            <v>0</v>
          </cell>
          <cell r="S6489">
            <v>0</v>
          </cell>
          <cell r="T6489">
            <v>0</v>
          </cell>
          <cell r="U6489" t="b">
            <v>1</v>
          </cell>
        </row>
        <row r="6490">
          <cell r="A6490" t="str">
            <v>Data split-12;Reg-5</v>
          </cell>
          <cell r="B6490">
            <v>-0.84</v>
          </cell>
          <cell r="C6490">
            <v>0</v>
          </cell>
          <cell r="D6490">
            <v>1.8</v>
          </cell>
          <cell r="E6490">
            <v>0</v>
          </cell>
          <cell r="F6490">
            <v>3.6999999999999998E-2</v>
          </cell>
          <cell r="G6490">
            <v>0</v>
          </cell>
          <cell r="H6490">
            <v>0.76</v>
          </cell>
          <cell r="I6490">
            <v>0</v>
          </cell>
          <cell r="J6490">
            <v>0</v>
          </cell>
          <cell r="K6490">
            <v>0</v>
          </cell>
          <cell r="L6490">
            <v>0</v>
          </cell>
          <cell r="M6490">
            <v>-2.4E-2</v>
          </cell>
          <cell r="N6490">
            <v>0</v>
          </cell>
          <cell r="O6490">
            <v>0</v>
          </cell>
          <cell r="P6490">
            <v>0</v>
          </cell>
          <cell r="Q6490">
            <v>0</v>
          </cell>
          <cell r="R6490">
            <v>0</v>
          </cell>
          <cell r="S6490">
            <v>0</v>
          </cell>
          <cell r="T6490">
            <v>0</v>
          </cell>
          <cell r="U6490" t="b">
            <v>1</v>
          </cell>
        </row>
        <row r="6491">
          <cell r="A6491" t="str">
            <v>Data split-12;Reg-6</v>
          </cell>
          <cell r="B6491">
            <v>-2.2000000000000002</v>
          </cell>
          <cell r="C6491">
            <v>2.2000000000000002</v>
          </cell>
          <cell r="D6491">
            <v>0</v>
          </cell>
          <cell r="E6491">
            <v>-1.1000000000000001</v>
          </cell>
          <cell r="F6491">
            <v>0</v>
          </cell>
          <cell r="G6491">
            <v>0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>
            <v>30.5</v>
          </cell>
          <cell r="M6491">
            <v>1.2E-2</v>
          </cell>
          <cell r="N6491">
            <v>0</v>
          </cell>
          <cell r="O6491">
            <v>0</v>
          </cell>
          <cell r="P6491">
            <v>0</v>
          </cell>
          <cell r="Q6491">
            <v>0</v>
          </cell>
          <cell r="R6491">
            <v>0</v>
          </cell>
          <cell r="S6491">
            <v>0</v>
          </cell>
          <cell r="T6491">
            <v>0</v>
          </cell>
          <cell r="U6491" t="b">
            <v>0</v>
          </cell>
        </row>
        <row r="6492">
          <cell r="A6492" t="str">
            <v>Data split-12;Reg-7</v>
          </cell>
          <cell r="B6492">
            <v>-2.4</v>
          </cell>
          <cell r="C6492">
            <v>1.8</v>
          </cell>
          <cell r="D6492">
            <v>0</v>
          </cell>
          <cell r="E6492">
            <v>0</v>
          </cell>
          <cell r="F6492">
            <v>7.0000000000000007E-2</v>
          </cell>
          <cell r="G6492">
            <v>0</v>
          </cell>
          <cell r="H6492">
            <v>0</v>
          </cell>
          <cell r="I6492">
            <v>0</v>
          </cell>
          <cell r="J6492">
            <v>0</v>
          </cell>
          <cell r="K6492">
            <v>0</v>
          </cell>
          <cell r="L6492">
            <v>26.7</v>
          </cell>
          <cell r="M6492">
            <v>0</v>
          </cell>
          <cell r="N6492">
            <v>0</v>
          </cell>
          <cell r="O6492">
            <v>0</v>
          </cell>
          <cell r="P6492">
            <v>0</v>
          </cell>
          <cell r="Q6492">
            <v>0</v>
          </cell>
          <cell r="R6492">
            <v>0</v>
          </cell>
          <cell r="S6492">
            <v>-4.2999999999999997E-2</v>
          </cell>
          <cell r="T6492">
            <v>0</v>
          </cell>
          <cell r="U6492" t="b">
            <v>0</v>
          </cell>
        </row>
        <row r="6493">
          <cell r="A6493" t="str">
            <v>Data split-12;Reg-8</v>
          </cell>
          <cell r="B6493">
            <v>-2.2000000000000002</v>
          </cell>
          <cell r="C6493">
            <v>2</v>
          </cell>
          <cell r="D6493">
            <v>0</v>
          </cell>
          <cell r="E6493">
            <v>0</v>
          </cell>
          <cell r="F6493">
            <v>0</v>
          </cell>
          <cell r="G6493">
            <v>-0.27</v>
          </cell>
          <cell r="H6493">
            <v>0</v>
          </cell>
          <cell r="I6493">
            <v>0</v>
          </cell>
          <cell r="J6493">
            <v>0</v>
          </cell>
          <cell r="K6493">
            <v>0</v>
          </cell>
          <cell r="L6493">
            <v>26.9</v>
          </cell>
          <cell r="M6493">
            <v>0</v>
          </cell>
          <cell r="N6493">
            <v>0</v>
          </cell>
          <cell r="O6493">
            <v>0</v>
          </cell>
          <cell r="P6493">
            <v>0</v>
          </cell>
          <cell r="Q6493">
            <v>0</v>
          </cell>
          <cell r="R6493">
            <v>0</v>
          </cell>
          <cell r="S6493">
            <v>-4.1000000000000002E-2</v>
          </cell>
          <cell r="T6493">
            <v>0</v>
          </cell>
          <cell r="U6493" t="b">
            <v>0</v>
          </cell>
        </row>
        <row r="6494">
          <cell r="A6494" t="str">
            <v>Data split-12;Reg-9</v>
          </cell>
          <cell r="B6494">
            <v>-3.2</v>
          </cell>
          <cell r="C6494">
            <v>0</v>
          </cell>
          <cell r="D6494">
            <v>1.7</v>
          </cell>
          <cell r="E6494">
            <v>0</v>
          </cell>
          <cell r="F6494">
            <v>0</v>
          </cell>
          <cell r="G6494">
            <v>0</v>
          </cell>
          <cell r="H6494">
            <v>1</v>
          </cell>
          <cell r="I6494">
            <v>0</v>
          </cell>
          <cell r="J6494">
            <v>0</v>
          </cell>
          <cell r="K6494">
            <v>0</v>
          </cell>
          <cell r="L6494">
            <v>21.8</v>
          </cell>
          <cell r="M6494">
            <v>0</v>
          </cell>
          <cell r="N6494">
            <v>0</v>
          </cell>
          <cell r="O6494">
            <v>0</v>
          </cell>
          <cell r="P6494">
            <v>0</v>
          </cell>
          <cell r="Q6494">
            <v>0</v>
          </cell>
          <cell r="R6494">
            <v>0</v>
          </cell>
          <cell r="S6494">
            <v>-7.3999999999999996E-2</v>
          </cell>
          <cell r="T6494">
            <v>0</v>
          </cell>
          <cell r="U6494" t="b">
            <v>0</v>
          </cell>
        </row>
        <row r="6495">
          <cell r="A6495" t="str">
            <v>Data split-12;Reg-10</v>
          </cell>
          <cell r="B6495">
            <v>-3.2</v>
          </cell>
          <cell r="C6495">
            <v>0</v>
          </cell>
          <cell r="D6495">
            <v>1.7</v>
          </cell>
          <cell r="E6495">
            <v>0</v>
          </cell>
          <cell r="F6495">
            <v>0</v>
          </cell>
          <cell r="G6495">
            <v>0</v>
          </cell>
          <cell r="H6495">
            <v>1</v>
          </cell>
          <cell r="I6495">
            <v>0</v>
          </cell>
          <cell r="J6495">
            <v>0</v>
          </cell>
          <cell r="K6495">
            <v>0</v>
          </cell>
          <cell r="L6495">
            <v>21.8</v>
          </cell>
          <cell r="M6495">
            <v>0</v>
          </cell>
          <cell r="N6495">
            <v>0</v>
          </cell>
          <cell r="O6495">
            <v>0</v>
          </cell>
          <cell r="P6495">
            <v>0</v>
          </cell>
          <cell r="Q6495">
            <v>0</v>
          </cell>
          <cell r="R6495">
            <v>0</v>
          </cell>
          <cell r="S6495">
            <v>-7.3999999999999996E-2</v>
          </cell>
          <cell r="T6495">
            <v>0</v>
          </cell>
          <cell r="U6495" t="b">
            <v>0</v>
          </cell>
        </row>
        <row r="6496">
          <cell r="A6496" t="str">
            <v>Data split-12;Reg-11</v>
          </cell>
          <cell r="B6496">
            <v>4.4999999999999998E-2</v>
          </cell>
          <cell r="C6496">
            <v>1.9</v>
          </cell>
          <cell r="D6496">
            <v>0</v>
          </cell>
          <cell r="E6496">
            <v>0.28000000000000003</v>
          </cell>
          <cell r="F6496">
            <v>0</v>
          </cell>
          <cell r="G6496">
            <v>-4.8000000000000001E-2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>
            <v>0</v>
          </cell>
          <cell r="M6496">
            <v>0</v>
          </cell>
          <cell r="N6496">
            <v>0</v>
          </cell>
          <cell r="O6496">
            <v>0</v>
          </cell>
          <cell r="P6496">
            <v>0</v>
          </cell>
          <cell r="Q6496">
            <v>0</v>
          </cell>
          <cell r="R6496">
            <v>0</v>
          </cell>
          <cell r="S6496">
            <v>0</v>
          </cell>
          <cell r="T6496">
            <v>0</v>
          </cell>
          <cell r="U6496" t="b">
            <v>0</v>
          </cell>
        </row>
        <row r="6497">
          <cell r="A6497" t="str">
            <v>Data split-12;Reg-12</v>
          </cell>
          <cell r="B6497">
            <v>-0.24</v>
          </cell>
          <cell r="C6497">
            <v>1.7</v>
          </cell>
          <cell r="D6497">
            <v>0</v>
          </cell>
          <cell r="E6497">
            <v>-0.64</v>
          </cell>
          <cell r="F6497">
            <v>0</v>
          </cell>
          <cell r="G6497">
            <v>0</v>
          </cell>
          <cell r="H6497">
            <v>1.5</v>
          </cell>
          <cell r="I6497">
            <v>0</v>
          </cell>
          <cell r="J6497">
            <v>0</v>
          </cell>
          <cell r="K6497">
            <v>0</v>
          </cell>
          <cell r="L6497">
            <v>0</v>
          </cell>
          <cell r="M6497">
            <v>0</v>
          </cell>
          <cell r="N6497">
            <v>0</v>
          </cell>
          <cell r="O6497">
            <v>0</v>
          </cell>
          <cell r="P6497">
            <v>0</v>
          </cell>
          <cell r="Q6497">
            <v>0</v>
          </cell>
          <cell r="R6497">
            <v>0</v>
          </cell>
          <cell r="S6497">
            <v>0</v>
          </cell>
          <cell r="T6497">
            <v>0</v>
          </cell>
          <cell r="U6497" t="b">
            <v>0</v>
          </cell>
        </row>
        <row r="6498">
          <cell r="A6498" t="str">
            <v>Data split-12;Reg-13</v>
          </cell>
          <cell r="B6498">
            <v>6.0999999999999999E-2</v>
          </cell>
          <cell r="C6498">
            <v>1.8</v>
          </cell>
          <cell r="D6498">
            <v>0</v>
          </cell>
          <cell r="E6498">
            <v>0</v>
          </cell>
          <cell r="F6498">
            <v>5.3999999999999999E-2</v>
          </cell>
          <cell r="G6498">
            <v>0.18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>
            <v>0</v>
          </cell>
          <cell r="M6498">
            <v>0</v>
          </cell>
          <cell r="N6498">
            <v>0</v>
          </cell>
          <cell r="O6498">
            <v>0</v>
          </cell>
          <cell r="P6498">
            <v>0</v>
          </cell>
          <cell r="Q6498">
            <v>0</v>
          </cell>
          <cell r="R6498">
            <v>0</v>
          </cell>
          <cell r="S6498">
            <v>0</v>
          </cell>
          <cell r="T6498">
            <v>0</v>
          </cell>
          <cell r="U6498" t="b">
            <v>0</v>
          </cell>
        </row>
        <row r="6499">
          <cell r="A6499" t="str">
            <v>Data split-12;Reg-14</v>
          </cell>
          <cell r="B6499">
            <v>-0.24</v>
          </cell>
          <cell r="C6499">
            <v>1.5</v>
          </cell>
          <cell r="D6499">
            <v>0</v>
          </cell>
          <cell r="E6499">
            <v>0</v>
          </cell>
          <cell r="F6499">
            <v>5.2999999999999999E-2</v>
          </cell>
          <cell r="G6499">
            <v>0</v>
          </cell>
          <cell r="H6499">
            <v>0.84</v>
          </cell>
          <cell r="I6499">
            <v>0</v>
          </cell>
          <cell r="J6499">
            <v>0</v>
          </cell>
          <cell r="K6499">
            <v>0</v>
          </cell>
          <cell r="L6499">
            <v>0</v>
          </cell>
          <cell r="M6499">
            <v>0</v>
          </cell>
          <cell r="N6499">
            <v>0</v>
          </cell>
          <cell r="O6499">
            <v>0</v>
          </cell>
          <cell r="P6499">
            <v>0</v>
          </cell>
          <cell r="Q6499">
            <v>0</v>
          </cell>
          <cell r="R6499">
            <v>0</v>
          </cell>
          <cell r="S6499">
            <v>0</v>
          </cell>
          <cell r="T6499">
            <v>0</v>
          </cell>
          <cell r="U6499" t="b">
            <v>1</v>
          </cell>
        </row>
        <row r="6500">
          <cell r="A6500" t="str">
            <v>Data split-12;Reg-15</v>
          </cell>
          <cell r="B6500">
            <v>3.0000000000000001E-3</v>
          </cell>
          <cell r="C6500">
            <v>1.9</v>
          </cell>
          <cell r="D6500">
            <v>0</v>
          </cell>
          <cell r="E6500">
            <v>0.25</v>
          </cell>
          <cell r="F6500">
            <v>0</v>
          </cell>
          <cell r="G6500">
            <v>0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>
            <v>0</v>
          </cell>
          <cell r="M6500">
            <v>5.2000000000000002E-6</v>
          </cell>
          <cell r="N6500">
            <v>0</v>
          </cell>
          <cell r="O6500">
            <v>0</v>
          </cell>
          <cell r="P6500">
            <v>0</v>
          </cell>
          <cell r="Q6500">
            <v>0</v>
          </cell>
          <cell r="R6500">
            <v>0</v>
          </cell>
          <cell r="S6500">
            <v>0</v>
          </cell>
          <cell r="T6500">
            <v>0</v>
          </cell>
          <cell r="U6500" t="b">
            <v>0</v>
          </cell>
        </row>
        <row r="6501">
          <cell r="A6501" t="str">
            <v>Data split-12;Reg-16</v>
          </cell>
          <cell r="B6501">
            <v>0.14000000000000001</v>
          </cell>
          <cell r="C6501">
            <v>1.8</v>
          </cell>
          <cell r="D6501">
            <v>0</v>
          </cell>
          <cell r="E6501">
            <v>7.3999999999999996E-2</v>
          </cell>
          <cell r="F6501">
            <v>0</v>
          </cell>
          <cell r="G6501">
            <v>0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0</v>
          </cell>
          <cell r="M6501">
            <v>0</v>
          </cell>
          <cell r="N6501">
            <v>3.8E-3</v>
          </cell>
          <cell r="O6501">
            <v>0</v>
          </cell>
          <cell r="P6501">
            <v>0</v>
          </cell>
          <cell r="Q6501">
            <v>0</v>
          </cell>
          <cell r="R6501">
            <v>0</v>
          </cell>
          <cell r="S6501">
            <v>0</v>
          </cell>
          <cell r="T6501">
            <v>0</v>
          </cell>
          <cell r="U6501" t="b">
            <v>0</v>
          </cell>
        </row>
        <row r="6502">
          <cell r="A6502" t="str">
            <v>Data split-12;Reg-17</v>
          </cell>
          <cell r="B6502">
            <v>0.26</v>
          </cell>
          <cell r="C6502">
            <v>1.9</v>
          </cell>
          <cell r="D6502">
            <v>0</v>
          </cell>
          <cell r="E6502">
            <v>0</v>
          </cell>
          <cell r="F6502">
            <v>0.05</v>
          </cell>
          <cell r="G6502">
            <v>0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0</v>
          </cell>
          <cell r="M6502">
            <v>9.7999999999999997E-3</v>
          </cell>
          <cell r="N6502">
            <v>0</v>
          </cell>
          <cell r="O6502">
            <v>0</v>
          </cell>
          <cell r="P6502">
            <v>0</v>
          </cell>
          <cell r="Q6502">
            <v>0</v>
          </cell>
          <cell r="R6502">
            <v>0</v>
          </cell>
          <cell r="S6502">
            <v>0</v>
          </cell>
          <cell r="T6502">
            <v>0</v>
          </cell>
          <cell r="U6502" t="b">
            <v>0</v>
          </cell>
        </row>
        <row r="6503">
          <cell r="A6503" t="str">
            <v>Data split-12;Reg-18</v>
          </cell>
          <cell r="B6503">
            <v>0.3</v>
          </cell>
          <cell r="C6503">
            <v>1.8</v>
          </cell>
          <cell r="D6503">
            <v>0</v>
          </cell>
          <cell r="E6503">
            <v>0</v>
          </cell>
          <cell r="F6503">
            <v>5.3999999999999999E-2</v>
          </cell>
          <cell r="G6503">
            <v>0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>
            <v>0</v>
          </cell>
          <cell r="M6503">
            <v>0</v>
          </cell>
          <cell r="N6503">
            <v>5.1000000000000004E-3</v>
          </cell>
          <cell r="O6503">
            <v>0</v>
          </cell>
          <cell r="P6503">
            <v>0</v>
          </cell>
          <cell r="Q6503">
            <v>0</v>
          </cell>
          <cell r="R6503">
            <v>0</v>
          </cell>
          <cell r="S6503">
            <v>0</v>
          </cell>
          <cell r="T6503">
            <v>0</v>
          </cell>
          <cell r="U6503" t="b">
            <v>0</v>
          </cell>
        </row>
        <row r="6504">
          <cell r="A6504" t="str">
            <v>Data split-12;Reg-19</v>
          </cell>
          <cell r="B6504">
            <v>0.17</v>
          </cell>
          <cell r="C6504">
            <v>2</v>
          </cell>
          <cell r="D6504">
            <v>0</v>
          </cell>
          <cell r="E6504">
            <v>0</v>
          </cell>
          <cell r="F6504">
            <v>0</v>
          </cell>
          <cell r="G6504">
            <v>0.24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>
            <v>0</v>
          </cell>
          <cell r="M6504">
            <v>0</v>
          </cell>
          <cell r="N6504">
            <v>0</v>
          </cell>
          <cell r="O6504">
            <v>-3.2000000000000001E-2</v>
          </cell>
          <cell r="P6504">
            <v>0</v>
          </cell>
          <cell r="Q6504">
            <v>0</v>
          </cell>
          <cell r="R6504">
            <v>0</v>
          </cell>
          <cell r="S6504">
            <v>0</v>
          </cell>
          <cell r="T6504">
            <v>0</v>
          </cell>
          <cell r="U6504" t="b">
            <v>0</v>
          </cell>
        </row>
        <row r="6505">
          <cell r="A6505" t="str">
            <v>Data split-12;Reg-20</v>
          </cell>
          <cell r="B6505">
            <v>5.8999999999999997E-2</v>
          </cell>
          <cell r="C6505">
            <v>2</v>
          </cell>
          <cell r="D6505">
            <v>0</v>
          </cell>
          <cell r="E6505">
            <v>0</v>
          </cell>
          <cell r="F6505">
            <v>0</v>
          </cell>
          <cell r="G6505">
            <v>0.19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>
            <v>0</v>
          </cell>
          <cell r="M6505">
            <v>0</v>
          </cell>
          <cell r="N6505">
            <v>0</v>
          </cell>
          <cell r="O6505">
            <v>0</v>
          </cell>
          <cell r="P6505">
            <v>-4.1000000000000003E-3</v>
          </cell>
          <cell r="Q6505">
            <v>0</v>
          </cell>
          <cell r="R6505">
            <v>0</v>
          </cell>
          <cell r="S6505">
            <v>0</v>
          </cell>
          <cell r="T6505">
            <v>0</v>
          </cell>
          <cell r="U6505" t="b">
            <v>0</v>
          </cell>
        </row>
        <row r="6506">
          <cell r="A6506" t="str">
            <v>Data split-12;Reg-21</v>
          </cell>
          <cell r="B6506">
            <v>-0.23</v>
          </cell>
          <cell r="C6506">
            <v>1.6</v>
          </cell>
          <cell r="D6506">
            <v>0</v>
          </cell>
          <cell r="E6506">
            <v>0</v>
          </cell>
          <cell r="F6506">
            <v>0</v>
          </cell>
          <cell r="G6506">
            <v>0</v>
          </cell>
          <cell r="H6506">
            <v>1.4</v>
          </cell>
          <cell r="I6506">
            <v>0</v>
          </cell>
          <cell r="J6506">
            <v>0</v>
          </cell>
          <cell r="K6506">
            <v>0</v>
          </cell>
          <cell r="L6506">
            <v>0</v>
          </cell>
          <cell r="M6506">
            <v>0</v>
          </cell>
          <cell r="N6506">
            <v>0</v>
          </cell>
          <cell r="O6506">
            <v>-5.3999999999999999E-2</v>
          </cell>
          <cell r="P6506">
            <v>0</v>
          </cell>
          <cell r="Q6506">
            <v>0</v>
          </cell>
          <cell r="R6506">
            <v>0</v>
          </cell>
          <cell r="S6506">
            <v>0</v>
          </cell>
          <cell r="T6506">
            <v>0</v>
          </cell>
          <cell r="U6506" t="b">
            <v>1</v>
          </cell>
        </row>
        <row r="6507">
          <cell r="A6507" t="str">
            <v>Data split-12;Reg-22</v>
          </cell>
          <cell r="B6507">
            <v>-0.39</v>
          </cell>
          <cell r="C6507">
            <v>1.7</v>
          </cell>
          <cell r="D6507">
            <v>0</v>
          </cell>
          <cell r="E6507">
            <v>0</v>
          </cell>
          <cell r="F6507">
            <v>0</v>
          </cell>
          <cell r="G6507">
            <v>0</v>
          </cell>
          <cell r="H6507">
            <v>1.3</v>
          </cell>
          <cell r="I6507">
            <v>0</v>
          </cell>
          <cell r="J6507">
            <v>0</v>
          </cell>
          <cell r="K6507">
            <v>0</v>
          </cell>
          <cell r="L6507">
            <v>0</v>
          </cell>
          <cell r="M6507">
            <v>0</v>
          </cell>
          <cell r="N6507">
            <v>0</v>
          </cell>
          <cell r="O6507">
            <v>0</v>
          </cell>
          <cell r="P6507">
            <v>-8.8999999999999999E-3</v>
          </cell>
          <cell r="Q6507">
            <v>0</v>
          </cell>
          <cell r="R6507">
            <v>0</v>
          </cell>
          <cell r="S6507">
            <v>0</v>
          </cell>
          <cell r="T6507">
            <v>0</v>
          </cell>
          <cell r="U6507" t="b">
            <v>1</v>
          </cell>
        </row>
        <row r="6508">
          <cell r="A6508" t="str">
            <v>Data split-12;Reg-23</v>
          </cell>
          <cell r="B6508">
            <v>-0.24</v>
          </cell>
          <cell r="C6508">
            <v>0</v>
          </cell>
          <cell r="D6508">
            <v>2.2999999999999998</v>
          </cell>
          <cell r="E6508">
            <v>-0.14000000000000001</v>
          </cell>
          <cell r="F6508">
            <v>0</v>
          </cell>
          <cell r="G6508">
            <v>-0.23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>
            <v>0</v>
          </cell>
          <cell r="M6508">
            <v>0</v>
          </cell>
          <cell r="N6508">
            <v>0</v>
          </cell>
          <cell r="O6508">
            <v>0</v>
          </cell>
          <cell r="P6508">
            <v>0</v>
          </cell>
          <cell r="Q6508">
            <v>0</v>
          </cell>
          <cell r="R6508">
            <v>0</v>
          </cell>
          <cell r="S6508">
            <v>0</v>
          </cell>
          <cell r="T6508">
            <v>0</v>
          </cell>
          <cell r="U6508" t="b">
            <v>0</v>
          </cell>
        </row>
        <row r="6509">
          <cell r="A6509" t="str">
            <v>Data split-12;Reg-24</v>
          </cell>
          <cell r="B6509">
            <v>-0.62</v>
          </cell>
          <cell r="C6509">
            <v>0</v>
          </cell>
          <cell r="D6509">
            <v>2.1</v>
          </cell>
          <cell r="E6509">
            <v>-1.1000000000000001</v>
          </cell>
          <cell r="F6509">
            <v>0</v>
          </cell>
          <cell r="G6509">
            <v>0</v>
          </cell>
          <cell r="H6509">
            <v>1.3</v>
          </cell>
          <cell r="I6509">
            <v>0</v>
          </cell>
          <cell r="J6509">
            <v>0</v>
          </cell>
          <cell r="K6509">
            <v>0</v>
          </cell>
          <cell r="L6509">
            <v>0</v>
          </cell>
          <cell r="M6509">
            <v>0</v>
          </cell>
          <cell r="N6509">
            <v>0</v>
          </cell>
          <cell r="O6509">
            <v>0</v>
          </cell>
          <cell r="P6509">
            <v>0</v>
          </cell>
          <cell r="Q6509">
            <v>0</v>
          </cell>
          <cell r="R6509">
            <v>0</v>
          </cell>
          <cell r="S6509">
            <v>0</v>
          </cell>
          <cell r="T6509">
            <v>0</v>
          </cell>
          <cell r="U6509" t="b">
            <v>0</v>
          </cell>
        </row>
        <row r="6510">
          <cell r="A6510" t="str">
            <v>Data split-12;Reg-25</v>
          </cell>
          <cell r="B6510">
            <v>-0.28000000000000003</v>
          </cell>
          <cell r="C6510">
            <v>0</v>
          </cell>
          <cell r="D6510">
            <v>2.2000000000000002</v>
          </cell>
          <cell r="E6510">
            <v>0</v>
          </cell>
          <cell r="F6510">
            <v>2.9000000000000001E-2</v>
          </cell>
          <cell r="G6510">
            <v>-0.22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>
            <v>0</v>
          </cell>
          <cell r="M6510">
            <v>0</v>
          </cell>
          <cell r="N6510">
            <v>0</v>
          </cell>
          <cell r="O6510">
            <v>0</v>
          </cell>
          <cell r="P6510">
            <v>0</v>
          </cell>
          <cell r="Q6510">
            <v>0</v>
          </cell>
          <cell r="R6510">
            <v>0</v>
          </cell>
          <cell r="S6510">
            <v>0</v>
          </cell>
          <cell r="T6510">
            <v>0</v>
          </cell>
          <cell r="U6510" t="b">
            <v>0</v>
          </cell>
        </row>
        <row r="6511">
          <cell r="A6511" t="str">
            <v>Data split-12;Reg-26</v>
          </cell>
          <cell r="B6511">
            <v>-0.63</v>
          </cell>
          <cell r="C6511">
            <v>0</v>
          </cell>
          <cell r="D6511">
            <v>1.9</v>
          </cell>
          <cell r="E6511">
            <v>0</v>
          </cell>
          <cell r="F6511">
            <v>0.04</v>
          </cell>
          <cell r="G6511">
            <v>0</v>
          </cell>
          <cell r="H6511">
            <v>0.22</v>
          </cell>
          <cell r="I6511">
            <v>0</v>
          </cell>
          <cell r="J6511">
            <v>0</v>
          </cell>
          <cell r="K6511">
            <v>0</v>
          </cell>
          <cell r="L6511">
            <v>0</v>
          </cell>
          <cell r="M6511">
            <v>0</v>
          </cell>
          <cell r="N6511">
            <v>0</v>
          </cell>
          <cell r="O6511">
            <v>0</v>
          </cell>
          <cell r="P6511">
            <v>0</v>
          </cell>
          <cell r="Q6511">
            <v>0</v>
          </cell>
          <cell r="R6511">
            <v>0</v>
          </cell>
          <cell r="S6511">
            <v>0</v>
          </cell>
          <cell r="T6511">
            <v>0</v>
          </cell>
          <cell r="U6511" t="b">
            <v>1</v>
          </cell>
        </row>
        <row r="6512">
          <cell r="A6512" t="str">
            <v>Data split-12;Reg-27</v>
          </cell>
          <cell r="B6512">
            <v>-0.42</v>
          </cell>
          <cell r="C6512">
            <v>0</v>
          </cell>
          <cell r="D6512">
            <v>2.2000000000000002</v>
          </cell>
          <cell r="E6512">
            <v>-0.32</v>
          </cell>
          <cell r="F6512">
            <v>0</v>
          </cell>
          <cell r="G6512">
            <v>0</v>
          </cell>
          <cell r="H6512">
            <v>0</v>
          </cell>
          <cell r="I6512">
            <v>0</v>
          </cell>
          <cell r="J6512">
            <v>0</v>
          </cell>
          <cell r="K6512">
            <v>0</v>
          </cell>
          <cell r="L6512">
            <v>0</v>
          </cell>
          <cell r="M6512">
            <v>2.8E-3</v>
          </cell>
          <cell r="N6512">
            <v>0</v>
          </cell>
          <cell r="O6512">
            <v>0</v>
          </cell>
          <cell r="P6512">
            <v>0</v>
          </cell>
          <cell r="Q6512">
            <v>0</v>
          </cell>
          <cell r="R6512">
            <v>0</v>
          </cell>
          <cell r="S6512">
            <v>0</v>
          </cell>
          <cell r="T6512">
            <v>0</v>
          </cell>
          <cell r="U6512" t="b">
            <v>0</v>
          </cell>
        </row>
        <row r="6513">
          <cell r="A6513" t="str">
            <v>Data split-12;Reg-28</v>
          </cell>
          <cell r="B6513">
            <v>-0.3</v>
          </cell>
          <cell r="C6513">
            <v>0</v>
          </cell>
          <cell r="D6513">
            <v>2.2000000000000002</v>
          </cell>
          <cell r="E6513">
            <v>-0.45</v>
          </cell>
          <cell r="F6513">
            <v>0</v>
          </cell>
          <cell r="G6513">
            <v>0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>
            <v>0</v>
          </cell>
          <cell r="M6513">
            <v>0</v>
          </cell>
          <cell r="N6513">
            <v>3.5999999999999999E-3</v>
          </cell>
          <cell r="O6513">
            <v>0</v>
          </cell>
          <cell r="P6513">
            <v>0</v>
          </cell>
          <cell r="Q6513">
            <v>0</v>
          </cell>
          <cell r="R6513">
            <v>0</v>
          </cell>
          <cell r="S6513">
            <v>0</v>
          </cell>
          <cell r="T6513">
            <v>0</v>
          </cell>
          <cell r="U6513" t="b">
            <v>0</v>
          </cell>
        </row>
        <row r="6514">
          <cell r="A6514" t="str">
            <v>Data split-12;Reg-29</v>
          </cell>
          <cell r="B6514">
            <v>-0.52</v>
          </cell>
          <cell r="C6514">
            <v>0</v>
          </cell>
          <cell r="D6514">
            <v>2</v>
          </cell>
          <cell r="E6514">
            <v>0</v>
          </cell>
          <cell r="F6514">
            <v>3.6999999999999998E-2</v>
          </cell>
          <cell r="G6514">
            <v>0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>
            <v>0</v>
          </cell>
          <cell r="M6514">
            <v>-2.8999999999999998E-3</v>
          </cell>
          <cell r="N6514">
            <v>0</v>
          </cell>
          <cell r="O6514">
            <v>0</v>
          </cell>
          <cell r="P6514">
            <v>0</v>
          </cell>
          <cell r="Q6514">
            <v>0</v>
          </cell>
          <cell r="R6514">
            <v>0</v>
          </cell>
          <cell r="S6514">
            <v>0</v>
          </cell>
          <cell r="T6514">
            <v>0</v>
          </cell>
          <cell r="U6514" t="b">
            <v>1</v>
          </cell>
        </row>
        <row r="6515">
          <cell r="A6515" t="str">
            <v>Data split-12;Reg-30</v>
          </cell>
          <cell r="B6515">
            <v>-0.51</v>
          </cell>
          <cell r="C6515">
            <v>0</v>
          </cell>
          <cell r="D6515">
            <v>2</v>
          </cell>
          <cell r="E6515">
            <v>0</v>
          </cell>
          <cell r="F6515">
            <v>0.04</v>
          </cell>
          <cell r="G6515">
            <v>0</v>
          </cell>
          <cell r="H6515">
            <v>0</v>
          </cell>
          <cell r="I6515">
            <v>0</v>
          </cell>
          <cell r="J6515">
            <v>0</v>
          </cell>
          <cell r="K6515">
            <v>0</v>
          </cell>
          <cell r="L6515">
            <v>0</v>
          </cell>
          <cell r="M6515">
            <v>0</v>
          </cell>
          <cell r="N6515">
            <v>1.6000000000000001E-3</v>
          </cell>
          <cell r="O6515">
            <v>0</v>
          </cell>
          <cell r="P6515">
            <v>0</v>
          </cell>
          <cell r="Q6515">
            <v>0</v>
          </cell>
          <cell r="R6515">
            <v>0</v>
          </cell>
          <cell r="S6515">
            <v>0</v>
          </cell>
          <cell r="T6515">
            <v>0</v>
          </cell>
          <cell r="U6515" t="b">
            <v>0</v>
          </cell>
        </row>
        <row r="6516">
          <cell r="A6516" t="str">
            <v>Data split-12;Reg-31</v>
          </cell>
          <cell r="B6516">
            <v>-0.22</v>
          </cell>
          <cell r="C6516">
            <v>0</v>
          </cell>
          <cell r="D6516">
            <v>2.2999999999999998</v>
          </cell>
          <cell r="E6516">
            <v>0</v>
          </cell>
          <cell r="F6516">
            <v>0</v>
          </cell>
          <cell r="G6516">
            <v>-0.11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>
            <v>0</v>
          </cell>
          <cell r="M6516">
            <v>0</v>
          </cell>
          <cell r="N6516">
            <v>0</v>
          </cell>
          <cell r="O6516">
            <v>-3.4000000000000002E-2</v>
          </cell>
          <cell r="P6516">
            <v>0</v>
          </cell>
          <cell r="Q6516">
            <v>0</v>
          </cell>
          <cell r="R6516">
            <v>0</v>
          </cell>
          <cell r="S6516">
            <v>0</v>
          </cell>
          <cell r="T6516">
            <v>0</v>
          </cell>
          <cell r="U6516" t="b">
            <v>0</v>
          </cell>
        </row>
        <row r="6517">
          <cell r="A6517" t="str">
            <v>Data split-12;Reg-32</v>
          </cell>
          <cell r="B6517">
            <v>-0.33</v>
          </cell>
          <cell r="C6517">
            <v>0</v>
          </cell>
          <cell r="D6517">
            <v>2.2999999999999998</v>
          </cell>
          <cell r="E6517">
            <v>0</v>
          </cell>
          <cell r="F6517">
            <v>0</v>
          </cell>
          <cell r="G6517">
            <v>-0.16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>
            <v>0</v>
          </cell>
          <cell r="M6517">
            <v>0</v>
          </cell>
          <cell r="N6517">
            <v>0</v>
          </cell>
          <cell r="O6517">
            <v>0</v>
          </cell>
          <cell r="P6517">
            <v>-4.4000000000000003E-3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 t="b">
            <v>0</v>
          </cell>
        </row>
        <row r="6518">
          <cell r="A6518" t="str">
            <v>Data split-12;Reg-33</v>
          </cell>
          <cell r="B6518">
            <v>-0.62</v>
          </cell>
          <cell r="C6518">
            <v>0</v>
          </cell>
          <cell r="D6518">
            <v>2</v>
          </cell>
          <cell r="E6518">
            <v>0</v>
          </cell>
          <cell r="F6518">
            <v>0</v>
          </cell>
          <cell r="G6518">
            <v>0</v>
          </cell>
          <cell r="H6518">
            <v>0.79</v>
          </cell>
          <cell r="I6518">
            <v>0</v>
          </cell>
          <cell r="J6518">
            <v>0</v>
          </cell>
          <cell r="K6518">
            <v>0</v>
          </cell>
          <cell r="L6518">
            <v>0</v>
          </cell>
          <cell r="M6518">
            <v>0</v>
          </cell>
          <cell r="N6518">
            <v>0</v>
          </cell>
          <cell r="O6518">
            <v>-5.0999999999999997E-2</v>
          </cell>
          <cell r="P6518">
            <v>0</v>
          </cell>
          <cell r="Q6518">
            <v>0</v>
          </cell>
          <cell r="R6518">
            <v>0</v>
          </cell>
          <cell r="S6518">
            <v>0</v>
          </cell>
          <cell r="T6518">
            <v>0</v>
          </cell>
          <cell r="U6518" t="b">
            <v>1</v>
          </cell>
        </row>
        <row r="6519">
          <cell r="A6519" t="str">
            <v>Data split-12;Reg-34</v>
          </cell>
          <cell r="B6519">
            <v>-0.79</v>
          </cell>
          <cell r="C6519">
            <v>0</v>
          </cell>
          <cell r="D6519">
            <v>2</v>
          </cell>
          <cell r="E6519">
            <v>0</v>
          </cell>
          <cell r="F6519">
            <v>0</v>
          </cell>
          <cell r="G6519">
            <v>0</v>
          </cell>
          <cell r="H6519">
            <v>0.66</v>
          </cell>
          <cell r="I6519">
            <v>0</v>
          </cell>
          <cell r="J6519">
            <v>0</v>
          </cell>
          <cell r="K6519">
            <v>0</v>
          </cell>
          <cell r="L6519">
            <v>0</v>
          </cell>
          <cell r="M6519">
            <v>0</v>
          </cell>
          <cell r="N6519">
            <v>0</v>
          </cell>
          <cell r="O6519">
            <v>0</v>
          </cell>
          <cell r="P6519">
            <v>-8.3999999999999995E-3</v>
          </cell>
          <cell r="Q6519">
            <v>0</v>
          </cell>
          <cell r="R6519">
            <v>0</v>
          </cell>
          <cell r="S6519">
            <v>0</v>
          </cell>
          <cell r="T6519">
            <v>0</v>
          </cell>
          <cell r="U6519" t="b">
            <v>1</v>
          </cell>
        </row>
        <row r="6520">
          <cell r="A6520" t="str">
            <v>Data split-12;Reg-35</v>
          </cell>
          <cell r="B6520">
            <v>5.1999999999999998E-2</v>
          </cell>
          <cell r="C6520">
            <v>1.9</v>
          </cell>
          <cell r="D6520">
            <v>0</v>
          </cell>
          <cell r="E6520">
            <v>0.28000000000000003</v>
          </cell>
          <cell r="F6520">
            <v>0</v>
          </cell>
          <cell r="G6520">
            <v>-5.0999999999999997E-2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>
            <v>0</v>
          </cell>
          <cell r="M6520">
            <v>8.7000000000000001E-4</v>
          </cell>
          <cell r="N6520">
            <v>0</v>
          </cell>
          <cell r="O6520">
            <v>0</v>
          </cell>
          <cell r="P6520">
            <v>0</v>
          </cell>
          <cell r="Q6520">
            <v>0</v>
          </cell>
          <cell r="R6520">
            <v>0</v>
          </cell>
          <cell r="S6520">
            <v>0</v>
          </cell>
          <cell r="T6520">
            <v>0</v>
          </cell>
          <cell r="U6520" t="b">
            <v>0</v>
          </cell>
        </row>
        <row r="6521">
          <cell r="A6521" t="str">
            <v>Data split-12;Reg-36</v>
          </cell>
          <cell r="B6521">
            <v>0.28999999999999998</v>
          </cell>
          <cell r="C6521">
            <v>1.9</v>
          </cell>
          <cell r="D6521">
            <v>0</v>
          </cell>
          <cell r="E6521">
            <v>0.14000000000000001</v>
          </cell>
          <cell r="F6521">
            <v>0</v>
          </cell>
          <cell r="G6521">
            <v>-0.15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0</v>
          </cell>
          <cell r="M6521">
            <v>0</v>
          </cell>
          <cell r="N6521">
            <v>4.4999999999999997E-3</v>
          </cell>
          <cell r="O6521">
            <v>0</v>
          </cell>
          <cell r="P6521">
            <v>0</v>
          </cell>
          <cell r="Q6521">
            <v>0</v>
          </cell>
          <cell r="R6521">
            <v>0</v>
          </cell>
          <cell r="S6521">
            <v>0</v>
          </cell>
          <cell r="T6521">
            <v>0</v>
          </cell>
          <cell r="U6521" t="b">
            <v>0</v>
          </cell>
        </row>
        <row r="6522">
          <cell r="A6522" t="str">
            <v>Data split-12;Reg-37</v>
          </cell>
          <cell r="B6522">
            <v>-0.78</v>
          </cell>
          <cell r="C6522">
            <v>1.4</v>
          </cell>
          <cell r="D6522">
            <v>0</v>
          </cell>
          <cell r="E6522">
            <v>-1.1000000000000001</v>
          </cell>
          <cell r="F6522">
            <v>0</v>
          </cell>
          <cell r="G6522">
            <v>0</v>
          </cell>
          <cell r="H6522">
            <v>3.4</v>
          </cell>
          <cell r="I6522">
            <v>0</v>
          </cell>
          <cell r="J6522">
            <v>0</v>
          </cell>
          <cell r="K6522">
            <v>0</v>
          </cell>
          <cell r="L6522">
            <v>0</v>
          </cell>
          <cell r="M6522">
            <v>-6.2E-2</v>
          </cell>
          <cell r="N6522">
            <v>0</v>
          </cell>
          <cell r="O6522">
            <v>0</v>
          </cell>
          <cell r="P6522">
            <v>0</v>
          </cell>
          <cell r="Q6522">
            <v>0</v>
          </cell>
          <cell r="R6522">
            <v>0</v>
          </cell>
          <cell r="S6522">
            <v>0</v>
          </cell>
          <cell r="T6522">
            <v>0</v>
          </cell>
          <cell r="U6522" t="b">
            <v>0</v>
          </cell>
        </row>
        <row r="6523">
          <cell r="A6523" t="str">
            <v>Data split-12;Reg-38</v>
          </cell>
          <cell r="B6523">
            <v>-0.91</v>
          </cell>
          <cell r="C6523">
            <v>1.5</v>
          </cell>
          <cell r="D6523">
            <v>0</v>
          </cell>
          <cell r="E6523">
            <v>-1.1000000000000001</v>
          </cell>
          <cell r="F6523">
            <v>0</v>
          </cell>
          <cell r="G6523">
            <v>0</v>
          </cell>
          <cell r="H6523">
            <v>3.2</v>
          </cell>
          <cell r="I6523">
            <v>0</v>
          </cell>
          <cell r="J6523">
            <v>0</v>
          </cell>
          <cell r="K6523">
            <v>0</v>
          </cell>
          <cell r="L6523">
            <v>0</v>
          </cell>
          <cell r="M6523">
            <v>0</v>
          </cell>
          <cell r="N6523">
            <v>-1.0999999999999999E-2</v>
          </cell>
          <cell r="O6523">
            <v>0</v>
          </cell>
          <cell r="P6523">
            <v>0</v>
          </cell>
          <cell r="Q6523">
            <v>0</v>
          </cell>
          <cell r="R6523">
            <v>0</v>
          </cell>
          <cell r="S6523">
            <v>0</v>
          </cell>
          <cell r="T6523">
            <v>0</v>
          </cell>
          <cell r="U6523" t="b">
            <v>0</v>
          </cell>
        </row>
        <row r="6524">
          <cell r="A6524" t="str">
            <v>Data split-12;Reg-39</v>
          </cell>
          <cell r="B6524">
            <v>9.4E-2</v>
          </cell>
          <cell r="C6524">
            <v>1.8</v>
          </cell>
          <cell r="D6524">
            <v>0</v>
          </cell>
          <cell r="E6524">
            <v>0</v>
          </cell>
          <cell r="F6524">
            <v>5.3999999999999999E-2</v>
          </cell>
          <cell r="G6524">
            <v>0.13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>
            <v>0</v>
          </cell>
          <cell r="M6524">
            <v>5.8999999999999999E-3</v>
          </cell>
          <cell r="N6524">
            <v>0</v>
          </cell>
          <cell r="O6524">
            <v>0</v>
          </cell>
          <cell r="P6524">
            <v>0</v>
          </cell>
          <cell r="Q6524">
            <v>0</v>
          </cell>
          <cell r="R6524">
            <v>0</v>
          </cell>
          <cell r="S6524">
            <v>0</v>
          </cell>
          <cell r="T6524">
            <v>0</v>
          </cell>
          <cell r="U6524" t="b">
            <v>0</v>
          </cell>
        </row>
        <row r="6525">
          <cell r="A6525" t="str">
            <v>Data split-12;Reg-40</v>
          </cell>
          <cell r="B6525">
            <v>0.31</v>
          </cell>
          <cell r="C6525">
            <v>1.8</v>
          </cell>
          <cell r="D6525">
            <v>0</v>
          </cell>
          <cell r="E6525">
            <v>0</v>
          </cell>
          <cell r="F6525">
            <v>5.3999999999999999E-2</v>
          </cell>
          <cell r="G6525">
            <v>-4.7000000000000002E-3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>
            <v>0</v>
          </cell>
          <cell r="M6525">
            <v>0</v>
          </cell>
          <cell r="N6525">
            <v>5.1000000000000004E-3</v>
          </cell>
          <cell r="O6525">
            <v>0</v>
          </cell>
          <cell r="P6525">
            <v>0</v>
          </cell>
          <cell r="Q6525">
            <v>0</v>
          </cell>
          <cell r="R6525">
            <v>0</v>
          </cell>
          <cell r="S6525">
            <v>0</v>
          </cell>
          <cell r="T6525">
            <v>0</v>
          </cell>
          <cell r="U6525" t="b">
            <v>0</v>
          </cell>
        </row>
        <row r="6526">
          <cell r="A6526" t="str">
            <v>Data split-12;Reg-41</v>
          </cell>
          <cell r="B6526">
            <v>-0.61</v>
          </cell>
          <cell r="C6526">
            <v>1.4</v>
          </cell>
          <cell r="D6526">
            <v>0</v>
          </cell>
          <cell r="E6526">
            <v>0</v>
          </cell>
          <cell r="F6526">
            <v>4.9000000000000002E-2</v>
          </cell>
          <cell r="G6526">
            <v>0</v>
          </cell>
          <cell r="H6526">
            <v>1.7</v>
          </cell>
          <cell r="I6526">
            <v>0</v>
          </cell>
          <cell r="J6526">
            <v>0</v>
          </cell>
          <cell r="K6526">
            <v>0</v>
          </cell>
          <cell r="L6526">
            <v>0</v>
          </cell>
          <cell r="M6526">
            <v>-0.04</v>
          </cell>
          <cell r="N6526">
            <v>0</v>
          </cell>
          <cell r="O6526">
            <v>0</v>
          </cell>
          <cell r="P6526">
            <v>0</v>
          </cell>
          <cell r="Q6526">
            <v>0</v>
          </cell>
          <cell r="R6526">
            <v>0</v>
          </cell>
          <cell r="S6526">
            <v>0</v>
          </cell>
          <cell r="T6526">
            <v>0</v>
          </cell>
          <cell r="U6526" t="b">
            <v>1</v>
          </cell>
        </row>
        <row r="6527">
          <cell r="A6527" t="str">
            <v>Data split-12;Reg-42</v>
          </cell>
          <cell r="B6527">
            <v>-0.44</v>
          </cell>
          <cell r="C6527">
            <v>1.5</v>
          </cell>
          <cell r="D6527">
            <v>0</v>
          </cell>
          <cell r="E6527">
            <v>0</v>
          </cell>
          <cell r="F6527">
            <v>5.1999999999999998E-2</v>
          </cell>
          <cell r="G6527">
            <v>0</v>
          </cell>
          <cell r="H6527">
            <v>1.1000000000000001</v>
          </cell>
          <cell r="I6527">
            <v>0</v>
          </cell>
          <cell r="J6527">
            <v>0</v>
          </cell>
          <cell r="K6527">
            <v>0</v>
          </cell>
          <cell r="L6527">
            <v>0</v>
          </cell>
          <cell r="M6527">
            <v>0</v>
          </cell>
          <cell r="N6527">
            <v>-3.0999999999999999E-3</v>
          </cell>
          <cell r="O6527">
            <v>0</v>
          </cell>
          <cell r="P6527">
            <v>0</v>
          </cell>
          <cell r="Q6527">
            <v>0</v>
          </cell>
          <cell r="R6527">
            <v>0</v>
          </cell>
          <cell r="S6527">
            <v>0</v>
          </cell>
          <cell r="T6527">
            <v>0</v>
          </cell>
          <cell r="U6527" t="b">
            <v>1</v>
          </cell>
        </row>
        <row r="6528">
          <cell r="A6528" t="str">
            <v>Data split-12;Reg-43</v>
          </cell>
          <cell r="B6528">
            <v>8.6999999999999994E-2</v>
          </cell>
          <cell r="C6528">
            <v>1.9</v>
          </cell>
          <cell r="D6528">
            <v>0</v>
          </cell>
          <cell r="E6528">
            <v>0.37</v>
          </cell>
          <cell r="F6528">
            <v>0</v>
          </cell>
          <cell r="G6528">
            <v>8.8999999999999996E-2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0</v>
          </cell>
          <cell r="M6528">
            <v>0</v>
          </cell>
          <cell r="N6528">
            <v>0</v>
          </cell>
          <cell r="O6528">
            <v>-3.5000000000000003E-2</v>
          </cell>
          <cell r="P6528">
            <v>0</v>
          </cell>
          <cell r="Q6528">
            <v>0</v>
          </cell>
          <cell r="R6528">
            <v>0</v>
          </cell>
          <cell r="S6528">
            <v>0</v>
          </cell>
          <cell r="T6528">
            <v>0</v>
          </cell>
          <cell r="U6528" t="b">
            <v>0</v>
          </cell>
        </row>
        <row r="6529">
          <cell r="A6529" t="str">
            <v>Data split-12;Reg-44</v>
          </cell>
          <cell r="B6529">
            <v>-1.6E-2</v>
          </cell>
          <cell r="C6529">
            <v>1.9</v>
          </cell>
          <cell r="D6529">
            <v>0</v>
          </cell>
          <cell r="E6529">
            <v>0.32</v>
          </cell>
          <cell r="F6529">
            <v>0</v>
          </cell>
          <cell r="G6529">
            <v>5.8000000000000003E-2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0</v>
          </cell>
          <cell r="M6529">
            <v>0</v>
          </cell>
          <cell r="N6529">
            <v>0</v>
          </cell>
          <cell r="O6529">
            <v>0</v>
          </cell>
          <cell r="P6529">
            <v>-4.4999999999999997E-3</v>
          </cell>
          <cell r="Q6529">
            <v>0</v>
          </cell>
          <cell r="R6529">
            <v>0</v>
          </cell>
          <cell r="S6529">
            <v>0</v>
          </cell>
          <cell r="T6529">
            <v>0</v>
          </cell>
          <cell r="U6529" t="b">
            <v>1</v>
          </cell>
        </row>
        <row r="6530">
          <cell r="A6530" t="str">
            <v>Data split-12;Reg-45</v>
          </cell>
          <cell r="B6530">
            <v>-0.14000000000000001</v>
          </cell>
          <cell r="C6530">
            <v>1.6</v>
          </cell>
          <cell r="D6530">
            <v>0</v>
          </cell>
          <cell r="E6530">
            <v>-0.96</v>
          </cell>
          <cell r="F6530">
            <v>0</v>
          </cell>
          <cell r="G6530">
            <v>0</v>
          </cell>
          <cell r="H6530">
            <v>2.6</v>
          </cell>
          <cell r="I6530">
            <v>0</v>
          </cell>
          <cell r="J6530">
            <v>0</v>
          </cell>
          <cell r="K6530">
            <v>0</v>
          </cell>
          <cell r="L6530">
            <v>0</v>
          </cell>
          <cell r="M6530">
            <v>0</v>
          </cell>
          <cell r="N6530">
            <v>0</v>
          </cell>
          <cell r="O6530">
            <v>-0.06</v>
          </cell>
          <cell r="P6530">
            <v>0</v>
          </cell>
          <cell r="Q6530">
            <v>0</v>
          </cell>
          <cell r="R6530">
            <v>0</v>
          </cell>
          <cell r="S6530">
            <v>0</v>
          </cell>
          <cell r="T6530">
            <v>0</v>
          </cell>
          <cell r="U6530" t="b">
            <v>0</v>
          </cell>
        </row>
        <row r="6531">
          <cell r="A6531" t="str">
            <v>Data split-12;Reg-46</v>
          </cell>
          <cell r="B6531">
            <v>-0.33</v>
          </cell>
          <cell r="C6531">
            <v>1.7</v>
          </cell>
          <cell r="D6531">
            <v>0</v>
          </cell>
          <cell r="E6531">
            <v>-0.98</v>
          </cell>
          <cell r="F6531">
            <v>0</v>
          </cell>
          <cell r="G6531">
            <v>0</v>
          </cell>
          <cell r="H6531">
            <v>2.6</v>
          </cell>
          <cell r="I6531">
            <v>0</v>
          </cell>
          <cell r="J6531">
            <v>0</v>
          </cell>
          <cell r="K6531">
            <v>0</v>
          </cell>
          <cell r="L6531">
            <v>0</v>
          </cell>
          <cell r="M6531">
            <v>0</v>
          </cell>
          <cell r="N6531">
            <v>0</v>
          </cell>
          <cell r="O6531">
            <v>0</v>
          </cell>
          <cell r="P6531">
            <v>-1.0999999999999999E-2</v>
          </cell>
          <cell r="Q6531">
            <v>0</v>
          </cell>
          <cell r="R6531">
            <v>0</v>
          </cell>
          <cell r="S6531">
            <v>0</v>
          </cell>
          <cell r="T6531">
            <v>0</v>
          </cell>
          <cell r="U6531" t="b">
            <v>0</v>
          </cell>
        </row>
        <row r="6532">
          <cell r="A6532" t="str">
            <v>Data split-12;Reg-47</v>
          </cell>
          <cell r="B6532">
            <v>0.12</v>
          </cell>
          <cell r="C6532">
            <v>1.9</v>
          </cell>
          <cell r="D6532">
            <v>0</v>
          </cell>
          <cell r="E6532">
            <v>0</v>
          </cell>
          <cell r="F6532">
            <v>5.5E-2</v>
          </cell>
          <cell r="G6532">
            <v>0.34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0</v>
          </cell>
          <cell r="M6532">
            <v>0</v>
          </cell>
          <cell r="N6532">
            <v>0</v>
          </cell>
          <cell r="O6532">
            <v>-3.2000000000000001E-2</v>
          </cell>
          <cell r="P6532">
            <v>0</v>
          </cell>
          <cell r="Q6532">
            <v>0</v>
          </cell>
          <cell r="R6532">
            <v>0</v>
          </cell>
          <cell r="S6532">
            <v>0</v>
          </cell>
          <cell r="T6532">
            <v>0</v>
          </cell>
          <cell r="U6532" t="b">
            <v>0</v>
          </cell>
        </row>
        <row r="6533">
          <cell r="A6533" t="str">
            <v>Data split-12;Reg-48</v>
          </cell>
          <cell r="B6533">
            <v>8.2000000000000007E-3</v>
          </cell>
          <cell r="C6533">
            <v>1.9</v>
          </cell>
          <cell r="D6533">
            <v>0</v>
          </cell>
          <cell r="E6533">
            <v>0</v>
          </cell>
          <cell r="F6533">
            <v>5.5E-2</v>
          </cell>
          <cell r="G6533">
            <v>0.3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0</v>
          </cell>
          <cell r="M6533">
            <v>0</v>
          </cell>
          <cell r="N6533">
            <v>0</v>
          </cell>
          <cell r="O6533">
            <v>0</v>
          </cell>
          <cell r="P6533">
            <v>-4.4000000000000003E-3</v>
          </cell>
          <cell r="Q6533">
            <v>0</v>
          </cell>
          <cell r="R6533">
            <v>0</v>
          </cell>
          <cell r="S6533">
            <v>0</v>
          </cell>
          <cell r="T6533">
            <v>0</v>
          </cell>
          <cell r="U6533" t="b">
            <v>0</v>
          </cell>
        </row>
        <row r="6534">
          <cell r="A6534" t="str">
            <v>Data split-12;Reg-49</v>
          </cell>
          <cell r="B6534">
            <v>-0.17</v>
          </cell>
          <cell r="C6534">
            <v>1.5</v>
          </cell>
          <cell r="D6534">
            <v>0</v>
          </cell>
          <cell r="E6534">
            <v>0</v>
          </cell>
          <cell r="F6534">
            <v>4.9000000000000002E-2</v>
          </cell>
          <cell r="G6534">
            <v>0</v>
          </cell>
          <cell r="H6534">
            <v>1.5</v>
          </cell>
          <cell r="I6534">
            <v>0</v>
          </cell>
          <cell r="J6534">
            <v>0</v>
          </cell>
          <cell r="K6534">
            <v>0</v>
          </cell>
          <cell r="L6534">
            <v>0</v>
          </cell>
          <cell r="M6534">
            <v>0</v>
          </cell>
          <cell r="N6534">
            <v>0</v>
          </cell>
          <cell r="O6534">
            <v>-5.1999999999999998E-2</v>
          </cell>
          <cell r="P6534">
            <v>0</v>
          </cell>
          <cell r="Q6534">
            <v>0</v>
          </cell>
          <cell r="R6534">
            <v>0</v>
          </cell>
          <cell r="S6534">
            <v>0</v>
          </cell>
          <cell r="T6534">
            <v>0</v>
          </cell>
          <cell r="U6534" t="b">
            <v>1</v>
          </cell>
        </row>
        <row r="6535">
          <cell r="A6535" t="str">
            <v>Data split-12;Reg-50</v>
          </cell>
          <cell r="B6535">
            <v>-0.33</v>
          </cell>
          <cell r="C6535">
            <v>1.6</v>
          </cell>
          <cell r="D6535">
            <v>0</v>
          </cell>
          <cell r="E6535">
            <v>0</v>
          </cell>
          <cell r="F6535">
            <v>5.0999999999999997E-2</v>
          </cell>
          <cell r="G6535">
            <v>0</v>
          </cell>
          <cell r="H6535">
            <v>1.3</v>
          </cell>
          <cell r="I6535">
            <v>0</v>
          </cell>
          <cell r="J6535">
            <v>0</v>
          </cell>
          <cell r="K6535">
            <v>0</v>
          </cell>
          <cell r="L6535">
            <v>0</v>
          </cell>
          <cell r="M6535">
            <v>0</v>
          </cell>
          <cell r="N6535">
            <v>0</v>
          </cell>
          <cell r="O6535">
            <v>0</v>
          </cell>
          <cell r="P6535">
            <v>-8.6999999999999994E-3</v>
          </cell>
          <cell r="Q6535">
            <v>0</v>
          </cell>
          <cell r="R6535">
            <v>0</v>
          </cell>
          <cell r="S6535">
            <v>0</v>
          </cell>
          <cell r="T6535">
            <v>0</v>
          </cell>
          <cell r="U6535" t="b">
            <v>1</v>
          </cell>
        </row>
        <row r="6536">
          <cell r="A6536" t="str">
            <v>Data split-12;Reg-51</v>
          </cell>
          <cell r="B6536">
            <v>-0.19</v>
          </cell>
          <cell r="C6536">
            <v>0</v>
          </cell>
          <cell r="D6536">
            <v>2.2999999999999998</v>
          </cell>
          <cell r="E6536">
            <v>-0.2</v>
          </cell>
          <cell r="F6536">
            <v>0</v>
          </cell>
          <cell r="G6536">
            <v>-0.26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>
            <v>0</v>
          </cell>
          <cell r="M6536">
            <v>0</v>
          </cell>
          <cell r="N6536">
            <v>0</v>
          </cell>
          <cell r="O6536">
            <v>7.1999999999999998E-3</v>
          </cell>
          <cell r="P6536">
            <v>0</v>
          </cell>
          <cell r="Q6536">
            <v>0</v>
          </cell>
          <cell r="R6536">
            <v>0</v>
          </cell>
          <cell r="S6536">
            <v>0</v>
          </cell>
          <cell r="T6536">
            <v>0</v>
          </cell>
          <cell r="U6536" t="b">
            <v>0</v>
          </cell>
        </row>
        <row r="6537">
          <cell r="A6537" t="str">
            <v>Data split-12;Reg-52</v>
          </cell>
          <cell r="B6537">
            <v>5.1999999999999998E-2</v>
          </cell>
          <cell r="C6537">
            <v>0</v>
          </cell>
          <cell r="D6537">
            <v>2.2999999999999998</v>
          </cell>
          <cell r="E6537">
            <v>-0.31</v>
          </cell>
          <cell r="F6537">
            <v>0</v>
          </cell>
          <cell r="G6537">
            <v>-0.34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>
            <v>0</v>
          </cell>
          <cell r="M6537">
            <v>0</v>
          </cell>
          <cell r="N6537">
            <v>5.3E-3</v>
          </cell>
          <cell r="O6537">
            <v>0</v>
          </cell>
          <cell r="P6537">
            <v>0</v>
          </cell>
          <cell r="Q6537">
            <v>0</v>
          </cell>
          <cell r="R6537">
            <v>0</v>
          </cell>
          <cell r="S6537">
            <v>0</v>
          </cell>
          <cell r="T6537">
            <v>0</v>
          </cell>
          <cell r="U6537" t="b">
            <v>0</v>
          </cell>
        </row>
        <row r="6538">
          <cell r="A6538" t="str">
            <v>Data split-12;Reg-53</v>
          </cell>
          <cell r="B6538">
            <v>-0.99</v>
          </cell>
          <cell r="C6538">
            <v>0</v>
          </cell>
          <cell r="D6538">
            <v>1.9</v>
          </cell>
          <cell r="E6538">
            <v>-1.4</v>
          </cell>
          <cell r="F6538">
            <v>0</v>
          </cell>
          <cell r="G6538">
            <v>0</v>
          </cell>
          <cell r="H6538">
            <v>2.8</v>
          </cell>
          <cell r="I6538">
            <v>0</v>
          </cell>
          <cell r="J6538">
            <v>0</v>
          </cell>
          <cell r="K6538">
            <v>0</v>
          </cell>
          <cell r="L6538">
            <v>0</v>
          </cell>
          <cell r="M6538">
            <v>-4.7E-2</v>
          </cell>
          <cell r="N6538">
            <v>0</v>
          </cell>
          <cell r="O6538">
            <v>0</v>
          </cell>
          <cell r="P6538">
            <v>0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 t="b">
            <v>0</v>
          </cell>
        </row>
        <row r="6539">
          <cell r="A6539" t="str">
            <v>Data split-12;Reg-54</v>
          </cell>
          <cell r="B6539">
            <v>-1.1000000000000001</v>
          </cell>
          <cell r="C6539">
            <v>0</v>
          </cell>
          <cell r="D6539">
            <v>2</v>
          </cell>
          <cell r="E6539">
            <v>-1.4</v>
          </cell>
          <cell r="F6539">
            <v>0</v>
          </cell>
          <cell r="G6539">
            <v>0</v>
          </cell>
          <cell r="H6539">
            <v>2.6</v>
          </cell>
          <cell r="I6539">
            <v>0</v>
          </cell>
          <cell r="J6539">
            <v>0</v>
          </cell>
          <cell r="K6539">
            <v>0</v>
          </cell>
          <cell r="L6539">
            <v>0</v>
          </cell>
          <cell r="M6539">
            <v>0</v>
          </cell>
          <cell r="N6539">
            <v>-8.6999999999999994E-3</v>
          </cell>
          <cell r="O6539">
            <v>0</v>
          </cell>
          <cell r="P6539">
            <v>0</v>
          </cell>
          <cell r="Q6539">
            <v>0</v>
          </cell>
          <cell r="R6539">
            <v>0</v>
          </cell>
          <cell r="S6539">
            <v>0</v>
          </cell>
          <cell r="T6539">
            <v>0</v>
          </cell>
          <cell r="U6539" t="b">
            <v>0</v>
          </cell>
        </row>
        <row r="6540">
          <cell r="A6540" t="str">
            <v>Data split-12;Reg-55</v>
          </cell>
          <cell r="B6540">
            <v>-0.26</v>
          </cell>
          <cell r="C6540">
            <v>0</v>
          </cell>
          <cell r="D6540">
            <v>2.2000000000000002</v>
          </cell>
          <cell r="E6540">
            <v>0</v>
          </cell>
          <cell r="F6540">
            <v>2.9000000000000001E-2</v>
          </cell>
          <cell r="G6540">
            <v>-0.24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0</v>
          </cell>
          <cell r="M6540">
            <v>3.5999999999999999E-3</v>
          </cell>
          <cell r="N6540">
            <v>0</v>
          </cell>
          <cell r="O6540">
            <v>0</v>
          </cell>
          <cell r="P6540">
            <v>0</v>
          </cell>
          <cell r="Q6540">
            <v>0</v>
          </cell>
          <cell r="R6540">
            <v>0</v>
          </cell>
          <cell r="S6540">
            <v>0</v>
          </cell>
          <cell r="T6540">
            <v>0</v>
          </cell>
          <cell r="U6540" t="b">
            <v>0</v>
          </cell>
        </row>
        <row r="6541">
          <cell r="A6541" t="str">
            <v>Data split-12;Reg-56</v>
          </cell>
          <cell r="B6541">
            <v>-7.3999999999999996E-2</v>
          </cell>
          <cell r="C6541">
            <v>0</v>
          </cell>
          <cell r="D6541">
            <v>2.1</v>
          </cell>
          <cell r="E6541">
            <v>0</v>
          </cell>
          <cell r="F6541">
            <v>2.9000000000000001E-2</v>
          </cell>
          <cell r="G6541">
            <v>-0.36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>
            <v>0</v>
          </cell>
          <cell r="M6541">
            <v>0</v>
          </cell>
          <cell r="N6541">
            <v>4.0000000000000001E-3</v>
          </cell>
          <cell r="O6541">
            <v>0</v>
          </cell>
          <cell r="P6541">
            <v>0</v>
          </cell>
          <cell r="Q6541">
            <v>0</v>
          </cell>
          <cell r="R6541">
            <v>0</v>
          </cell>
          <cell r="S6541">
            <v>0</v>
          </cell>
          <cell r="T6541">
            <v>0</v>
          </cell>
          <cell r="U6541" t="b">
            <v>0</v>
          </cell>
        </row>
        <row r="6542">
          <cell r="A6542" t="str">
            <v>Data split-12;Reg-57</v>
          </cell>
          <cell r="B6542">
            <v>-0.84</v>
          </cell>
          <cell r="C6542">
            <v>0</v>
          </cell>
          <cell r="D6542">
            <v>1.8</v>
          </cell>
          <cell r="E6542">
            <v>0</v>
          </cell>
          <cell r="F6542">
            <v>3.6999999999999998E-2</v>
          </cell>
          <cell r="G6542">
            <v>0</v>
          </cell>
          <cell r="H6542">
            <v>0.76</v>
          </cell>
          <cell r="I6542">
            <v>0</v>
          </cell>
          <cell r="J6542">
            <v>0</v>
          </cell>
          <cell r="K6542">
            <v>0</v>
          </cell>
          <cell r="L6542">
            <v>0</v>
          </cell>
          <cell r="M6542">
            <v>-2.4E-2</v>
          </cell>
          <cell r="N6542">
            <v>0</v>
          </cell>
          <cell r="O6542">
            <v>0</v>
          </cell>
          <cell r="P6542">
            <v>0</v>
          </cell>
          <cell r="Q6542">
            <v>0</v>
          </cell>
          <cell r="R6542">
            <v>0</v>
          </cell>
          <cell r="S6542">
            <v>0</v>
          </cell>
          <cell r="T6542">
            <v>0</v>
          </cell>
          <cell r="U6542" t="b">
            <v>1</v>
          </cell>
        </row>
        <row r="6543">
          <cell r="A6543" t="str">
            <v>Data split-12;Reg-58</v>
          </cell>
          <cell r="B6543">
            <v>-0.61</v>
          </cell>
          <cell r="C6543">
            <v>0</v>
          </cell>
          <cell r="D6543">
            <v>1.9</v>
          </cell>
          <cell r="E6543">
            <v>0</v>
          </cell>
          <cell r="F6543">
            <v>0.04</v>
          </cell>
          <cell r="G6543">
            <v>0</v>
          </cell>
          <cell r="H6543">
            <v>0.18</v>
          </cell>
          <cell r="I6543">
            <v>0</v>
          </cell>
          <cell r="J6543">
            <v>0</v>
          </cell>
          <cell r="K6543">
            <v>0</v>
          </cell>
          <cell r="L6543">
            <v>0</v>
          </cell>
          <cell r="M6543">
            <v>0</v>
          </cell>
          <cell r="N6543">
            <v>3.6000000000000002E-4</v>
          </cell>
          <cell r="O6543">
            <v>0</v>
          </cell>
          <cell r="P6543">
            <v>0</v>
          </cell>
          <cell r="Q6543">
            <v>0</v>
          </cell>
          <cell r="R6543">
            <v>0</v>
          </cell>
          <cell r="S6543">
            <v>0</v>
          </cell>
          <cell r="T6543">
            <v>0</v>
          </cell>
          <cell r="U6543" t="b">
            <v>0</v>
          </cell>
        </row>
        <row r="6544">
          <cell r="A6544" t="str">
            <v>Data split-12;Reg-59</v>
          </cell>
          <cell r="B6544">
            <v>-0.21</v>
          </cell>
          <cell r="C6544">
            <v>0</v>
          </cell>
          <cell r="D6544">
            <v>2.2999999999999998</v>
          </cell>
          <cell r="E6544">
            <v>-5.1999999999999998E-2</v>
          </cell>
          <cell r="F6544">
            <v>0</v>
          </cell>
          <cell r="G6544">
            <v>-9.1999999999999998E-2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>
            <v>0</v>
          </cell>
          <cell r="M6544">
            <v>0</v>
          </cell>
          <cell r="N6544">
            <v>0</v>
          </cell>
          <cell r="O6544">
            <v>-3.3000000000000002E-2</v>
          </cell>
          <cell r="P6544">
            <v>0</v>
          </cell>
          <cell r="Q6544">
            <v>0</v>
          </cell>
          <cell r="R6544">
            <v>0</v>
          </cell>
          <cell r="S6544">
            <v>0</v>
          </cell>
          <cell r="T6544">
            <v>0</v>
          </cell>
          <cell r="U6544" t="b">
            <v>0</v>
          </cell>
        </row>
        <row r="6545">
          <cell r="A6545" t="str">
            <v>Data split-12;Reg-60</v>
          </cell>
          <cell r="B6545">
            <v>-0.31</v>
          </cell>
          <cell r="C6545">
            <v>0</v>
          </cell>
          <cell r="D6545">
            <v>2.2999999999999998</v>
          </cell>
          <cell r="E6545">
            <v>-0.11</v>
          </cell>
          <cell r="F6545">
            <v>0</v>
          </cell>
          <cell r="G6545">
            <v>-0.12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>
            <v>0</v>
          </cell>
          <cell r="M6545">
            <v>0</v>
          </cell>
          <cell r="N6545">
            <v>0</v>
          </cell>
          <cell r="O6545">
            <v>0</v>
          </cell>
          <cell r="P6545">
            <v>-4.3E-3</v>
          </cell>
          <cell r="Q6545">
            <v>0</v>
          </cell>
          <cell r="R6545">
            <v>0</v>
          </cell>
          <cell r="S6545">
            <v>0</v>
          </cell>
          <cell r="T6545">
            <v>0</v>
          </cell>
          <cell r="U6545" t="b">
            <v>0</v>
          </cell>
        </row>
        <row r="6546">
          <cell r="A6546" t="str">
            <v>Data split-12;Reg-61</v>
          </cell>
          <cell r="B6546">
            <v>-0.51</v>
          </cell>
          <cell r="C6546">
            <v>0</v>
          </cell>
          <cell r="D6546">
            <v>2</v>
          </cell>
          <cell r="E6546">
            <v>-1.4</v>
          </cell>
          <cell r="F6546">
            <v>0</v>
          </cell>
          <cell r="G6546">
            <v>0</v>
          </cell>
          <cell r="H6546">
            <v>2.4</v>
          </cell>
          <cell r="I6546">
            <v>0</v>
          </cell>
          <cell r="J6546">
            <v>0</v>
          </cell>
          <cell r="K6546">
            <v>0</v>
          </cell>
          <cell r="L6546">
            <v>0</v>
          </cell>
          <cell r="M6546">
            <v>0</v>
          </cell>
          <cell r="N6546">
            <v>0</v>
          </cell>
          <cell r="O6546">
            <v>-0.06</v>
          </cell>
          <cell r="P6546">
            <v>0</v>
          </cell>
          <cell r="Q6546">
            <v>0</v>
          </cell>
          <cell r="R6546">
            <v>0</v>
          </cell>
          <cell r="S6546">
            <v>0</v>
          </cell>
          <cell r="T6546">
            <v>0</v>
          </cell>
          <cell r="U6546" t="b">
            <v>0</v>
          </cell>
        </row>
        <row r="6547">
          <cell r="A6547" t="str">
            <v>Data split-12;Reg-62</v>
          </cell>
          <cell r="B6547">
            <v>-0.72</v>
          </cell>
          <cell r="C6547">
            <v>0</v>
          </cell>
          <cell r="D6547">
            <v>2.1</v>
          </cell>
          <cell r="E6547">
            <v>-1.4</v>
          </cell>
          <cell r="F6547">
            <v>0</v>
          </cell>
          <cell r="G6547">
            <v>0</v>
          </cell>
          <cell r="H6547">
            <v>2.4</v>
          </cell>
          <cell r="I6547">
            <v>0</v>
          </cell>
          <cell r="J6547">
            <v>0</v>
          </cell>
          <cell r="K6547">
            <v>0</v>
          </cell>
          <cell r="L6547">
            <v>0</v>
          </cell>
          <cell r="M6547">
            <v>0</v>
          </cell>
          <cell r="N6547">
            <v>0</v>
          </cell>
          <cell r="O6547">
            <v>0</v>
          </cell>
          <cell r="P6547">
            <v>-1.0999999999999999E-2</v>
          </cell>
          <cell r="Q6547">
            <v>0</v>
          </cell>
          <cell r="R6547">
            <v>0</v>
          </cell>
          <cell r="S6547">
            <v>0</v>
          </cell>
          <cell r="T6547">
            <v>0</v>
          </cell>
          <cell r="U6547" t="b">
            <v>0</v>
          </cell>
        </row>
        <row r="6548">
          <cell r="A6548" t="str">
            <v>Data split-12;Reg-63</v>
          </cell>
          <cell r="B6548">
            <v>-0.23</v>
          </cell>
          <cell r="C6548">
            <v>0</v>
          </cell>
          <cell r="D6548">
            <v>2.2000000000000002</v>
          </cell>
          <cell r="E6548">
            <v>0</v>
          </cell>
          <cell r="F6548">
            <v>2.9000000000000001E-2</v>
          </cell>
          <cell r="G6548">
            <v>-4.3999999999999997E-2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0</v>
          </cell>
          <cell r="M6548">
            <v>0</v>
          </cell>
          <cell r="N6548">
            <v>0</v>
          </cell>
          <cell r="O6548">
            <v>-3.4000000000000002E-2</v>
          </cell>
          <cell r="P6548">
            <v>0</v>
          </cell>
          <cell r="Q6548">
            <v>0</v>
          </cell>
          <cell r="R6548">
            <v>0</v>
          </cell>
          <cell r="S6548">
            <v>0</v>
          </cell>
          <cell r="T6548">
            <v>0</v>
          </cell>
          <cell r="U6548" t="b">
            <v>0</v>
          </cell>
        </row>
        <row r="6549">
          <cell r="A6549" t="str">
            <v>Data split-12;Reg-64</v>
          </cell>
          <cell r="B6549">
            <v>-0.34</v>
          </cell>
          <cell r="C6549">
            <v>0</v>
          </cell>
          <cell r="D6549">
            <v>2.2000000000000002</v>
          </cell>
          <cell r="E6549">
            <v>0</v>
          </cell>
          <cell r="F6549">
            <v>0.03</v>
          </cell>
          <cell r="G6549">
            <v>-9.0999999999999998E-2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>
            <v>0</v>
          </cell>
          <cell r="M6549">
            <v>0</v>
          </cell>
          <cell r="N6549">
            <v>0</v>
          </cell>
          <cell r="O6549">
            <v>0</v>
          </cell>
          <cell r="P6549">
            <v>-4.4999999999999997E-3</v>
          </cell>
          <cell r="Q6549">
            <v>0</v>
          </cell>
          <cell r="R6549">
            <v>0</v>
          </cell>
          <cell r="S6549">
            <v>0</v>
          </cell>
          <cell r="T6549">
            <v>0</v>
          </cell>
          <cell r="U6549" t="b">
            <v>0</v>
          </cell>
        </row>
        <row r="6550">
          <cell r="A6550" t="str">
            <v>Data split-12;Reg-65</v>
          </cell>
          <cell r="B6550">
            <v>-0.56999999999999995</v>
          </cell>
          <cell r="C6550">
            <v>0</v>
          </cell>
          <cell r="D6550">
            <v>1.9</v>
          </cell>
          <cell r="E6550">
            <v>0</v>
          </cell>
          <cell r="F6550">
            <v>3.5000000000000003E-2</v>
          </cell>
          <cell r="G6550">
            <v>0</v>
          </cell>
          <cell r="H6550">
            <v>0.83</v>
          </cell>
          <cell r="I6550">
            <v>0</v>
          </cell>
          <cell r="J6550">
            <v>0</v>
          </cell>
          <cell r="K6550">
            <v>0</v>
          </cell>
          <cell r="L6550">
            <v>0</v>
          </cell>
          <cell r="M6550">
            <v>0</v>
          </cell>
          <cell r="N6550">
            <v>0</v>
          </cell>
          <cell r="O6550">
            <v>-0.05</v>
          </cell>
          <cell r="P6550">
            <v>0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 t="b">
            <v>1</v>
          </cell>
        </row>
        <row r="6551">
          <cell r="A6551" t="str">
            <v>Data split-12;Reg-66</v>
          </cell>
          <cell r="B6551">
            <v>-0.73</v>
          </cell>
          <cell r="C6551">
            <v>0</v>
          </cell>
          <cell r="D6551">
            <v>1.9</v>
          </cell>
          <cell r="E6551">
            <v>0</v>
          </cell>
          <cell r="F6551">
            <v>3.6999999999999998E-2</v>
          </cell>
          <cell r="G6551">
            <v>0</v>
          </cell>
          <cell r="H6551">
            <v>0.71</v>
          </cell>
          <cell r="I6551">
            <v>0</v>
          </cell>
          <cell r="J6551">
            <v>0</v>
          </cell>
          <cell r="K6551">
            <v>0</v>
          </cell>
          <cell r="L6551">
            <v>0</v>
          </cell>
          <cell r="M6551">
            <v>0</v>
          </cell>
          <cell r="N6551">
            <v>0</v>
          </cell>
          <cell r="O6551">
            <v>0</v>
          </cell>
          <cell r="P6551">
            <v>-8.2000000000000007E-3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 t="b">
            <v>1</v>
          </cell>
        </row>
        <row r="6552">
          <cell r="A6552" t="str">
            <v>Data split-12;Reg-67</v>
          </cell>
          <cell r="B6552">
            <v>0.11</v>
          </cell>
          <cell r="C6552">
            <v>2</v>
          </cell>
          <cell r="D6552">
            <v>0</v>
          </cell>
          <cell r="E6552">
            <v>0</v>
          </cell>
          <cell r="F6552">
            <v>0</v>
          </cell>
          <cell r="G6552">
            <v>7.4999999999999997E-2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>
            <v>0</v>
          </cell>
          <cell r="M6552">
            <v>0</v>
          </cell>
          <cell r="N6552">
            <v>0</v>
          </cell>
          <cell r="O6552">
            <v>0</v>
          </cell>
          <cell r="P6552">
            <v>0</v>
          </cell>
          <cell r="Q6552">
            <v>0</v>
          </cell>
          <cell r="R6552">
            <v>0</v>
          </cell>
          <cell r="S6552">
            <v>0</v>
          </cell>
          <cell r="T6552">
            <v>0</v>
          </cell>
          <cell r="U6552" t="b">
            <v>0</v>
          </cell>
        </row>
        <row r="6553">
          <cell r="A6553" t="str">
            <v>Data split-12;Reg-68</v>
          </cell>
          <cell r="B6553">
            <v>6.0999999999999999E-2</v>
          </cell>
          <cell r="C6553">
            <v>1.8</v>
          </cell>
          <cell r="D6553">
            <v>0</v>
          </cell>
          <cell r="E6553">
            <v>0</v>
          </cell>
          <cell r="F6553">
            <v>5.3999999999999999E-2</v>
          </cell>
          <cell r="G6553">
            <v>0.18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0</v>
          </cell>
          <cell r="M6553">
            <v>0</v>
          </cell>
          <cell r="N6553">
            <v>0</v>
          </cell>
          <cell r="O6553">
            <v>0</v>
          </cell>
          <cell r="P6553">
            <v>0</v>
          </cell>
          <cell r="Q6553">
            <v>0</v>
          </cell>
          <cell r="R6553">
            <v>0</v>
          </cell>
          <cell r="S6553">
            <v>0</v>
          </cell>
          <cell r="T6553">
            <v>0</v>
          </cell>
          <cell r="U6553" t="b">
            <v>0</v>
          </cell>
        </row>
        <row r="6554">
          <cell r="A6554" t="str">
            <v>Data split-12;Reg-69</v>
          </cell>
          <cell r="B6554">
            <v>-9.1</v>
          </cell>
          <cell r="C6554">
            <v>2.6</v>
          </cell>
          <cell r="D6554">
            <v>0</v>
          </cell>
          <cell r="E6554">
            <v>0</v>
          </cell>
          <cell r="F6554">
            <v>0</v>
          </cell>
          <cell r="G6554">
            <v>-1.6</v>
          </cell>
          <cell r="H6554">
            <v>0</v>
          </cell>
          <cell r="I6554">
            <v>0</v>
          </cell>
          <cell r="J6554">
            <v>57.7</v>
          </cell>
          <cell r="K6554">
            <v>0</v>
          </cell>
          <cell r="L6554">
            <v>0</v>
          </cell>
          <cell r="M6554">
            <v>0</v>
          </cell>
          <cell r="N6554">
            <v>0</v>
          </cell>
          <cell r="O6554">
            <v>0</v>
          </cell>
          <cell r="P6554">
            <v>0</v>
          </cell>
          <cell r="Q6554">
            <v>0</v>
          </cell>
          <cell r="R6554">
            <v>0</v>
          </cell>
          <cell r="S6554">
            <v>0</v>
          </cell>
          <cell r="T6554">
            <v>0</v>
          </cell>
          <cell r="U6554" t="b">
            <v>0</v>
          </cell>
        </row>
        <row r="6555">
          <cell r="A6555" t="str">
            <v>Data split-12;Reg-70</v>
          </cell>
          <cell r="B6555">
            <v>-9</v>
          </cell>
          <cell r="C6555">
            <v>2.6</v>
          </cell>
          <cell r="D6555">
            <v>0</v>
          </cell>
          <cell r="E6555">
            <v>0</v>
          </cell>
          <cell r="F6555">
            <v>0</v>
          </cell>
          <cell r="G6555">
            <v>-1.6</v>
          </cell>
          <cell r="H6555">
            <v>0</v>
          </cell>
          <cell r="I6555">
            <v>0</v>
          </cell>
          <cell r="J6555">
            <v>57.3</v>
          </cell>
          <cell r="K6555">
            <v>0</v>
          </cell>
          <cell r="L6555">
            <v>0</v>
          </cell>
          <cell r="M6555">
            <v>0</v>
          </cell>
          <cell r="N6555">
            <v>0</v>
          </cell>
          <cell r="O6555">
            <v>0</v>
          </cell>
          <cell r="P6555">
            <v>0</v>
          </cell>
          <cell r="Q6555">
            <v>0</v>
          </cell>
          <cell r="R6555">
            <v>0</v>
          </cell>
          <cell r="S6555">
            <v>-7.4000000000000003E-3</v>
          </cell>
          <cell r="T6555">
            <v>0</v>
          </cell>
          <cell r="U6555" t="b">
            <v>0</v>
          </cell>
        </row>
        <row r="6556">
          <cell r="A6556" t="str">
            <v>Data split-12;Reg-71</v>
          </cell>
          <cell r="B6556">
            <v>-1.4</v>
          </cell>
          <cell r="C6556">
            <v>1.6</v>
          </cell>
          <cell r="D6556">
            <v>0</v>
          </cell>
          <cell r="E6556">
            <v>0</v>
          </cell>
          <cell r="F6556">
            <v>3.3000000000000002E-2</v>
          </cell>
          <cell r="G6556">
            <v>0</v>
          </cell>
          <cell r="H6556">
            <v>2.1</v>
          </cell>
          <cell r="I6556">
            <v>0</v>
          </cell>
          <cell r="J6556">
            <v>0</v>
          </cell>
          <cell r="K6556">
            <v>0</v>
          </cell>
          <cell r="L6556">
            <v>0</v>
          </cell>
          <cell r="M6556">
            <v>0</v>
          </cell>
          <cell r="N6556">
            <v>0</v>
          </cell>
          <cell r="O6556">
            <v>0</v>
          </cell>
          <cell r="P6556">
            <v>0</v>
          </cell>
          <cell r="Q6556">
            <v>0</v>
          </cell>
          <cell r="R6556">
            <v>0</v>
          </cell>
          <cell r="S6556">
            <v>-9.2999999999999999E-2</v>
          </cell>
          <cell r="T6556">
            <v>0</v>
          </cell>
          <cell r="U6556" t="b">
            <v>1</v>
          </cell>
        </row>
        <row r="6557">
          <cell r="A6557" t="str">
            <v>Data split-12;Reg-72</v>
          </cell>
          <cell r="B6557">
            <v>3.0000000000000001E-3</v>
          </cell>
          <cell r="C6557">
            <v>1.9</v>
          </cell>
          <cell r="D6557">
            <v>0</v>
          </cell>
          <cell r="E6557">
            <v>0.25</v>
          </cell>
          <cell r="F6557">
            <v>0</v>
          </cell>
          <cell r="G6557">
            <v>0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>
            <v>0</v>
          </cell>
          <cell r="M6557">
            <v>0</v>
          </cell>
          <cell r="N6557">
            <v>0</v>
          </cell>
          <cell r="O6557">
            <v>0</v>
          </cell>
          <cell r="P6557">
            <v>0</v>
          </cell>
          <cell r="Q6557">
            <v>0</v>
          </cell>
          <cell r="R6557">
            <v>0</v>
          </cell>
          <cell r="S6557">
            <v>0</v>
          </cell>
          <cell r="T6557">
            <v>0</v>
          </cell>
          <cell r="U6557" t="b">
            <v>0</v>
          </cell>
        </row>
        <row r="6558">
          <cell r="A6558" t="str">
            <v>Data split-12;Reg-73</v>
          </cell>
          <cell r="B6558">
            <v>0.31</v>
          </cell>
          <cell r="C6558">
            <v>1.9</v>
          </cell>
          <cell r="D6558">
            <v>0</v>
          </cell>
          <cell r="E6558">
            <v>0</v>
          </cell>
          <cell r="F6558">
            <v>4.7E-2</v>
          </cell>
          <cell r="G6558">
            <v>0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0</v>
          </cell>
          <cell r="M6558">
            <v>0</v>
          </cell>
          <cell r="N6558">
            <v>0</v>
          </cell>
          <cell r="O6558">
            <v>0</v>
          </cell>
          <cell r="P6558">
            <v>0</v>
          </cell>
          <cell r="Q6558">
            <v>0</v>
          </cell>
          <cell r="R6558">
            <v>0</v>
          </cell>
          <cell r="S6558">
            <v>0</v>
          </cell>
          <cell r="T6558">
            <v>0</v>
          </cell>
          <cell r="U6558" t="b">
            <v>0</v>
          </cell>
        </row>
        <row r="6559">
          <cell r="A6559" t="str">
            <v>Data split-12;Reg-74</v>
          </cell>
          <cell r="B6559">
            <v>-0.43</v>
          </cell>
          <cell r="C6559">
            <v>0</v>
          </cell>
          <cell r="D6559">
            <v>2.2000000000000002</v>
          </cell>
          <cell r="E6559">
            <v>-0.28999999999999998</v>
          </cell>
          <cell r="F6559">
            <v>0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0</v>
          </cell>
          <cell r="M6559">
            <v>0</v>
          </cell>
          <cell r="N6559">
            <v>0</v>
          </cell>
          <cell r="O6559">
            <v>0</v>
          </cell>
          <cell r="P6559">
            <v>0</v>
          </cell>
          <cell r="Q6559">
            <v>0</v>
          </cell>
          <cell r="R6559">
            <v>0</v>
          </cell>
          <cell r="S6559">
            <v>0</v>
          </cell>
          <cell r="T6559">
            <v>0</v>
          </cell>
          <cell r="U6559" t="b">
            <v>0</v>
          </cell>
        </row>
        <row r="6560">
          <cell r="A6560" t="str">
            <v>Data split-12;Reg-75</v>
          </cell>
          <cell r="B6560">
            <v>-0.53</v>
          </cell>
          <cell r="C6560">
            <v>0</v>
          </cell>
          <cell r="D6560">
            <v>2</v>
          </cell>
          <cell r="E6560">
            <v>0</v>
          </cell>
          <cell r="F6560">
            <v>3.7999999999999999E-2</v>
          </cell>
          <cell r="G6560">
            <v>0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>
            <v>0</v>
          </cell>
          <cell r="M6560">
            <v>0</v>
          </cell>
          <cell r="N6560">
            <v>0</v>
          </cell>
          <cell r="O6560">
            <v>0</v>
          </cell>
          <cell r="P6560">
            <v>0</v>
          </cell>
          <cell r="Q6560">
            <v>0</v>
          </cell>
          <cell r="R6560">
            <v>0</v>
          </cell>
          <cell r="S6560">
            <v>0</v>
          </cell>
          <cell r="T6560">
            <v>0</v>
          </cell>
          <cell r="U6560" t="b">
            <v>1</v>
          </cell>
        </row>
        <row r="6561">
          <cell r="A6561" t="str">
            <v>Data split-12;Reg-76</v>
          </cell>
          <cell r="B6561">
            <v>0.11</v>
          </cell>
          <cell r="C6561">
            <v>2</v>
          </cell>
          <cell r="D6561">
            <v>0</v>
          </cell>
          <cell r="E6561">
            <v>0</v>
          </cell>
          <cell r="F6561">
            <v>0</v>
          </cell>
          <cell r="G6561">
            <v>7.4999999999999997E-2</v>
          </cell>
          <cell r="H6561">
            <v>0</v>
          </cell>
          <cell r="I6561">
            <v>0</v>
          </cell>
          <cell r="J6561">
            <v>0</v>
          </cell>
          <cell r="K6561">
            <v>0</v>
          </cell>
          <cell r="L6561">
            <v>0</v>
          </cell>
          <cell r="M6561">
            <v>0</v>
          </cell>
          <cell r="N6561">
            <v>0</v>
          </cell>
          <cell r="O6561">
            <v>0</v>
          </cell>
          <cell r="P6561">
            <v>0</v>
          </cell>
          <cell r="Q6561">
            <v>0</v>
          </cell>
          <cell r="R6561">
            <v>0</v>
          </cell>
          <cell r="S6561">
            <v>0</v>
          </cell>
          <cell r="T6561">
            <v>0</v>
          </cell>
          <cell r="U6561" t="b">
            <v>0</v>
          </cell>
        </row>
        <row r="6562">
          <cell r="A6562" t="str">
            <v>Data split-12;Reg-77</v>
          </cell>
          <cell r="B6562">
            <v>-0.3</v>
          </cell>
          <cell r="C6562">
            <v>1.6</v>
          </cell>
          <cell r="D6562">
            <v>0</v>
          </cell>
          <cell r="E6562">
            <v>0</v>
          </cell>
          <cell r="F6562">
            <v>0</v>
          </cell>
          <cell r="G6562">
            <v>0</v>
          </cell>
          <cell r="H6562">
            <v>0.77</v>
          </cell>
          <cell r="I6562">
            <v>0</v>
          </cell>
          <cell r="J6562">
            <v>0</v>
          </cell>
          <cell r="K6562">
            <v>0</v>
          </cell>
          <cell r="L6562">
            <v>0</v>
          </cell>
          <cell r="M6562">
            <v>0</v>
          </cell>
          <cell r="N6562">
            <v>0</v>
          </cell>
          <cell r="O6562">
            <v>0</v>
          </cell>
          <cell r="P6562">
            <v>0</v>
          </cell>
          <cell r="Q6562">
            <v>0</v>
          </cell>
          <cell r="R6562">
            <v>0</v>
          </cell>
          <cell r="S6562">
            <v>0</v>
          </cell>
          <cell r="T6562">
            <v>0</v>
          </cell>
          <cell r="U6562" t="b">
            <v>1</v>
          </cell>
        </row>
        <row r="6563">
          <cell r="A6563" t="str">
            <v>Data split-12;Reg-78</v>
          </cell>
          <cell r="B6563">
            <v>-0.27</v>
          </cell>
          <cell r="C6563">
            <v>0</v>
          </cell>
          <cell r="D6563">
            <v>2.2000000000000002</v>
          </cell>
          <cell r="E6563">
            <v>0</v>
          </cell>
          <cell r="F6563">
            <v>0</v>
          </cell>
          <cell r="G6563">
            <v>-0.28000000000000003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>
            <v>0</v>
          </cell>
          <cell r="M6563">
            <v>0</v>
          </cell>
          <cell r="N6563">
            <v>0</v>
          </cell>
          <cell r="O6563">
            <v>0</v>
          </cell>
          <cell r="P6563">
            <v>0</v>
          </cell>
          <cell r="Q6563">
            <v>0</v>
          </cell>
          <cell r="R6563">
            <v>0</v>
          </cell>
          <cell r="S6563">
            <v>0</v>
          </cell>
          <cell r="T6563">
            <v>0</v>
          </cell>
          <cell r="U6563" t="b">
            <v>0</v>
          </cell>
        </row>
        <row r="6564">
          <cell r="A6564" t="str">
            <v>Data split-12;Reg-79</v>
          </cell>
          <cell r="B6564">
            <v>-0.7</v>
          </cell>
          <cell r="C6564">
            <v>0</v>
          </cell>
          <cell r="D6564">
            <v>2</v>
          </cell>
          <cell r="E6564">
            <v>0</v>
          </cell>
          <cell r="F6564">
            <v>0</v>
          </cell>
          <cell r="G6564">
            <v>0</v>
          </cell>
          <cell r="H6564">
            <v>0.16</v>
          </cell>
          <cell r="I6564">
            <v>0</v>
          </cell>
          <cell r="J6564">
            <v>0</v>
          </cell>
          <cell r="K6564">
            <v>0</v>
          </cell>
          <cell r="L6564">
            <v>0</v>
          </cell>
          <cell r="M6564">
            <v>0</v>
          </cell>
          <cell r="N6564">
            <v>0</v>
          </cell>
          <cell r="O6564">
            <v>0</v>
          </cell>
          <cell r="P6564">
            <v>0</v>
          </cell>
          <cell r="Q6564">
            <v>0</v>
          </cell>
          <cell r="R6564">
            <v>0</v>
          </cell>
          <cell r="S6564">
            <v>0</v>
          </cell>
          <cell r="T6564">
            <v>0</v>
          </cell>
          <cell r="U6564" t="b">
            <v>1</v>
          </cell>
        </row>
        <row r="6565">
          <cell r="A6565" t="str">
            <v>Data split-12;Reg-80</v>
          </cell>
          <cell r="B6565">
            <v>-5.3</v>
          </cell>
          <cell r="C6565">
            <v>1.2</v>
          </cell>
          <cell r="D6565">
            <v>0</v>
          </cell>
          <cell r="E6565">
            <v>0</v>
          </cell>
          <cell r="F6565">
            <v>0</v>
          </cell>
          <cell r="G6565">
            <v>0</v>
          </cell>
          <cell r="H6565">
            <v>0</v>
          </cell>
          <cell r="I6565">
            <v>5.5</v>
          </cell>
          <cell r="J6565">
            <v>0</v>
          </cell>
          <cell r="K6565">
            <v>0</v>
          </cell>
          <cell r="L6565">
            <v>0</v>
          </cell>
          <cell r="M6565">
            <v>0</v>
          </cell>
          <cell r="N6565">
            <v>0</v>
          </cell>
          <cell r="O6565">
            <v>0</v>
          </cell>
          <cell r="P6565">
            <v>0</v>
          </cell>
          <cell r="Q6565">
            <v>0</v>
          </cell>
          <cell r="R6565">
            <v>0</v>
          </cell>
          <cell r="S6565">
            <v>0</v>
          </cell>
          <cell r="T6565">
            <v>0</v>
          </cell>
          <cell r="U6565" t="b">
            <v>0</v>
          </cell>
        </row>
        <row r="6566">
          <cell r="A6566" t="str">
            <v>Data split-12;Reg-81</v>
          </cell>
          <cell r="B6566">
            <v>-8.6999999999999993</v>
          </cell>
          <cell r="C6566">
            <v>1.7</v>
          </cell>
          <cell r="D6566">
            <v>0</v>
          </cell>
          <cell r="E6566">
            <v>0</v>
          </cell>
          <cell r="F6566">
            <v>0</v>
          </cell>
          <cell r="G6566">
            <v>0</v>
          </cell>
          <cell r="H6566">
            <v>0</v>
          </cell>
          <cell r="I6566">
            <v>0</v>
          </cell>
          <cell r="J6566">
            <v>43.9</v>
          </cell>
          <cell r="K6566">
            <v>0</v>
          </cell>
          <cell r="L6566">
            <v>0</v>
          </cell>
          <cell r="M6566">
            <v>0</v>
          </cell>
          <cell r="N6566">
            <v>0</v>
          </cell>
          <cell r="O6566">
            <v>0</v>
          </cell>
          <cell r="P6566">
            <v>0</v>
          </cell>
          <cell r="Q6566">
            <v>0</v>
          </cell>
          <cell r="R6566">
            <v>0</v>
          </cell>
          <cell r="S6566">
            <v>0</v>
          </cell>
          <cell r="T6566">
            <v>0</v>
          </cell>
          <cell r="U6566" t="b">
            <v>0</v>
          </cell>
        </row>
        <row r="6567">
          <cell r="A6567" t="str">
            <v>Data split-12;Reg-82</v>
          </cell>
          <cell r="B6567">
            <v>-5.4</v>
          </cell>
          <cell r="C6567">
            <v>0</v>
          </cell>
          <cell r="D6567">
            <v>1.3</v>
          </cell>
          <cell r="E6567">
            <v>0</v>
          </cell>
          <cell r="F6567">
            <v>0</v>
          </cell>
          <cell r="G6567">
            <v>0</v>
          </cell>
          <cell r="H6567">
            <v>0</v>
          </cell>
          <cell r="I6567">
            <v>5.2</v>
          </cell>
          <cell r="J6567">
            <v>0</v>
          </cell>
          <cell r="K6567">
            <v>0</v>
          </cell>
          <cell r="L6567">
            <v>0</v>
          </cell>
          <cell r="M6567">
            <v>0</v>
          </cell>
          <cell r="N6567">
            <v>0</v>
          </cell>
          <cell r="O6567">
            <v>0</v>
          </cell>
          <cell r="P6567">
            <v>0</v>
          </cell>
          <cell r="Q6567">
            <v>0</v>
          </cell>
          <cell r="R6567">
            <v>0</v>
          </cell>
          <cell r="S6567">
            <v>0</v>
          </cell>
          <cell r="T6567">
            <v>0</v>
          </cell>
          <cell r="U6567" t="b">
            <v>0</v>
          </cell>
        </row>
        <row r="6568">
          <cell r="A6568" t="str">
            <v>Data split-12;Reg-83</v>
          </cell>
          <cell r="B6568">
            <v>-8.3000000000000007</v>
          </cell>
          <cell r="C6568">
            <v>0</v>
          </cell>
          <cell r="D6568">
            <v>1.7</v>
          </cell>
          <cell r="E6568">
            <v>0</v>
          </cell>
          <cell r="F6568">
            <v>0</v>
          </cell>
          <cell r="G6568">
            <v>0</v>
          </cell>
          <cell r="H6568">
            <v>0</v>
          </cell>
          <cell r="I6568">
            <v>0</v>
          </cell>
          <cell r="J6568">
            <v>39.9</v>
          </cell>
          <cell r="K6568">
            <v>0</v>
          </cell>
          <cell r="L6568">
            <v>0</v>
          </cell>
          <cell r="M6568">
            <v>0</v>
          </cell>
          <cell r="N6568">
            <v>0</v>
          </cell>
          <cell r="O6568">
            <v>0</v>
          </cell>
          <cell r="P6568">
            <v>0</v>
          </cell>
          <cell r="Q6568">
            <v>0</v>
          </cell>
          <cell r="R6568">
            <v>0</v>
          </cell>
          <cell r="S6568">
            <v>0</v>
          </cell>
          <cell r="T6568">
            <v>0</v>
          </cell>
          <cell r="U6568" t="b">
            <v>0</v>
          </cell>
        </row>
        <row r="6569">
          <cell r="A6569" t="str">
            <v>Data split-12;Reg-84</v>
          </cell>
          <cell r="B6569">
            <v>-0.41</v>
          </cell>
          <cell r="C6569">
            <v>1.5</v>
          </cell>
          <cell r="D6569">
            <v>0</v>
          </cell>
          <cell r="E6569">
            <v>0</v>
          </cell>
          <cell r="F6569">
            <v>0</v>
          </cell>
          <cell r="G6569">
            <v>0</v>
          </cell>
          <cell r="H6569">
            <v>0</v>
          </cell>
          <cell r="I6569">
            <v>0</v>
          </cell>
          <cell r="J6569">
            <v>0</v>
          </cell>
          <cell r="K6569">
            <v>2.8</v>
          </cell>
          <cell r="L6569">
            <v>0</v>
          </cell>
          <cell r="M6569">
            <v>0</v>
          </cell>
          <cell r="N6569">
            <v>0</v>
          </cell>
          <cell r="O6569">
            <v>0</v>
          </cell>
          <cell r="P6569">
            <v>0</v>
          </cell>
          <cell r="Q6569">
            <v>0</v>
          </cell>
          <cell r="R6569">
            <v>0</v>
          </cell>
          <cell r="S6569">
            <v>0</v>
          </cell>
          <cell r="T6569">
            <v>0</v>
          </cell>
          <cell r="U6569" t="b">
            <v>0</v>
          </cell>
        </row>
        <row r="6570">
          <cell r="A6570" t="str">
            <v>Data split-12;Reg-85</v>
          </cell>
          <cell r="B6570">
            <v>-2.5</v>
          </cell>
          <cell r="C6570">
            <v>1.7</v>
          </cell>
          <cell r="D6570">
            <v>0</v>
          </cell>
          <cell r="E6570">
            <v>0</v>
          </cell>
          <cell r="F6570">
            <v>0</v>
          </cell>
          <cell r="G6570">
            <v>0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24.9</v>
          </cell>
          <cell r="M6570">
            <v>0</v>
          </cell>
          <cell r="N6570">
            <v>0</v>
          </cell>
          <cell r="O6570">
            <v>0</v>
          </cell>
          <cell r="P6570">
            <v>0</v>
          </cell>
          <cell r="Q6570">
            <v>0</v>
          </cell>
          <cell r="R6570">
            <v>0</v>
          </cell>
          <cell r="S6570">
            <v>0</v>
          </cell>
          <cell r="T6570">
            <v>0</v>
          </cell>
          <cell r="U6570" t="b">
            <v>0</v>
          </cell>
        </row>
        <row r="6571">
          <cell r="A6571" t="str">
            <v>Data split-12;Reg-86</v>
          </cell>
          <cell r="B6571">
            <v>-0.97</v>
          </cell>
          <cell r="C6571">
            <v>0</v>
          </cell>
          <cell r="D6571">
            <v>1.5</v>
          </cell>
          <cell r="E6571">
            <v>0</v>
          </cell>
          <cell r="F6571">
            <v>0</v>
          </cell>
          <cell r="G6571">
            <v>0</v>
          </cell>
          <cell r="H6571">
            <v>0</v>
          </cell>
          <cell r="I6571">
            <v>0</v>
          </cell>
          <cell r="J6571">
            <v>0</v>
          </cell>
          <cell r="K6571">
            <v>2.5</v>
          </cell>
          <cell r="L6571">
            <v>0</v>
          </cell>
          <cell r="M6571">
            <v>0</v>
          </cell>
          <cell r="N6571">
            <v>0</v>
          </cell>
          <cell r="O6571">
            <v>0</v>
          </cell>
          <cell r="P6571">
            <v>0</v>
          </cell>
          <cell r="Q6571">
            <v>0</v>
          </cell>
          <cell r="R6571">
            <v>0</v>
          </cell>
          <cell r="S6571">
            <v>0</v>
          </cell>
          <cell r="T6571">
            <v>0</v>
          </cell>
          <cell r="U6571" t="b">
            <v>0</v>
          </cell>
        </row>
        <row r="6572">
          <cell r="A6572" t="str">
            <v>Data split-12;Reg-87</v>
          </cell>
          <cell r="B6572">
            <v>-2.9</v>
          </cell>
          <cell r="C6572">
            <v>0</v>
          </cell>
          <cell r="D6572">
            <v>1.7</v>
          </cell>
          <cell r="E6572">
            <v>0</v>
          </cell>
          <cell r="F6572">
            <v>0</v>
          </cell>
          <cell r="G6572">
            <v>0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22.7</v>
          </cell>
          <cell r="M6572">
            <v>0</v>
          </cell>
          <cell r="N6572">
            <v>0</v>
          </cell>
          <cell r="O6572">
            <v>0</v>
          </cell>
          <cell r="P6572">
            <v>0</v>
          </cell>
          <cell r="Q6572">
            <v>0</v>
          </cell>
          <cell r="R6572">
            <v>0</v>
          </cell>
          <cell r="S6572">
            <v>0</v>
          </cell>
          <cell r="T6572">
            <v>0</v>
          </cell>
          <cell r="U6572" t="b">
            <v>0</v>
          </cell>
        </row>
        <row r="6573">
          <cell r="A6573" t="str">
            <v>Data split-12;Reg-88</v>
          </cell>
          <cell r="B6573">
            <v>0.18</v>
          </cell>
          <cell r="C6573">
            <v>2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0</v>
          </cell>
          <cell r="M6573">
            <v>6.8999999999999999E-3</v>
          </cell>
          <cell r="N6573">
            <v>0</v>
          </cell>
          <cell r="O6573">
            <v>0</v>
          </cell>
          <cell r="P6573">
            <v>0</v>
          </cell>
          <cell r="Q6573">
            <v>0</v>
          </cell>
          <cell r="R6573">
            <v>0</v>
          </cell>
          <cell r="S6573">
            <v>0</v>
          </cell>
          <cell r="T6573">
            <v>0</v>
          </cell>
          <cell r="U6573" t="b">
            <v>0</v>
          </cell>
        </row>
        <row r="6574">
          <cell r="A6574" t="str">
            <v>Data split-12;Reg-89</v>
          </cell>
          <cell r="B6574">
            <v>0.2</v>
          </cell>
          <cell r="C6574">
            <v>1.9</v>
          </cell>
          <cell r="D6574">
            <v>0</v>
          </cell>
          <cell r="E6574">
            <v>0</v>
          </cell>
          <cell r="F6574">
            <v>0</v>
          </cell>
          <cell r="G6574">
            <v>0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0</v>
          </cell>
          <cell r="M6574">
            <v>0</v>
          </cell>
          <cell r="N6574">
            <v>4.1999999999999997E-3</v>
          </cell>
          <cell r="O6574">
            <v>0</v>
          </cell>
          <cell r="P6574">
            <v>0</v>
          </cell>
          <cell r="Q6574">
            <v>0</v>
          </cell>
          <cell r="R6574">
            <v>0</v>
          </cell>
          <cell r="S6574">
            <v>0</v>
          </cell>
          <cell r="T6574">
            <v>0</v>
          </cell>
          <cell r="U6574" t="b">
            <v>0</v>
          </cell>
        </row>
        <row r="6575">
          <cell r="A6575" t="str">
            <v>Data split-12;Reg-90</v>
          </cell>
          <cell r="B6575">
            <v>-0.6</v>
          </cell>
          <cell r="C6575">
            <v>0</v>
          </cell>
          <cell r="D6575">
            <v>2.1</v>
          </cell>
          <cell r="E6575">
            <v>0</v>
          </cell>
          <cell r="F6575">
            <v>0</v>
          </cell>
          <cell r="G6575">
            <v>0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0</v>
          </cell>
          <cell r="M6575">
            <v>-5.1999999999999998E-3</v>
          </cell>
          <cell r="N6575">
            <v>0</v>
          </cell>
          <cell r="O6575">
            <v>0</v>
          </cell>
          <cell r="P6575">
            <v>0</v>
          </cell>
          <cell r="Q6575">
            <v>0</v>
          </cell>
          <cell r="R6575">
            <v>0</v>
          </cell>
          <cell r="S6575">
            <v>0</v>
          </cell>
          <cell r="T6575">
            <v>0</v>
          </cell>
          <cell r="U6575" t="b">
            <v>1</v>
          </cell>
        </row>
        <row r="6576">
          <cell r="A6576" t="str">
            <v>Data split-12;Reg-91</v>
          </cell>
          <cell r="B6576">
            <v>-0.61</v>
          </cell>
          <cell r="C6576">
            <v>0</v>
          </cell>
          <cell r="D6576">
            <v>2</v>
          </cell>
          <cell r="E6576">
            <v>0</v>
          </cell>
          <cell r="F6576">
            <v>0</v>
          </cell>
          <cell r="G6576">
            <v>0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0</v>
          </cell>
          <cell r="M6576">
            <v>0</v>
          </cell>
          <cell r="N6576">
            <v>9.2000000000000003E-4</v>
          </cell>
          <cell r="O6576">
            <v>0</v>
          </cell>
          <cell r="P6576">
            <v>0</v>
          </cell>
          <cell r="Q6576">
            <v>0</v>
          </cell>
          <cell r="R6576">
            <v>0</v>
          </cell>
          <cell r="S6576">
            <v>0</v>
          </cell>
          <cell r="T6576">
            <v>0</v>
          </cell>
          <cell r="U6576" t="b">
            <v>0</v>
          </cell>
        </row>
        <row r="6577">
          <cell r="A6577" t="str">
            <v>Data split-12;Reg-92</v>
          </cell>
          <cell r="B6577">
            <v>0.46</v>
          </cell>
          <cell r="C6577">
            <v>2.1</v>
          </cell>
          <cell r="D6577">
            <v>0</v>
          </cell>
          <cell r="E6577">
            <v>0</v>
          </cell>
          <cell r="F6577">
            <v>0</v>
          </cell>
          <cell r="G6577">
            <v>0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>
            <v>0</v>
          </cell>
          <cell r="M6577">
            <v>0</v>
          </cell>
          <cell r="N6577">
            <v>0</v>
          </cell>
          <cell r="O6577">
            <v>-2.5999999999999999E-2</v>
          </cell>
          <cell r="P6577">
            <v>0</v>
          </cell>
          <cell r="Q6577">
            <v>0</v>
          </cell>
          <cell r="R6577">
            <v>0</v>
          </cell>
          <cell r="S6577">
            <v>0</v>
          </cell>
          <cell r="T6577">
            <v>0</v>
          </cell>
          <cell r="U6577" t="b">
            <v>0</v>
          </cell>
        </row>
        <row r="6578">
          <cell r="A6578" t="str">
            <v>Data split-12;Reg-93</v>
          </cell>
          <cell r="B6578">
            <v>0.3</v>
          </cell>
          <cell r="C6578">
            <v>2.1</v>
          </cell>
          <cell r="D6578">
            <v>0</v>
          </cell>
          <cell r="E6578">
            <v>0</v>
          </cell>
          <cell r="F6578">
            <v>0</v>
          </cell>
          <cell r="G6578">
            <v>0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>
            <v>0</v>
          </cell>
          <cell r="M6578">
            <v>0</v>
          </cell>
          <cell r="N6578">
            <v>0</v>
          </cell>
          <cell r="O6578">
            <v>0</v>
          </cell>
          <cell r="P6578">
            <v>-2.8E-3</v>
          </cell>
          <cell r="Q6578">
            <v>0</v>
          </cell>
          <cell r="R6578">
            <v>0</v>
          </cell>
          <cell r="S6578">
            <v>0</v>
          </cell>
          <cell r="T6578">
            <v>0</v>
          </cell>
          <cell r="U6578" t="b">
            <v>0</v>
          </cell>
        </row>
        <row r="6579">
          <cell r="A6579" t="str">
            <v>Data split-12;Reg-94</v>
          </cell>
          <cell r="B6579">
            <v>-0.34</v>
          </cell>
          <cell r="C6579">
            <v>0</v>
          </cell>
          <cell r="D6579">
            <v>2.2999999999999998</v>
          </cell>
          <cell r="E6579">
            <v>0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0</v>
          </cell>
          <cell r="M6579">
            <v>0</v>
          </cell>
          <cell r="N6579">
            <v>0</v>
          </cell>
          <cell r="O6579">
            <v>-3.5999999999999997E-2</v>
          </cell>
          <cell r="P6579">
            <v>0</v>
          </cell>
          <cell r="Q6579">
            <v>0</v>
          </cell>
          <cell r="R6579">
            <v>0</v>
          </cell>
          <cell r="S6579">
            <v>0</v>
          </cell>
          <cell r="T6579">
            <v>0</v>
          </cell>
          <cell r="U6579" t="b">
            <v>1</v>
          </cell>
        </row>
        <row r="6580">
          <cell r="A6580" t="str">
            <v>Data split-12;Reg-95</v>
          </cell>
          <cell r="B6580">
            <v>-0.51</v>
          </cell>
          <cell r="C6580">
            <v>0</v>
          </cell>
          <cell r="D6580">
            <v>2.2000000000000002</v>
          </cell>
          <cell r="E6580">
            <v>0</v>
          </cell>
          <cell r="F6580">
            <v>0</v>
          </cell>
          <cell r="G6580">
            <v>0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>
            <v>0</v>
          </cell>
          <cell r="M6580">
            <v>0</v>
          </cell>
          <cell r="N6580">
            <v>0</v>
          </cell>
          <cell r="O6580">
            <v>0</v>
          </cell>
          <cell r="P6580">
            <v>-5.4000000000000003E-3</v>
          </cell>
          <cell r="Q6580">
            <v>0</v>
          </cell>
          <cell r="R6580">
            <v>0</v>
          </cell>
          <cell r="S6580">
            <v>0</v>
          </cell>
          <cell r="T6580">
            <v>0</v>
          </cell>
          <cell r="U6580" t="b">
            <v>1</v>
          </cell>
        </row>
        <row r="6581">
          <cell r="A6581" t="str">
            <v>Data split-12;Reg-96</v>
          </cell>
          <cell r="B6581">
            <v>-5.0999999999999996</v>
          </cell>
          <cell r="C6581">
            <v>2.1</v>
          </cell>
          <cell r="D6581">
            <v>0</v>
          </cell>
          <cell r="E6581">
            <v>-1.8</v>
          </cell>
          <cell r="F6581">
            <v>0</v>
          </cell>
          <cell r="G6581">
            <v>0</v>
          </cell>
          <cell r="H6581">
            <v>0</v>
          </cell>
          <cell r="I6581">
            <v>6.8</v>
          </cell>
          <cell r="J6581">
            <v>0</v>
          </cell>
          <cell r="K6581">
            <v>0</v>
          </cell>
          <cell r="L6581">
            <v>0</v>
          </cell>
          <cell r="M6581">
            <v>0</v>
          </cell>
          <cell r="N6581">
            <v>0</v>
          </cell>
          <cell r="O6581">
            <v>0</v>
          </cell>
          <cell r="P6581">
            <v>0</v>
          </cell>
          <cell r="Q6581">
            <v>0</v>
          </cell>
          <cell r="R6581">
            <v>0</v>
          </cell>
          <cell r="S6581">
            <v>0</v>
          </cell>
          <cell r="T6581">
            <v>0</v>
          </cell>
          <cell r="U6581" t="b">
            <v>0</v>
          </cell>
        </row>
        <row r="6582">
          <cell r="A6582" t="str">
            <v>Data split-12;Reg-97</v>
          </cell>
          <cell r="B6582">
            <v>-10</v>
          </cell>
          <cell r="C6582">
            <v>2.9</v>
          </cell>
          <cell r="D6582">
            <v>0</v>
          </cell>
          <cell r="E6582">
            <v>-2.2000000000000002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59.9</v>
          </cell>
          <cell r="K6582">
            <v>0</v>
          </cell>
          <cell r="L6582">
            <v>0</v>
          </cell>
          <cell r="M6582">
            <v>0</v>
          </cell>
          <cell r="N6582">
            <v>0</v>
          </cell>
          <cell r="O6582">
            <v>0</v>
          </cell>
          <cell r="P6582">
            <v>0</v>
          </cell>
          <cell r="Q6582">
            <v>0</v>
          </cell>
          <cell r="R6582">
            <v>0</v>
          </cell>
          <cell r="S6582">
            <v>0</v>
          </cell>
          <cell r="T6582">
            <v>0</v>
          </cell>
          <cell r="U6582" t="b">
            <v>0</v>
          </cell>
        </row>
        <row r="6583">
          <cell r="A6583" t="str">
            <v>Data split-12;Reg-98</v>
          </cell>
          <cell r="B6583">
            <v>-5.3</v>
          </cell>
          <cell r="C6583">
            <v>1.1000000000000001</v>
          </cell>
          <cell r="D6583">
            <v>0</v>
          </cell>
          <cell r="E6583">
            <v>0</v>
          </cell>
          <cell r="F6583">
            <v>8.6999999999999994E-2</v>
          </cell>
          <cell r="G6583">
            <v>0</v>
          </cell>
          <cell r="H6583">
            <v>0</v>
          </cell>
          <cell r="I6583">
            <v>5.6</v>
          </cell>
          <cell r="J6583">
            <v>0</v>
          </cell>
          <cell r="K6583">
            <v>0</v>
          </cell>
          <cell r="L6583">
            <v>0</v>
          </cell>
          <cell r="M6583">
            <v>0</v>
          </cell>
          <cell r="N6583">
            <v>0</v>
          </cell>
          <cell r="O6583">
            <v>0</v>
          </cell>
          <cell r="P6583">
            <v>0</v>
          </cell>
          <cell r="Q6583">
            <v>0</v>
          </cell>
          <cell r="R6583">
            <v>0</v>
          </cell>
          <cell r="S6583">
            <v>0</v>
          </cell>
          <cell r="T6583">
            <v>0</v>
          </cell>
          <cell r="U6583" t="b">
            <v>0</v>
          </cell>
        </row>
        <row r="6584">
          <cell r="A6584" t="str">
            <v>Data split-12;Reg-99</v>
          </cell>
          <cell r="B6584">
            <v>-8.6999999999999993</v>
          </cell>
          <cell r="C6584">
            <v>1.6</v>
          </cell>
          <cell r="D6584">
            <v>0</v>
          </cell>
          <cell r="E6584">
            <v>0</v>
          </cell>
          <cell r="F6584">
            <v>7.6999999999999999E-2</v>
          </cell>
          <cell r="G6584">
            <v>0</v>
          </cell>
          <cell r="H6584">
            <v>0</v>
          </cell>
          <cell r="I6584">
            <v>0</v>
          </cell>
          <cell r="J6584">
            <v>44.6</v>
          </cell>
          <cell r="K6584">
            <v>0</v>
          </cell>
          <cell r="L6584">
            <v>0</v>
          </cell>
          <cell r="M6584">
            <v>0</v>
          </cell>
          <cell r="N6584">
            <v>0</v>
          </cell>
          <cell r="O6584">
            <v>0</v>
          </cell>
          <cell r="P6584">
            <v>0</v>
          </cell>
          <cell r="Q6584">
            <v>0</v>
          </cell>
          <cell r="R6584">
            <v>0</v>
          </cell>
          <cell r="S6584">
            <v>0</v>
          </cell>
          <cell r="T6584">
            <v>0</v>
          </cell>
          <cell r="U6584" t="b">
            <v>0</v>
          </cell>
        </row>
        <row r="6585">
          <cell r="A6585" t="str">
            <v>Data split-12;Reg-100</v>
          </cell>
          <cell r="B6585">
            <v>-5.2</v>
          </cell>
          <cell r="C6585">
            <v>0</v>
          </cell>
          <cell r="D6585">
            <v>2.2999999999999998</v>
          </cell>
          <cell r="E6585">
            <v>-2</v>
          </cell>
          <cell r="F6585">
            <v>0</v>
          </cell>
          <cell r="G6585">
            <v>0</v>
          </cell>
          <cell r="H6585">
            <v>0</v>
          </cell>
          <cell r="I6585">
            <v>6.4</v>
          </cell>
          <cell r="J6585">
            <v>0</v>
          </cell>
          <cell r="K6585">
            <v>0</v>
          </cell>
          <cell r="L6585">
            <v>0</v>
          </cell>
          <cell r="M6585">
            <v>0</v>
          </cell>
          <cell r="N6585">
            <v>0</v>
          </cell>
          <cell r="O6585">
            <v>0</v>
          </cell>
          <cell r="P6585">
            <v>0</v>
          </cell>
          <cell r="Q6585">
            <v>0</v>
          </cell>
          <cell r="R6585">
            <v>0</v>
          </cell>
          <cell r="S6585">
            <v>0</v>
          </cell>
          <cell r="T6585">
            <v>0</v>
          </cell>
          <cell r="U6585" t="b">
            <v>0</v>
          </cell>
        </row>
        <row r="6586">
          <cell r="A6586" t="str">
            <v>Data split-12;Reg-101</v>
          </cell>
          <cell r="B6586">
            <v>-9.4</v>
          </cell>
          <cell r="C6586">
            <v>0</v>
          </cell>
          <cell r="D6586">
            <v>3</v>
          </cell>
          <cell r="E6586">
            <v>-2.2000000000000002</v>
          </cell>
          <cell r="F6586">
            <v>0</v>
          </cell>
          <cell r="G6586">
            <v>0</v>
          </cell>
          <cell r="H6586">
            <v>0</v>
          </cell>
          <cell r="I6586">
            <v>0</v>
          </cell>
          <cell r="J6586">
            <v>52.9</v>
          </cell>
          <cell r="K6586">
            <v>0</v>
          </cell>
          <cell r="L6586">
            <v>0</v>
          </cell>
          <cell r="M6586">
            <v>0</v>
          </cell>
          <cell r="N6586">
            <v>0</v>
          </cell>
          <cell r="O6586">
            <v>0</v>
          </cell>
          <cell r="P6586">
            <v>0</v>
          </cell>
          <cell r="Q6586">
            <v>0</v>
          </cell>
          <cell r="R6586">
            <v>0</v>
          </cell>
          <cell r="S6586">
            <v>0</v>
          </cell>
          <cell r="T6586">
            <v>0</v>
          </cell>
          <cell r="U6586" t="b">
            <v>0</v>
          </cell>
        </row>
        <row r="6587">
          <cell r="A6587" t="str">
            <v>Data split-12;Reg-102</v>
          </cell>
          <cell r="B6587">
            <v>-5.3</v>
          </cell>
          <cell r="C6587">
            <v>0</v>
          </cell>
          <cell r="D6587">
            <v>1.2</v>
          </cell>
          <cell r="E6587">
            <v>0</v>
          </cell>
          <cell r="F6587">
            <v>8.4000000000000005E-2</v>
          </cell>
          <cell r="G6587">
            <v>0</v>
          </cell>
          <cell r="H6587">
            <v>0</v>
          </cell>
          <cell r="I6587">
            <v>5.4</v>
          </cell>
          <cell r="J6587">
            <v>0</v>
          </cell>
          <cell r="K6587">
            <v>0</v>
          </cell>
          <cell r="L6587">
            <v>0</v>
          </cell>
          <cell r="M6587">
            <v>0</v>
          </cell>
          <cell r="N6587">
            <v>0</v>
          </cell>
          <cell r="O6587">
            <v>0</v>
          </cell>
          <cell r="P6587">
            <v>0</v>
          </cell>
          <cell r="Q6587">
            <v>0</v>
          </cell>
          <cell r="R6587">
            <v>0</v>
          </cell>
          <cell r="S6587">
            <v>0</v>
          </cell>
          <cell r="T6587">
            <v>0</v>
          </cell>
          <cell r="U6587" t="b">
            <v>0</v>
          </cell>
        </row>
        <row r="6588">
          <cell r="A6588" t="str">
            <v>Data split-12;Reg-103</v>
          </cell>
          <cell r="B6588">
            <v>-8.3000000000000007</v>
          </cell>
          <cell r="C6588">
            <v>0</v>
          </cell>
          <cell r="D6588">
            <v>1.6</v>
          </cell>
          <cell r="E6588">
            <v>0</v>
          </cell>
          <cell r="F6588">
            <v>7.4999999999999997E-2</v>
          </cell>
          <cell r="G6588">
            <v>0</v>
          </cell>
          <cell r="H6588">
            <v>0</v>
          </cell>
          <cell r="I6588">
            <v>0</v>
          </cell>
          <cell r="J6588">
            <v>40.9</v>
          </cell>
          <cell r="K6588">
            <v>0</v>
          </cell>
          <cell r="L6588">
            <v>0</v>
          </cell>
          <cell r="M6588">
            <v>0</v>
          </cell>
          <cell r="N6588">
            <v>0</v>
          </cell>
          <cell r="O6588">
            <v>0</v>
          </cell>
          <cell r="P6588">
            <v>0</v>
          </cell>
          <cell r="Q6588">
            <v>0</v>
          </cell>
          <cell r="R6588">
            <v>0</v>
          </cell>
          <cell r="S6588">
            <v>0</v>
          </cell>
          <cell r="T6588">
            <v>0</v>
          </cell>
          <cell r="U6588" t="b">
            <v>0</v>
          </cell>
        </row>
        <row r="6589">
          <cell r="A6589" t="str">
            <v>Data split-12;Reg-104</v>
          </cell>
          <cell r="B6589">
            <v>0.18</v>
          </cell>
          <cell r="C6589">
            <v>1.8</v>
          </cell>
          <cell r="D6589">
            <v>0</v>
          </cell>
          <cell r="E6589">
            <v>-0.77</v>
          </cell>
          <cell r="F6589">
            <v>0</v>
          </cell>
          <cell r="G6589">
            <v>0</v>
          </cell>
          <cell r="H6589">
            <v>0</v>
          </cell>
          <cell r="I6589">
            <v>0</v>
          </cell>
          <cell r="J6589">
            <v>0</v>
          </cell>
          <cell r="K6589">
            <v>3.1</v>
          </cell>
          <cell r="L6589">
            <v>0</v>
          </cell>
          <cell r="M6589">
            <v>0</v>
          </cell>
          <cell r="N6589">
            <v>0</v>
          </cell>
          <cell r="O6589">
            <v>0</v>
          </cell>
          <cell r="P6589">
            <v>0</v>
          </cell>
          <cell r="Q6589">
            <v>0</v>
          </cell>
          <cell r="R6589">
            <v>0</v>
          </cell>
          <cell r="S6589">
            <v>0</v>
          </cell>
          <cell r="T6589">
            <v>0</v>
          </cell>
          <cell r="U6589" t="b">
            <v>0</v>
          </cell>
        </row>
        <row r="6590">
          <cell r="A6590" t="str">
            <v>Data split-12;Reg-105</v>
          </cell>
          <cell r="B6590">
            <v>-2.2999999999999998</v>
          </cell>
          <cell r="C6590">
            <v>2.2000000000000002</v>
          </cell>
          <cell r="D6590">
            <v>0</v>
          </cell>
          <cell r="E6590">
            <v>-1</v>
          </cell>
          <cell r="F6590">
            <v>0</v>
          </cell>
          <cell r="G6590">
            <v>0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>
            <v>30.3</v>
          </cell>
          <cell r="M6590">
            <v>0</v>
          </cell>
          <cell r="N6590">
            <v>0</v>
          </cell>
          <cell r="O6590">
            <v>0</v>
          </cell>
          <cell r="P6590">
            <v>0</v>
          </cell>
          <cell r="Q6590">
            <v>0</v>
          </cell>
          <cell r="R6590">
            <v>0</v>
          </cell>
          <cell r="S6590">
            <v>0</v>
          </cell>
          <cell r="T6590">
            <v>0</v>
          </cell>
          <cell r="U6590" t="b">
            <v>0</v>
          </cell>
        </row>
        <row r="6591">
          <cell r="A6591" t="str">
            <v>Data split-12;Reg-106</v>
          </cell>
          <cell r="B6591">
            <v>-0.27</v>
          </cell>
          <cell r="C6591">
            <v>1.3</v>
          </cell>
          <cell r="D6591">
            <v>0</v>
          </cell>
          <cell r="E6591">
            <v>0</v>
          </cell>
          <cell r="F6591">
            <v>8.4000000000000005E-2</v>
          </cell>
          <cell r="G6591">
            <v>0</v>
          </cell>
          <cell r="H6591">
            <v>0</v>
          </cell>
          <cell r="I6591">
            <v>0</v>
          </cell>
          <cell r="J6591">
            <v>0</v>
          </cell>
          <cell r="K6591">
            <v>2.9</v>
          </cell>
          <cell r="L6591">
            <v>0</v>
          </cell>
          <cell r="M6591">
            <v>0</v>
          </cell>
          <cell r="N6591">
            <v>0</v>
          </cell>
          <cell r="O6591">
            <v>0</v>
          </cell>
          <cell r="P6591">
            <v>0</v>
          </cell>
          <cell r="Q6591">
            <v>0</v>
          </cell>
          <cell r="R6591">
            <v>0</v>
          </cell>
          <cell r="S6591">
            <v>0</v>
          </cell>
          <cell r="T6591">
            <v>0</v>
          </cell>
          <cell r="U6591" t="b">
            <v>0</v>
          </cell>
        </row>
        <row r="6592">
          <cell r="A6592" t="str">
            <v>Data split-12;Reg-107</v>
          </cell>
          <cell r="B6592">
            <v>-2.5</v>
          </cell>
          <cell r="C6592">
            <v>1.5</v>
          </cell>
          <cell r="D6592">
            <v>0</v>
          </cell>
          <cell r="E6592">
            <v>0</v>
          </cell>
          <cell r="F6592">
            <v>7.9000000000000001E-2</v>
          </cell>
          <cell r="G6592">
            <v>0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25.9</v>
          </cell>
          <cell r="M6592">
            <v>0</v>
          </cell>
          <cell r="N6592">
            <v>0</v>
          </cell>
          <cell r="O6592">
            <v>0</v>
          </cell>
          <cell r="P6592">
            <v>0</v>
          </cell>
          <cell r="Q6592">
            <v>0</v>
          </cell>
          <cell r="R6592">
            <v>0</v>
          </cell>
          <cell r="S6592">
            <v>0</v>
          </cell>
          <cell r="T6592">
            <v>0</v>
          </cell>
          <cell r="U6592" t="b">
            <v>0</v>
          </cell>
        </row>
        <row r="6593">
          <cell r="A6593" t="str">
            <v>Data split-12;Reg-108</v>
          </cell>
          <cell r="B6593">
            <v>-0.25</v>
          </cell>
          <cell r="C6593">
            <v>0</v>
          </cell>
          <cell r="D6593">
            <v>2.2000000000000002</v>
          </cell>
          <cell r="E6593">
            <v>-1.2</v>
          </cell>
          <cell r="F6593">
            <v>0</v>
          </cell>
          <cell r="G6593">
            <v>0</v>
          </cell>
          <cell r="H6593">
            <v>0</v>
          </cell>
          <cell r="I6593">
            <v>0</v>
          </cell>
          <cell r="J6593">
            <v>0</v>
          </cell>
          <cell r="K6593">
            <v>3.1</v>
          </cell>
          <cell r="L6593">
            <v>0</v>
          </cell>
          <cell r="M6593">
            <v>0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0</v>
          </cell>
          <cell r="U6593" t="b">
            <v>0</v>
          </cell>
        </row>
        <row r="6594">
          <cell r="A6594" t="str">
            <v>Data split-12;Reg-109</v>
          </cell>
          <cell r="B6594">
            <v>-2.7</v>
          </cell>
          <cell r="C6594">
            <v>0</v>
          </cell>
          <cell r="D6594">
            <v>2.5</v>
          </cell>
          <cell r="E6594">
            <v>-1.5</v>
          </cell>
          <cell r="F6594">
            <v>0</v>
          </cell>
          <cell r="G6594">
            <v>0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29.6</v>
          </cell>
          <cell r="M6594">
            <v>0</v>
          </cell>
          <cell r="N6594">
            <v>0</v>
          </cell>
          <cell r="O6594">
            <v>0</v>
          </cell>
          <cell r="P6594">
            <v>0</v>
          </cell>
          <cell r="Q6594">
            <v>0</v>
          </cell>
          <cell r="R6594">
            <v>0</v>
          </cell>
          <cell r="S6594">
            <v>0</v>
          </cell>
          <cell r="T6594">
            <v>0</v>
          </cell>
          <cell r="U6594" t="b">
            <v>0</v>
          </cell>
        </row>
        <row r="6595">
          <cell r="A6595" t="str">
            <v>Data split-12;Reg-110</v>
          </cell>
          <cell r="B6595">
            <v>-0.82</v>
          </cell>
          <cell r="C6595">
            <v>0</v>
          </cell>
          <cell r="D6595">
            <v>1.4</v>
          </cell>
          <cell r="E6595">
            <v>0</v>
          </cell>
          <cell r="F6595">
            <v>7.3999999999999996E-2</v>
          </cell>
          <cell r="G6595">
            <v>0</v>
          </cell>
          <cell r="H6595">
            <v>0</v>
          </cell>
          <cell r="I6595">
            <v>0</v>
          </cell>
          <cell r="J6595">
            <v>0</v>
          </cell>
          <cell r="K6595">
            <v>2.7</v>
          </cell>
          <cell r="L6595">
            <v>0</v>
          </cell>
          <cell r="M6595">
            <v>0</v>
          </cell>
          <cell r="N6595">
            <v>0</v>
          </cell>
          <cell r="O6595">
            <v>0</v>
          </cell>
          <cell r="P6595">
            <v>0</v>
          </cell>
          <cell r="Q6595">
            <v>0</v>
          </cell>
          <cell r="R6595">
            <v>0</v>
          </cell>
          <cell r="S6595">
            <v>0</v>
          </cell>
          <cell r="T6595">
            <v>0</v>
          </cell>
          <cell r="U6595" t="b">
            <v>0</v>
          </cell>
        </row>
        <row r="6596">
          <cell r="A6596" t="str">
            <v>Data split-12;Reg-111</v>
          </cell>
          <cell r="B6596">
            <v>-2.9</v>
          </cell>
          <cell r="C6596">
            <v>0</v>
          </cell>
          <cell r="D6596">
            <v>1.6</v>
          </cell>
          <cell r="E6596">
            <v>0</v>
          </cell>
          <cell r="F6596">
            <v>7.0999999999999994E-2</v>
          </cell>
          <cell r="G6596">
            <v>0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>
            <v>23.7</v>
          </cell>
          <cell r="M6596">
            <v>0</v>
          </cell>
          <cell r="N6596">
            <v>0</v>
          </cell>
          <cell r="O6596">
            <v>0</v>
          </cell>
          <cell r="P6596">
            <v>0</v>
          </cell>
          <cell r="Q6596">
            <v>0</v>
          </cell>
          <cell r="R6596">
            <v>0</v>
          </cell>
          <cell r="S6596">
            <v>0</v>
          </cell>
          <cell r="T6596">
            <v>0</v>
          </cell>
          <cell r="U6596" t="b">
            <v>0</v>
          </cell>
        </row>
        <row r="6597">
          <cell r="A6597" t="str">
            <v>Data split-12;Reg-112</v>
          </cell>
          <cell r="B6597">
            <v>-4.5</v>
          </cell>
          <cell r="C6597">
            <v>2</v>
          </cell>
          <cell r="D6597">
            <v>0</v>
          </cell>
          <cell r="E6597">
            <v>0</v>
          </cell>
          <cell r="F6597">
            <v>0</v>
          </cell>
          <cell r="G6597">
            <v>-1.4</v>
          </cell>
          <cell r="H6597">
            <v>0</v>
          </cell>
          <cell r="I6597">
            <v>6.8</v>
          </cell>
          <cell r="J6597">
            <v>0</v>
          </cell>
          <cell r="K6597">
            <v>0</v>
          </cell>
          <cell r="L6597">
            <v>0</v>
          </cell>
          <cell r="M6597">
            <v>0</v>
          </cell>
          <cell r="N6597">
            <v>0</v>
          </cell>
          <cell r="O6597">
            <v>0</v>
          </cell>
          <cell r="P6597">
            <v>0</v>
          </cell>
          <cell r="Q6597">
            <v>0</v>
          </cell>
          <cell r="R6597">
            <v>0</v>
          </cell>
          <cell r="S6597">
            <v>0</v>
          </cell>
          <cell r="T6597">
            <v>0</v>
          </cell>
          <cell r="U6597" t="b">
            <v>0</v>
          </cell>
        </row>
        <row r="6598">
          <cell r="A6598" t="str">
            <v>Data split-12;Reg-113</v>
          </cell>
          <cell r="B6598">
            <v>-9.1</v>
          </cell>
          <cell r="C6598">
            <v>2.6</v>
          </cell>
          <cell r="D6598">
            <v>0</v>
          </cell>
          <cell r="E6598">
            <v>0</v>
          </cell>
          <cell r="F6598">
            <v>0</v>
          </cell>
          <cell r="G6598">
            <v>-1.6</v>
          </cell>
          <cell r="H6598">
            <v>0</v>
          </cell>
          <cell r="I6598">
            <v>0</v>
          </cell>
          <cell r="J6598">
            <v>57.7</v>
          </cell>
          <cell r="K6598">
            <v>0</v>
          </cell>
          <cell r="L6598">
            <v>0</v>
          </cell>
          <cell r="M6598">
            <v>0</v>
          </cell>
          <cell r="N6598">
            <v>0</v>
          </cell>
          <cell r="O6598">
            <v>0</v>
          </cell>
          <cell r="P6598">
            <v>0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 t="b">
            <v>0</v>
          </cell>
        </row>
        <row r="6599">
          <cell r="A6599" t="str">
            <v>Data split-12;Reg-114</v>
          </cell>
          <cell r="B6599">
            <v>-5.0999999999999996</v>
          </cell>
          <cell r="C6599">
            <v>1.6</v>
          </cell>
          <cell r="D6599">
            <v>0</v>
          </cell>
          <cell r="E6599">
            <v>0</v>
          </cell>
          <cell r="F6599">
            <v>0</v>
          </cell>
          <cell r="G6599">
            <v>0</v>
          </cell>
          <cell r="H6599">
            <v>-0.92</v>
          </cell>
          <cell r="I6599">
            <v>5.8</v>
          </cell>
          <cell r="J6599">
            <v>0</v>
          </cell>
          <cell r="K6599">
            <v>0</v>
          </cell>
          <cell r="L6599">
            <v>0</v>
          </cell>
          <cell r="M6599">
            <v>0</v>
          </cell>
          <cell r="N6599">
            <v>0</v>
          </cell>
          <cell r="O6599">
            <v>0</v>
          </cell>
          <cell r="P6599">
            <v>0</v>
          </cell>
          <cell r="Q6599">
            <v>0</v>
          </cell>
          <cell r="R6599">
            <v>0</v>
          </cell>
          <cell r="S6599">
            <v>0</v>
          </cell>
          <cell r="T6599">
            <v>0</v>
          </cell>
          <cell r="U6599" t="b">
            <v>0</v>
          </cell>
        </row>
        <row r="6600">
          <cell r="A6600" t="str">
            <v>Data split-12;Reg-115</v>
          </cell>
          <cell r="B6600">
            <v>-8.8000000000000007</v>
          </cell>
          <cell r="C6600">
            <v>2.2000000000000002</v>
          </cell>
          <cell r="D6600">
            <v>0</v>
          </cell>
          <cell r="E6600">
            <v>0</v>
          </cell>
          <cell r="F6600">
            <v>0</v>
          </cell>
          <cell r="G6600">
            <v>0</v>
          </cell>
          <cell r="H6600">
            <v>-1.3</v>
          </cell>
          <cell r="I6600">
            <v>0</v>
          </cell>
          <cell r="J6600">
            <v>48.5</v>
          </cell>
          <cell r="K6600">
            <v>0</v>
          </cell>
          <cell r="L6600">
            <v>0</v>
          </cell>
          <cell r="M6600">
            <v>0</v>
          </cell>
          <cell r="N6600">
            <v>0</v>
          </cell>
          <cell r="O6600">
            <v>0</v>
          </cell>
          <cell r="P6600">
            <v>0</v>
          </cell>
          <cell r="Q6600">
            <v>0</v>
          </cell>
          <cell r="R6600">
            <v>0</v>
          </cell>
          <cell r="S6600">
            <v>0</v>
          </cell>
          <cell r="T6600">
            <v>0</v>
          </cell>
          <cell r="U6600" t="b">
            <v>0</v>
          </cell>
        </row>
        <row r="6601">
          <cell r="A6601" t="str">
            <v>Data split-12;Reg-116</v>
          </cell>
          <cell r="B6601">
            <v>-4.5999999999999996</v>
          </cell>
          <cell r="C6601">
            <v>0</v>
          </cell>
          <cell r="D6601">
            <v>2.1</v>
          </cell>
          <cell r="E6601">
            <v>0</v>
          </cell>
          <cell r="F6601">
            <v>0</v>
          </cell>
          <cell r="G6601">
            <v>-1.5</v>
          </cell>
          <cell r="H6601">
            <v>0</v>
          </cell>
          <cell r="I6601">
            <v>6.4</v>
          </cell>
          <cell r="J6601">
            <v>0</v>
          </cell>
          <cell r="K6601">
            <v>0</v>
          </cell>
          <cell r="L6601">
            <v>0</v>
          </cell>
          <cell r="M6601">
            <v>0</v>
          </cell>
          <cell r="N6601">
            <v>0</v>
          </cell>
          <cell r="O6601">
            <v>0</v>
          </cell>
          <cell r="P6601">
            <v>0</v>
          </cell>
          <cell r="Q6601">
            <v>0</v>
          </cell>
          <cell r="R6601">
            <v>0</v>
          </cell>
          <cell r="S6601">
            <v>0</v>
          </cell>
          <cell r="T6601">
            <v>0</v>
          </cell>
          <cell r="U6601" t="b">
            <v>0</v>
          </cell>
        </row>
        <row r="6602">
          <cell r="A6602" t="str">
            <v>Data split-12;Reg-117</v>
          </cell>
          <cell r="B6602">
            <v>-8.5</v>
          </cell>
          <cell r="C6602">
            <v>0</v>
          </cell>
          <cell r="D6602">
            <v>2.7</v>
          </cell>
          <cell r="E6602">
            <v>0</v>
          </cell>
          <cell r="F6602">
            <v>0</v>
          </cell>
          <cell r="G6602">
            <v>-1.6</v>
          </cell>
          <cell r="H6602">
            <v>0</v>
          </cell>
          <cell r="I6602">
            <v>0</v>
          </cell>
          <cell r="J6602">
            <v>51.2</v>
          </cell>
          <cell r="K6602">
            <v>0</v>
          </cell>
          <cell r="L6602">
            <v>0</v>
          </cell>
          <cell r="M6602">
            <v>0</v>
          </cell>
          <cell r="N6602">
            <v>0</v>
          </cell>
          <cell r="O6602">
            <v>0</v>
          </cell>
          <cell r="P6602">
            <v>0</v>
          </cell>
          <cell r="Q6602">
            <v>0</v>
          </cell>
          <cell r="R6602">
            <v>0</v>
          </cell>
          <cell r="S6602">
            <v>0</v>
          </cell>
          <cell r="T6602">
            <v>0</v>
          </cell>
          <cell r="U6602" t="b">
            <v>0</v>
          </cell>
        </row>
        <row r="6603">
          <cell r="A6603" t="str">
            <v>Data split-12;Reg-118</v>
          </cell>
          <cell r="B6603">
            <v>-5.0999999999999996</v>
          </cell>
          <cell r="C6603">
            <v>0</v>
          </cell>
          <cell r="D6603">
            <v>1.7</v>
          </cell>
          <cell r="E6603">
            <v>0</v>
          </cell>
          <cell r="F6603">
            <v>0</v>
          </cell>
          <cell r="G6603">
            <v>0</v>
          </cell>
          <cell r="H6603">
            <v>-0.99</v>
          </cell>
          <cell r="I6603">
            <v>5.5</v>
          </cell>
          <cell r="J6603">
            <v>0</v>
          </cell>
          <cell r="K6603">
            <v>0</v>
          </cell>
          <cell r="L6603">
            <v>0</v>
          </cell>
          <cell r="M6603">
            <v>0</v>
          </cell>
          <cell r="N6603">
            <v>0</v>
          </cell>
          <cell r="O6603">
            <v>0</v>
          </cell>
          <cell r="P6603">
            <v>0</v>
          </cell>
          <cell r="Q6603">
            <v>0</v>
          </cell>
          <cell r="R6603">
            <v>0</v>
          </cell>
          <cell r="S6603">
            <v>0</v>
          </cell>
          <cell r="T6603">
            <v>0</v>
          </cell>
          <cell r="U6603" t="b">
            <v>0</v>
          </cell>
        </row>
        <row r="6604">
          <cell r="A6604" t="str">
            <v>Data split-12;Reg-119</v>
          </cell>
          <cell r="B6604">
            <v>-8.3000000000000007</v>
          </cell>
          <cell r="C6604">
            <v>0</v>
          </cell>
          <cell r="D6604">
            <v>2.2999999999999998</v>
          </cell>
          <cell r="E6604">
            <v>0</v>
          </cell>
          <cell r="F6604">
            <v>0</v>
          </cell>
          <cell r="G6604">
            <v>0</v>
          </cell>
          <cell r="H6604">
            <v>-1.1000000000000001</v>
          </cell>
          <cell r="I6604">
            <v>0</v>
          </cell>
          <cell r="J6604">
            <v>42.8</v>
          </cell>
          <cell r="K6604">
            <v>0</v>
          </cell>
          <cell r="L6604">
            <v>0</v>
          </cell>
          <cell r="M6604">
            <v>0</v>
          </cell>
          <cell r="N6604">
            <v>0</v>
          </cell>
          <cell r="O6604">
            <v>0</v>
          </cell>
          <cell r="P6604">
            <v>0</v>
          </cell>
          <cell r="Q6604">
            <v>0</v>
          </cell>
          <cell r="R6604">
            <v>0</v>
          </cell>
          <cell r="S6604">
            <v>0</v>
          </cell>
          <cell r="T6604">
            <v>0</v>
          </cell>
          <cell r="U6604" t="b">
            <v>0</v>
          </cell>
        </row>
        <row r="6605">
          <cell r="A6605" t="str">
            <v>Data split-12;Reg-120</v>
          </cell>
          <cell r="B6605">
            <v>9.1999999999999998E-2</v>
          </cell>
          <cell r="C6605">
            <v>1.7</v>
          </cell>
          <cell r="D6605">
            <v>0</v>
          </cell>
          <cell r="E6605">
            <v>0</v>
          </cell>
          <cell r="F6605">
            <v>0</v>
          </cell>
          <cell r="G6605">
            <v>-0.36</v>
          </cell>
          <cell r="H6605">
            <v>0</v>
          </cell>
          <cell r="I6605">
            <v>0</v>
          </cell>
          <cell r="J6605">
            <v>0</v>
          </cell>
          <cell r="K6605">
            <v>2.9</v>
          </cell>
          <cell r="L6605">
            <v>0</v>
          </cell>
          <cell r="M6605">
            <v>0</v>
          </cell>
          <cell r="N6605">
            <v>0</v>
          </cell>
          <cell r="O6605">
            <v>0</v>
          </cell>
          <cell r="P6605">
            <v>0</v>
          </cell>
          <cell r="Q6605">
            <v>0</v>
          </cell>
          <cell r="R6605">
            <v>0</v>
          </cell>
          <cell r="S6605">
            <v>0</v>
          </cell>
          <cell r="T6605">
            <v>0</v>
          </cell>
          <cell r="U6605" t="b">
            <v>0</v>
          </cell>
        </row>
        <row r="6606">
          <cell r="A6606" t="str">
            <v>Data split-12;Reg-121</v>
          </cell>
          <cell r="B6606">
            <v>-2.1</v>
          </cell>
          <cell r="C6606">
            <v>1.9</v>
          </cell>
          <cell r="D6606">
            <v>0</v>
          </cell>
          <cell r="E6606">
            <v>0</v>
          </cell>
          <cell r="F6606">
            <v>0</v>
          </cell>
          <cell r="G6606">
            <v>-0.48</v>
          </cell>
          <cell r="H6606">
            <v>0</v>
          </cell>
          <cell r="I6606">
            <v>0</v>
          </cell>
          <cell r="J6606">
            <v>0</v>
          </cell>
          <cell r="K6606">
            <v>0</v>
          </cell>
          <cell r="L6606">
            <v>27</v>
          </cell>
          <cell r="M6606">
            <v>0</v>
          </cell>
          <cell r="N6606">
            <v>0</v>
          </cell>
          <cell r="O6606">
            <v>0</v>
          </cell>
          <cell r="P6606">
            <v>0</v>
          </cell>
          <cell r="Q6606">
            <v>0</v>
          </cell>
          <cell r="R6606">
            <v>0</v>
          </cell>
          <cell r="S6606">
            <v>0</v>
          </cell>
          <cell r="T6606">
            <v>0</v>
          </cell>
          <cell r="U6606" t="b">
            <v>0</v>
          </cell>
        </row>
        <row r="6607">
          <cell r="A6607" t="str">
            <v>Data split-12;Reg-122</v>
          </cell>
          <cell r="B6607">
            <v>-0.44</v>
          </cell>
          <cell r="C6607">
            <v>1.4</v>
          </cell>
          <cell r="D6607">
            <v>0</v>
          </cell>
          <cell r="E6607">
            <v>0</v>
          </cell>
          <cell r="F6607">
            <v>0</v>
          </cell>
          <cell r="G6607">
            <v>0</v>
          </cell>
          <cell r="H6607">
            <v>4.9000000000000002E-2</v>
          </cell>
          <cell r="I6607">
            <v>0</v>
          </cell>
          <cell r="J6607">
            <v>0</v>
          </cell>
          <cell r="K6607">
            <v>2.8</v>
          </cell>
          <cell r="L6607">
            <v>0</v>
          </cell>
          <cell r="M6607">
            <v>0</v>
          </cell>
          <cell r="N6607">
            <v>0</v>
          </cell>
          <cell r="O6607">
            <v>0</v>
          </cell>
          <cell r="P6607">
            <v>0</v>
          </cell>
          <cell r="Q6607">
            <v>0</v>
          </cell>
          <cell r="R6607">
            <v>0</v>
          </cell>
          <cell r="S6607">
            <v>0</v>
          </cell>
          <cell r="T6607">
            <v>0</v>
          </cell>
          <cell r="U6607" t="b">
            <v>0</v>
          </cell>
        </row>
        <row r="6608">
          <cell r="A6608" t="str">
            <v>Data split-12;Reg-123</v>
          </cell>
          <cell r="B6608">
            <v>-2.5</v>
          </cell>
          <cell r="C6608">
            <v>1.7</v>
          </cell>
          <cell r="D6608">
            <v>0</v>
          </cell>
          <cell r="E6608">
            <v>0</v>
          </cell>
          <cell r="F6608">
            <v>0</v>
          </cell>
          <cell r="G6608">
            <v>0</v>
          </cell>
          <cell r="H6608">
            <v>-0.15</v>
          </cell>
          <cell r="I6608">
            <v>0</v>
          </cell>
          <cell r="J6608">
            <v>0</v>
          </cell>
          <cell r="K6608">
            <v>0</v>
          </cell>
          <cell r="L6608">
            <v>25.3</v>
          </cell>
          <cell r="M6608">
            <v>0</v>
          </cell>
          <cell r="N6608">
            <v>0</v>
          </cell>
          <cell r="O6608">
            <v>0</v>
          </cell>
          <cell r="P6608">
            <v>0</v>
          </cell>
          <cell r="Q6608">
            <v>0</v>
          </cell>
          <cell r="R6608">
            <v>0</v>
          </cell>
          <cell r="S6608">
            <v>0</v>
          </cell>
          <cell r="T6608">
            <v>0</v>
          </cell>
          <cell r="U6608" t="b">
            <v>0</v>
          </cell>
        </row>
        <row r="6609">
          <cell r="A6609" t="str">
            <v>Data split-12;Reg-124</v>
          </cell>
          <cell r="B6609">
            <v>-0.23</v>
          </cell>
          <cell r="C6609">
            <v>0</v>
          </cell>
          <cell r="D6609">
            <v>1.9</v>
          </cell>
          <cell r="E6609">
            <v>0</v>
          </cell>
          <cell r="F6609">
            <v>0</v>
          </cell>
          <cell r="G6609">
            <v>-0.62</v>
          </cell>
          <cell r="H6609">
            <v>0</v>
          </cell>
          <cell r="I6609">
            <v>0</v>
          </cell>
          <cell r="J6609">
            <v>0</v>
          </cell>
          <cell r="K6609">
            <v>2.7</v>
          </cell>
          <cell r="L6609">
            <v>0</v>
          </cell>
          <cell r="M6609">
            <v>0</v>
          </cell>
          <cell r="N6609">
            <v>0</v>
          </cell>
          <cell r="O6609">
            <v>0</v>
          </cell>
          <cell r="P6609">
            <v>0</v>
          </cell>
          <cell r="Q6609">
            <v>0</v>
          </cell>
          <cell r="R6609">
            <v>0</v>
          </cell>
          <cell r="S6609">
            <v>0</v>
          </cell>
          <cell r="T6609">
            <v>0</v>
          </cell>
          <cell r="U6609" t="b">
            <v>0</v>
          </cell>
        </row>
        <row r="6610">
          <cell r="A6610" t="str">
            <v>Data split-12;Reg-125</v>
          </cell>
          <cell r="B6610">
            <v>-2.2999999999999998</v>
          </cell>
          <cell r="C6610">
            <v>0</v>
          </cell>
          <cell r="D6610">
            <v>2.2000000000000002</v>
          </cell>
          <cell r="E6610">
            <v>0</v>
          </cell>
          <cell r="F6610">
            <v>0</v>
          </cell>
          <cell r="G6610">
            <v>-0.74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>
            <v>25.3</v>
          </cell>
          <cell r="M6610">
            <v>0</v>
          </cell>
          <cell r="N6610">
            <v>0</v>
          </cell>
          <cell r="O6610">
            <v>0</v>
          </cell>
          <cell r="P6610">
            <v>0</v>
          </cell>
          <cell r="Q6610">
            <v>0</v>
          </cell>
          <cell r="R6610">
            <v>0</v>
          </cell>
          <cell r="S6610">
            <v>0</v>
          </cell>
          <cell r="T6610">
            <v>0</v>
          </cell>
          <cell r="U6610" t="b">
            <v>0</v>
          </cell>
        </row>
        <row r="6611">
          <cell r="A6611" t="str">
            <v>Data split-12;Reg-126</v>
          </cell>
          <cell r="B6611">
            <v>-0.78</v>
          </cell>
          <cell r="C6611">
            <v>0</v>
          </cell>
          <cell r="D6611">
            <v>1.7</v>
          </cell>
          <cell r="E6611">
            <v>0</v>
          </cell>
          <cell r="F6611">
            <v>0</v>
          </cell>
          <cell r="G6611">
            <v>0</v>
          </cell>
          <cell r="H6611">
            <v>-0.4</v>
          </cell>
          <cell r="I6611">
            <v>0</v>
          </cell>
          <cell r="J6611">
            <v>0</v>
          </cell>
          <cell r="K6611">
            <v>2.6</v>
          </cell>
          <cell r="L6611">
            <v>0</v>
          </cell>
          <cell r="M6611">
            <v>0</v>
          </cell>
          <cell r="N6611">
            <v>0</v>
          </cell>
          <cell r="O6611">
            <v>0</v>
          </cell>
          <cell r="P6611">
            <v>0</v>
          </cell>
          <cell r="Q6611">
            <v>0</v>
          </cell>
          <cell r="R6611">
            <v>0</v>
          </cell>
          <cell r="S6611">
            <v>0</v>
          </cell>
          <cell r="T6611">
            <v>0</v>
          </cell>
          <cell r="U6611" t="b">
            <v>0</v>
          </cell>
        </row>
        <row r="6612">
          <cell r="A6612" t="str">
            <v>Data split-12;Reg-127</v>
          </cell>
          <cell r="B6612">
            <v>-2.8</v>
          </cell>
          <cell r="C6612">
            <v>0</v>
          </cell>
          <cell r="D6612">
            <v>2</v>
          </cell>
          <cell r="E6612">
            <v>0</v>
          </cell>
          <cell r="F6612">
            <v>0</v>
          </cell>
          <cell r="G6612">
            <v>0</v>
          </cell>
          <cell r="H6612">
            <v>-0.56000000000000005</v>
          </cell>
          <cell r="I6612">
            <v>0</v>
          </cell>
          <cell r="J6612">
            <v>0</v>
          </cell>
          <cell r="K6612">
            <v>0</v>
          </cell>
          <cell r="L6612">
            <v>23.7</v>
          </cell>
          <cell r="M6612">
            <v>0</v>
          </cell>
          <cell r="N6612">
            <v>0</v>
          </cell>
          <cell r="O6612">
            <v>0</v>
          </cell>
          <cell r="P6612">
            <v>0</v>
          </cell>
          <cell r="Q6612">
            <v>0</v>
          </cell>
          <cell r="R6612">
            <v>0</v>
          </cell>
          <cell r="S6612">
            <v>0</v>
          </cell>
          <cell r="T6612">
            <v>0</v>
          </cell>
          <cell r="U6612" t="b">
            <v>0</v>
          </cell>
        </row>
        <row r="6613">
          <cell r="A6613" t="str">
            <v>Data split-13;Reg-1</v>
          </cell>
          <cell r="B6613">
            <v>-8.8000000000000007</v>
          </cell>
          <cell r="C6613">
            <v>3</v>
          </cell>
          <cell r="D6613">
            <v>0</v>
          </cell>
          <cell r="E6613">
            <v>0</v>
          </cell>
          <cell r="F6613">
            <v>-5.8000000000000003E-2</v>
          </cell>
          <cell r="G6613">
            <v>0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>
            <v>-10.3</v>
          </cell>
          <cell r="M6613">
            <v>0</v>
          </cell>
          <cell r="N6613">
            <v>0</v>
          </cell>
          <cell r="O6613">
            <v>0</v>
          </cell>
          <cell r="P6613">
            <v>0</v>
          </cell>
          <cell r="Q6613">
            <v>0</v>
          </cell>
          <cell r="R6613">
            <v>0</v>
          </cell>
          <cell r="S6613">
            <v>0</v>
          </cell>
          <cell r="T6613">
            <v>0</v>
          </cell>
          <cell r="U6613" t="b">
            <v>0</v>
          </cell>
        </row>
        <row r="6614">
          <cell r="A6614" t="str">
            <v>Data split-13;Reg-2</v>
          </cell>
          <cell r="B6614">
            <v>-7.8</v>
          </cell>
          <cell r="C6614">
            <v>3.1</v>
          </cell>
          <cell r="D6614">
            <v>0</v>
          </cell>
          <cell r="E6614">
            <v>0</v>
          </cell>
          <cell r="F6614">
            <v>-0.04</v>
          </cell>
          <cell r="G6614">
            <v>-0.87</v>
          </cell>
          <cell r="H6614">
            <v>0</v>
          </cell>
          <cell r="I6614">
            <v>0</v>
          </cell>
          <cell r="J6614">
            <v>0</v>
          </cell>
          <cell r="K6614">
            <v>0</v>
          </cell>
          <cell r="L6614">
            <v>0</v>
          </cell>
          <cell r="M6614">
            <v>2.1000000000000001E-2</v>
          </cell>
          <cell r="N6614">
            <v>0</v>
          </cell>
          <cell r="O6614">
            <v>0</v>
          </cell>
          <cell r="P6614">
            <v>0</v>
          </cell>
          <cell r="Q6614">
            <v>0</v>
          </cell>
          <cell r="R6614">
            <v>0</v>
          </cell>
          <cell r="S6614">
            <v>0</v>
          </cell>
          <cell r="T6614">
            <v>0</v>
          </cell>
          <cell r="U6614" t="b">
            <v>0</v>
          </cell>
        </row>
        <row r="6615">
          <cell r="A6615" t="str">
            <v>Data split-13;Reg-3</v>
          </cell>
          <cell r="B6615">
            <v>-7.8</v>
          </cell>
          <cell r="C6615">
            <v>3.1</v>
          </cell>
          <cell r="D6615">
            <v>0</v>
          </cell>
          <cell r="E6615">
            <v>0</v>
          </cell>
          <cell r="F6615">
            <v>-4.2000000000000003E-2</v>
          </cell>
          <cell r="G6615">
            <v>-0.87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>
            <v>0</v>
          </cell>
          <cell r="M6615">
            <v>0</v>
          </cell>
          <cell r="N6615">
            <v>4.1999999999999997E-3</v>
          </cell>
          <cell r="O6615">
            <v>0</v>
          </cell>
          <cell r="P6615">
            <v>0</v>
          </cell>
          <cell r="Q6615">
            <v>0</v>
          </cell>
          <cell r="R6615">
            <v>0</v>
          </cell>
          <cell r="S6615">
            <v>0</v>
          </cell>
          <cell r="T6615">
            <v>0</v>
          </cell>
          <cell r="U6615" t="b">
            <v>0</v>
          </cell>
        </row>
        <row r="6616">
          <cell r="A6616" t="str">
            <v>Data split-13;Reg-4</v>
          </cell>
          <cell r="B6616">
            <v>-8.1999999999999993</v>
          </cell>
          <cell r="C6616">
            <v>3.1</v>
          </cell>
          <cell r="D6616">
            <v>0</v>
          </cell>
          <cell r="E6616">
            <v>0</v>
          </cell>
          <cell r="F6616">
            <v>-2.3E-2</v>
          </cell>
          <cell r="G6616">
            <v>0</v>
          </cell>
          <cell r="H6616">
            <v>-1</v>
          </cell>
          <cell r="I6616">
            <v>0</v>
          </cell>
          <cell r="J6616">
            <v>0</v>
          </cell>
          <cell r="K6616">
            <v>0</v>
          </cell>
          <cell r="L6616">
            <v>0</v>
          </cell>
          <cell r="M6616">
            <v>1.2999999999999999E-2</v>
          </cell>
          <cell r="N6616">
            <v>0</v>
          </cell>
          <cell r="O6616">
            <v>0</v>
          </cell>
          <cell r="P6616">
            <v>0</v>
          </cell>
          <cell r="Q6616">
            <v>0</v>
          </cell>
          <cell r="R6616">
            <v>0</v>
          </cell>
          <cell r="S6616">
            <v>0</v>
          </cell>
          <cell r="T6616">
            <v>0</v>
          </cell>
          <cell r="U6616" t="b">
            <v>0</v>
          </cell>
        </row>
        <row r="6617">
          <cell r="A6617" t="str">
            <v>Data split-13;Reg-5</v>
          </cell>
          <cell r="B6617">
            <v>-8.1999999999999993</v>
          </cell>
          <cell r="C6617">
            <v>0</v>
          </cell>
          <cell r="D6617">
            <v>3.1</v>
          </cell>
          <cell r="E6617">
            <v>0</v>
          </cell>
          <cell r="F6617">
            <v>-2.4E-2</v>
          </cell>
          <cell r="G6617">
            <v>0</v>
          </cell>
          <cell r="H6617">
            <v>-1</v>
          </cell>
          <cell r="I6617">
            <v>0</v>
          </cell>
          <cell r="J6617">
            <v>0</v>
          </cell>
          <cell r="K6617">
            <v>0</v>
          </cell>
          <cell r="L6617">
            <v>0</v>
          </cell>
          <cell r="M6617">
            <v>1.2999999999999999E-2</v>
          </cell>
          <cell r="N6617">
            <v>0</v>
          </cell>
          <cell r="O6617">
            <v>0</v>
          </cell>
          <cell r="P6617">
            <v>0</v>
          </cell>
          <cell r="Q6617">
            <v>0</v>
          </cell>
          <cell r="R6617">
            <v>0</v>
          </cell>
          <cell r="S6617">
            <v>0</v>
          </cell>
          <cell r="T6617">
            <v>0</v>
          </cell>
          <cell r="U6617" t="b">
            <v>0</v>
          </cell>
        </row>
        <row r="6618">
          <cell r="A6618" t="str">
            <v>Data split-13;Reg-6</v>
          </cell>
          <cell r="B6618">
            <v>-4.9000000000000004</v>
          </cell>
          <cell r="C6618">
            <v>3.6</v>
          </cell>
          <cell r="D6618">
            <v>0</v>
          </cell>
          <cell r="E6618">
            <v>-3.8</v>
          </cell>
          <cell r="F6618">
            <v>0</v>
          </cell>
          <cell r="G6618">
            <v>0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>
            <v>0.44</v>
          </cell>
          <cell r="M6618">
            <v>0.16</v>
          </cell>
          <cell r="N6618">
            <v>0</v>
          </cell>
          <cell r="O6618">
            <v>0</v>
          </cell>
          <cell r="P6618">
            <v>0</v>
          </cell>
          <cell r="Q6618">
            <v>0</v>
          </cell>
          <cell r="R6618">
            <v>0</v>
          </cell>
          <cell r="S6618">
            <v>0</v>
          </cell>
          <cell r="T6618">
            <v>0</v>
          </cell>
          <cell r="U6618" t="b">
            <v>0</v>
          </cell>
        </row>
        <row r="6619">
          <cell r="A6619" t="str">
            <v>Data split-13;Reg-7</v>
          </cell>
          <cell r="B6619">
            <v>-7.4</v>
          </cell>
          <cell r="C6619">
            <v>3.1</v>
          </cell>
          <cell r="D6619">
            <v>0</v>
          </cell>
          <cell r="E6619">
            <v>0</v>
          </cell>
          <cell r="F6619">
            <v>-4.9000000000000002E-2</v>
          </cell>
          <cell r="G6619">
            <v>0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>
            <v>-9.6999999999999993</v>
          </cell>
          <cell r="M6619">
            <v>0</v>
          </cell>
          <cell r="N6619">
            <v>0</v>
          </cell>
          <cell r="O6619">
            <v>0</v>
          </cell>
          <cell r="P6619">
            <v>0</v>
          </cell>
          <cell r="Q6619">
            <v>0</v>
          </cell>
          <cell r="R6619">
            <v>0</v>
          </cell>
          <cell r="S6619">
            <v>-4.9000000000000002E-2</v>
          </cell>
          <cell r="T6619">
            <v>0</v>
          </cell>
          <cell r="U6619" t="b">
            <v>0</v>
          </cell>
        </row>
        <row r="6620">
          <cell r="A6620" t="str">
            <v>Data split-13;Reg-8</v>
          </cell>
          <cell r="B6620">
            <v>-6.7</v>
          </cell>
          <cell r="C6620">
            <v>3.2</v>
          </cell>
          <cell r="D6620">
            <v>0</v>
          </cell>
          <cell r="E6620">
            <v>0</v>
          </cell>
          <cell r="F6620">
            <v>0</v>
          </cell>
          <cell r="G6620">
            <v>-0.52</v>
          </cell>
          <cell r="H6620">
            <v>0</v>
          </cell>
          <cell r="I6620">
            <v>0</v>
          </cell>
          <cell r="J6620">
            <v>0</v>
          </cell>
          <cell r="K6620">
            <v>0</v>
          </cell>
          <cell r="L6620">
            <v>-9.6</v>
          </cell>
          <cell r="M6620">
            <v>0</v>
          </cell>
          <cell r="N6620">
            <v>0</v>
          </cell>
          <cell r="O6620">
            <v>0</v>
          </cell>
          <cell r="P6620">
            <v>0</v>
          </cell>
          <cell r="Q6620">
            <v>0</v>
          </cell>
          <cell r="R6620">
            <v>0</v>
          </cell>
          <cell r="S6620">
            <v>-0.02</v>
          </cell>
          <cell r="T6620">
            <v>0</v>
          </cell>
          <cell r="U6620" t="b">
            <v>0</v>
          </cell>
        </row>
        <row r="6621">
          <cell r="A6621" t="str">
            <v>Data split-13;Reg-9</v>
          </cell>
          <cell r="B6621">
            <v>-7.8</v>
          </cell>
          <cell r="C6621">
            <v>0</v>
          </cell>
          <cell r="D6621">
            <v>3</v>
          </cell>
          <cell r="E6621">
            <v>0</v>
          </cell>
          <cell r="F6621">
            <v>0</v>
          </cell>
          <cell r="G6621">
            <v>0</v>
          </cell>
          <cell r="H6621">
            <v>0.71</v>
          </cell>
          <cell r="I6621">
            <v>0</v>
          </cell>
          <cell r="J6621">
            <v>0</v>
          </cell>
          <cell r="K6621">
            <v>0</v>
          </cell>
          <cell r="L6621">
            <v>-10.1</v>
          </cell>
          <cell r="M6621">
            <v>0</v>
          </cell>
          <cell r="N6621">
            <v>0</v>
          </cell>
          <cell r="O6621">
            <v>0</v>
          </cell>
          <cell r="P6621">
            <v>0</v>
          </cell>
          <cell r="Q6621">
            <v>0</v>
          </cell>
          <cell r="R6621">
            <v>0</v>
          </cell>
          <cell r="S6621">
            <v>-8.1000000000000003E-2</v>
          </cell>
          <cell r="T6621">
            <v>0</v>
          </cell>
          <cell r="U6621" t="b">
            <v>1</v>
          </cell>
        </row>
        <row r="6622">
          <cell r="A6622" t="str">
            <v>Data split-13;Reg-10</v>
          </cell>
          <cell r="B6622">
            <v>-7.8</v>
          </cell>
          <cell r="C6622">
            <v>0</v>
          </cell>
          <cell r="D6622">
            <v>3</v>
          </cell>
          <cell r="E6622">
            <v>0</v>
          </cell>
          <cell r="F6622">
            <v>0</v>
          </cell>
          <cell r="G6622">
            <v>0</v>
          </cell>
          <cell r="H6622">
            <v>0.71</v>
          </cell>
          <cell r="I6622">
            <v>0</v>
          </cell>
          <cell r="J6622">
            <v>0</v>
          </cell>
          <cell r="K6622">
            <v>0</v>
          </cell>
          <cell r="L6622">
            <v>-10.1</v>
          </cell>
          <cell r="M6622">
            <v>0</v>
          </cell>
          <cell r="N6622">
            <v>0</v>
          </cell>
          <cell r="O6622">
            <v>0</v>
          </cell>
          <cell r="P6622">
            <v>0</v>
          </cell>
          <cell r="Q6622">
            <v>0</v>
          </cell>
          <cell r="R6622">
            <v>0</v>
          </cell>
          <cell r="S6622">
            <v>-8.1000000000000003E-2</v>
          </cell>
          <cell r="T6622">
            <v>0</v>
          </cell>
          <cell r="U6622" t="b">
            <v>1</v>
          </cell>
        </row>
        <row r="6623">
          <cell r="A6623" t="str">
            <v>Data split-13;Reg-11</v>
          </cell>
          <cell r="B6623">
            <v>-6.5</v>
          </cell>
          <cell r="C6623">
            <v>3.3</v>
          </cell>
          <cell r="D6623">
            <v>0</v>
          </cell>
          <cell r="E6623">
            <v>-2</v>
          </cell>
          <cell r="F6623">
            <v>0</v>
          </cell>
          <cell r="G6623">
            <v>0.44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>
            <v>0</v>
          </cell>
          <cell r="M6623">
            <v>0</v>
          </cell>
          <cell r="N6623">
            <v>0</v>
          </cell>
          <cell r="O6623">
            <v>0</v>
          </cell>
          <cell r="P6623">
            <v>0</v>
          </cell>
          <cell r="Q6623">
            <v>0</v>
          </cell>
          <cell r="R6623">
            <v>0</v>
          </cell>
          <cell r="S6623">
            <v>0</v>
          </cell>
          <cell r="T6623">
            <v>0</v>
          </cell>
          <cell r="U6623" t="b">
            <v>0</v>
          </cell>
        </row>
        <row r="6624">
          <cell r="A6624" t="str">
            <v>Data split-13;Reg-12</v>
          </cell>
          <cell r="B6624">
            <v>-6.9</v>
          </cell>
          <cell r="C6624">
            <v>3.2</v>
          </cell>
          <cell r="D6624">
            <v>0</v>
          </cell>
          <cell r="E6624">
            <v>-7.2</v>
          </cell>
          <cell r="F6624">
            <v>0</v>
          </cell>
          <cell r="G6624">
            <v>0</v>
          </cell>
          <cell r="H6624">
            <v>7.5</v>
          </cell>
          <cell r="I6624">
            <v>0</v>
          </cell>
          <cell r="J6624">
            <v>0</v>
          </cell>
          <cell r="K6624">
            <v>0</v>
          </cell>
          <cell r="L6624">
            <v>0</v>
          </cell>
          <cell r="M6624">
            <v>0</v>
          </cell>
          <cell r="N6624">
            <v>0</v>
          </cell>
          <cell r="O6624">
            <v>0</v>
          </cell>
          <cell r="P6624">
            <v>0</v>
          </cell>
          <cell r="Q6624">
            <v>0</v>
          </cell>
          <cell r="R6624">
            <v>0</v>
          </cell>
          <cell r="S6624">
            <v>0</v>
          </cell>
          <cell r="T6624">
            <v>0</v>
          </cell>
          <cell r="U6624" t="b">
            <v>0</v>
          </cell>
        </row>
        <row r="6625">
          <cell r="A6625" t="str">
            <v>Data split-13;Reg-13</v>
          </cell>
          <cell r="B6625">
            <v>-7.9</v>
          </cell>
          <cell r="C6625">
            <v>3.1</v>
          </cell>
          <cell r="D6625">
            <v>0</v>
          </cell>
          <cell r="E6625">
            <v>0</v>
          </cell>
          <cell r="F6625">
            <v>-3.7999999999999999E-2</v>
          </cell>
          <cell r="G6625">
            <v>-0.68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>
            <v>0</v>
          </cell>
          <cell r="M6625">
            <v>0</v>
          </cell>
          <cell r="N6625">
            <v>0</v>
          </cell>
          <cell r="O6625">
            <v>0</v>
          </cell>
          <cell r="P6625">
            <v>0</v>
          </cell>
          <cell r="Q6625">
            <v>0</v>
          </cell>
          <cell r="R6625">
            <v>0</v>
          </cell>
          <cell r="S6625">
            <v>0</v>
          </cell>
          <cell r="T6625">
            <v>0</v>
          </cell>
          <cell r="U6625" t="b">
            <v>0</v>
          </cell>
        </row>
        <row r="6626">
          <cell r="A6626" t="str">
            <v>Data split-13;Reg-14</v>
          </cell>
          <cell r="B6626">
            <v>-8.4</v>
          </cell>
          <cell r="C6626">
            <v>3</v>
          </cell>
          <cell r="D6626">
            <v>0</v>
          </cell>
          <cell r="E6626">
            <v>0</v>
          </cell>
          <cell r="F6626">
            <v>-2.7E-2</v>
          </cell>
          <cell r="G6626">
            <v>0</v>
          </cell>
          <cell r="H6626">
            <v>-0.79</v>
          </cell>
          <cell r="I6626">
            <v>0</v>
          </cell>
          <cell r="J6626">
            <v>0</v>
          </cell>
          <cell r="K6626">
            <v>0</v>
          </cell>
          <cell r="L6626">
            <v>0</v>
          </cell>
          <cell r="M6626">
            <v>0</v>
          </cell>
          <cell r="N6626">
            <v>0</v>
          </cell>
          <cell r="O6626">
            <v>0</v>
          </cell>
          <cell r="P6626">
            <v>0</v>
          </cell>
          <cell r="Q6626">
            <v>0</v>
          </cell>
          <cell r="R6626">
            <v>0</v>
          </cell>
          <cell r="S6626">
            <v>0</v>
          </cell>
          <cell r="T6626">
            <v>0</v>
          </cell>
          <cell r="U6626" t="b">
            <v>0</v>
          </cell>
        </row>
        <row r="6627">
          <cell r="A6627" t="str">
            <v>Data split-13;Reg-15</v>
          </cell>
          <cell r="B6627">
            <v>-4.9000000000000004</v>
          </cell>
          <cell r="C6627">
            <v>3.6</v>
          </cell>
          <cell r="D6627">
            <v>0</v>
          </cell>
          <cell r="E6627">
            <v>-3.8</v>
          </cell>
          <cell r="F6627">
            <v>0</v>
          </cell>
          <cell r="G6627">
            <v>0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>
            <v>0</v>
          </cell>
          <cell r="M6627">
            <v>0.16</v>
          </cell>
          <cell r="N6627">
            <v>0</v>
          </cell>
          <cell r="O6627">
            <v>0</v>
          </cell>
          <cell r="P6627">
            <v>0</v>
          </cell>
          <cell r="Q6627">
            <v>0</v>
          </cell>
          <cell r="R6627">
            <v>0</v>
          </cell>
          <cell r="S6627">
            <v>0</v>
          </cell>
          <cell r="T6627">
            <v>0</v>
          </cell>
          <cell r="U6627" t="b">
            <v>0</v>
          </cell>
        </row>
        <row r="6628">
          <cell r="A6628" t="str">
            <v>Data split-13;Reg-16</v>
          </cell>
          <cell r="B6628">
            <v>-3.9</v>
          </cell>
          <cell r="C6628">
            <v>3.5</v>
          </cell>
          <cell r="D6628">
            <v>0</v>
          </cell>
          <cell r="E6628">
            <v>-4.4000000000000004</v>
          </cell>
          <cell r="F6628">
            <v>0</v>
          </cell>
          <cell r="G6628">
            <v>0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>
            <v>0</v>
          </cell>
          <cell r="M6628">
            <v>0</v>
          </cell>
          <cell r="N6628">
            <v>4.2999999999999997E-2</v>
          </cell>
          <cell r="O6628">
            <v>0</v>
          </cell>
          <cell r="P6628">
            <v>0</v>
          </cell>
          <cell r="Q6628">
            <v>0</v>
          </cell>
          <cell r="R6628">
            <v>0</v>
          </cell>
          <cell r="S6628">
            <v>0</v>
          </cell>
          <cell r="T6628">
            <v>0</v>
          </cell>
          <cell r="U6628" t="b">
            <v>0</v>
          </cell>
        </row>
        <row r="6629">
          <cell r="A6629" t="str">
            <v>Data split-13;Reg-17</v>
          </cell>
          <cell r="B6629">
            <v>-9.1</v>
          </cell>
          <cell r="C6629">
            <v>2.9</v>
          </cell>
          <cell r="D6629">
            <v>0</v>
          </cell>
          <cell r="E6629">
            <v>0</v>
          </cell>
          <cell r="F6629">
            <v>-0.04</v>
          </cell>
          <cell r="G6629">
            <v>0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>
            <v>0</v>
          </cell>
          <cell r="M6629">
            <v>-3.4000000000000002E-2</v>
          </cell>
          <cell r="N6629">
            <v>0</v>
          </cell>
          <cell r="O6629">
            <v>0</v>
          </cell>
          <cell r="P6629">
            <v>0</v>
          </cell>
          <cell r="Q6629">
            <v>0</v>
          </cell>
          <cell r="R6629">
            <v>0</v>
          </cell>
          <cell r="S6629">
            <v>0</v>
          </cell>
          <cell r="T6629">
            <v>0</v>
          </cell>
          <cell r="U6629" t="b">
            <v>0</v>
          </cell>
        </row>
        <row r="6630">
          <cell r="A6630" t="str">
            <v>Data split-13;Reg-18</v>
          </cell>
          <cell r="B6630">
            <v>-9</v>
          </cell>
          <cell r="C6630">
            <v>3</v>
          </cell>
          <cell r="D6630">
            <v>0</v>
          </cell>
          <cell r="E6630">
            <v>0</v>
          </cell>
          <cell r="F6630">
            <v>-3.5999999999999997E-2</v>
          </cell>
          <cell r="G6630">
            <v>0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>
            <v>0</v>
          </cell>
          <cell r="M6630">
            <v>0</v>
          </cell>
          <cell r="N6630">
            <v>-8.0999999999999996E-3</v>
          </cell>
          <cell r="O6630">
            <v>0</v>
          </cell>
          <cell r="P6630">
            <v>0</v>
          </cell>
          <cell r="Q6630">
            <v>0</v>
          </cell>
          <cell r="R6630">
            <v>0</v>
          </cell>
          <cell r="S6630">
            <v>0</v>
          </cell>
          <cell r="T6630">
            <v>0</v>
          </cell>
          <cell r="U6630" t="b">
            <v>0</v>
          </cell>
        </row>
        <row r="6631">
          <cell r="A6631" t="str">
            <v>Data split-13;Reg-19</v>
          </cell>
          <cell r="B6631">
            <v>-7.7</v>
          </cell>
          <cell r="C6631">
            <v>3.1</v>
          </cell>
          <cell r="D6631">
            <v>0</v>
          </cell>
          <cell r="E6631">
            <v>0</v>
          </cell>
          <cell r="F6631">
            <v>0</v>
          </cell>
          <cell r="G6631">
            <v>-0.62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0</v>
          </cell>
          <cell r="M6631">
            <v>0</v>
          </cell>
          <cell r="N6631">
            <v>0</v>
          </cell>
          <cell r="O6631">
            <v>-8.8000000000000005E-3</v>
          </cell>
          <cell r="P6631">
            <v>0</v>
          </cell>
          <cell r="Q6631">
            <v>0</v>
          </cell>
          <cell r="R6631">
            <v>0</v>
          </cell>
          <cell r="S6631">
            <v>0</v>
          </cell>
          <cell r="T6631">
            <v>0</v>
          </cell>
          <cell r="U6631" t="b">
            <v>0</v>
          </cell>
        </row>
        <row r="6632">
          <cell r="A6632" t="str">
            <v>Data split-13;Reg-20</v>
          </cell>
          <cell r="B6632">
            <v>-7.8</v>
          </cell>
          <cell r="C6632">
            <v>3.1</v>
          </cell>
          <cell r="D6632">
            <v>0</v>
          </cell>
          <cell r="E6632">
            <v>0</v>
          </cell>
          <cell r="F6632">
            <v>0</v>
          </cell>
          <cell r="G6632">
            <v>-0.77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0</v>
          </cell>
          <cell r="M6632">
            <v>0</v>
          </cell>
          <cell r="N6632">
            <v>0</v>
          </cell>
          <cell r="O6632">
            <v>0</v>
          </cell>
          <cell r="P6632">
            <v>2E-3</v>
          </cell>
          <cell r="Q6632">
            <v>0</v>
          </cell>
          <cell r="R6632">
            <v>0</v>
          </cell>
          <cell r="S6632">
            <v>0</v>
          </cell>
          <cell r="T6632">
            <v>0</v>
          </cell>
          <cell r="U6632" t="b">
            <v>0</v>
          </cell>
        </row>
        <row r="6633">
          <cell r="A6633" t="str">
            <v>Data split-13;Reg-21</v>
          </cell>
          <cell r="B6633">
            <v>-8.1</v>
          </cell>
          <cell r="C6633">
            <v>3</v>
          </cell>
          <cell r="D6633">
            <v>0</v>
          </cell>
          <cell r="E6633">
            <v>0</v>
          </cell>
          <cell r="F6633">
            <v>0</v>
          </cell>
          <cell r="G6633">
            <v>0</v>
          </cell>
          <cell r="H6633">
            <v>-0.32</v>
          </cell>
          <cell r="I6633">
            <v>0</v>
          </cell>
          <cell r="J6633">
            <v>0</v>
          </cell>
          <cell r="K6633">
            <v>0</v>
          </cell>
          <cell r="L6633">
            <v>0</v>
          </cell>
          <cell r="M6633">
            <v>0</v>
          </cell>
          <cell r="N6633">
            <v>0</v>
          </cell>
          <cell r="O6633">
            <v>-3.7999999999999999E-2</v>
          </cell>
          <cell r="P6633">
            <v>0</v>
          </cell>
          <cell r="Q6633">
            <v>0</v>
          </cell>
          <cell r="R6633">
            <v>0</v>
          </cell>
          <cell r="S6633">
            <v>0</v>
          </cell>
          <cell r="T6633">
            <v>0</v>
          </cell>
          <cell r="U6633" t="b">
            <v>0</v>
          </cell>
        </row>
        <row r="6634">
          <cell r="A6634" t="str">
            <v>Data split-13;Reg-22</v>
          </cell>
          <cell r="B6634">
            <v>-8.3000000000000007</v>
          </cell>
          <cell r="C6634">
            <v>3</v>
          </cell>
          <cell r="D6634">
            <v>0</v>
          </cell>
          <cell r="E6634">
            <v>0</v>
          </cell>
          <cell r="F6634">
            <v>0</v>
          </cell>
          <cell r="G6634">
            <v>0</v>
          </cell>
          <cell r="H6634">
            <v>-0.44</v>
          </cell>
          <cell r="I6634">
            <v>0</v>
          </cell>
          <cell r="J6634">
            <v>0</v>
          </cell>
          <cell r="K6634">
            <v>0</v>
          </cell>
          <cell r="L6634">
            <v>0</v>
          </cell>
          <cell r="M6634">
            <v>0</v>
          </cell>
          <cell r="N6634">
            <v>0</v>
          </cell>
          <cell r="O6634">
            <v>0</v>
          </cell>
          <cell r="P6634">
            <v>-5.5999999999999999E-3</v>
          </cell>
          <cell r="Q6634">
            <v>0</v>
          </cell>
          <cell r="R6634">
            <v>0</v>
          </cell>
          <cell r="S6634">
            <v>0</v>
          </cell>
          <cell r="T6634">
            <v>0</v>
          </cell>
          <cell r="U6634" t="b">
            <v>0</v>
          </cell>
        </row>
        <row r="6635">
          <cell r="A6635" t="str">
            <v>Data split-13;Reg-23</v>
          </cell>
          <cell r="B6635">
            <v>-6.5</v>
          </cell>
          <cell r="C6635">
            <v>0</v>
          </cell>
          <cell r="D6635">
            <v>3.3</v>
          </cell>
          <cell r="E6635">
            <v>-1.9</v>
          </cell>
          <cell r="F6635">
            <v>0</v>
          </cell>
          <cell r="G6635">
            <v>0.44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>
            <v>0</v>
          </cell>
          <cell r="M6635">
            <v>0</v>
          </cell>
          <cell r="N6635">
            <v>0</v>
          </cell>
          <cell r="O6635">
            <v>0</v>
          </cell>
          <cell r="P6635">
            <v>0</v>
          </cell>
          <cell r="Q6635">
            <v>0</v>
          </cell>
          <cell r="R6635">
            <v>0</v>
          </cell>
          <cell r="S6635">
            <v>0</v>
          </cell>
          <cell r="T6635">
            <v>0</v>
          </cell>
          <cell r="U6635" t="b">
            <v>0</v>
          </cell>
        </row>
        <row r="6636">
          <cell r="A6636" t="str">
            <v>Data split-13;Reg-24</v>
          </cell>
          <cell r="B6636">
            <v>-6.9</v>
          </cell>
          <cell r="C6636">
            <v>0</v>
          </cell>
          <cell r="D6636">
            <v>3.2</v>
          </cell>
          <cell r="E6636">
            <v>-7.2</v>
          </cell>
          <cell r="F6636">
            <v>0</v>
          </cell>
          <cell r="G6636">
            <v>0</v>
          </cell>
          <cell r="H6636">
            <v>7.5</v>
          </cell>
          <cell r="I6636">
            <v>0</v>
          </cell>
          <cell r="J6636">
            <v>0</v>
          </cell>
          <cell r="K6636">
            <v>0</v>
          </cell>
          <cell r="L6636">
            <v>0</v>
          </cell>
          <cell r="M6636">
            <v>0</v>
          </cell>
          <cell r="N6636">
            <v>0</v>
          </cell>
          <cell r="O6636">
            <v>0</v>
          </cell>
          <cell r="P6636">
            <v>0</v>
          </cell>
          <cell r="Q6636">
            <v>0</v>
          </cell>
          <cell r="R6636">
            <v>0</v>
          </cell>
          <cell r="S6636">
            <v>0</v>
          </cell>
          <cell r="T6636">
            <v>0</v>
          </cell>
          <cell r="U6636" t="b">
            <v>0</v>
          </cell>
        </row>
        <row r="6637">
          <cell r="A6637" t="str">
            <v>Data split-13;Reg-25</v>
          </cell>
          <cell r="B6637">
            <v>-7.8</v>
          </cell>
          <cell r="C6637">
            <v>0</v>
          </cell>
          <cell r="D6637">
            <v>3.1</v>
          </cell>
          <cell r="E6637">
            <v>0</v>
          </cell>
          <cell r="F6637">
            <v>-3.9E-2</v>
          </cell>
          <cell r="G6637">
            <v>-0.68</v>
          </cell>
          <cell r="H6637">
            <v>0</v>
          </cell>
          <cell r="I6637">
            <v>0</v>
          </cell>
          <cell r="J6637">
            <v>0</v>
          </cell>
          <cell r="K6637">
            <v>0</v>
          </cell>
          <cell r="L6637">
            <v>0</v>
          </cell>
          <cell r="M6637">
            <v>0</v>
          </cell>
          <cell r="N6637">
            <v>0</v>
          </cell>
          <cell r="O6637">
            <v>0</v>
          </cell>
          <cell r="P6637">
            <v>0</v>
          </cell>
          <cell r="Q6637">
            <v>0</v>
          </cell>
          <cell r="R6637">
            <v>0</v>
          </cell>
          <cell r="S6637">
            <v>0</v>
          </cell>
          <cell r="T6637">
            <v>0</v>
          </cell>
          <cell r="U6637" t="b">
            <v>0</v>
          </cell>
        </row>
        <row r="6638">
          <cell r="A6638" t="str">
            <v>Data split-13;Reg-26</v>
          </cell>
          <cell r="B6638">
            <v>-8.3000000000000007</v>
          </cell>
          <cell r="C6638">
            <v>0</v>
          </cell>
          <cell r="D6638">
            <v>3</v>
          </cell>
          <cell r="E6638">
            <v>0</v>
          </cell>
          <cell r="F6638">
            <v>-2.7E-2</v>
          </cell>
          <cell r="G6638">
            <v>0</v>
          </cell>
          <cell r="H6638">
            <v>-0.79</v>
          </cell>
          <cell r="I6638">
            <v>0</v>
          </cell>
          <cell r="J6638">
            <v>0</v>
          </cell>
          <cell r="K6638">
            <v>0</v>
          </cell>
          <cell r="L6638">
            <v>0</v>
          </cell>
          <cell r="M6638">
            <v>0</v>
          </cell>
          <cell r="N6638">
            <v>0</v>
          </cell>
          <cell r="O6638">
            <v>0</v>
          </cell>
          <cell r="P6638">
            <v>0</v>
          </cell>
          <cell r="Q6638">
            <v>0</v>
          </cell>
          <cell r="R6638">
            <v>0</v>
          </cell>
          <cell r="S6638">
            <v>0</v>
          </cell>
          <cell r="T6638">
            <v>0</v>
          </cell>
          <cell r="U6638" t="b">
            <v>0</v>
          </cell>
        </row>
        <row r="6639">
          <cell r="A6639" t="str">
            <v>Data split-13;Reg-27</v>
          </cell>
          <cell r="B6639">
            <v>-4.9000000000000004</v>
          </cell>
          <cell r="C6639">
            <v>0</v>
          </cell>
          <cell r="D6639">
            <v>3.6</v>
          </cell>
          <cell r="E6639">
            <v>-3.8</v>
          </cell>
          <cell r="F6639">
            <v>0</v>
          </cell>
          <cell r="G6639">
            <v>0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>
            <v>0</v>
          </cell>
          <cell r="M6639">
            <v>0.16</v>
          </cell>
          <cell r="N6639">
            <v>0</v>
          </cell>
          <cell r="O6639">
            <v>0</v>
          </cell>
          <cell r="P6639">
            <v>0</v>
          </cell>
          <cell r="Q6639">
            <v>0</v>
          </cell>
          <cell r="R6639">
            <v>0</v>
          </cell>
          <cell r="S6639">
            <v>0</v>
          </cell>
          <cell r="T6639">
            <v>0</v>
          </cell>
          <cell r="U6639" t="b">
            <v>0</v>
          </cell>
        </row>
        <row r="6640">
          <cell r="A6640" t="str">
            <v>Data split-13;Reg-28</v>
          </cell>
          <cell r="B6640">
            <v>-3.9</v>
          </cell>
          <cell r="C6640">
            <v>0</v>
          </cell>
          <cell r="D6640">
            <v>3.5</v>
          </cell>
          <cell r="E6640">
            <v>-4.4000000000000004</v>
          </cell>
          <cell r="F6640">
            <v>0</v>
          </cell>
          <cell r="G6640">
            <v>0</v>
          </cell>
          <cell r="H6640">
            <v>0</v>
          </cell>
          <cell r="I6640">
            <v>0</v>
          </cell>
          <cell r="J6640">
            <v>0</v>
          </cell>
          <cell r="K6640">
            <v>0</v>
          </cell>
          <cell r="L6640">
            <v>0</v>
          </cell>
          <cell r="M6640">
            <v>0</v>
          </cell>
          <cell r="N6640">
            <v>4.2999999999999997E-2</v>
          </cell>
          <cell r="O6640">
            <v>0</v>
          </cell>
          <cell r="P6640">
            <v>0</v>
          </cell>
          <cell r="Q6640">
            <v>0</v>
          </cell>
          <cell r="R6640">
            <v>0</v>
          </cell>
          <cell r="S6640">
            <v>0</v>
          </cell>
          <cell r="T6640">
            <v>0</v>
          </cell>
          <cell r="U6640" t="b">
            <v>0</v>
          </cell>
        </row>
        <row r="6641">
          <cell r="A6641" t="str">
            <v>Data split-13;Reg-29</v>
          </cell>
          <cell r="B6641">
            <v>-9</v>
          </cell>
          <cell r="C6641">
            <v>0</v>
          </cell>
          <cell r="D6641">
            <v>2.9</v>
          </cell>
          <cell r="E6641">
            <v>0</v>
          </cell>
          <cell r="F6641">
            <v>-0.04</v>
          </cell>
          <cell r="G6641">
            <v>0</v>
          </cell>
          <cell r="H6641">
            <v>0</v>
          </cell>
          <cell r="I6641">
            <v>0</v>
          </cell>
          <cell r="J6641">
            <v>0</v>
          </cell>
          <cell r="K6641">
            <v>0</v>
          </cell>
          <cell r="L6641">
            <v>0</v>
          </cell>
          <cell r="M6641">
            <v>-3.3000000000000002E-2</v>
          </cell>
          <cell r="N6641">
            <v>0</v>
          </cell>
          <cell r="O6641">
            <v>0</v>
          </cell>
          <cell r="P6641">
            <v>0</v>
          </cell>
          <cell r="Q6641">
            <v>0</v>
          </cell>
          <cell r="R6641">
            <v>0</v>
          </cell>
          <cell r="S6641">
            <v>0</v>
          </cell>
          <cell r="T6641">
            <v>0</v>
          </cell>
          <cell r="U6641" t="b">
            <v>0</v>
          </cell>
        </row>
        <row r="6642">
          <cell r="A6642" t="str">
            <v>Data split-13;Reg-30</v>
          </cell>
          <cell r="B6642">
            <v>-9</v>
          </cell>
          <cell r="C6642">
            <v>0</v>
          </cell>
          <cell r="D6642">
            <v>3</v>
          </cell>
          <cell r="E6642">
            <v>0</v>
          </cell>
          <cell r="F6642">
            <v>-3.5999999999999997E-2</v>
          </cell>
          <cell r="G6642">
            <v>0</v>
          </cell>
          <cell r="H6642">
            <v>0</v>
          </cell>
          <cell r="I6642">
            <v>0</v>
          </cell>
          <cell r="J6642">
            <v>0</v>
          </cell>
          <cell r="K6642">
            <v>0</v>
          </cell>
          <cell r="L6642">
            <v>0</v>
          </cell>
          <cell r="M6642">
            <v>0</v>
          </cell>
          <cell r="N6642">
            <v>-8.0000000000000002E-3</v>
          </cell>
          <cell r="O6642">
            <v>0</v>
          </cell>
          <cell r="P6642">
            <v>0</v>
          </cell>
          <cell r="Q6642">
            <v>0</v>
          </cell>
          <cell r="R6642">
            <v>0</v>
          </cell>
          <cell r="S6642">
            <v>0</v>
          </cell>
          <cell r="T6642">
            <v>0</v>
          </cell>
          <cell r="U6642" t="b">
            <v>0</v>
          </cell>
        </row>
        <row r="6643">
          <cell r="A6643" t="str">
            <v>Data split-13;Reg-31</v>
          </cell>
          <cell r="B6643">
            <v>-7.7</v>
          </cell>
          <cell r="C6643">
            <v>0</v>
          </cell>
          <cell r="D6643">
            <v>3.1</v>
          </cell>
          <cell r="E6643">
            <v>0</v>
          </cell>
          <cell r="F6643">
            <v>0</v>
          </cell>
          <cell r="G6643">
            <v>-0.62</v>
          </cell>
          <cell r="H6643">
            <v>0</v>
          </cell>
          <cell r="I6643">
            <v>0</v>
          </cell>
          <cell r="J6643">
            <v>0</v>
          </cell>
          <cell r="K6643">
            <v>0</v>
          </cell>
          <cell r="L6643">
            <v>0</v>
          </cell>
          <cell r="M6643">
            <v>0</v>
          </cell>
          <cell r="N6643">
            <v>0</v>
          </cell>
          <cell r="O6643">
            <v>-8.6999999999999994E-3</v>
          </cell>
          <cell r="P6643">
            <v>0</v>
          </cell>
          <cell r="Q6643">
            <v>0</v>
          </cell>
          <cell r="R6643">
            <v>0</v>
          </cell>
          <cell r="S6643">
            <v>0</v>
          </cell>
          <cell r="T6643">
            <v>0</v>
          </cell>
          <cell r="U6643" t="b">
            <v>0</v>
          </cell>
        </row>
        <row r="6644">
          <cell r="A6644" t="str">
            <v>Data split-13;Reg-32</v>
          </cell>
          <cell r="B6644">
            <v>-7.8</v>
          </cell>
          <cell r="C6644">
            <v>0</v>
          </cell>
          <cell r="D6644">
            <v>3.1</v>
          </cell>
          <cell r="E6644">
            <v>0</v>
          </cell>
          <cell r="F6644">
            <v>0</v>
          </cell>
          <cell r="G6644">
            <v>-0.77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>
            <v>0</v>
          </cell>
          <cell r="M6644">
            <v>0</v>
          </cell>
          <cell r="N6644">
            <v>0</v>
          </cell>
          <cell r="O6644">
            <v>0</v>
          </cell>
          <cell r="P6644">
            <v>2E-3</v>
          </cell>
          <cell r="Q6644">
            <v>0</v>
          </cell>
          <cell r="R6644">
            <v>0</v>
          </cell>
          <cell r="S6644">
            <v>0</v>
          </cell>
          <cell r="T6644">
            <v>0</v>
          </cell>
          <cell r="U6644" t="b">
            <v>0</v>
          </cell>
        </row>
        <row r="6645">
          <cell r="A6645" t="str">
            <v>Data split-13;Reg-33</v>
          </cell>
          <cell r="B6645">
            <v>-8.1</v>
          </cell>
          <cell r="C6645">
            <v>0</v>
          </cell>
          <cell r="D6645">
            <v>3</v>
          </cell>
          <cell r="E6645">
            <v>0</v>
          </cell>
          <cell r="F6645">
            <v>0</v>
          </cell>
          <cell r="G6645">
            <v>0</v>
          </cell>
          <cell r="H6645">
            <v>-0.31</v>
          </cell>
          <cell r="I6645">
            <v>0</v>
          </cell>
          <cell r="J6645">
            <v>0</v>
          </cell>
          <cell r="K6645">
            <v>0</v>
          </cell>
          <cell r="L6645">
            <v>0</v>
          </cell>
          <cell r="M6645">
            <v>0</v>
          </cell>
          <cell r="N6645">
            <v>0</v>
          </cell>
          <cell r="O6645">
            <v>-3.7999999999999999E-2</v>
          </cell>
          <cell r="P6645">
            <v>0</v>
          </cell>
          <cell r="Q6645">
            <v>0</v>
          </cell>
          <cell r="R6645">
            <v>0</v>
          </cell>
          <cell r="S6645">
            <v>0</v>
          </cell>
          <cell r="T6645">
            <v>0</v>
          </cell>
          <cell r="U6645" t="b">
            <v>0</v>
          </cell>
        </row>
        <row r="6646">
          <cell r="A6646" t="str">
            <v>Data split-13;Reg-34</v>
          </cell>
          <cell r="B6646">
            <v>-8.3000000000000007</v>
          </cell>
          <cell r="C6646">
            <v>0</v>
          </cell>
          <cell r="D6646">
            <v>3</v>
          </cell>
          <cell r="E6646">
            <v>0</v>
          </cell>
          <cell r="F6646">
            <v>0</v>
          </cell>
          <cell r="G6646">
            <v>0</v>
          </cell>
          <cell r="H6646">
            <v>-0.44</v>
          </cell>
          <cell r="I6646">
            <v>0</v>
          </cell>
          <cell r="J6646">
            <v>0</v>
          </cell>
          <cell r="K6646">
            <v>0</v>
          </cell>
          <cell r="L6646">
            <v>0</v>
          </cell>
          <cell r="M6646">
            <v>0</v>
          </cell>
          <cell r="N6646">
            <v>0</v>
          </cell>
          <cell r="O6646">
            <v>0</v>
          </cell>
          <cell r="P6646">
            <v>-5.5999999999999999E-3</v>
          </cell>
          <cell r="Q6646">
            <v>0</v>
          </cell>
          <cell r="R6646">
            <v>0</v>
          </cell>
          <cell r="S6646">
            <v>0</v>
          </cell>
          <cell r="T6646">
            <v>0</v>
          </cell>
          <cell r="U6646" t="b">
            <v>0</v>
          </cell>
        </row>
        <row r="6647">
          <cell r="A6647" t="str">
            <v>Data split-13;Reg-35</v>
          </cell>
          <cell r="B6647">
            <v>-5</v>
          </cell>
          <cell r="C6647">
            <v>3.6</v>
          </cell>
          <cell r="D6647">
            <v>0</v>
          </cell>
          <cell r="E6647">
            <v>-3.9</v>
          </cell>
          <cell r="F6647">
            <v>0</v>
          </cell>
          <cell r="G6647">
            <v>0.18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>
            <v>0</v>
          </cell>
          <cell r="M6647">
            <v>0.16</v>
          </cell>
          <cell r="N6647">
            <v>0</v>
          </cell>
          <cell r="O6647">
            <v>0</v>
          </cell>
          <cell r="P6647">
            <v>0</v>
          </cell>
          <cell r="Q6647">
            <v>0</v>
          </cell>
          <cell r="R6647">
            <v>0</v>
          </cell>
          <cell r="S6647">
            <v>0</v>
          </cell>
          <cell r="T6647">
            <v>0</v>
          </cell>
          <cell r="U6647" t="b">
            <v>0</v>
          </cell>
        </row>
        <row r="6648">
          <cell r="A6648" t="str">
            <v>Data split-13;Reg-36</v>
          </cell>
          <cell r="B6648">
            <v>-3.9</v>
          </cell>
          <cell r="C6648">
            <v>3.5</v>
          </cell>
          <cell r="D6648">
            <v>0</v>
          </cell>
          <cell r="E6648">
            <v>-4.4000000000000004</v>
          </cell>
          <cell r="F6648">
            <v>0</v>
          </cell>
          <cell r="G6648">
            <v>1.2999999999999999E-2</v>
          </cell>
          <cell r="H6648">
            <v>0</v>
          </cell>
          <cell r="I6648">
            <v>0</v>
          </cell>
          <cell r="J6648">
            <v>0</v>
          </cell>
          <cell r="K6648">
            <v>0</v>
          </cell>
          <cell r="L6648">
            <v>0</v>
          </cell>
          <cell r="M6648">
            <v>0</v>
          </cell>
          <cell r="N6648">
            <v>4.2999999999999997E-2</v>
          </cell>
          <cell r="O6648">
            <v>0</v>
          </cell>
          <cell r="P6648">
            <v>0</v>
          </cell>
          <cell r="Q6648">
            <v>0</v>
          </cell>
          <cell r="R6648">
            <v>0</v>
          </cell>
          <cell r="S6648">
            <v>0</v>
          </cell>
          <cell r="T6648">
            <v>0</v>
          </cell>
          <cell r="U6648" t="b">
            <v>0</v>
          </cell>
        </row>
        <row r="6649">
          <cell r="A6649" t="str">
            <v>Data split-13;Reg-37</v>
          </cell>
          <cell r="B6649">
            <v>-6.6</v>
          </cell>
          <cell r="C6649">
            <v>3.2</v>
          </cell>
          <cell r="D6649">
            <v>0</v>
          </cell>
          <cell r="E6649">
            <v>-7.3</v>
          </cell>
          <cell r="F6649">
            <v>0</v>
          </cell>
          <cell r="G6649">
            <v>0</v>
          </cell>
          <cell r="H6649">
            <v>6.9</v>
          </cell>
          <cell r="I6649">
            <v>0</v>
          </cell>
          <cell r="J6649">
            <v>0</v>
          </cell>
          <cell r="K6649">
            <v>0</v>
          </cell>
          <cell r="L6649">
            <v>0</v>
          </cell>
          <cell r="M6649">
            <v>0.03</v>
          </cell>
          <cell r="N6649">
            <v>0</v>
          </cell>
          <cell r="O6649">
            <v>0</v>
          </cell>
          <cell r="P6649">
            <v>0</v>
          </cell>
          <cell r="Q6649">
            <v>0</v>
          </cell>
          <cell r="R6649">
            <v>0</v>
          </cell>
          <cell r="S6649">
            <v>0</v>
          </cell>
          <cell r="T6649">
            <v>0</v>
          </cell>
          <cell r="U6649" t="b">
            <v>0</v>
          </cell>
        </row>
        <row r="6650">
          <cell r="A6650" t="str">
            <v>Data split-13;Reg-38</v>
          </cell>
          <cell r="B6650">
            <v>-7.1</v>
          </cell>
          <cell r="C6650">
            <v>3.1</v>
          </cell>
          <cell r="D6650">
            <v>0</v>
          </cell>
          <cell r="E6650">
            <v>-7.3</v>
          </cell>
          <cell r="F6650">
            <v>0</v>
          </cell>
          <cell r="G6650">
            <v>0</v>
          </cell>
          <cell r="H6650">
            <v>7.8</v>
          </cell>
          <cell r="I6650">
            <v>0</v>
          </cell>
          <cell r="J6650">
            <v>0</v>
          </cell>
          <cell r="K6650">
            <v>0</v>
          </cell>
          <cell r="L6650">
            <v>0</v>
          </cell>
          <cell r="M6650">
            <v>0</v>
          </cell>
          <cell r="N6650">
            <v>-3.5000000000000001E-3</v>
          </cell>
          <cell r="O6650">
            <v>0</v>
          </cell>
          <cell r="P6650">
            <v>0</v>
          </cell>
          <cell r="Q6650">
            <v>0</v>
          </cell>
          <cell r="R6650">
            <v>0</v>
          </cell>
          <cell r="S6650">
            <v>0</v>
          </cell>
          <cell r="T6650">
            <v>0</v>
          </cell>
          <cell r="U6650" t="b">
            <v>0</v>
          </cell>
        </row>
        <row r="6651">
          <cell r="A6651" t="str">
            <v>Data split-13;Reg-39</v>
          </cell>
          <cell r="B6651">
            <v>-7.8</v>
          </cell>
          <cell r="C6651">
            <v>3.1</v>
          </cell>
          <cell r="D6651">
            <v>0</v>
          </cell>
          <cell r="E6651">
            <v>0</v>
          </cell>
          <cell r="F6651">
            <v>-0.04</v>
          </cell>
          <cell r="G6651">
            <v>-0.87</v>
          </cell>
          <cell r="H6651">
            <v>0</v>
          </cell>
          <cell r="I6651">
            <v>0</v>
          </cell>
          <cell r="J6651">
            <v>0</v>
          </cell>
          <cell r="K6651">
            <v>0</v>
          </cell>
          <cell r="L6651">
            <v>0</v>
          </cell>
          <cell r="M6651">
            <v>2.1000000000000001E-2</v>
          </cell>
          <cell r="N6651">
            <v>0</v>
          </cell>
          <cell r="O6651">
            <v>0</v>
          </cell>
          <cell r="P6651">
            <v>0</v>
          </cell>
          <cell r="Q6651">
            <v>0</v>
          </cell>
          <cell r="R6651">
            <v>0</v>
          </cell>
          <cell r="S6651">
            <v>0</v>
          </cell>
          <cell r="T6651">
            <v>0</v>
          </cell>
          <cell r="U6651" t="b">
            <v>0</v>
          </cell>
        </row>
        <row r="6652">
          <cell r="A6652" t="str">
            <v>Data split-13;Reg-40</v>
          </cell>
          <cell r="B6652">
            <v>-7.8</v>
          </cell>
          <cell r="C6652">
            <v>3.1</v>
          </cell>
          <cell r="D6652">
            <v>0</v>
          </cell>
          <cell r="E6652">
            <v>0</v>
          </cell>
          <cell r="F6652">
            <v>-4.2000000000000003E-2</v>
          </cell>
          <cell r="G6652">
            <v>-0.87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0</v>
          </cell>
          <cell r="M6652">
            <v>0</v>
          </cell>
          <cell r="N6652">
            <v>4.1999999999999997E-3</v>
          </cell>
          <cell r="O6652">
            <v>0</v>
          </cell>
          <cell r="P6652">
            <v>0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 t="b">
            <v>0</v>
          </cell>
        </row>
        <row r="6653">
          <cell r="A6653" t="str">
            <v>Data split-13;Reg-41</v>
          </cell>
          <cell r="B6653">
            <v>-8.1999999999999993</v>
          </cell>
          <cell r="C6653">
            <v>3.1</v>
          </cell>
          <cell r="D6653">
            <v>0</v>
          </cell>
          <cell r="E6653">
            <v>0</v>
          </cell>
          <cell r="F6653">
            <v>-2.3E-2</v>
          </cell>
          <cell r="G6653">
            <v>0</v>
          </cell>
          <cell r="H6653">
            <v>-1</v>
          </cell>
          <cell r="I6653">
            <v>0</v>
          </cell>
          <cell r="J6653">
            <v>0</v>
          </cell>
          <cell r="K6653">
            <v>0</v>
          </cell>
          <cell r="L6653">
            <v>0</v>
          </cell>
          <cell r="M6653">
            <v>1.2999999999999999E-2</v>
          </cell>
          <cell r="N6653">
            <v>0</v>
          </cell>
          <cell r="O6653">
            <v>0</v>
          </cell>
          <cell r="P6653">
            <v>0</v>
          </cell>
          <cell r="Q6653">
            <v>0</v>
          </cell>
          <cell r="R6653">
            <v>0</v>
          </cell>
          <cell r="S6653">
            <v>0</v>
          </cell>
          <cell r="T6653">
            <v>0</v>
          </cell>
          <cell r="U6653" t="b">
            <v>0</v>
          </cell>
        </row>
        <row r="6654">
          <cell r="A6654" t="str">
            <v>Data split-13;Reg-42</v>
          </cell>
          <cell r="B6654">
            <v>-8.4</v>
          </cell>
          <cell r="C6654">
            <v>3</v>
          </cell>
          <cell r="D6654">
            <v>0</v>
          </cell>
          <cell r="E6654">
            <v>0</v>
          </cell>
          <cell r="F6654">
            <v>-2.8000000000000001E-2</v>
          </cell>
          <cell r="G6654">
            <v>0</v>
          </cell>
          <cell r="H6654">
            <v>-0.68</v>
          </cell>
          <cell r="I6654">
            <v>0</v>
          </cell>
          <cell r="J6654">
            <v>0</v>
          </cell>
          <cell r="K6654">
            <v>0</v>
          </cell>
          <cell r="L6654">
            <v>0</v>
          </cell>
          <cell r="M6654">
            <v>0</v>
          </cell>
          <cell r="N6654">
            <v>-1.2999999999999999E-3</v>
          </cell>
          <cell r="O6654">
            <v>0</v>
          </cell>
          <cell r="P6654">
            <v>0</v>
          </cell>
          <cell r="Q6654">
            <v>0</v>
          </cell>
          <cell r="R6654">
            <v>0</v>
          </cell>
          <cell r="S6654">
            <v>0</v>
          </cell>
          <cell r="T6654">
            <v>0</v>
          </cell>
          <cell r="U6654" t="b">
            <v>0</v>
          </cell>
        </row>
        <row r="6655">
          <cell r="A6655" t="str">
            <v>Data split-13;Reg-43</v>
          </cell>
          <cell r="B6655">
            <v>-6.5</v>
          </cell>
          <cell r="C6655">
            <v>3.3</v>
          </cell>
          <cell r="D6655">
            <v>0</v>
          </cell>
          <cell r="E6655">
            <v>-2</v>
          </cell>
          <cell r="F6655">
            <v>0</v>
          </cell>
          <cell r="G6655">
            <v>0.33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0</v>
          </cell>
          <cell r="M6655">
            <v>0</v>
          </cell>
          <cell r="N6655">
            <v>0</v>
          </cell>
          <cell r="O6655">
            <v>1.9E-2</v>
          </cell>
          <cell r="P6655">
            <v>0</v>
          </cell>
          <cell r="Q6655">
            <v>0</v>
          </cell>
          <cell r="R6655">
            <v>0</v>
          </cell>
          <cell r="S6655">
            <v>0</v>
          </cell>
          <cell r="T6655">
            <v>0</v>
          </cell>
          <cell r="U6655" t="b">
            <v>0</v>
          </cell>
        </row>
        <row r="6656">
          <cell r="A6656" t="str">
            <v>Data split-13;Reg-44</v>
          </cell>
          <cell r="B6656">
            <v>-6.4</v>
          </cell>
          <cell r="C6656">
            <v>3.3</v>
          </cell>
          <cell r="D6656">
            <v>0</v>
          </cell>
          <cell r="E6656">
            <v>-2.1</v>
          </cell>
          <cell r="F6656">
            <v>0</v>
          </cell>
          <cell r="G6656">
            <v>0.21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0</v>
          </cell>
          <cell r="M6656">
            <v>0</v>
          </cell>
          <cell r="N6656">
            <v>0</v>
          </cell>
          <cell r="O6656">
            <v>0</v>
          </cell>
          <cell r="P6656">
            <v>7.0000000000000001E-3</v>
          </cell>
          <cell r="Q6656">
            <v>0</v>
          </cell>
          <cell r="R6656">
            <v>0</v>
          </cell>
          <cell r="S6656">
            <v>0</v>
          </cell>
          <cell r="T6656">
            <v>0</v>
          </cell>
          <cell r="U6656" t="b">
            <v>0</v>
          </cell>
        </row>
        <row r="6657">
          <cell r="A6657" t="str">
            <v>Data split-13;Reg-45</v>
          </cell>
          <cell r="B6657">
            <v>-6.8</v>
          </cell>
          <cell r="C6657">
            <v>3.1</v>
          </cell>
          <cell r="D6657">
            <v>0</v>
          </cell>
          <cell r="E6657">
            <v>-7.2</v>
          </cell>
          <cell r="F6657">
            <v>0</v>
          </cell>
          <cell r="G6657">
            <v>0</v>
          </cell>
          <cell r="H6657">
            <v>7.7</v>
          </cell>
          <cell r="I6657">
            <v>0</v>
          </cell>
          <cell r="J6657">
            <v>0</v>
          </cell>
          <cell r="K6657">
            <v>0</v>
          </cell>
          <cell r="L6657">
            <v>0</v>
          </cell>
          <cell r="M6657">
            <v>0</v>
          </cell>
          <cell r="N6657">
            <v>0</v>
          </cell>
          <cell r="O6657">
            <v>-2.4E-2</v>
          </cell>
          <cell r="P6657">
            <v>0</v>
          </cell>
          <cell r="Q6657">
            <v>0</v>
          </cell>
          <cell r="R6657">
            <v>0</v>
          </cell>
          <cell r="S6657">
            <v>0</v>
          </cell>
          <cell r="T6657">
            <v>0</v>
          </cell>
          <cell r="U6657" t="b">
            <v>0</v>
          </cell>
        </row>
        <row r="6658">
          <cell r="A6658" t="str">
            <v>Data split-13;Reg-46</v>
          </cell>
          <cell r="B6658">
            <v>-6.9</v>
          </cell>
          <cell r="C6658">
            <v>3.1</v>
          </cell>
          <cell r="D6658">
            <v>0</v>
          </cell>
          <cell r="E6658">
            <v>-7.3</v>
          </cell>
          <cell r="F6658">
            <v>0</v>
          </cell>
          <cell r="G6658">
            <v>0</v>
          </cell>
          <cell r="H6658">
            <v>8.1</v>
          </cell>
          <cell r="I6658">
            <v>0</v>
          </cell>
          <cell r="J6658">
            <v>0</v>
          </cell>
          <cell r="K6658">
            <v>0</v>
          </cell>
          <cell r="L6658">
            <v>0</v>
          </cell>
          <cell r="M6658">
            <v>0</v>
          </cell>
          <cell r="N6658">
            <v>0</v>
          </cell>
          <cell r="O6658">
            <v>0</v>
          </cell>
          <cell r="P6658">
            <v>-8.0000000000000002E-3</v>
          </cell>
          <cell r="Q6658">
            <v>0</v>
          </cell>
          <cell r="R6658">
            <v>0</v>
          </cell>
          <cell r="S6658">
            <v>0</v>
          </cell>
          <cell r="T6658">
            <v>0</v>
          </cell>
          <cell r="U6658" t="b">
            <v>0</v>
          </cell>
        </row>
        <row r="6659">
          <cell r="A6659" t="str">
            <v>Data split-13;Reg-47</v>
          </cell>
          <cell r="B6659">
            <v>-7.8</v>
          </cell>
          <cell r="C6659">
            <v>3.1</v>
          </cell>
          <cell r="D6659">
            <v>0</v>
          </cell>
          <cell r="E6659">
            <v>0</v>
          </cell>
          <cell r="F6659">
            <v>-3.6999999999999998E-2</v>
          </cell>
          <cell r="G6659">
            <v>-0.63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0</v>
          </cell>
          <cell r="M6659">
            <v>0</v>
          </cell>
          <cell r="N6659">
            <v>0</v>
          </cell>
          <cell r="O6659">
            <v>-6.7999999999999996E-3</v>
          </cell>
          <cell r="P6659">
            <v>0</v>
          </cell>
          <cell r="Q6659">
            <v>0</v>
          </cell>
          <cell r="R6659">
            <v>0</v>
          </cell>
          <cell r="S6659">
            <v>0</v>
          </cell>
          <cell r="T6659">
            <v>0</v>
          </cell>
          <cell r="U6659" t="b">
            <v>0</v>
          </cell>
        </row>
        <row r="6660">
          <cell r="A6660" t="str">
            <v>Data split-13;Reg-48</v>
          </cell>
          <cell r="B6660">
            <v>-7.9</v>
          </cell>
          <cell r="C6660">
            <v>3.1</v>
          </cell>
          <cell r="D6660">
            <v>0</v>
          </cell>
          <cell r="E6660">
            <v>0</v>
          </cell>
          <cell r="F6660">
            <v>-4.2999999999999997E-2</v>
          </cell>
          <cell r="G6660">
            <v>-0.8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0</v>
          </cell>
          <cell r="M6660">
            <v>0</v>
          </cell>
          <cell r="N6660">
            <v>0</v>
          </cell>
          <cell r="O6660">
            <v>0</v>
          </cell>
          <cell r="P6660">
            <v>2.8999999999999998E-3</v>
          </cell>
          <cell r="Q6660">
            <v>0</v>
          </cell>
          <cell r="R6660">
            <v>0</v>
          </cell>
          <cell r="S6660">
            <v>0</v>
          </cell>
          <cell r="T6660">
            <v>0</v>
          </cell>
          <cell r="U6660" t="b">
            <v>0</v>
          </cell>
        </row>
        <row r="6661">
          <cell r="A6661" t="str">
            <v>Data split-13;Reg-49</v>
          </cell>
          <cell r="B6661">
            <v>-8.1999999999999993</v>
          </cell>
          <cell r="C6661">
            <v>3</v>
          </cell>
          <cell r="D6661">
            <v>0</v>
          </cell>
          <cell r="E6661">
            <v>0</v>
          </cell>
          <cell r="F6661">
            <v>-2.9000000000000001E-2</v>
          </cell>
          <cell r="G6661">
            <v>0</v>
          </cell>
          <cell r="H6661">
            <v>-0.27</v>
          </cell>
          <cell r="I6661">
            <v>0</v>
          </cell>
          <cell r="J6661">
            <v>0</v>
          </cell>
          <cell r="K6661">
            <v>0</v>
          </cell>
          <cell r="L6661">
            <v>0</v>
          </cell>
          <cell r="M6661">
            <v>0</v>
          </cell>
          <cell r="N6661">
            <v>0</v>
          </cell>
          <cell r="O6661">
            <v>-3.7999999999999999E-2</v>
          </cell>
          <cell r="P6661">
            <v>0</v>
          </cell>
          <cell r="Q6661">
            <v>0</v>
          </cell>
          <cell r="R6661">
            <v>0</v>
          </cell>
          <cell r="S6661">
            <v>0</v>
          </cell>
          <cell r="T6661">
            <v>0</v>
          </cell>
          <cell r="U6661" t="b">
            <v>0</v>
          </cell>
        </row>
        <row r="6662">
          <cell r="A6662" t="str">
            <v>Data split-13;Reg-50</v>
          </cell>
          <cell r="B6662">
            <v>-8.4</v>
          </cell>
          <cell r="C6662">
            <v>3</v>
          </cell>
          <cell r="D6662">
            <v>0</v>
          </cell>
          <cell r="E6662">
            <v>0</v>
          </cell>
          <cell r="F6662">
            <v>-2.5999999999999999E-2</v>
          </cell>
          <cell r="G6662">
            <v>0</v>
          </cell>
          <cell r="H6662">
            <v>-0.42</v>
          </cell>
          <cell r="I6662">
            <v>0</v>
          </cell>
          <cell r="J6662">
            <v>0</v>
          </cell>
          <cell r="K6662">
            <v>0</v>
          </cell>
          <cell r="L6662">
            <v>0</v>
          </cell>
          <cell r="M6662">
            <v>0</v>
          </cell>
          <cell r="N6662">
            <v>0</v>
          </cell>
          <cell r="O6662">
            <v>0</v>
          </cell>
          <cell r="P6662">
            <v>-5.4999999999999997E-3</v>
          </cell>
          <cell r="Q6662">
            <v>0</v>
          </cell>
          <cell r="R6662">
            <v>0</v>
          </cell>
          <cell r="S6662">
            <v>0</v>
          </cell>
          <cell r="T6662">
            <v>0</v>
          </cell>
          <cell r="U6662" t="b">
            <v>0</v>
          </cell>
        </row>
        <row r="6663">
          <cell r="A6663" t="str">
            <v>Data split-13;Reg-51</v>
          </cell>
          <cell r="B6663">
            <v>-5</v>
          </cell>
          <cell r="C6663">
            <v>0</v>
          </cell>
          <cell r="D6663">
            <v>3.6</v>
          </cell>
          <cell r="E6663">
            <v>-3.9</v>
          </cell>
          <cell r="F6663">
            <v>0</v>
          </cell>
          <cell r="G6663">
            <v>0.18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>
            <v>0</v>
          </cell>
          <cell r="M6663">
            <v>0</v>
          </cell>
          <cell r="N6663">
            <v>0</v>
          </cell>
          <cell r="O6663">
            <v>0.16</v>
          </cell>
          <cell r="P6663">
            <v>0</v>
          </cell>
          <cell r="Q6663">
            <v>0</v>
          </cell>
          <cell r="R6663">
            <v>0</v>
          </cell>
          <cell r="S6663">
            <v>0</v>
          </cell>
          <cell r="T6663">
            <v>0</v>
          </cell>
          <cell r="U6663" t="b">
            <v>0</v>
          </cell>
        </row>
        <row r="6664">
          <cell r="A6664" t="str">
            <v>Data split-13;Reg-52</v>
          </cell>
          <cell r="B6664">
            <v>-3.9</v>
          </cell>
          <cell r="C6664">
            <v>0</v>
          </cell>
          <cell r="D6664">
            <v>3.5</v>
          </cell>
          <cell r="E6664">
            <v>-4.4000000000000004</v>
          </cell>
          <cell r="F6664">
            <v>0</v>
          </cell>
          <cell r="G6664">
            <v>9.2999999999999992E-3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>
            <v>0</v>
          </cell>
          <cell r="M6664">
            <v>0</v>
          </cell>
          <cell r="N6664">
            <v>4.2999999999999997E-2</v>
          </cell>
          <cell r="O6664">
            <v>0</v>
          </cell>
          <cell r="P6664">
            <v>0</v>
          </cell>
          <cell r="Q6664">
            <v>0</v>
          </cell>
          <cell r="R6664">
            <v>0</v>
          </cell>
          <cell r="S6664">
            <v>0</v>
          </cell>
          <cell r="T6664">
            <v>0</v>
          </cell>
          <cell r="U6664" t="b">
            <v>0</v>
          </cell>
        </row>
        <row r="6665">
          <cell r="A6665" t="str">
            <v>Data split-13;Reg-53</v>
          </cell>
          <cell r="B6665">
            <v>-6.6</v>
          </cell>
          <cell r="C6665">
            <v>0</v>
          </cell>
          <cell r="D6665">
            <v>3.2</v>
          </cell>
          <cell r="E6665">
            <v>-7.3</v>
          </cell>
          <cell r="F6665">
            <v>0</v>
          </cell>
          <cell r="G6665">
            <v>0</v>
          </cell>
          <cell r="H6665">
            <v>6.9</v>
          </cell>
          <cell r="I6665">
            <v>0</v>
          </cell>
          <cell r="J6665">
            <v>0</v>
          </cell>
          <cell r="K6665">
            <v>0</v>
          </cell>
          <cell r="L6665">
            <v>0</v>
          </cell>
          <cell r="M6665">
            <v>3.1E-2</v>
          </cell>
          <cell r="N6665">
            <v>0</v>
          </cell>
          <cell r="O6665">
            <v>0</v>
          </cell>
          <cell r="P6665">
            <v>0</v>
          </cell>
          <cell r="Q6665">
            <v>0</v>
          </cell>
          <cell r="R6665">
            <v>0</v>
          </cell>
          <cell r="S6665">
            <v>0</v>
          </cell>
          <cell r="T6665">
            <v>0</v>
          </cell>
          <cell r="U6665" t="b">
            <v>0</v>
          </cell>
        </row>
        <row r="6666">
          <cell r="A6666" t="str">
            <v>Data split-13;Reg-54</v>
          </cell>
          <cell r="B6666">
            <v>-7.1</v>
          </cell>
          <cell r="C6666">
            <v>0</v>
          </cell>
          <cell r="D6666">
            <v>3.1</v>
          </cell>
          <cell r="E6666">
            <v>-7.2</v>
          </cell>
          <cell r="F6666">
            <v>0</v>
          </cell>
          <cell r="G6666">
            <v>0</v>
          </cell>
          <cell r="H6666">
            <v>7.8</v>
          </cell>
          <cell r="I6666">
            <v>0</v>
          </cell>
          <cell r="J6666">
            <v>0</v>
          </cell>
          <cell r="K6666">
            <v>0</v>
          </cell>
          <cell r="L6666">
            <v>0</v>
          </cell>
          <cell r="M6666">
            <v>0</v>
          </cell>
          <cell r="N6666">
            <v>-3.3E-3</v>
          </cell>
          <cell r="O6666">
            <v>0</v>
          </cell>
          <cell r="P6666">
            <v>0</v>
          </cell>
          <cell r="Q6666">
            <v>0</v>
          </cell>
          <cell r="R6666">
            <v>0</v>
          </cell>
          <cell r="S6666">
            <v>0</v>
          </cell>
          <cell r="T6666">
            <v>0</v>
          </cell>
          <cell r="U6666" t="b">
            <v>0</v>
          </cell>
        </row>
        <row r="6667">
          <cell r="A6667" t="str">
            <v>Data split-13;Reg-55</v>
          </cell>
          <cell r="B6667">
            <v>-7.8</v>
          </cell>
          <cell r="C6667">
            <v>0</v>
          </cell>
          <cell r="D6667">
            <v>3.1</v>
          </cell>
          <cell r="E6667">
            <v>0</v>
          </cell>
          <cell r="F6667">
            <v>-4.1000000000000002E-2</v>
          </cell>
          <cell r="G6667">
            <v>-0.87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>
            <v>0</v>
          </cell>
          <cell r="M6667">
            <v>2.1999999999999999E-2</v>
          </cell>
          <cell r="N6667">
            <v>0</v>
          </cell>
          <cell r="O6667">
            <v>0</v>
          </cell>
          <cell r="P6667">
            <v>0</v>
          </cell>
          <cell r="Q6667">
            <v>0</v>
          </cell>
          <cell r="R6667">
            <v>0</v>
          </cell>
          <cell r="S6667">
            <v>0</v>
          </cell>
          <cell r="T6667">
            <v>0</v>
          </cell>
          <cell r="U6667" t="b">
            <v>0</v>
          </cell>
        </row>
        <row r="6668">
          <cell r="A6668" t="str">
            <v>Data split-13;Reg-56</v>
          </cell>
          <cell r="B6668">
            <v>-7.8</v>
          </cell>
          <cell r="C6668">
            <v>0</v>
          </cell>
          <cell r="D6668">
            <v>3.1</v>
          </cell>
          <cell r="E6668">
            <v>0</v>
          </cell>
          <cell r="F6668">
            <v>-4.2000000000000003E-2</v>
          </cell>
          <cell r="G6668">
            <v>-0.87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>
            <v>0</v>
          </cell>
          <cell r="M6668">
            <v>0</v>
          </cell>
          <cell r="N6668">
            <v>4.3E-3</v>
          </cell>
          <cell r="O6668">
            <v>0</v>
          </cell>
          <cell r="P6668">
            <v>0</v>
          </cell>
          <cell r="Q6668">
            <v>0</v>
          </cell>
          <cell r="R6668">
            <v>0</v>
          </cell>
          <cell r="S6668">
            <v>0</v>
          </cell>
          <cell r="T6668">
            <v>0</v>
          </cell>
          <cell r="U6668" t="b">
            <v>0</v>
          </cell>
        </row>
        <row r="6669">
          <cell r="A6669" t="str">
            <v>Data split-13;Reg-57</v>
          </cell>
          <cell r="B6669">
            <v>-8.1999999999999993</v>
          </cell>
          <cell r="C6669">
            <v>0</v>
          </cell>
          <cell r="D6669">
            <v>3.1</v>
          </cell>
          <cell r="E6669">
            <v>0</v>
          </cell>
          <cell r="F6669">
            <v>-2.4E-2</v>
          </cell>
          <cell r="G6669">
            <v>0</v>
          </cell>
          <cell r="H6669">
            <v>-1</v>
          </cell>
          <cell r="I6669">
            <v>0</v>
          </cell>
          <cell r="J6669">
            <v>0</v>
          </cell>
          <cell r="K6669">
            <v>0</v>
          </cell>
          <cell r="L6669">
            <v>0</v>
          </cell>
          <cell r="M6669">
            <v>1.2999999999999999E-2</v>
          </cell>
          <cell r="N6669">
            <v>0</v>
          </cell>
          <cell r="O6669">
            <v>0</v>
          </cell>
          <cell r="P6669">
            <v>0</v>
          </cell>
          <cell r="Q6669">
            <v>0</v>
          </cell>
          <cell r="R6669">
            <v>0</v>
          </cell>
          <cell r="S6669">
            <v>0</v>
          </cell>
          <cell r="T6669">
            <v>0</v>
          </cell>
          <cell r="U6669" t="b">
            <v>0</v>
          </cell>
        </row>
        <row r="6670">
          <cell r="A6670" t="str">
            <v>Data split-13;Reg-58</v>
          </cell>
          <cell r="B6670">
            <v>-8.4</v>
          </cell>
          <cell r="C6670">
            <v>0</v>
          </cell>
          <cell r="D6670">
            <v>3</v>
          </cell>
          <cell r="E6670">
            <v>0</v>
          </cell>
          <cell r="F6670">
            <v>-2.8000000000000001E-2</v>
          </cell>
          <cell r="G6670">
            <v>0</v>
          </cell>
          <cell r="H6670">
            <v>-0.69</v>
          </cell>
          <cell r="I6670">
            <v>0</v>
          </cell>
          <cell r="J6670">
            <v>0</v>
          </cell>
          <cell r="K6670">
            <v>0</v>
          </cell>
          <cell r="L6670">
            <v>0</v>
          </cell>
          <cell r="M6670">
            <v>0</v>
          </cell>
          <cell r="N6670">
            <v>-1.1000000000000001E-3</v>
          </cell>
          <cell r="O6670">
            <v>0</v>
          </cell>
          <cell r="P6670">
            <v>0</v>
          </cell>
          <cell r="Q6670">
            <v>0</v>
          </cell>
          <cell r="R6670">
            <v>0</v>
          </cell>
          <cell r="S6670">
            <v>0</v>
          </cell>
          <cell r="T6670">
            <v>0</v>
          </cell>
          <cell r="U6670" t="b">
            <v>0</v>
          </cell>
        </row>
        <row r="6671">
          <cell r="A6671" t="str">
            <v>Data split-13;Reg-59</v>
          </cell>
          <cell r="B6671">
            <v>-6.5</v>
          </cell>
          <cell r="C6671">
            <v>0</v>
          </cell>
          <cell r="D6671">
            <v>3.3</v>
          </cell>
          <cell r="E6671">
            <v>-2</v>
          </cell>
          <cell r="F6671">
            <v>0</v>
          </cell>
          <cell r="G6671">
            <v>0.33</v>
          </cell>
          <cell r="H6671">
            <v>0</v>
          </cell>
          <cell r="I6671">
            <v>0</v>
          </cell>
          <cell r="J6671">
            <v>0</v>
          </cell>
          <cell r="K6671">
            <v>0</v>
          </cell>
          <cell r="L6671">
            <v>0</v>
          </cell>
          <cell r="M6671">
            <v>0</v>
          </cell>
          <cell r="N6671">
            <v>0</v>
          </cell>
          <cell r="O6671">
            <v>1.9E-2</v>
          </cell>
          <cell r="P6671">
            <v>0</v>
          </cell>
          <cell r="Q6671">
            <v>0</v>
          </cell>
          <cell r="R6671">
            <v>0</v>
          </cell>
          <cell r="S6671">
            <v>0</v>
          </cell>
          <cell r="T6671">
            <v>0</v>
          </cell>
          <cell r="U6671" t="b">
            <v>0</v>
          </cell>
        </row>
        <row r="6672">
          <cell r="A6672" t="str">
            <v>Data split-13;Reg-60</v>
          </cell>
          <cell r="B6672">
            <v>-6.4</v>
          </cell>
          <cell r="C6672">
            <v>0</v>
          </cell>
          <cell r="D6672">
            <v>3.3</v>
          </cell>
          <cell r="E6672">
            <v>-2.1</v>
          </cell>
          <cell r="F6672">
            <v>0</v>
          </cell>
          <cell r="G6672">
            <v>0.21</v>
          </cell>
          <cell r="H6672">
            <v>0</v>
          </cell>
          <cell r="I6672">
            <v>0</v>
          </cell>
          <cell r="J6672">
            <v>0</v>
          </cell>
          <cell r="K6672">
            <v>0</v>
          </cell>
          <cell r="L6672">
            <v>0</v>
          </cell>
          <cell r="M6672">
            <v>0</v>
          </cell>
          <cell r="N6672">
            <v>0</v>
          </cell>
          <cell r="O6672">
            <v>0</v>
          </cell>
          <cell r="P6672">
            <v>7.0000000000000001E-3</v>
          </cell>
          <cell r="Q6672">
            <v>0</v>
          </cell>
          <cell r="R6672">
            <v>0</v>
          </cell>
          <cell r="S6672">
            <v>0</v>
          </cell>
          <cell r="T6672">
            <v>0</v>
          </cell>
          <cell r="U6672" t="b">
            <v>0</v>
          </cell>
        </row>
        <row r="6673">
          <cell r="A6673" t="str">
            <v>Data split-13;Reg-61</v>
          </cell>
          <cell r="B6673">
            <v>-6.8</v>
          </cell>
          <cell r="C6673">
            <v>0</v>
          </cell>
          <cell r="D6673">
            <v>3.1</v>
          </cell>
          <cell r="E6673">
            <v>-7.2</v>
          </cell>
          <cell r="F6673">
            <v>0</v>
          </cell>
          <cell r="G6673">
            <v>0</v>
          </cell>
          <cell r="H6673">
            <v>7.7</v>
          </cell>
          <cell r="I6673">
            <v>0</v>
          </cell>
          <cell r="J6673">
            <v>0</v>
          </cell>
          <cell r="K6673">
            <v>0</v>
          </cell>
          <cell r="L6673">
            <v>0</v>
          </cell>
          <cell r="M6673">
            <v>0</v>
          </cell>
          <cell r="N6673">
            <v>0</v>
          </cell>
          <cell r="O6673">
            <v>-2.4E-2</v>
          </cell>
          <cell r="P6673">
            <v>0</v>
          </cell>
          <cell r="Q6673">
            <v>0</v>
          </cell>
          <cell r="R6673">
            <v>0</v>
          </cell>
          <cell r="S6673">
            <v>0</v>
          </cell>
          <cell r="T6673">
            <v>0</v>
          </cell>
          <cell r="U6673" t="b">
            <v>0</v>
          </cell>
        </row>
        <row r="6674">
          <cell r="A6674" t="str">
            <v>Data split-13;Reg-62</v>
          </cell>
          <cell r="B6674">
            <v>-6.9</v>
          </cell>
          <cell r="C6674">
            <v>0</v>
          </cell>
          <cell r="D6674">
            <v>3.1</v>
          </cell>
          <cell r="E6674">
            <v>-7.3</v>
          </cell>
          <cell r="F6674">
            <v>0</v>
          </cell>
          <cell r="G6674">
            <v>0</v>
          </cell>
          <cell r="H6674">
            <v>8.1</v>
          </cell>
          <cell r="I6674">
            <v>0</v>
          </cell>
          <cell r="J6674">
            <v>0</v>
          </cell>
          <cell r="K6674">
            <v>0</v>
          </cell>
          <cell r="L6674">
            <v>0</v>
          </cell>
          <cell r="M6674">
            <v>0</v>
          </cell>
          <cell r="N6674">
            <v>0</v>
          </cell>
          <cell r="O6674">
            <v>0</v>
          </cell>
          <cell r="P6674">
            <v>-8.0999999999999996E-3</v>
          </cell>
          <cell r="Q6674">
            <v>0</v>
          </cell>
          <cell r="R6674">
            <v>0</v>
          </cell>
          <cell r="S6674">
            <v>0</v>
          </cell>
          <cell r="T6674">
            <v>0</v>
          </cell>
          <cell r="U6674" t="b">
            <v>0</v>
          </cell>
        </row>
        <row r="6675">
          <cell r="A6675" t="str">
            <v>Data split-13;Reg-63</v>
          </cell>
          <cell r="B6675">
            <v>-7.8</v>
          </cell>
          <cell r="C6675">
            <v>0</v>
          </cell>
          <cell r="D6675">
            <v>3.1</v>
          </cell>
          <cell r="E6675">
            <v>0</v>
          </cell>
          <cell r="F6675">
            <v>-3.7999999999999999E-2</v>
          </cell>
          <cell r="G6675">
            <v>-0.63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>
            <v>0</v>
          </cell>
          <cell r="M6675">
            <v>0</v>
          </cell>
          <cell r="N6675">
            <v>0</v>
          </cell>
          <cell r="O6675">
            <v>-6.7000000000000002E-3</v>
          </cell>
          <cell r="P6675">
            <v>0</v>
          </cell>
          <cell r="Q6675">
            <v>0</v>
          </cell>
          <cell r="R6675">
            <v>0</v>
          </cell>
          <cell r="S6675">
            <v>0</v>
          </cell>
          <cell r="T6675">
            <v>0</v>
          </cell>
          <cell r="U6675" t="b">
            <v>0</v>
          </cell>
        </row>
        <row r="6676">
          <cell r="A6676" t="str">
            <v>Data split-13;Reg-64</v>
          </cell>
          <cell r="B6676">
            <v>-7.9</v>
          </cell>
          <cell r="C6676">
            <v>0</v>
          </cell>
          <cell r="D6676">
            <v>3.1</v>
          </cell>
          <cell r="E6676">
            <v>0</v>
          </cell>
          <cell r="F6676">
            <v>-4.2999999999999997E-2</v>
          </cell>
          <cell r="G6676">
            <v>-0.8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>
            <v>0</v>
          </cell>
          <cell r="M6676">
            <v>0</v>
          </cell>
          <cell r="N6676">
            <v>0</v>
          </cell>
          <cell r="O6676">
            <v>0</v>
          </cell>
          <cell r="P6676">
            <v>2.8999999999999998E-3</v>
          </cell>
          <cell r="Q6676">
            <v>0</v>
          </cell>
          <cell r="R6676">
            <v>0</v>
          </cell>
          <cell r="S6676">
            <v>0</v>
          </cell>
          <cell r="T6676">
            <v>0</v>
          </cell>
          <cell r="U6676" t="b">
            <v>0</v>
          </cell>
        </row>
        <row r="6677">
          <cell r="A6677" t="str">
            <v>Data split-13;Reg-65</v>
          </cell>
          <cell r="B6677">
            <v>-8.1999999999999993</v>
          </cell>
          <cell r="C6677">
            <v>0</v>
          </cell>
          <cell r="D6677">
            <v>3</v>
          </cell>
          <cell r="E6677">
            <v>0</v>
          </cell>
          <cell r="F6677">
            <v>-0.03</v>
          </cell>
          <cell r="G6677">
            <v>0</v>
          </cell>
          <cell r="H6677">
            <v>-0.27</v>
          </cell>
          <cell r="I6677">
            <v>0</v>
          </cell>
          <cell r="J6677">
            <v>0</v>
          </cell>
          <cell r="K6677">
            <v>0</v>
          </cell>
          <cell r="L6677">
            <v>0</v>
          </cell>
          <cell r="M6677">
            <v>0</v>
          </cell>
          <cell r="N6677">
            <v>0</v>
          </cell>
          <cell r="O6677">
            <v>-3.7999999999999999E-2</v>
          </cell>
          <cell r="P6677">
            <v>0</v>
          </cell>
          <cell r="Q6677">
            <v>0</v>
          </cell>
          <cell r="R6677">
            <v>0</v>
          </cell>
          <cell r="S6677">
            <v>0</v>
          </cell>
          <cell r="T6677">
            <v>0</v>
          </cell>
          <cell r="U6677" t="b">
            <v>0</v>
          </cell>
        </row>
        <row r="6678">
          <cell r="A6678" t="str">
            <v>Data split-13;Reg-66</v>
          </cell>
          <cell r="B6678">
            <v>-8.4</v>
          </cell>
          <cell r="C6678">
            <v>0</v>
          </cell>
          <cell r="D6678">
            <v>3</v>
          </cell>
          <cell r="E6678">
            <v>0</v>
          </cell>
          <cell r="F6678">
            <v>-2.5999999999999999E-2</v>
          </cell>
          <cell r="G6678">
            <v>0</v>
          </cell>
          <cell r="H6678">
            <v>-0.41</v>
          </cell>
          <cell r="I6678">
            <v>0</v>
          </cell>
          <cell r="J6678">
            <v>0</v>
          </cell>
          <cell r="K6678">
            <v>0</v>
          </cell>
          <cell r="L6678">
            <v>0</v>
          </cell>
          <cell r="M6678">
            <v>0</v>
          </cell>
          <cell r="N6678">
            <v>0</v>
          </cell>
          <cell r="O6678">
            <v>0</v>
          </cell>
          <cell r="P6678">
            <v>-5.4999999999999997E-3</v>
          </cell>
          <cell r="Q6678">
            <v>0</v>
          </cell>
          <cell r="R6678">
            <v>0</v>
          </cell>
          <cell r="S6678">
            <v>0</v>
          </cell>
          <cell r="T6678">
            <v>0</v>
          </cell>
          <cell r="U6678" t="b">
            <v>0</v>
          </cell>
        </row>
        <row r="6679">
          <cell r="A6679" t="str">
            <v>Data split-13;Reg-67</v>
          </cell>
          <cell r="B6679">
            <v>-7.8</v>
          </cell>
          <cell r="C6679">
            <v>3.1</v>
          </cell>
          <cell r="D6679">
            <v>0</v>
          </cell>
          <cell r="E6679">
            <v>0</v>
          </cell>
          <cell r="F6679">
            <v>0</v>
          </cell>
          <cell r="G6679">
            <v>-0.69</v>
          </cell>
          <cell r="H6679">
            <v>0</v>
          </cell>
          <cell r="I6679">
            <v>0</v>
          </cell>
          <cell r="J6679">
            <v>0</v>
          </cell>
          <cell r="K6679">
            <v>0</v>
          </cell>
          <cell r="L6679">
            <v>0</v>
          </cell>
          <cell r="M6679">
            <v>0</v>
          </cell>
          <cell r="N6679">
            <v>0</v>
          </cell>
          <cell r="O6679">
            <v>0</v>
          </cell>
          <cell r="P6679">
            <v>0</v>
          </cell>
          <cell r="Q6679">
            <v>0</v>
          </cell>
          <cell r="R6679">
            <v>0</v>
          </cell>
          <cell r="S6679">
            <v>0</v>
          </cell>
          <cell r="T6679">
            <v>0</v>
          </cell>
          <cell r="U6679" t="b">
            <v>0</v>
          </cell>
        </row>
        <row r="6680">
          <cell r="A6680" t="str">
            <v>Data split-13;Reg-68</v>
          </cell>
          <cell r="B6680">
            <v>-7.9</v>
          </cell>
          <cell r="C6680">
            <v>3.1</v>
          </cell>
          <cell r="D6680">
            <v>0</v>
          </cell>
          <cell r="E6680">
            <v>0</v>
          </cell>
          <cell r="F6680">
            <v>-3.7999999999999999E-2</v>
          </cell>
          <cell r="G6680">
            <v>-0.68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>
            <v>0</v>
          </cell>
          <cell r="M6680">
            <v>0</v>
          </cell>
          <cell r="N6680">
            <v>0</v>
          </cell>
          <cell r="O6680">
            <v>0</v>
          </cell>
          <cell r="P6680">
            <v>0</v>
          </cell>
          <cell r="Q6680">
            <v>0</v>
          </cell>
          <cell r="R6680">
            <v>0</v>
          </cell>
          <cell r="S6680">
            <v>0</v>
          </cell>
          <cell r="T6680">
            <v>0</v>
          </cell>
          <cell r="U6680" t="b">
            <v>0</v>
          </cell>
        </row>
        <row r="6681">
          <cell r="A6681" t="str">
            <v>Data split-13;Reg-69</v>
          </cell>
          <cell r="B6681">
            <v>-9.5</v>
          </cell>
          <cell r="C6681">
            <v>3</v>
          </cell>
          <cell r="D6681">
            <v>0</v>
          </cell>
          <cell r="E6681">
            <v>0</v>
          </cell>
          <cell r="F6681">
            <v>0</v>
          </cell>
          <cell r="G6681">
            <v>-0.96</v>
          </cell>
          <cell r="H6681">
            <v>0</v>
          </cell>
          <cell r="I6681">
            <v>0</v>
          </cell>
          <cell r="J6681">
            <v>19.600000000000001</v>
          </cell>
          <cell r="K6681">
            <v>0</v>
          </cell>
          <cell r="L6681">
            <v>0</v>
          </cell>
          <cell r="M6681">
            <v>0</v>
          </cell>
          <cell r="N6681">
            <v>0</v>
          </cell>
          <cell r="O6681">
            <v>0</v>
          </cell>
          <cell r="P6681">
            <v>0</v>
          </cell>
          <cell r="Q6681">
            <v>0</v>
          </cell>
          <cell r="R6681">
            <v>0</v>
          </cell>
          <cell r="S6681">
            <v>0</v>
          </cell>
          <cell r="T6681">
            <v>0</v>
          </cell>
          <cell r="U6681" t="b">
            <v>0</v>
          </cell>
        </row>
        <row r="6682">
          <cell r="A6682" t="str">
            <v>Data split-13;Reg-70</v>
          </cell>
          <cell r="B6682">
            <v>-9.5</v>
          </cell>
          <cell r="C6682">
            <v>3</v>
          </cell>
          <cell r="D6682">
            <v>0</v>
          </cell>
          <cell r="E6682">
            <v>0</v>
          </cell>
          <cell r="F6682">
            <v>0</v>
          </cell>
          <cell r="G6682">
            <v>-0.73</v>
          </cell>
          <cell r="H6682">
            <v>0</v>
          </cell>
          <cell r="I6682">
            <v>0</v>
          </cell>
          <cell r="J6682">
            <v>20.3</v>
          </cell>
          <cell r="K6682">
            <v>0</v>
          </cell>
          <cell r="L6682">
            <v>0</v>
          </cell>
          <cell r="M6682">
            <v>0</v>
          </cell>
          <cell r="N6682">
            <v>0</v>
          </cell>
          <cell r="O6682">
            <v>0</v>
          </cell>
          <cell r="P6682">
            <v>0</v>
          </cell>
          <cell r="Q6682">
            <v>0</v>
          </cell>
          <cell r="R6682">
            <v>0</v>
          </cell>
          <cell r="S6682">
            <v>-0.03</v>
          </cell>
          <cell r="T6682">
            <v>0</v>
          </cell>
          <cell r="U6682" t="b">
            <v>0</v>
          </cell>
        </row>
        <row r="6683">
          <cell r="A6683" t="str">
            <v>Data split-13;Reg-71</v>
          </cell>
          <cell r="B6683">
            <v>-8.6999999999999993</v>
          </cell>
          <cell r="C6683">
            <v>2.9</v>
          </cell>
          <cell r="D6683">
            <v>0</v>
          </cell>
          <cell r="E6683">
            <v>0</v>
          </cell>
          <cell r="F6683">
            <v>-4.3999999999999997E-2</v>
          </cell>
          <cell r="G6683">
            <v>0</v>
          </cell>
          <cell r="H6683">
            <v>0.43</v>
          </cell>
          <cell r="I6683">
            <v>0</v>
          </cell>
          <cell r="J6683">
            <v>0</v>
          </cell>
          <cell r="K6683">
            <v>0</v>
          </cell>
          <cell r="L6683">
            <v>0</v>
          </cell>
          <cell r="M6683">
            <v>0</v>
          </cell>
          <cell r="N6683">
            <v>0</v>
          </cell>
          <cell r="O6683">
            <v>0</v>
          </cell>
          <cell r="P6683">
            <v>0</v>
          </cell>
          <cell r="Q6683">
            <v>0</v>
          </cell>
          <cell r="R6683">
            <v>0</v>
          </cell>
          <cell r="S6683">
            <v>-7.0999999999999994E-2</v>
          </cell>
          <cell r="T6683">
            <v>0</v>
          </cell>
          <cell r="U6683" t="b">
            <v>0</v>
          </cell>
        </row>
        <row r="6684">
          <cell r="A6684" t="str">
            <v>Data split-13;Reg-72</v>
          </cell>
          <cell r="B6684">
            <v>-6.3</v>
          </cell>
          <cell r="C6684">
            <v>3.3</v>
          </cell>
          <cell r="D6684">
            <v>0</v>
          </cell>
          <cell r="E6684">
            <v>-1.5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0</v>
          </cell>
          <cell r="M6684">
            <v>0</v>
          </cell>
          <cell r="N6684">
            <v>0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 t="b">
            <v>0</v>
          </cell>
        </row>
        <row r="6685">
          <cell r="A6685" t="str">
            <v>Data split-13;Reg-73</v>
          </cell>
          <cell r="B6685">
            <v>-9.9</v>
          </cell>
          <cell r="C6685">
            <v>2.8</v>
          </cell>
          <cell r="D6685">
            <v>0</v>
          </cell>
          <cell r="E6685">
            <v>0</v>
          </cell>
          <cell r="F6685">
            <v>-4.5999999999999999E-2</v>
          </cell>
          <cell r="G6685">
            <v>0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0</v>
          </cell>
          <cell r="M6685">
            <v>0</v>
          </cell>
          <cell r="N6685">
            <v>0</v>
          </cell>
          <cell r="O6685">
            <v>0</v>
          </cell>
          <cell r="P6685">
            <v>0</v>
          </cell>
          <cell r="Q6685">
            <v>0</v>
          </cell>
          <cell r="R6685">
            <v>0</v>
          </cell>
          <cell r="S6685">
            <v>0</v>
          </cell>
          <cell r="T6685">
            <v>0</v>
          </cell>
          <cell r="U6685" t="b">
            <v>0</v>
          </cell>
        </row>
        <row r="6686">
          <cell r="A6686" t="str">
            <v>Data split-13;Reg-74</v>
          </cell>
          <cell r="B6686">
            <v>-6.3</v>
          </cell>
          <cell r="C6686">
            <v>0</v>
          </cell>
          <cell r="D6686">
            <v>3.3</v>
          </cell>
          <cell r="E6686">
            <v>-1.4</v>
          </cell>
          <cell r="F6686">
            <v>0</v>
          </cell>
          <cell r="G6686">
            <v>0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>
            <v>0</v>
          </cell>
          <cell r="M6686">
            <v>0</v>
          </cell>
          <cell r="N6686">
            <v>0</v>
          </cell>
          <cell r="O6686">
            <v>0</v>
          </cell>
          <cell r="P6686">
            <v>0</v>
          </cell>
          <cell r="Q6686">
            <v>0</v>
          </cell>
          <cell r="R6686">
            <v>0</v>
          </cell>
          <cell r="S6686">
            <v>0</v>
          </cell>
          <cell r="T6686">
            <v>0</v>
          </cell>
          <cell r="U6686" t="b">
            <v>0</v>
          </cell>
        </row>
        <row r="6687">
          <cell r="A6687" t="str">
            <v>Data split-13;Reg-75</v>
          </cell>
          <cell r="B6687">
            <v>-9.9</v>
          </cell>
          <cell r="C6687">
            <v>0</v>
          </cell>
          <cell r="D6687">
            <v>2.8</v>
          </cell>
          <cell r="E6687">
            <v>0</v>
          </cell>
          <cell r="F6687">
            <v>-4.5999999999999999E-2</v>
          </cell>
          <cell r="G6687">
            <v>0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>
            <v>0</v>
          </cell>
          <cell r="M6687">
            <v>0</v>
          </cell>
          <cell r="N6687">
            <v>0</v>
          </cell>
          <cell r="O6687">
            <v>0</v>
          </cell>
          <cell r="P6687">
            <v>0</v>
          </cell>
          <cell r="Q6687">
            <v>0</v>
          </cell>
          <cell r="R6687">
            <v>0</v>
          </cell>
          <cell r="S6687">
            <v>0</v>
          </cell>
          <cell r="T6687">
            <v>0</v>
          </cell>
          <cell r="U6687" t="b">
            <v>0</v>
          </cell>
        </row>
        <row r="6688">
          <cell r="A6688" t="str">
            <v>Data split-13;Reg-76</v>
          </cell>
          <cell r="B6688">
            <v>-7.8</v>
          </cell>
          <cell r="C6688">
            <v>3.1</v>
          </cell>
          <cell r="D6688">
            <v>0</v>
          </cell>
          <cell r="E6688">
            <v>0</v>
          </cell>
          <cell r="F6688">
            <v>0</v>
          </cell>
          <cell r="G6688">
            <v>-0.69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>
            <v>0</v>
          </cell>
          <cell r="M6688">
            <v>0</v>
          </cell>
          <cell r="N6688">
            <v>0</v>
          </cell>
          <cell r="O6688">
            <v>0</v>
          </cell>
          <cell r="P6688">
            <v>0</v>
          </cell>
          <cell r="Q6688">
            <v>0</v>
          </cell>
          <cell r="R6688">
            <v>0</v>
          </cell>
          <cell r="S6688">
            <v>0</v>
          </cell>
          <cell r="T6688">
            <v>0</v>
          </cell>
          <cell r="U6688" t="b">
            <v>0</v>
          </cell>
        </row>
        <row r="6689">
          <cell r="A6689" t="str">
            <v>Data split-13;Reg-77</v>
          </cell>
          <cell r="B6689">
            <v>-8.3000000000000007</v>
          </cell>
          <cell r="C6689">
            <v>3</v>
          </cell>
          <cell r="D6689">
            <v>0</v>
          </cell>
          <cell r="E6689">
            <v>0</v>
          </cell>
          <cell r="F6689">
            <v>0</v>
          </cell>
          <cell r="G6689">
            <v>0</v>
          </cell>
          <cell r="H6689">
            <v>-0.83</v>
          </cell>
          <cell r="I6689">
            <v>0</v>
          </cell>
          <cell r="J6689">
            <v>0</v>
          </cell>
          <cell r="K6689">
            <v>0</v>
          </cell>
          <cell r="L6689">
            <v>0</v>
          </cell>
          <cell r="M6689">
            <v>0</v>
          </cell>
          <cell r="N6689">
            <v>0</v>
          </cell>
          <cell r="O6689">
            <v>0</v>
          </cell>
          <cell r="P6689">
            <v>0</v>
          </cell>
          <cell r="Q6689">
            <v>0</v>
          </cell>
          <cell r="R6689">
            <v>0</v>
          </cell>
          <cell r="S6689">
            <v>0</v>
          </cell>
          <cell r="T6689">
            <v>0</v>
          </cell>
          <cell r="U6689" t="b">
            <v>0</v>
          </cell>
        </row>
        <row r="6690">
          <cell r="A6690" t="str">
            <v>Data split-13;Reg-78</v>
          </cell>
          <cell r="B6690">
            <v>-7.8</v>
          </cell>
          <cell r="C6690">
            <v>0</v>
          </cell>
          <cell r="D6690">
            <v>3.1</v>
          </cell>
          <cell r="E6690">
            <v>0</v>
          </cell>
          <cell r="F6690">
            <v>0</v>
          </cell>
          <cell r="G6690">
            <v>-0.69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>
            <v>0</v>
          </cell>
          <cell r="M6690">
            <v>0</v>
          </cell>
          <cell r="N6690">
            <v>0</v>
          </cell>
          <cell r="O6690">
            <v>0</v>
          </cell>
          <cell r="P6690">
            <v>0</v>
          </cell>
          <cell r="Q6690">
            <v>0</v>
          </cell>
          <cell r="R6690">
            <v>0</v>
          </cell>
          <cell r="S6690">
            <v>0</v>
          </cell>
          <cell r="T6690">
            <v>0</v>
          </cell>
          <cell r="U6690" t="b">
            <v>0</v>
          </cell>
        </row>
        <row r="6691">
          <cell r="A6691" t="str">
            <v>Data split-13;Reg-79</v>
          </cell>
          <cell r="B6691">
            <v>-8.3000000000000007</v>
          </cell>
          <cell r="C6691">
            <v>0</v>
          </cell>
          <cell r="D6691">
            <v>3</v>
          </cell>
          <cell r="E6691">
            <v>0</v>
          </cell>
          <cell r="F6691">
            <v>0</v>
          </cell>
          <cell r="G6691">
            <v>0</v>
          </cell>
          <cell r="H6691">
            <v>-0.82</v>
          </cell>
          <cell r="I6691">
            <v>0</v>
          </cell>
          <cell r="J6691">
            <v>0</v>
          </cell>
          <cell r="K6691">
            <v>0</v>
          </cell>
          <cell r="L6691">
            <v>0</v>
          </cell>
          <cell r="M6691">
            <v>0</v>
          </cell>
          <cell r="N6691">
            <v>0</v>
          </cell>
          <cell r="O6691">
            <v>0</v>
          </cell>
          <cell r="P6691">
            <v>0</v>
          </cell>
          <cell r="Q6691">
            <v>0</v>
          </cell>
          <cell r="R6691">
            <v>0</v>
          </cell>
          <cell r="S6691">
            <v>0</v>
          </cell>
          <cell r="T6691">
            <v>0</v>
          </cell>
          <cell r="U6691" t="b">
            <v>0</v>
          </cell>
        </row>
        <row r="6692">
          <cell r="A6692" t="str">
            <v>Data split-13;Reg-80</v>
          </cell>
          <cell r="B6692">
            <v>-10</v>
          </cell>
          <cell r="C6692">
            <v>2.8</v>
          </cell>
          <cell r="D6692">
            <v>0</v>
          </cell>
          <cell r="E6692">
            <v>0</v>
          </cell>
          <cell r="F6692">
            <v>0</v>
          </cell>
          <cell r="G6692">
            <v>0</v>
          </cell>
          <cell r="H6692">
            <v>0</v>
          </cell>
          <cell r="I6692">
            <v>0.12</v>
          </cell>
          <cell r="J6692">
            <v>0</v>
          </cell>
          <cell r="K6692">
            <v>0</v>
          </cell>
          <cell r="L6692">
            <v>0</v>
          </cell>
          <cell r="M6692">
            <v>0</v>
          </cell>
          <cell r="N6692">
            <v>0</v>
          </cell>
          <cell r="O6692">
            <v>0</v>
          </cell>
          <cell r="P6692">
            <v>0</v>
          </cell>
          <cell r="Q6692">
            <v>0</v>
          </cell>
          <cell r="R6692">
            <v>0</v>
          </cell>
          <cell r="S6692">
            <v>0</v>
          </cell>
          <cell r="T6692">
            <v>0</v>
          </cell>
          <cell r="U6692" t="b">
            <v>0</v>
          </cell>
        </row>
        <row r="6693">
          <cell r="A6693" t="str">
            <v>Data split-13;Reg-81</v>
          </cell>
          <cell r="B6693">
            <v>-10.5</v>
          </cell>
          <cell r="C6693">
            <v>2.7</v>
          </cell>
          <cell r="D6693">
            <v>0</v>
          </cell>
          <cell r="E6693">
            <v>0</v>
          </cell>
          <cell r="F6693">
            <v>0</v>
          </cell>
          <cell r="G6693">
            <v>0</v>
          </cell>
          <cell r="H6693">
            <v>0</v>
          </cell>
          <cell r="I6693">
            <v>0</v>
          </cell>
          <cell r="J6693">
            <v>4.5999999999999996</v>
          </cell>
          <cell r="K6693">
            <v>0</v>
          </cell>
          <cell r="L6693">
            <v>0</v>
          </cell>
          <cell r="M6693">
            <v>0</v>
          </cell>
          <cell r="N6693">
            <v>0</v>
          </cell>
          <cell r="O6693">
            <v>0</v>
          </cell>
          <cell r="P6693">
            <v>0</v>
          </cell>
          <cell r="Q6693">
            <v>0</v>
          </cell>
          <cell r="R6693">
            <v>0</v>
          </cell>
          <cell r="S6693">
            <v>0</v>
          </cell>
          <cell r="T6693">
            <v>0</v>
          </cell>
          <cell r="U6693" t="b">
            <v>0</v>
          </cell>
        </row>
        <row r="6694">
          <cell r="A6694" t="str">
            <v>Data split-13;Reg-82</v>
          </cell>
          <cell r="B6694">
            <v>-10</v>
          </cell>
          <cell r="C6694">
            <v>0</v>
          </cell>
          <cell r="D6694">
            <v>2.8</v>
          </cell>
          <cell r="E6694">
            <v>0</v>
          </cell>
          <cell r="F6694">
            <v>0</v>
          </cell>
          <cell r="G6694">
            <v>0</v>
          </cell>
          <cell r="H6694">
            <v>0</v>
          </cell>
          <cell r="I6694">
            <v>0.13</v>
          </cell>
          <cell r="J6694">
            <v>0</v>
          </cell>
          <cell r="K6694">
            <v>0</v>
          </cell>
          <cell r="L6694">
            <v>0</v>
          </cell>
          <cell r="M6694">
            <v>0</v>
          </cell>
          <cell r="N6694">
            <v>0</v>
          </cell>
          <cell r="O6694">
            <v>0</v>
          </cell>
          <cell r="P6694">
            <v>0</v>
          </cell>
          <cell r="Q6694">
            <v>0</v>
          </cell>
          <cell r="R6694">
            <v>0</v>
          </cell>
          <cell r="S6694">
            <v>0</v>
          </cell>
          <cell r="T6694">
            <v>0</v>
          </cell>
          <cell r="U6694" t="b">
            <v>0</v>
          </cell>
        </row>
        <row r="6695">
          <cell r="A6695" t="str">
            <v>Data split-13;Reg-83</v>
          </cell>
          <cell r="B6695">
            <v>-10.5</v>
          </cell>
          <cell r="C6695">
            <v>0</v>
          </cell>
          <cell r="D6695">
            <v>2.7</v>
          </cell>
          <cell r="E6695">
            <v>0</v>
          </cell>
          <cell r="F6695">
            <v>0</v>
          </cell>
          <cell r="G6695">
            <v>0</v>
          </cell>
          <cell r="H6695">
            <v>0</v>
          </cell>
          <cell r="I6695">
            <v>0</v>
          </cell>
          <cell r="J6695">
            <v>4.7</v>
          </cell>
          <cell r="K6695">
            <v>0</v>
          </cell>
          <cell r="L6695">
            <v>0</v>
          </cell>
          <cell r="M6695">
            <v>0</v>
          </cell>
          <cell r="N6695">
            <v>0</v>
          </cell>
          <cell r="O6695">
            <v>0</v>
          </cell>
          <cell r="P6695">
            <v>0</v>
          </cell>
          <cell r="Q6695">
            <v>0</v>
          </cell>
          <cell r="R6695">
            <v>0</v>
          </cell>
          <cell r="S6695">
            <v>0</v>
          </cell>
          <cell r="T6695">
            <v>0</v>
          </cell>
          <cell r="U6695" t="b">
            <v>0</v>
          </cell>
        </row>
        <row r="6696">
          <cell r="A6696" t="str">
            <v>Data split-13;Reg-84</v>
          </cell>
          <cell r="B6696">
            <v>-9.4</v>
          </cell>
          <cell r="C6696">
            <v>3</v>
          </cell>
          <cell r="D6696">
            <v>0</v>
          </cell>
          <cell r="E6696">
            <v>0</v>
          </cell>
          <cell r="F6696">
            <v>0</v>
          </cell>
          <cell r="G6696">
            <v>0</v>
          </cell>
          <cell r="H6696">
            <v>0</v>
          </cell>
          <cell r="I6696">
            <v>0</v>
          </cell>
          <cell r="J6696">
            <v>0</v>
          </cell>
          <cell r="K6696">
            <v>-1.1000000000000001</v>
          </cell>
          <cell r="L6696">
            <v>0</v>
          </cell>
          <cell r="M6696">
            <v>0</v>
          </cell>
          <cell r="N6696">
            <v>0</v>
          </cell>
          <cell r="O6696">
            <v>0</v>
          </cell>
          <cell r="P6696">
            <v>0</v>
          </cell>
          <cell r="Q6696">
            <v>0</v>
          </cell>
          <cell r="R6696">
            <v>0</v>
          </cell>
          <cell r="S6696">
            <v>0</v>
          </cell>
          <cell r="T6696">
            <v>0</v>
          </cell>
          <cell r="U6696" t="b">
            <v>1</v>
          </cell>
        </row>
        <row r="6697">
          <cell r="A6697" t="str">
            <v>Data split-13;Reg-85</v>
          </cell>
          <cell r="B6697">
            <v>-8.8000000000000007</v>
          </cell>
          <cell r="C6697">
            <v>2.9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-10</v>
          </cell>
          <cell r="M6697">
            <v>0</v>
          </cell>
          <cell r="N6697">
            <v>0</v>
          </cell>
          <cell r="O6697">
            <v>0</v>
          </cell>
          <cell r="P6697">
            <v>0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 t="b">
            <v>1</v>
          </cell>
        </row>
        <row r="6698">
          <cell r="A6698" t="str">
            <v>Data split-13;Reg-86</v>
          </cell>
          <cell r="B6698">
            <v>-9.4</v>
          </cell>
          <cell r="C6698">
            <v>0</v>
          </cell>
          <cell r="D6698">
            <v>3</v>
          </cell>
          <cell r="E6698">
            <v>0</v>
          </cell>
          <cell r="F6698">
            <v>0</v>
          </cell>
          <cell r="G6698">
            <v>0</v>
          </cell>
          <cell r="H6698">
            <v>0</v>
          </cell>
          <cell r="I6698">
            <v>0</v>
          </cell>
          <cell r="J6698">
            <v>0</v>
          </cell>
          <cell r="K6698">
            <v>-1</v>
          </cell>
          <cell r="L6698">
            <v>0</v>
          </cell>
          <cell r="M6698">
            <v>0</v>
          </cell>
          <cell r="N6698">
            <v>0</v>
          </cell>
          <cell r="O6698">
            <v>0</v>
          </cell>
          <cell r="P6698">
            <v>0</v>
          </cell>
          <cell r="Q6698">
            <v>0</v>
          </cell>
          <cell r="R6698">
            <v>0</v>
          </cell>
          <cell r="S6698">
            <v>0</v>
          </cell>
          <cell r="T6698">
            <v>0</v>
          </cell>
          <cell r="U6698" t="b">
            <v>1</v>
          </cell>
        </row>
        <row r="6699">
          <cell r="A6699" t="str">
            <v>Data split-13;Reg-87</v>
          </cell>
          <cell r="B6699">
            <v>-8.8000000000000007</v>
          </cell>
          <cell r="C6699">
            <v>0</v>
          </cell>
          <cell r="D6699">
            <v>2.9</v>
          </cell>
          <cell r="E6699">
            <v>0</v>
          </cell>
          <cell r="F6699">
            <v>0</v>
          </cell>
          <cell r="G6699">
            <v>0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-10</v>
          </cell>
          <cell r="M6699">
            <v>0</v>
          </cell>
          <cell r="N6699">
            <v>0</v>
          </cell>
          <cell r="O6699">
            <v>0</v>
          </cell>
          <cell r="P6699">
            <v>0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 t="b">
            <v>1</v>
          </cell>
        </row>
        <row r="6700">
          <cell r="A6700" t="str">
            <v>Data split-13;Reg-88</v>
          </cell>
          <cell r="B6700">
            <v>-9</v>
          </cell>
          <cell r="C6700">
            <v>2.9</v>
          </cell>
          <cell r="D6700">
            <v>0</v>
          </cell>
          <cell r="E6700">
            <v>0</v>
          </cell>
          <cell r="F6700">
            <v>0</v>
          </cell>
          <cell r="G6700">
            <v>0</v>
          </cell>
          <cell r="H6700">
            <v>0</v>
          </cell>
          <cell r="I6700">
            <v>0</v>
          </cell>
          <cell r="J6700">
            <v>0</v>
          </cell>
          <cell r="K6700">
            <v>0</v>
          </cell>
          <cell r="L6700">
            <v>0</v>
          </cell>
          <cell r="M6700">
            <v>-3.5000000000000003E-2</v>
          </cell>
          <cell r="N6700">
            <v>0</v>
          </cell>
          <cell r="O6700">
            <v>0</v>
          </cell>
          <cell r="P6700">
            <v>0</v>
          </cell>
          <cell r="Q6700">
            <v>0</v>
          </cell>
          <cell r="R6700">
            <v>0</v>
          </cell>
          <cell r="S6700">
            <v>0</v>
          </cell>
          <cell r="T6700">
            <v>0</v>
          </cell>
          <cell r="U6700" t="b">
            <v>1</v>
          </cell>
        </row>
        <row r="6701">
          <cell r="A6701" t="str">
            <v>Data split-13;Reg-89</v>
          </cell>
          <cell r="B6701">
            <v>-9</v>
          </cell>
          <cell r="C6701">
            <v>3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0</v>
          </cell>
          <cell r="M6701">
            <v>0</v>
          </cell>
          <cell r="N6701">
            <v>-8.3000000000000001E-3</v>
          </cell>
          <cell r="O6701">
            <v>0</v>
          </cell>
          <cell r="P6701">
            <v>0</v>
          </cell>
          <cell r="Q6701">
            <v>0</v>
          </cell>
          <cell r="R6701">
            <v>0</v>
          </cell>
          <cell r="S6701">
            <v>0</v>
          </cell>
          <cell r="T6701">
            <v>0</v>
          </cell>
          <cell r="U6701" t="b">
            <v>1</v>
          </cell>
        </row>
        <row r="6702">
          <cell r="A6702" t="str">
            <v>Data split-13;Reg-90</v>
          </cell>
          <cell r="B6702">
            <v>-9</v>
          </cell>
          <cell r="C6702">
            <v>0</v>
          </cell>
          <cell r="D6702">
            <v>2.9</v>
          </cell>
          <cell r="E6702">
            <v>0</v>
          </cell>
          <cell r="F6702">
            <v>0</v>
          </cell>
          <cell r="G6702">
            <v>0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0</v>
          </cell>
          <cell r="M6702">
            <v>-3.4000000000000002E-2</v>
          </cell>
          <cell r="N6702">
            <v>0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 t="b">
            <v>1</v>
          </cell>
        </row>
        <row r="6703">
          <cell r="A6703" t="str">
            <v>Data split-13;Reg-91</v>
          </cell>
          <cell r="B6703">
            <v>-8.9</v>
          </cell>
          <cell r="C6703">
            <v>0</v>
          </cell>
          <cell r="D6703">
            <v>3</v>
          </cell>
          <cell r="E6703">
            <v>0</v>
          </cell>
          <cell r="F6703">
            <v>0</v>
          </cell>
          <cell r="G6703">
            <v>0</v>
          </cell>
          <cell r="H6703">
            <v>0</v>
          </cell>
          <cell r="I6703">
            <v>0</v>
          </cell>
          <cell r="J6703">
            <v>0</v>
          </cell>
          <cell r="K6703">
            <v>0</v>
          </cell>
          <cell r="L6703">
            <v>0</v>
          </cell>
          <cell r="M6703">
            <v>0</v>
          </cell>
          <cell r="N6703">
            <v>-8.3000000000000001E-3</v>
          </cell>
          <cell r="O6703">
            <v>0</v>
          </cell>
          <cell r="P6703">
            <v>0</v>
          </cell>
          <cell r="Q6703">
            <v>0</v>
          </cell>
          <cell r="R6703">
            <v>0</v>
          </cell>
          <cell r="S6703">
            <v>0</v>
          </cell>
          <cell r="T6703">
            <v>0</v>
          </cell>
          <cell r="U6703" t="b">
            <v>1</v>
          </cell>
        </row>
        <row r="6704">
          <cell r="A6704" t="str">
            <v>Data split-13;Reg-92</v>
          </cell>
          <cell r="B6704">
            <v>-8.4</v>
          </cell>
          <cell r="C6704">
            <v>2.9</v>
          </cell>
          <cell r="D6704">
            <v>0</v>
          </cell>
          <cell r="E6704">
            <v>0</v>
          </cell>
          <cell r="F6704">
            <v>0</v>
          </cell>
          <cell r="G6704">
            <v>0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>
            <v>0</v>
          </cell>
          <cell r="M6704">
            <v>0</v>
          </cell>
          <cell r="N6704">
            <v>0</v>
          </cell>
          <cell r="O6704">
            <v>-0.05</v>
          </cell>
          <cell r="P6704">
            <v>0</v>
          </cell>
          <cell r="Q6704">
            <v>0</v>
          </cell>
          <cell r="R6704">
            <v>0</v>
          </cell>
          <cell r="S6704">
            <v>0</v>
          </cell>
          <cell r="T6704">
            <v>0</v>
          </cell>
          <cell r="U6704" t="b">
            <v>1</v>
          </cell>
        </row>
        <row r="6705">
          <cell r="A6705" t="str">
            <v>Data split-13;Reg-93</v>
          </cell>
          <cell r="B6705">
            <v>-8.6</v>
          </cell>
          <cell r="C6705">
            <v>2.9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0</v>
          </cell>
          <cell r="M6705">
            <v>0</v>
          </cell>
          <cell r="N6705">
            <v>0</v>
          </cell>
          <cell r="O6705">
            <v>0</v>
          </cell>
          <cell r="P6705">
            <v>-9.2999999999999992E-3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 t="b">
            <v>1</v>
          </cell>
        </row>
        <row r="6706">
          <cell r="A6706" t="str">
            <v>Data split-13;Reg-94</v>
          </cell>
          <cell r="B6706">
            <v>-8.4</v>
          </cell>
          <cell r="C6706">
            <v>0</v>
          </cell>
          <cell r="D6706">
            <v>2.9</v>
          </cell>
          <cell r="E6706">
            <v>0</v>
          </cell>
          <cell r="F6706">
            <v>0</v>
          </cell>
          <cell r="G6706">
            <v>0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>
            <v>0</v>
          </cell>
          <cell r="M6706">
            <v>0</v>
          </cell>
          <cell r="N6706">
            <v>0</v>
          </cell>
          <cell r="O6706">
            <v>-0.05</v>
          </cell>
          <cell r="P6706">
            <v>0</v>
          </cell>
          <cell r="Q6706">
            <v>0</v>
          </cell>
          <cell r="R6706">
            <v>0</v>
          </cell>
          <cell r="S6706">
            <v>0</v>
          </cell>
          <cell r="T6706">
            <v>0</v>
          </cell>
          <cell r="U6706" t="b">
            <v>1</v>
          </cell>
        </row>
        <row r="6707">
          <cell r="A6707" t="str">
            <v>Data split-13;Reg-95</v>
          </cell>
          <cell r="B6707">
            <v>-8.6</v>
          </cell>
          <cell r="C6707">
            <v>0</v>
          </cell>
          <cell r="D6707">
            <v>2.9</v>
          </cell>
          <cell r="E6707">
            <v>0</v>
          </cell>
          <cell r="F6707">
            <v>0</v>
          </cell>
          <cell r="G6707">
            <v>0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>
            <v>0</v>
          </cell>
          <cell r="M6707">
            <v>0</v>
          </cell>
          <cell r="N6707">
            <v>0</v>
          </cell>
          <cell r="O6707">
            <v>0</v>
          </cell>
          <cell r="P6707">
            <v>-9.2999999999999992E-3</v>
          </cell>
          <cell r="Q6707">
            <v>0</v>
          </cell>
          <cell r="R6707">
            <v>0</v>
          </cell>
          <cell r="S6707">
            <v>0</v>
          </cell>
          <cell r="T6707">
            <v>0</v>
          </cell>
          <cell r="U6707" t="b">
            <v>1</v>
          </cell>
        </row>
        <row r="6708">
          <cell r="A6708" t="str">
            <v>Data split-13;Reg-96</v>
          </cell>
          <cell r="B6708">
            <v>-6.4</v>
          </cell>
          <cell r="C6708">
            <v>3.3</v>
          </cell>
          <cell r="D6708">
            <v>0</v>
          </cell>
          <cell r="E6708">
            <v>-2.2999999999999998</v>
          </cell>
          <cell r="F6708">
            <v>0</v>
          </cell>
          <cell r="G6708">
            <v>0</v>
          </cell>
          <cell r="H6708">
            <v>0</v>
          </cell>
          <cell r="I6708">
            <v>2.9</v>
          </cell>
          <cell r="J6708">
            <v>0</v>
          </cell>
          <cell r="K6708">
            <v>0</v>
          </cell>
          <cell r="L6708">
            <v>0</v>
          </cell>
          <cell r="M6708">
            <v>0</v>
          </cell>
          <cell r="N6708">
            <v>0</v>
          </cell>
          <cell r="O6708">
            <v>0</v>
          </cell>
          <cell r="P6708">
            <v>0</v>
          </cell>
          <cell r="Q6708">
            <v>0</v>
          </cell>
          <cell r="R6708">
            <v>0</v>
          </cell>
          <cell r="S6708">
            <v>0</v>
          </cell>
          <cell r="T6708">
            <v>0</v>
          </cell>
          <cell r="U6708" t="b">
            <v>0</v>
          </cell>
        </row>
        <row r="6709">
          <cell r="A6709" t="str">
            <v>Data split-13;Reg-97</v>
          </cell>
          <cell r="B6709">
            <v>-9</v>
          </cell>
          <cell r="C6709">
            <v>3.3</v>
          </cell>
          <cell r="D6709">
            <v>0</v>
          </cell>
          <cell r="E6709">
            <v>-2.2999999999999998</v>
          </cell>
          <cell r="F6709">
            <v>0</v>
          </cell>
          <cell r="G6709">
            <v>0</v>
          </cell>
          <cell r="H6709">
            <v>0</v>
          </cell>
          <cell r="I6709">
            <v>0</v>
          </cell>
          <cell r="J6709">
            <v>36.700000000000003</v>
          </cell>
          <cell r="K6709">
            <v>0</v>
          </cell>
          <cell r="L6709">
            <v>0</v>
          </cell>
          <cell r="M6709">
            <v>0</v>
          </cell>
          <cell r="N6709">
            <v>0</v>
          </cell>
          <cell r="O6709">
            <v>0</v>
          </cell>
          <cell r="P6709">
            <v>0</v>
          </cell>
          <cell r="Q6709">
            <v>0</v>
          </cell>
          <cell r="R6709">
            <v>0</v>
          </cell>
          <cell r="S6709">
            <v>0</v>
          </cell>
          <cell r="T6709">
            <v>0</v>
          </cell>
          <cell r="U6709" t="b">
            <v>0</v>
          </cell>
        </row>
        <row r="6710">
          <cell r="A6710" t="str">
            <v>Data split-13;Reg-98</v>
          </cell>
          <cell r="B6710">
            <v>-10.1</v>
          </cell>
          <cell r="C6710">
            <v>2.8</v>
          </cell>
          <cell r="D6710">
            <v>0</v>
          </cell>
          <cell r="E6710">
            <v>0</v>
          </cell>
          <cell r="F6710">
            <v>-4.7E-2</v>
          </cell>
          <cell r="G6710">
            <v>0</v>
          </cell>
          <cell r="H6710">
            <v>0</v>
          </cell>
          <cell r="I6710">
            <v>0.17</v>
          </cell>
          <cell r="J6710">
            <v>0</v>
          </cell>
          <cell r="K6710">
            <v>0</v>
          </cell>
          <cell r="L6710">
            <v>0</v>
          </cell>
          <cell r="M6710">
            <v>0</v>
          </cell>
          <cell r="N6710">
            <v>0</v>
          </cell>
          <cell r="O6710">
            <v>0</v>
          </cell>
          <cell r="P6710">
            <v>0</v>
          </cell>
          <cell r="Q6710">
            <v>0</v>
          </cell>
          <cell r="R6710">
            <v>0</v>
          </cell>
          <cell r="S6710">
            <v>0</v>
          </cell>
          <cell r="T6710">
            <v>0</v>
          </cell>
          <cell r="U6710" t="b">
            <v>0</v>
          </cell>
        </row>
        <row r="6711">
          <cell r="A6711" t="str">
            <v>Data split-13;Reg-99</v>
          </cell>
          <cell r="B6711">
            <v>-10.5</v>
          </cell>
          <cell r="C6711">
            <v>2.8</v>
          </cell>
          <cell r="D6711">
            <v>0</v>
          </cell>
          <cell r="E6711">
            <v>0</v>
          </cell>
          <cell r="F6711">
            <v>-4.5999999999999999E-2</v>
          </cell>
          <cell r="G6711">
            <v>0</v>
          </cell>
          <cell r="H6711">
            <v>0</v>
          </cell>
          <cell r="I6711">
            <v>0</v>
          </cell>
          <cell r="J6711">
            <v>4.7</v>
          </cell>
          <cell r="K6711">
            <v>0</v>
          </cell>
          <cell r="L6711">
            <v>0</v>
          </cell>
          <cell r="M6711">
            <v>0</v>
          </cell>
          <cell r="N6711">
            <v>0</v>
          </cell>
          <cell r="O6711">
            <v>0</v>
          </cell>
          <cell r="P6711">
            <v>0</v>
          </cell>
          <cell r="Q6711">
            <v>0</v>
          </cell>
          <cell r="R6711">
            <v>0</v>
          </cell>
          <cell r="S6711">
            <v>0</v>
          </cell>
          <cell r="T6711">
            <v>0</v>
          </cell>
          <cell r="U6711" t="b">
            <v>0</v>
          </cell>
        </row>
        <row r="6712">
          <cell r="A6712" t="str">
            <v>Data split-13;Reg-100</v>
          </cell>
          <cell r="B6712">
            <v>-6.4</v>
          </cell>
          <cell r="C6712">
            <v>0</v>
          </cell>
          <cell r="D6712">
            <v>3.3</v>
          </cell>
          <cell r="E6712">
            <v>-2.2999999999999998</v>
          </cell>
          <cell r="F6712">
            <v>0</v>
          </cell>
          <cell r="G6712">
            <v>0</v>
          </cell>
          <cell r="H6712">
            <v>0</v>
          </cell>
          <cell r="I6712">
            <v>2.9</v>
          </cell>
          <cell r="J6712">
            <v>0</v>
          </cell>
          <cell r="K6712">
            <v>0</v>
          </cell>
          <cell r="L6712">
            <v>0</v>
          </cell>
          <cell r="M6712">
            <v>0</v>
          </cell>
          <cell r="N6712">
            <v>0</v>
          </cell>
          <cell r="O6712">
            <v>0</v>
          </cell>
          <cell r="P6712">
            <v>0</v>
          </cell>
          <cell r="Q6712">
            <v>0</v>
          </cell>
          <cell r="R6712">
            <v>0</v>
          </cell>
          <cell r="S6712">
            <v>0</v>
          </cell>
          <cell r="T6712">
            <v>0</v>
          </cell>
          <cell r="U6712" t="b">
            <v>0</v>
          </cell>
        </row>
        <row r="6713">
          <cell r="A6713" t="str">
            <v>Data split-13;Reg-101</v>
          </cell>
          <cell r="B6713">
            <v>-9</v>
          </cell>
          <cell r="C6713">
            <v>0</v>
          </cell>
          <cell r="D6713">
            <v>3.3</v>
          </cell>
          <cell r="E6713">
            <v>-2.2999999999999998</v>
          </cell>
          <cell r="F6713">
            <v>0</v>
          </cell>
          <cell r="G6713">
            <v>0</v>
          </cell>
          <cell r="H6713">
            <v>0</v>
          </cell>
          <cell r="I6713">
            <v>0</v>
          </cell>
          <cell r="J6713">
            <v>36.700000000000003</v>
          </cell>
          <cell r="K6713">
            <v>0</v>
          </cell>
          <cell r="L6713">
            <v>0</v>
          </cell>
          <cell r="M6713">
            <v>0</v>
          </cell>
          <cell r="N6713">
            <v>0</v>
          </cell>
          <cell r="O6713">
            <v>0</v>
          </cell>
          <cell r="P6713">
            <v>0</v>
          </cell>
          <cell r="Q6713">
            <v>0</v>
          </cell>
          <cell r="R6713">
            <v>0</v>
          </cell>
          <cell r="S6713">
            <v>0</v>
          </cell>
          <cell r="T6713">
            <v>0</v>
          </cell>
          <cell r="U6713" t="b">
            <v>0</v>
          </cell>
        </row>
        <row r="6714">
          <cell r="A6714" t="str">
            <v>Data split-13;Reg-102</v>
          </cell>
          <cell r="B6714">
            <v>-10.1</v>
          </cell>
          <cell r="C6714">
            <v>0</v>
          </cell>
          <cell r="D6714">
            <v>2.8</v>
          </cell>
          <cell r="E6714">
            <v>0</v>
          </cell>
          <cell r="F6714">
            <v>-4.7E-2</v>
          </cell>
          <cell r="G6714">
            <v>0</v>
          </cell>
          <cell r="H6714">
            <v>0</v>
          </cell>
          <cell r="I6714">
            <v>0.17</v>
          </cell>
          <cell r="J6714">
            <v>0</v>
          </cell>
          <cell r="K6714">
            <v>0</v>
          </cell>
          <cell r="L6714">
            <v>0</v>
          </cell>
          <cell r="M6714">
            <v>0</v>
          </cell>
          <cell r="N6714">
            <v>0</v>
          </cell>
          <cell r="O6714">
            <v>0</v>
          </cell>
          <cell r="P6714">
            <v>0</v>
          </cell>
          <cell r="Q6714">
            <v>0</v>
          </cell>
          <cell r="R6714">
            <v>0</v>
          </cell>
          <cell r="S6714">
            <v>0</v>
          </cell>
          <cell r="T6714">
            <v>0</v>
          </cell>
          <cell r="U6714" t="b">
            <v>0</v>
          </cell>
        </row>
        <row r="6715">
          <cell r="A6715" t="str">
            <v>Data split-13;Reg-103</v>
          </cell>
          <cell r="B6715">
            <v>-10.5</v>
          </cell>
          <cell r="C6715">
            <v>0</v>
          </cell>
          <cell r="D6715">
            <v>2.8</v>
          </cell>
          <cell r="E6715">
            <v>0</v>
          </cell>
          <cell r="F6715">
            <v>-4.7E-2</v>
          </cell>
          <cell r="G6715">
            <v>0</v>
          </cell>
          <cell r="H6715">
            <v>0</v>
          </cell>
          <cell r="I6715">
            <v>0</v>
          </cell>
          <cell r="J6715">
            <v>4.8</v>
          </cell>
          <cell r="K6715">
            <v>0</v>
          </cell>
          <cell r="L6715">
            <v>0</v>
          </cell>
          <cell r="M6715">
            <v>0</v>
          </cell>
          <cell r="N6715">
            <v>0</v>
          </cell>
          <cell r="O6715">
            <v>0</v>
          </cell>
          <cell r="P6715">
            <v>0</v>
          </cell>
          <cell r="Q6715">
            <v>0</v>
          </cell>
          <cell r="R6715">
            <v>0</v>
          </cell>
          <cell r="S6715">
            <v>0</v>
          </cell>
          <cell r="T6715">
            <v>0</v>
          </cell>
          <cell r="U6715" t="b">
            <v>0</v>
          </cell>
        </row>
        <row r="6716">
          <cell r="A6716" t="str">
            <v>Data split-13;Reg-104</v>
          </cell>
          <cell r="B6716">
            <v>-6.2</v>
          </cell>
          <cell r="C6716">
            <v>3.3</v>
          </cell>
          <cell r="D6716">
            <v>0</v>
          </cell>
          <cell r="E6716">
            <v>-1.6</v>
          </cell>
          <cell r="F6716">
            <v>0</v>
          </cell>
          <cell r="G6716">
            <v>0</v>
          </cell>
          <cell r="H6716">
            <v>0</v>
          </cell>
          <cell r="I6716">
            <v>0</v>
          </cell>
          <cell r="J6716">
            <v>0</v>
          </cell>
          <cell r="K6716">
            <v>0.26</v>
          </cell>
          <cell r="L6716">
            <v>0</v>
          </cell>
          <cell r="M6716">
            <v>0</v>
          </cell>
          <cell r="N6716">
            <v>0</v>
          </cell>
          <cell r="O6716">
            <v>0</v>
          </cell>
          <cell r="P6716">
            <v>0</v>
          </cell>
          <cell r="Q6716">
            <v>0</v>
          </cell>
          <cell r="R6716">
            <v>0</v>
          </cell>
          <cell r="S6716">
            <v>0</v>
          </cell>
          <cell r="T6716">
            <v>0</v>
          </cell>
          <cell r="U6716" t="b">
            <v>0</v>
          </cell>
        </row>
        <row r="6717">
          <cell r="A6717" t="str">
            <v>Data split-13;Reg-105</v>
          </cell>
          <cell r="B6717">
            <v>-6.1</v>
          </cell>
          <cell r="C6717">
            <v>3.3</v>
          </cell>
          <cell r="D6717">
            <v>0</v>
          </cell>
          <cell r="E6717">
            <v>-1.3</v>
          </cell>
          <cell r="F6717">
            <v>0</v>
          </cell>
          <cell r="G6717">
            <v>0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-5.3</v>
          </cell>
          <cell r="M6717">
            <v>0</v>
          </cell>
          <cell r="N6717">
            <v>0</v>
          </cell>
          <cell r="O6717">
            <v>0</v>
          </cell>
          <cell r="P6717">
            <v>0</v>
          </cell>
          <cell r="Q6717">
            <v>0</v>
          </cell>
          <cell r="R6717">
            <v>0</v>
          </cell>
          <cell r="S6717">
            <v>0</v>
          </cell>
          <cell r="T6717">
            <v>0</v>
          </cell>
          <cell r="U6717" t="b">
            <v>0</v>
          </cell>
        </row>
        <row r="6718">
          <cell r="A6718" t="str">
            <v>Data split-13;Reg-106</v>
          </cell>
          <cell r="B6718">
            <v>-9.5</v>
          </cell>
          <cell r="C6718">
            <v>3</v>
          </cell>
          <cell r="D6718">
            <v>0</v>
          </cell>
          <cell r="E6718">
            <v>0</v>
          </cell>
          <cell r="F6718">
            <v>-4.7E-2</v>
          </cell>
          <cell r="G6718">
            <v>0</v>
          </cell>
          <cell r="H6718">
            <v>0</v>
          </cell>
          <cell r="I6718">
            <v>0</v>
          </cell>
          <cell r="J6718">
            <v>0</v>
          </cell>
          <cell r="K6718">
            <v>-1.1000000000000001</v>
          </cell>
          <cell r="L6718">
            <v>0</v>
          </cell>
          <cell r="M6718">
            <v>0</v>
          </cell>
          <cell r="N6718">
            <v>0</v>
          </cell>
          <cell r="O6718">
            <v>0</v>
          </cell>
          <cell r="P6718">
            <v>0</v>
          </cell>
          <cell r="Q6718">
            <v>0</v>
          </cell>
          <cell r="R6718">
            <v>0</v>
          </cell>
          <cell r="S6718">
            <v>0</v>
          </cell>
          <cell r="T6718">
            <v>0</v>
          </cell>
          <cell r="U6718" t="b">
            <v>0</v>
          </cell>
        </row>
        <row r="6719">
          <cell r="A6719" t="str">
            <v>Data split-13;Reg-107</v>
          </cell>
          <cell r="B6719">
            <v>-8.8000000000000007</v>
          </cell>
          <cell r="C6719">
            <v>3</v>
          </cell>
          <cell r="D6719">
            <v>0</v>
          </cell>
          <cell r="E6719">
            <v>0</v>
          </cell>
          <cell r="F6719">
            <v>-5.8000000000000003E-2</v>
          </cell>
          <cell r="G6719">
            <v>0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-10.3</v>
          </cell>
          <cell r="M6719">
            <v>0</v>
          </cell>
          <cell r="N6719">
            <v>0</v>
          </cell>
          <cell r="O6719">
            <v>0</v>
          </cell>
          <cell r="P6719">
            <v>0</v>
          </cell>
          <cell r="Q6719">
            <v>0</v>
          </cell>
          <cell r="R6719">
            <v>0</v>
          </cell>
          <cell r="S6719">
            <v>0</v>
          </cell>
          <cell r="T6719">
            <v>0</v>
          </cell>
          <cell r="U6719" t="b">
            <v>0</v>
          </cell>
        </row>
        <row r="6720">
          <cell r="A6720" t="str">
            <v>Data split-13;Reg-108</v>
          </cell>
          <cell r="B6720">
            <v>-6.2</v>
          </cell>
          <cell r="C6720">
            <v>0</v>
          </cell>
          <cell r="D6720">
            <v>3.3</v>
          </cell>
          <cell r="E6720">
            <v>-1.6</v>
          </cell>
          <cell r="F6720">
            <v>0</v>
          </cell>
          <cell r="G6720">
            <v>0</v>
          </cell>
          <cell r="H6720">
            <v>0</v>
          </cell>
          <cell r="I6720">
            <v>0</v>
          </cell>
          <cell r="J6720">
            <v>0</v>
          </cell>
          <cell r="K6720">
            <v>0.27</v>
          </cell>
          <cell r="L6720">
            <v>0</v>
          </cell>
          <cell r="M6720">
            <v>0</v>
          </cell>
          <cell r="N6720">
            <v>0</v>
          </cell>
          <cell r="O6720">
            <v>0</v>
          </cell>
          <cell r="P6720">
            <v>0</v>
          </cell>
          <cell r="Q6720">
            <v>0</v>
          </cell>
          <cell r="R6720">
            <v>0</v>
          </cell>
          <cell r="S6720">
            <v>0</v>
          </cell>
          <cell r="T6720">
            <v>0</v>
          </cell>
          <cell r="U6720" t="b">
            <v>0</v>
          </cell>
        </row>
        <row r="6721">
          <cell r="A6721" t="str">
            <v>Data split-13;Reg-109</v>
          </cell>
          <cell r="B6721">
            <v>-6.1</v>
          </cell>
          <cell r="C6721">
            <v>0</v>
          </cell>
          <cell r="D6721">
            <v>3.3</v>
          </cell>
          <cell r="E6721">
            <v>-1.3</v>
          </cell>
          <cell r="F6721">
            <v>0</v>
          </cell>
          <cell r="G6721">
            <v>0</v>
          </cell>
          <cell r="H6721">
            <v>0</v>
          </cell>
          <cell r="I6721">
            <v>0</v>
          </cell>
          <cell r="J6721">
            <v>0</v>
          </cell>
          <cell r="K6721">
            <v>0</v>
          </cell>
          <cell r="L6721">
            <v>-5.3</v>
          </cell>
          <cell r="M6721">
            <v>0</v>
          </cell>
          <cell r="N6721">
            <v>0</v>
          </cell>
          <cell r="O6721">
            <v>0</v>
          </cell>
          <cell r="P6721">
            <v>0</v>
          </cell>
          <cell r="Q6721">
            <v>0</v>
          </cell>
          <cell r="R6721">
            <v>0</v>
          </cell>
          <cell r="S6721">
            <v>0</v>
          </cell>
          <cell r="T6721">
            <v>0</v>
          </cell>
          <cell r="U6721" t="b">
            <v>0</v>
          </cell>
        </row>
        <row r="6722">
          <cell r="A6722" t="str">
            <v>Data split-13;Reg-110</v>
          </cell>
          <cell r="B6722">
            <v>-9.4</v>
          </cell>
          <cell r="C6722">
            <v>0</v>
          </cell>
          <cell r="D6722">
            <v>3</v>
          </cell>
          <cell r="E6722">
            <v>0</v>
          </cell>
          <cell r="F6722">
            <v>-4.7E-2</v>
          </cell>
          <cell r="G6722">
            <v>0</v>
          </cell>
          <cell r="H6722">
            <v>0</v>
          </cell>
          <cell r="I6722">
            <v>0</v>
          </cell>
          <cell r="J6722">
            <v>0</v>
          </cell>
          <cell r="K6722">
            <v>-1.1000000000000001</v>
          </cell>
          <cell r="L6722">
            <v>0</v>
          </cell>
          <cell r="M6722">
            <v>0</v>
          </cell>
          <cell r="N6722">
            <v>0</v>
          </cell>
          <cell r="O6722">
            <v>0</v>
          </cell>
          <cell r="P6722">
            <v>0</v>
          </cell>
          <cell r="Q6722">
            <v>0</v>
          </cell>
          <cell r="R6722">
            <v>0</v>
          </cell>
          <cell r="S6722">
            <v>0</v>
          </cell>
          <cell r="T6722">
            <v>0</v>
          </cell>
          <cell r="U6722" t="b">
            <v>0</v>
          </cell>
        </row>
        <row r="6723">
          <cell r="A6723" t="str">
            <v>Data split-13;Reg-111</v>
          </cell>
          <cell r="B6723">
            <v>-8.8000000000000007</v>
          </cell>
          <cell r="C6723">
            <v>0</v>
          </cell>
          <cell r="D6723">
            <v>3</v>
          </cell>
          <cell r="E6723">
            <v>0</v>
          </cell>
          <cell r="F6723">
            <v>-5.8999999999999997E-2</v>
          </cell>
          <cell r="G6723">
            <v>0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>
            <v>-10.3</v>
          </cell>
          <cell r="M6723">
            <v>0</v>
          </cell>
          <cell r="N6723">
            <v>0</v>
          </cell>
          <cell r="O6723">
            <v>0</v>
          </cell>
          <cell r="P6723">
            <v>0</v>
          </cell>
          <cell r="Q6723">
            <v>0</v>
          </cell>
          <cell r="R6723">
            <v>0</v>
          </cell>
          <cell r="S6723">
            <v>0</v>
          </cell>
          <cell r="T6723">
            <v>0</v>
          </cell>
          <cell r="U6723" t="b">
            <v>0</v>
          </cell>
        </row>
        <row r="6724">
          <cell r="A6724" t="str">
            <v>Data split-13;Reg-112</v>
          </cell>
          <cell r="B6724">
            <v>-8.1</v>
          </cell>
          <cell r="C6724">
            <v>3</v>
          </cell>
          <cell r="D6724">
            <v>0</v>
          </cell>
          <cell r="E6724">
            <v>0</v>
          </cell>
          <cell r="F6724">
            <v>0</v>
          </cell>
          <cell r="G6724">
            <v>-0.99</v>
          </cell>
          <cell r="H6724">
            <v>0</v>
          </cell>
          <cell r="I6724">
            <v>1.6</v>
          </cell>
          <cell r="J6724">
            <v>0</v>
          </cell>
          <cell r="K6724">
            <v>0</v>
          </cell>
          <cell r="L6724">
            <v>0</v>
          </cell>
          <cell r="M6724">
            <v>0</v>
          </cell>
          <cell r="N6724">
            <v>0</v>
          </cell>
          <cell r="O6724">
            <v>0</v>
          </cell>
          <cell r="P6724">
            <v>0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 t="b">
            <v>0</v>
          </cell>
        </row>
        <row r="6725">
          <cell r="A6725" t="str">
            <v>Data split-13;Reg-113</v>
          </cell>
          <cell r="B6725">
            <v>-9.5</v>
          </cell>
          <cell r="C6725">
            <v>3</v>
          </cell>
          <cell r="D6725">
            <v>0</v>
          </cell>
          <cell r="E6725">
            <v>0</v>
          </cell>
          <cell r="F6725">
            <v>0</v>
          </cell>
          <cell r="G6725">
            <v>-0.96</v>
          </cell>
          <cell r="H6725">
            <v>0</v>
          </cell>
          <cell r="I6725">
            <v>0</v>
          </cell>
          <cell r="J6725">
            <v>19.600000000000001</v>
          </cell>
          <cell r="K6725">
            <v>0</v>
          </cell>
          <cell r="L6725">
            <v>0</v>
          </cell>
          <cell r="M6725">
            <v>0</v>
          </cell>
          <cell r="N6725">
            <v>0</v>
          </cell>
          <cell r="O6725">
            <v>0</v>
          </cell>
          <cell r="P6725">
            <v>0</v>
          </cell>
          <cell r="Q6725">
            <v>0</v>
          </cell>
          <cell r="R6725">
            <v>0</v>
          </cell>
          <cell r="S6725">
            <v>0</v>
          </cell>
          <cell r="T6725">
            <v>0</v>
          </cell>
          <cell r="U6725" t="b">
            <v>0</v>
          </cell>
        </row>
        <row r="6726">
          <cell r="A6726" t="str">
            <v>Data split-13;Reg-114</v>
          </cell>
          <cell r="B6726">
            <v>-8.3000000000000007</v>
          </cell>
          <cell r="C6726">
            <v>3</v>
          </cell>
          <cell r="D6726">
            <v>0</v>
          </cell>
          <cell r="E6726">
            <v>0</v>
          </cell>
          <cell r="F6726">
            <v>0</v>
          </cell>
          <cell r="G6726">
            <v>0</v>
          </cell>
          <cell r="H6726">
            <v>-1.3</v>
          </cell>
          <cell r="I6726">
            <v>1.4</v>
          </cell>
          <cell r="J6726">
            <v>0</v>
          </cell>
          <cell r="K6726">
            <v>0</v>
          </cell>
          <cell r="L6726">
            <v>0</v>
          </cell>
          <cell r="M6726">
            <v>0</v>
          </cell>
          <cell r="N6726">
            <v>0</v>
          </cell>
          <cell r="O6726">
            <v>0</v>
          </cell>
          <cell r="P6726">
            <v>0</v>
          </cell>
          <cell r="Q6726">
            <v>0</v>
          </cell>
          <cell r="R6726">
            <v>0</v>
          </cell>
          <cell r="S6726">
            <v>0</v>
          </cell>
          <cell r="T6726">
            <v>0</v>
          </cell>
          <cell r="U6726" t="b">
            <v>0</v>
          </cell>
        </row>
        <row r="6727">
          <cell r="A6727" t="str">
            <v>Data split-13;Reg-115</v>
          </cell>
          <cell r="B6727">
            <v>-9.8000000000000007</v>
          </cell>
          <cell r="C6727">
            <v>3</v>
          </cell>
          <cell r="D6727">
            <v>0</v>
          </cell>
          <cell r="E6727">
            <v>0</v>
          </cell>
          <cell r="F6727">
            <v>0</v>
          </cell>
          <cell r="G6727">
            <v>0</v>
          </cell>
          <cell r="H6727">
            <v>-1.4</v>
          </cell>
          <cell r="I6727">
            <v>0</v>
          </cell>
          <cell r="J6727">
            <v>20.8</v>
          </cell>
          <cell r="K6727">
            <v>0</v>
          </cell>
          <cell r="L6727">
            <v>0</v>
          </cell>
          <cell r="M6727">
            <v>0</v>
          </cell>
          <cell r="N6727">
            <v>0</v>
          </cell>
          <cell r="O6727">
            <v>0</v>
          </cell>
          <cell r="P6727">
            <v>0</v>
          </cell>
          <cell r="Q6727">
            <v>0</v>
          </cell>
          <cell r="R6727">
            <v>0</v>
          </cell>
          <cell r="S6727">
            <v>0</v>
          </cell>
          <cell r="T6727">
            <v>0</v>
          </cell>
          <cell r="U6727" t="b">
            <v>0</v>
          </cell>
        </row>
        <row r="6728">
          <cell r="A6728" t="str">
            <v>Data split-13;Reg-116</v>
          </cell>
          <cell r="B6728">
            <v>-8</v>
          </cell>
          <cell r="C6728">
            <v>0</v>
          </cell>
          <cell r="D6728">
            <v>3</v>
          </cell>
          <cell r="E6728">
            <v>0</v>
          </cell>
          <cell r="F6728">
            <v>0</v>
          </cell>
          <cell r="G6728">
            <v>-0.99</v>
          </cell>
          <cell r="H6728">
            <v>0</v>
          </cell>
          <cell r="I6728">
            <v>1.6</v>
          </cell>
          <cell r="J6728">
            <v>0</v>
          </cell>
          <cell r="K6728">
            <v>0</v>
          </cell>
          <cell r="L6728">
            <v>0</v>
          </cell>
          <cell r="M6728">
            <v>0</v>
          </cell>
          <cell r="N6728">
            <v>0</v>
          </cell>
          <cell r="O6728">
            <v>0</v>
          </cell>
          <cell r="P6728">
            <v>0</v>
          </cell>
          <cell r="Q6728">
            <v>0</v>
          </cell>
          <cell r="R6728">
            <v>0</v>
          </cell>
          <cell r="S6728">
            <v>0</v>
          </cell>
          <cell r="T6728">
            <v>0</v>
          </cell>
          <cell r="U6728" t="b">
            <v>0</v>
          </cell>
        </row>
        <row r="6729">
          <cell r="A6729" t="str">
            <v>Data split-13;Reg-117</v>
          </cell>
          <cell r="B6729">
            <v>-9.5</v>
          </cell>
          <cell r="C6729">
            <v>0</v>
          </cell>
          <cell r="D6729">
            <v>3</v>
          </cell>
          <cell r="E6729">
            <v>0</v>
          </cell>
          <cell r="F6729">
            <v>0</v>
          </cell>
          <cell r="G6729">
            <v>-0.96</v>
          </cell>
          <cell r="H6729">
            <v>0</v>
          </cell>
          <cell r="I6729">
            <v>0</v>
          </cell>
          <cell r="J6729">
            <v>19.7</v>
          </cell>
          <cell r="K6729">
            <v>0</v>
          </cell>
          <cell r="L6729">
            <v>0</v>
          </cell>
          <cell r="M6729">
            <v>0</v>
          </cell>
          <cell r="N6729">
            <v>0</v>
          </cell>
          <cell r="O6729">
            <v>0</v>
          </cell>
          <cell r="P6729">
            <v>0</v>
          </cell>
          <cell r="Q6729">
            <v>0</v>
          </cell>
          <cell r="R6729">
            <v>0</v>
          </cell>
          <cell r="S6729">
            <v>0</v>
          </cell>
          <cell r="T6729">
            <v>0</v>
          </cell>
          <cell r="U6729" t="b">
            <v>0</v>
          </cell>
        </row>
        <row r="6730">
          <cell r="A6730" t="str">
            <v>Data split-13;Reg-118</v>
          </cell>
          <cell r="B6730">
            <v>-8.3000000000000007</v>
          </cell>
          <cell r="C6730">
            <v>0</v>
          </cell>
          <cell r="D6730">
            <v>3</v>
          </cell>
          <cell r="E6730">
            <v>0</v>
          </cell>
          <cell r="F6730">
            <v>0</v>
          </cell>
          <cell r="G6730">
            <v>0</v>
          </cell>
          <cell r="H6730">
            <v>-1.3</v>
          </cell>
          <cell r="I6730">
            <v>1.4</v>
          </cell>
          <cell r="J6730">
            <v>0</v>
          </cell>
          <cell r="K6730">
            <v>0</v>
          </cell>
          <cell r="L6730">
            <v>0</v>
          </cell>
          <cell r="M6730">
            <v>0</v>
          </cell>
          <cell r="N6730">
            <v>0</v>
          </cell>
          <cell r="O6730">
            <v>0</v>
          </cell>
          <cell r="P6730">
            <v>0</v>
          </cell>
          <cell r="Q6730">
            <v>0</v>
          </cell>
          <cell r="R6730">
            <v>0</v>
          </cell>
          <cell r="S6730">
            <v>0</v>
          </cell>
          <cell r="T6730">
            <v>0</v>
          </cell>
          <cell r="U6730" t="b">
            <v>0</v>
          </cell>
        </row>
        <row r="6731">
          <cell r="A6731" t="str">
            <v>Data split-13;Reg-119</v>
          </cell>
          <cell r="B6731">
            <v>-9.8000000000000007</v>
          </cell>
          <cell r="C6731">
            <v>0</v>
          </cell>
          <cell r="D6731">
            <v>3</v>
          </cell>
          <cell r="E6731">
            <v>0</v>
          </cell>
          <cell r="F6731">
            <v>0</v>
          </cell>
          <cell r="G6731">
            <v>0</v>
          </cell>
          <cell r="H6731">
            <v>-1.4</v>
          </cell>
          <cell r="I6731">
            <v>0</v>
          </cell>
          <cell r="J6731">
            <v>20.9</v>
          </cell>
          <cell r="K6731">
            <v>0</v>
          </cell>
          <cell r="L6731">
            <v>0</v>
          </cell>
          <cell r="M6731">
            <v>0</v>
          </cell>
          <cell r="N6731">
            <v>0</v>
          </cell>
          <cell r="O6731">
            <v>0</v>
          </cell>
          <cell r="P6731">
            <v>0</v>
          </cell>
          <cell r="Q6731">
            <v>0</v>
          </cell>
          <cell r="R6731">
            <v>0</v>
          </cell>
          <cell r="S6731">
            <v>0</v>
          </cell>
          <cell r="T6731">
            <v>0</v>
          </cell>
          <cell r="U6731" t="b">
            <v>0</v>
          </cell>
        </row>
        <row r="6732">
          <cell r="A6732" t="str">
            <v>Data split-13;Reg-120</v>
          </cell>
          <cell r="B6732">
            <v>-7.8</v>
          </cell>
          <cell r="C6732">
            <v>3.1</v>
          </cell>
          <cell r="D6732">
            <v>0</v>
          </cell>
          <cell r="E6732">
            <v>0</v>
          </cell>
          <cell r="F6732">
            <v>0</v>
          </cell>
          <cell r="G6732">
            <v>-0.57999999999999996</v>
          </cell>
          <cell r="H6732">
            <v>0</v>
          </cell>
          <cell r="I6732">
            <v>0</v>
          </cell>
          <cell r="J6732">
            <v>0</v>
          </cell>
          <cell r="K6732">
            <v>-0.68</v>
          </cell>
          <cell r="L6732">
            <v>0</v>
          </cell>
          <cell r="M6732">
            <v>0</v>
          </cell>
          <cell r="N6732">
            <v>0</v>
          </cell>
          <cell r="O6732">
            <v>0</v>
          </cell>
          <cell r="P6732">
            <v>0</v>
          </cell>
          <cell r="Q6732">
            <v>0</v>
          </cell>
          <cell r="R6732">
            <v>0</v>
          </cell>
          <cell r="S6732">
            <v>0</v>
          </cell>
          <cell r="T6732">
            <v>0</v>
          </cell>
          <cell r="U6732" t="b">
            <v>0</v>
          </cell>
        </row>
        <row r="6733">
          <cell r="A6733" t="str">
            <v>Data split-13;Reg-121</v>
          </cell>
          <cell r="B6733">
            <v>-6.8</v>
          </cell>
          <cell r="C6733">
            <v>3.2</v>
          </cell>
          <cell r="D6733">
            <v>0</v>
          </cell>
          <cell r="E6733">
            <v>0</v>
          </cell>
          <cell r="F6733">
            <v>0</v>
          </cell>
          <cell r="G6733">
            <v>-0.68</v>
          </cell>
          <cell r="H6733">
            <v>0</v>
          </cell>
          <cell r="I6733">
            <v>0</v>
          </cell>
          <cell r="J6733">
            <v>0</v>
          </cell>
          <cell r="K6733">
            <v>0</v>
          </cell>
          <cell r="L6733">
            <v>-9.8000000000000007</v>
          </cell>
          <cell r="M6733">
            <v>0</v>
          </cell>
          <cell r="N6733">
            <v>0</v>
          </cell>
          <cell r="O6733">
            <v>0</v>
          </cell>
          <cell r="P6733">
            <v>0</v>
          </cell>
          <cell r="Q6733">
            <v>0</v>
          </cell>
          <cell r="R6733">
            <v>0</v>
          </cell>
          <cell r="S6733">
            <v>0</v>
          </cell>
          <cell r="T6733">
            <v>0</v>
          </cell>
          <cell r="U6733" t="b">
            <v>0</v>
          </cell>
        </row>
        <row r="6734">
          <cell r="A6734" t="str">
            <v>Data split-13;Reg-122</v>
          </cell>
          <cell r="B6734">
            <v>-8.5</v>
          </cell>
          <cell r="C6734">
            <v>3.1</v>
          </cell>
          <cell r="D6734">
            <v>0</v>
          </cell>
          <cell r="E6734">
            <v>0</v>
          </cell>
          <cell r="F6734">
            <v>0</v>
          </cell>
          <cell r="G6734">
            <v>0</v>
          </cell>
          <cell r="H6734">
            <v>-0.55000000000000004</v>
          </cell>
          <cell r="I6734">
            <v>0</v>
          </cell>
          <cell r="J6734">
            <v>0</v>
          </cell>
          <cell r="K6734">
            <v>-0.77</v>
          </cell>
          <cell r="L6734">
            <v>0</v>
          </cell>
          <cell r="M6734">
            <v>0</v>
          </cell>
          <cell r="N6734">
            <v>0</v>
          </cell>
          <cell r="O6734">
            <v>0</v>
          </cell>
          <cell r="P6734">
            <v>0</v>
          </cell>
          <cell r="Q6734">
            <v>0</v>
          </cell>
          <cell r="R6734">
            <v>0</v>
          </cell>
          <cell r="S6734">
            <v>0</v>
          </cell>
          <cell r="T6734">
            <v>0</v>
          </cell>
          <cell r="U6734" t="b">
            <v>0</v>
          </cell>
        </row>
        <row r="6735">
          <cell r="A6735" t="str">
            <v>Data split-13;Reg-123</v>
          </cell>
          <cell r="B6735">
            <v>-7.6</v>
          </cell>
          <cell r="C6735">
            <v>3.1</v>
          </cell>
          <cell r="D6735">
            <v>0</v>
          </cell>
          <cell r="E6735">
            <v>0</v>
          </cell>
          <cell r="F6735">
            <v>0</v>
          </cell>
          <cell r="G6735">
            <v>0</v>
          </cell>
          <cell r="H6735">
            <v>-0.68</v>
          </cell>
          <cell r="I6735">
            <v>0</v>
          </cell>
          <cell r="J6735">
            <v>0</v>
          </cell>
          <cell r="K6735">
            <v>0</v>
          </cell>
          <cell r="L6735">
            <v>-9</v>
          </cell>
          <cell r="M6735">
            <v>0</v>
          </cell>
          <cell r="N6735">
            <v>0</v>
          </cell>
          <cell r="O6735">
            <v>0</v>
          </cell>
          <cell r="P6735">
            <v>0</v>
          </cell>
          <cell r="Q6735">
            <v>0</v>
          </cell>
          <cell r="R6735">
            <v>0</v>
          </cell>
          <cell r="S6735">
            <v>0</v>
          </cell>
          <cell r="T6735">
            <v>0</v>
          </cell>
          <cell r="U6735" t="b">
            <v>0</v>
          </cell>
        </row>
        <row r="6736">
          <cell r="A6736" t="str">
            <v>Data split-13;Reg-124</v>
          </cell>
          <cell r="B6736">
            <v>-7.8</v>
          </cell>
          <cell r="C6736">
            <v>0</v>
          </cell>
          <cell r="D6736">
            <v>3.1</v>
          </cell>
          <cell r="E6736">
            <v>0</v>
          </cell>
          <cell r="F6736">
            <v>0</v>
          </cell>
          <cell r="G6736">
            <v>-0.57999999999999996</v>
          </cell>
          <cell r="H6736">
            <v>0</v>
          </cell>
          <cell r="I6736">
            <v>0</v>
          </cell>
          <cell r="J6736">
            <v>0</v>
          </cell>
          <cell r="K6736">
            <v>-0.67</v>
          </cell>
          <cell r="L6736">
            <v>0</v>
          </cell>
          <cell r="M6736">
            <v>0</v>
          </cell>
          <cell r="N6736">
            <v>0</v>
          </cell>
          <cell r="O6736">
            <v>0</v>
          </cell>
          <cell r="P6736">
            <v>0</v>
          </cell>
          <cell r="Q6736">
            <v>0</v>
          </cell>
          <cell r="R6736">
            <v>0</v>
          </cell>
          <cell r="S6736">
            <v>0</v>
          </cell>
          <cell r="T6736">
            <v>0</v>
          </cell>
          <cell r="U6736" t="b">
            <v>0</v>
          </cell>
        </row>
        <row r="6737">
          <cell r="A6737" t="str">
            <v>Data split-13;Reg-125</v>
          </cell>
          <cell r="B6737">
            <v>-6.8</v>
          </cell>
          <cell r="C6737">
            <v>0</v>
          </cell>
          <cell r="D6737">
            <v>3.2</v>
          </cell>
          <cell r="E6737">
            <v>0</v>
          </cell>
          <cell r="F6737">
            <v>0</v>
          </cell>
          <cell r="G6737">
            <v>-0.67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>
            <v>-9.8000000000000007</v>
          </cell>
          <cell r="M6737">
            <v>0</v>
          </cell>
          <cell r="N6737">
            <v>0</v>
          </cell>
          <cell r="O6737">
            <v>0</v>
          </cell>
          <cell r="P6737">
            <v>0</v>
          </cell>
          <cell r="Q6737">
            <v>0</v>
          </cell>
          <cell r="R6737">
            <v>0</v>
          </cell>
          <cell r="S6737">
            <v>0</v>
          </cell>
          <cell r="T6737">
            <v>0</v>
          </cell>
          <cell r="U6737" t="b">
            <v>0</v>
          </cell>
        </row>
        <row r="6738">
          <cell r="A6738" t="str">
            <v>Data split-13;Reg-126</v>
          </cell>
          <cell r="B6738">
            <v>-8.4</v>
          </cell>
          <cell r="C6738">
            <v>0</v>
          </cell>
          <cell r="D6738">
            <v>3.1</v>
          </cell>
          <cell r="E6738">
            <v>0</v>
          </cell>
          <cell r="F6738">
            <v>0</v>
          </cell>
          <cell r="G6738">
            <v>0</v>
          </cell>
          <cell r="H6738">
            <v>-0.55000000000000004</v>
          </cell>
          <cell r="I6738">
            <v>0</v>
          </cell>
          <cell r="J6738">
            <v>0</v>
          </cell>
          <cell r="K6738">
            <v>-0.76</v>
          </cell>
          <cell r="L6738">
            <v>0</v>
          </cell>
          <cell r="M6738">
            <v>0</v>
          </cell>
          <cell r="N6738">
            <v>0</v>
          </cell>
          <cell r="O6738">
            <v>0</v>
          </cell>
          <cell r="P6738">
            <v>0</v>
          </cell>
          <cell r="Q6738">
            <v>0</v>
          </cell>
          <cell r="R6738">
            <v>0</v>
          </cell>
          <cell r="S6738">
            <v>0</v>
          </cell>
          <cell r="T6738">
            <v>0</v>
          </cell>
          <cell r="U6738" t="b">
            <v>0</v>
          </cell>
        </row>
        <row r="6739">
          <cell r="A6739" t="str">
            <v>Data split-13;Reg-127</v>
          </cell>
          <cell r="B6739">
            <v>-7.6</v>
          </cell>
          <cell r="C6739">
            <v>0</v>
          </cell>
          <cell r="D6739">
            <v>3.1</v>
          </cell>
          <cell r="E6739">
            <v>0</v>
          </cell>
          <cell r="F6739">
            <v>0</v>
          </cell>
          <cell r="G6739">
            <v>0</v>
          </cell>
          <cell r="H6739">
            <v>-0.67</v>
          </cell>
          <cell r="I6739">
            <v>0</v>
          </cell>
          <cell r="J6739">
            <v>0</v>
          </cell>
          <cell r="K6739">
            <v>0</v>
          </cell>
          <cell r="L6739">
            <v>-9</v>
          </cell>
          <cell r="M6739">
            <v>0</v>
          </cell>
          <cell r="N6739">
            <v>0</v>
          </cell>
          <cell r="O6739">
            <v>0</v>
          </cell>
          <cell r="P6739">
            <v>0</v>
          </cell>
          <cell r="Q6739">
            <v>0</v>
          </cell>
          <cell r="R6739">
            <v>0</v>
          </cell>
          <cell r="S6739">
            <v>0</v>
          </cell>
          <cell r="T6739">
            <v>0</v>
          </cell>
          <cell r="U6739" t="b">
            <v>0</v>
          </cell>
        </row>
        <row r="6740">
          <cell r="A6740" t="str">
            <v>Data split-14;Reg-1</v>
          </cell>
          <cell r="B6740">
            <v>0.5</v>
          </cell>
          <cell r="C6740">
            <v>1.3</v>
          </cell>
          <cell r="D6740">
            <v>0</v>
          </cell>
          <cell r="E6740">
            <v>0</v>
          </cell>
          <cell r="F6740">
            <v>0.2</v>
          </cell>
          <cell r="G6740">
            <v>0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>
            <v>13.4</v>
          </cell>
          <cell r="M6740">
            <v>0</v>
          </cell>
          <cell r="N6740">
            <v>0</v>
          </cell>
          <cell r="O6740">
            <v>0</v>
          </cell>
          <cell r="P6740">
            <v>0</v>
          </cell>
          <cell r="Q6740">
            <v>0</v>
          </cell>
          <cell r="R6740">
            <v>0</v>
          </cell>
          <cell r="S6740">
            <v>0</v>
          </cell>
          <cell r="T6740">
            <v>0</v>
          </cell>
          <cell r="U6740" t="b">
            <v>0</v>
          </cell>
        </row>
        <row r="6741">
          <cell r="A6741" t="str">
            <v>Data split-14;Reg-2</v>
          </cell>
          <cell r="B6741">
            <v>1.3</v>
          </cell>
          <cell r="C6741">
            <v>1.3</v>
          </cell>
          <cell r="D6741">
            <v>0</v>
          </cell>
          <cell r="E6741">
            <v>0</v>
          </cell>
          <cell r="F6741">
            <v>0.19</v>
          </cell>
          <cell r="G6741">
            <v>-1.7999999999999999E-2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>
            <v>0</v>
          </cell>
          <cell r="M6741">
            <v>2.9000000000000001E-2</v>
          </cell>
          <cell r="N6741">
            <v>0</v>
          </cell>
          <cell r="O6741">
            <v>0</v>
          </cell>
          <cell r="P6741">
            <v>0</v>
          </cell>
          <cell r="Q6741">
            <v>0</v>
          </cell>
          <cell r="R6741">
            <v>0</v>
          </cell>
          <cell r="S6741">
            <v>0</v>
          </cell>
          <cell r="T6741">
            <v>0</v>
          </cell>
          <cell r="U6741" t="b">
            <v>0</v>
          </cell>
        </row>
        <row r="6742">
          <cell r="A6742" t="str">
            <v>Data split-14;Reg-3</v>
          </cell>
          <cell r="B6742">
            <v>2.2999999999999998</v>
          </cell>
          <cell r="C6742">
            <v>1.2</v>
          </cell>
          <cell r="D6742">
            <v>0</v>
          </cell>
          <cell r="E6742">
            <v>0</v>
          </cell>
          <cell r="F6742">
            <v>0.19</v>
          </cell>
          <cell r="G6742">
            <v>-0.52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>
            <v>0</v>
          </cell>
          <cell r="M6742">
            <v>0</v>
          </cell>
          <cell r="N6742">
            <v>1.7000000000000001E-2</v>
          </cell>
          <cell r="O6742">
            <v>0</v>
          </cell>
          <cell r="P6742">
            <v>0</v>
          </cell>
          <cell r="Q6742">
            <v>0</v>
          </cell>
          <cell r="R6742">
            <v>0</v>
          </cell>
          <cell r="S6742">
            <v>0</v>
          </cell>
          <cell r="T6742">
            <v>0</v>
          </cell>
          <cell r="U6742" t="b">
            <v>0</v>
          </cell>
        </row>
        <row r="6743">
          <cell r="A6743" t="str">
            <v>Data split-14;Reg-4</v>
          </cell>
          <cell r="B6743">
            <v>-0.24</v>
          </cell>
          <cell r="C6743">
            <v>0.71</v>
          </cell>
          <cell r="D6743">
            <v>0</v>
          </cell>
          <cell r="E6743">
            <v>0</v>
          </cell>
          <cell r="F6743">
            <v>0.18</v>
          </cell>
          <cell r="G6743">
            <v>0</v>
          </cell>
          <cell r="H6743">
            <v>2.6</v>
          </cell>
          <cell r="I6743">
            <v>0</v>
          </cell>
          <cell r="J6743">
            <v>0</v>
          </cell>
          <cell r="K6743">
            <v>0</v>
          </cell>
          <cell r="L6743">
            <v>0</v>
          </cell>
          <cell r="M6743">
            <v>-7.0000000000000007E-2</v>
          </cell>
          <cell r="N6743">
            <v>0</v>
          </cell>
          <cell r="O6743">
            <v>0</v>
          </cell>
          <cell r="P6743">
            <v>0</v>
          </cell>
          <cell r="Q6743">
            <v>0</v>
          </cell>
          <cell r="R6743">
            <v>0</v>
          </cell>
          <cell r="S6743">
            <v>0</v>
          </cell>
          <cell r="T6743">
            <v>0</v>
          </cell>
          <cell r="U6743" t="b">
            <v>1</v>
          </cell>
        </row>
        <row r="6744">
          <cell r="A6744" t="str">
            <v>Data split-14;Reg-5</v>
          </cell>
          <cell r="B6744">
            <v>-0.18</v>
          </cell>
          <cell r="C6744">
            <v>0</v>
          </cell>
          <cell r="D6744">
            <v>1</v>
          </cell>
          <cell r="E6744">
            <v>0</v>
          </cell>
          <cell r="F6744">
            <v>0.18</v>
          </cell>
          <cell r="G6744">
            <v>0</v>
          </cell>
          <cell r="H6744">
            <v>1.9</v>
          </cell>
          <cell r="I6744">
            <v>0</v>
          </cell>
          <cell r="J6744">
            <v>0</v>
          </cell>
          <cell r="K6744">
            <v>0</v>
          </cell>
          <cell r="L6744">
            <v>0</v>
          </cell>
          <cell r="M6744">
            <v>-5.1999999999999998E-2</v>
          </cell>
          <cell r="N6744">
            <v>0</v>
          </cell>
          <cell r="O6744">
            <v>0</v>
          </cell>
          <cell r="P6744">
            <v>0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 t="b">
            <v>1</v>
          </cell>
        </row>
        <row r="6745">
          <cell r="A6745" t="str">
            <v>Data split-14;Reg-6</v>
          </cell>
          <cell r="B6745">
            <v>-0.55000000000000004</v>
          </cell>
          <cell r="C6745">
            <v>1.6</v>
          </cell>
          <cell r="D6745">
            <v>0</v>
          </cell>
          <cell r="E6745">
            <v>0.62</v>
          </cell>
          <cell r="F6745">
            <v>0</v>
          </cell>
          <cell r="G6745">
            <v>0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>
            <v>5.7</v>
          </cell>
          <cell r="M6745">
            <v>-4.2999999999999997E-2</v>
          </cell>
          <cell r="N6745">
            <v>0</v>
          </cell>
          <cell r="O6745">
            <v>0</v>
          </cell>
          <cell r="P6745">
            <v>0</v>
          </cell>
          <cell r="Q6745">
            <v>0</v>
          </cell>
          <cell r="R6745">
            <v>0</v>
          </cell>
          <cell r="S6745">
            <v>0</v>
          </cell>
          <cell r="T6745">
            <v>0</v>
          </cell>
          <cell r="U6745" t="b">
            <v>0</v>
          </cell>
        </row>
        <row r="6746">
          <cell r="A6746" t="str">
            <v>Data split-14;Reg-7</v>
          </cell>
          <cell r="B6746">
            <v>0.41</v>
          </cell>
          <cell r="C6746">
            <v>1.4</v>
          </cell>
          <cell r="D6746">
            <v>0</v>
          </cell>
          <cell r="E6746">
            <v>0</v>
          </cell>
          <cell r="F6746">
            <v>0.19</v>
          </cell>
          <cell r="G6746">
            <v>0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>
            <v>13.9</v>
          </cell>
          <cell r="M6746">
            <v>0</v>
          </cell>
          <cell r="N6746">
            <v>0</v>
          </cell>
          <cell r="O6746">
            <v>0</v>
          </cell>
          <cell r="P6746">
            <v>0</v>
          </cell>
          <cell r="Q6746">
            <v>0</v>
          </cell>
          <cell r="R6746">
            <v>0</v>
          </cell>
          <cell r="S6746">
            <v>-1.4E-2</v>
          </cell>
          <cell r="T6746">
            <v>0</v>
          </cell>
          <cell r="U6746" t="b">
            <v>0</v>
          </cell>
        </row>
        <row r="6747">
          <cell r="A6747" t="str">
            <v>Data split-14;Reg-8</v>
          </cell>
          <cell r="B6747">
            <v>-0.16</v>
          </cell>
          <cell r="C6747">
            <v>2.2000000000000002</v>
          </cell>
          <cell r="D6747">
            <v>0</v>
          </cell>
          <cell r="E6747">
            <v>0</v>
          </cell>
          <cell r="F6747">
            <v>0</v>
          </cell>
          <cell r="G6747">
            <v>-0.67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>
            <v>13.1</v>
          </cell>
          <cell r="M6747">
            <v>0</v>
          </cell>
          <cell r="N6747">
            <v>0</v>
          </cell>
          <cell r="O6747">
            <v>0</v>
          </cell>
          <cell r="P6747">
            <v>0</v>
          </cell>
          <cell r="Q6747">
            <v>0</v>
          </cell>
          <cell r="R6747">
            <v>0</v>
          </cell>
          <cell r="S6747">
            <v>-1.9E-2</v>
          </cell>
          <cell r="T6747">
            <v>0</v>
          </cell>
          <cell r="U6747" t="b">
            <v>0</v>
          </cell>
        </row>
        <row r="6748">
          <cell r="A6748" t="str">
            <v>Data split-14;Reg-9</v>
          </cell>
          <cell r="B6748">
            <v>-1.4</v>
          </cell>
          <cell r="C6748">
            <v>0</v>
          </cell>
          <cell r="D6748">
            <v>1.5</v>
          </cell>
          <cell r="E6748">
            <v>0</v>
          </cell>
          <cell r="F6748">
            <v>0</v>
          </cell>
          <cell r="G6748">
            <v>0</v>
          </cell>
          <cell r="H6748">
            <v>2</v>
          </cell>
          <cell r="I6748">
            <v>0</v>
          </cell>
          <cell r="J6748">
            <v>0</v>
          </cell>
          <cell r="K6748">
            <v>0</v>
          </cell>
          <cell r="L6748">
            <v>3.8</v>
          </cell>
          <cell r="M6748">
            <v>0</v>
          </cell>
          <cell r="N6748">
            <v>0</v>
          </cell>
          <cell r="O6748">
            <v>0</v>
          </cell>
          <cell r="P6748">
            <v>0</v>
          </cell>
          <cell r="Q6748">
            <v>0</v>
          </cell>
          <cell r="R6748">
            <v>0</v>
          </cell>
          <cell r="S6748">
            <v>-0.11</v>
          </cell>
          <cell r="T6748">
            <v>0</v>
          </cell>
          <cell r="U6748" t="b">
            <v>0</v>
          </cell>
        </row>
        <row r="6749">
          <cell r="A6749" t="str">
            <v>Data split-14;Reg-10</v>
          </cell>
          <cell r="B6749">
            <v>-1.4</v>
          </cell>
          <cell r="C6749">
            <v>0</v>
          </cell>
          <cell r="D6749">
            <v>1.5</v>
          </cell>
          <cell r="E6749">
            <v>0</v>
          </cell>
          <cell r="F6749">
            <v>0</v>
          </cell>
          <cell r="G6749">
            <v>0</v>
          </cell>
          <cell r="H6749">
            <v>2</v>
          </cell>
          <cell r="I6749">
            <v>0</v>
          </cell>
          <cell r="J6749">
            <v>0</v>
          </cell>
          <cell r="K6749">
            <v>0</v>
          </cell>
          <cell r="L6749">
            <v>3.8</v>
          </cell>
          <cell r="M6749">
            <v>0</v>
          </cell>
          <cell r="N6749">
            <v>0</v>
          </cell>
          <cell r="O6749">
            <v>0</v>
          </cell>
          <cell r="P6749">
            <v>0</v>
          </cell>
          <cell r="Q6749">
            <v>0</v>
          </cell>
          <cell r="R6749">
            <v>0</v>
          </cell>
          <cell r="S6749">
            <v>-0.11</v>
          </cell>
          <cell r="T6749">
            <v>0</v>
          </cell>
          <cell r="U6749" t="b">
            <v>0</v>
          </cell>
        </row>
        <row r="6750">
          <cell r="A6750" t="str">
            <v>Data split-14;Reg-11</v>
          </cell>
          <cell r="B6750">
            <v>0.59</v>
          </cell>
          <cell r="C6750">
            <v>1.6</v>
          </cell>
          <cell r="D6750">
            <v>0</v>
          </cell>
          <cell r="E6750">
            <v>1.7</v>
          </cell>
          <cell r="F6750">
            <v>0</v>
          </cell>
          <cell r="G6750">
            <v>-1.3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>
            <v>0</v>
          </cell>
          <cell r="M6750">
            <v>0</v>
          </cell>
          <cell r="N6750">
            <v>0</v>
          </cell>
          <cell r="O6750">
            <v>0</v>
          </cell>
          <cell r="P6750">
            <v>0</v>
          </cell>
          <cell r="Q6750">
            <v>0</v>
          </cell>
          <cell r="R6750">
            <v>0</v>
          </cell>
          <cell r="S6750">
            <v>0</v>
          </cell>
          <cell r="T6750">
            <v>0</v>
          </cell>
          <cell r="U6750" t="b">
            <v>0</v>
          </cell>
        </row>
        <row r="6751">
          <cell r="A6751" t="str">
            <v>Data split-14;Reg-12</v>
          </cell>
          <cell r="B6751">
            <v>5.7000000000000002E-2</v>
          </cell>
          <cell r="C6751">
            <v>1.6</v>
          </cell>
          <cell r="D6751">
            <v>0</v>
          </cell>
          <cell r="E6751">
            <v>0.68</v>
          </cell>
          <cell r="F6751">
            <v>0</v>
          </cell>
          <cell r="G6751">
            <v>0</v>
          </cell>
          <cell r="H6751">
            <v>-0.31</v>
          </cell>
          <cell r="I6751">
            <v>0</v>
          </cell>
          <cell r="J6751">
            <v>0</v>
          </cell>
          <cell r="K6751">
            <v>0</v>
          </cell>
          <cell r="L6751">
            <v>0</v>
          </cell>
          <cell r="M6751">
            <v>0</v>
          </cell>
          <cell r="N6751">
            <v>0</v>
          </cell>
          <cell r="O6751">
            <v>0</v>
          </cell>
          <cell r="P6751">
            <v>0</v>
          </cell>
          <cell r="Q6751">
            <v>0</v>
          </cell>
          <cell r="R6751">
            <v>0</v>
          </cell>
          <cell r="S6751">
            <v>0</v>
          </cell>
          <cell r="T6751">
            <v>0</v>
          </cell>
          <cell r="U6751" t="b">
            <v>0</v>
          </cell>
        </row>
        <row r="6752">
          <cell r="A6752" t="str">
            <v>Data split-14;Reg-13</v>
          </cell>
          <cell r="B6752">
            <v>0.96</v>
          </cell>
          <cell r="C6752">
            <v>1.4</v>
          </cell>
          <cell r="D6752">
            <v>0</v>
          </cell>
          <cell r="E6752">
            <v>0</v>
          </cell>
          <cell r="F6752">
            <v>0.19</v>
          </cell>
          <cell r="G6752">
            <v>0.24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0</v>
          </cell>
          <cell r="M6752">
            <v>0</v>
          </cell>
          <cell r="N6752">
            <v>0</v>
          </cell>
          <cell r="O6752">
            <v>0</v>
          </cell>
          <cell r="P6752">
            <v>0</v>
          </cell>
          <cell r="Q6752">
            <v>0</v>
          </cell>
          <cell r="R6752">
            <v>0</v>
          </cell>
          <cell r="S6752">
            <v>0</v>
          </cell>
          <cell r="T6752">
            <v>0</v>
          </cell>
          <cell r="U6752" t="b">
            <v>0</v>
          </cell>
        </row>
        <row r="6753">
          <cell r="A6753" t="str">
            <v>Data split-14;Reg-14</v>
          </cell>
          <cell r="B6753">
            <v>0.72</v>
          </cell>
          <cell r="C6753">
            <v>0.94</v>
          </cell>
          <cell r="D6753">
            <v>0</v>
          </cell>
          <cell r="E6753">
            <v>0</v>
          </cell>
          <cell r="F6753">
            <v>0.19</v>
          </cell>
          <cell r="G6753">
            <v>0</v>
          </cell>
          <cell r="H6753">
            <v>1.2</v>
          </cell>
          <cell r="I6753">
            <v>0</v>
          </cell>
          <cell r="J6753">
            <v>0</v>
          </cell>
          <cell r="K6753">
            <v>0</v>
          </cell>
          <cell r="L6753">
            <v>0</v>
          </cell>
          <cell r="M6753">
            <v>0</v>
          </cell>
          <cell r="N6753">
            <v>0</v>
          </cell>
          <cell r="O6753">
            <v>0</v>
          </cell>
          <cell r="P6753">
            <v>0</v>
          </cell>
          <cell r="Q6753">
            <v>0</v>
          </cell>
          <cell r="R6753">
            <v>0</v>
          </cell>
          <cell r="S6753">
            <v>0</v>
          </cell>
          <cell r="T6753">
            <v>0</v>
          </cell>
          <cell r="U6753" t="b">
            <v>0</v>
          </cell>
        </row>
        <row r="6754">
          <cell r="A6754" t="str">
            <v>Data split-14;Reg-15</v>
          </cell>
          <cell r="B6754">
            <v>-0.39</v>
          </cell>
          <cell r="C6754">
            <v>1.5</v>
          </cell>
          <cell r="D6754">
            <v>0</v>
          </cell>
          <cell r="E6754">
            <v>1</v>
          </cell>
          <cell r="F6754">
            <v>0</v>
          </cell>
          <cell r="G6754">
            <v>0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>
            <v>0</v>
          </cell>
          <cell r="M6754">
            <v>-4.8000000000000001E-2</v>
          </cell>
          <cell r="N6754">
            <v>0</v>
          </cell>
          <cell r="O6754">
            <v>0</v>
          </cell>
          <cell r="P6754">
            <v>0</v>
          </cell>
          <cell r="Q6754">
            <v>0</v>
          </cell>
          <cell r="R6754">
            <v>0</v>
          </cell>
          <cell r="S6754">
            <v>0</v>
          </cell>
          <cell r="T6754">
            <v>0</v>
          </cell>
          <cell r="U6754" t="b">
            <v>1</v>
          </cell>
        </row>
        <row r="6755">
          <cell r="A6755" t="str">
            <v>Data split-14;Reg-16</v>
          </cell>
          <cell r="B6755">
            <v>-0.22</v>
          </cell>
          <cell r="C6755">
            <v>1.5</v>
          </cell>
          <cell r="D6755">
            <v>0</v>
          </cell>
          <cell r="E6755">
            <v>0.68</v>
          </cell>
          <cell r="F6755">
            <v>0</v>
          </cell>
          <cell r="G6755">
            <v>0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>
            <v>0</v>
          </cell>
          <cell r="M6755">
            <v>0</v>
          </cell>
          <cell r="N6755">
            <v>-3.3999999999999998E-3</v>
          </cell>
          <cell r="O6755">
            <v>0</v>
          </cell>
          <cell r="P6755">
            <v>0</v>
          </cell>
          <cell r="Q6755">
            <v>0</v>
          </cell>
          <cell r="R6755">
            <v>0</v>
          </cell>
          <cell r="S6755">
            <v>0</v>
          </cell>
          <cell r="T6755">
            <v>0</v>
          </cell>
          <cell r="U6755" t="b">
            <v>1</v>
          </cell>
        </row>
        <row r="6756">
          <cell r="A6756" t="str">
            <v>Data split-14;Reg-17</v>
          </cell>
          <cell r="B6756">
            <v>1.3</v>
          </cell>
          <cell r="C6756">
            <v>1.3</v>
          </cell>
          <cell r="D6756">
            <v>0</v>
          </cell>
          <cell r="E6756">
            <v>0</v>
          </cell>
          <cell r="F6756">
            <v>0.19</v>
          </cell>
          <cell r="G6756">
            <v>0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>
            <v>0</v>
          </cell>
          <cell r="M6756">
            <v>2.8000000000000001E-2</v>
          </cell>
          <cell r="N6756">
            <v>0</v>
          </cell>
          <cell r="O6756">
            <v>0</v>
          </cell>
          <cell r="P6756">
            <v>0</v>
          </cell>
          <cell r="Q6756">
            <v>0</v>
          </cell>
          <cell r="R6756">
            <v>0</v>
          </cell>
          <cell r="S6756">
            <v>0</v>
          </cell>
          <cell r="T6756">
            <v>0</v>
          </cell>
          <cell r="U6756" t="b">
            <v>0</v>
          </cell>
        </row>
        <row r="6757">
          <cell r="A6757" t="str">
            <v>Data split-14;Reg-18</v>
          </cell>
          <cell r="B6757">
            <v>1.7</v>
          </cell>
          <cell r="C6757">
            <v>1.1000000000000001</v>
          </cell>
          <cell r="D6757">
            <v>0</v>
          </cell>
          <cell r="E6757">
            <v>0</v>
          </cell>
          <cell r="F6757">
            <v>0.2</v>
          </cell>
          <cell r="G6757">
            <v>0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>
            <v>0</v>
          </cell>
          <cell r="M6757">
            <v>0</v>
          </cell>
          <cell r="N6757">
            <v>1.0999999999999999E-2</v>
          </cell>
          <cell r="O6757">
            <v>0</v>
          </cell>
          <cell r="P6757">
            <v>0</v>
          </cell>
          <cell r="Q6757">
            <v>0</v>
          </cell>
          <cell r="R6757">
            <v>0</v>
          </cell>
          <cell r="S6757">
            <v>0</v>
          </cell>
          <cell r="T6757">
            <v>0</v>
          </cell>
          <cell r="U6757" t="b">
            <v>0</v>
          </cell>
        </row>
        <row r="6758">
          <cell r="A6758" t="str">
            <v>Data split-14;Reg-19</v>
          </cell>
          <cell r="B6758">
            <v>4.8000000000000001E-2</v>
          </cell>
          <cell r="C6758">
            <v>2.1</v>
          </cell>
          <cell r="D6758">
            <v>0</v>
          </cell>
          <cell r="E6758">
            <v>0</v>
          </cell>
          <cell r="F6758">
            <v>0</v>
          </cell>
          <cell r="G6758">
            <v>7.0999999999999994E-2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0</v>
          </cell>
          <cell r="M6758">
            <v>0</v>
          </cell>
          <cell r="N6758">
            <v>0</v>
          </cell>
          <cell r="O6758">
            <v>-4.9000000000000002E-2</v>
          </cell>
          <cell r="P6758">
            <v>0</v>
          </cell>
          <cell r="Q6758">
            <v>0</v>
          </cell>
          <cell r="R6758">
            <v>0</v>
          </cell>
          <cell r="S6758">
            <v>0</v>
          </cell>
          <cell r="T6758">
            <v>0</v>
          </cell>
          <cell r="U6758" t="b">
            <v>0</v>
          </cell>
        </row>
        <row r="6759">
          <cell r="A6759" t="str">
            <v>Data split-14;Reg-20</v>
          </cell>
          <cell r="B6759">
            <v>0.15</v>
          </cell>
          <cell r="C6759">
            <v>2.1</v>
          </cell>
          <cell r="D6759">
            <v>0</v>
          </cell>
          <cell r="E6759">
            <v>0</v>
          </cell>
          <cell r="F6759">
            <v>0</v>
          </cell>
          <cell r="G6759">
            <v>-0.18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0</v>
          </cell>
          <cell r="M6759">
            <v>0</v>
          </cell>
          <cell r="N6759">
            <v>0</v>
          </cell>
          <cell r="O6759">
            <v>0</v>
          </cell>
          <cell r="P6759">
            <v>-4.8999999999999998E-3</v>
          </cell>
          <cell r="Q6759">
            <v>0</v>
          </cell>
          <cell r="R6759">
            <v>0</v>
          </cell>
          <cell r="S6759">
            <v>0</v>
          </cell>
          <cell r="T6759">
            <v>0</v>
          </cell>
          <cell r="U6759" t="b">
            <v>0</v>
          </cell>
        </row>
        <row r="6760">
          <cell r="A6760" t="str">
            <v>Data split-14;Reg-21</v>
          </cell>
          <cell r="B6760">
            <v>-0.82</v>
          </cell>
          <cell r="C6760">
            <v>1.3</v>
          </cell>
          <cell r="D6760">
            <v>0</v>
          </cell>
          <cell r="E6760">
            <v>0</v>
          </cell>
          <cell r="F6760">
            <v>0</v>
          </cell>
          <cell r="G6760">
            <v>0</v>
          </cell>
          <cell r="H6760">
            <v>2.4</v>
          </cell>
          <cell r="I6760">
            <v>0</v>
          </cell>
          <cell r="J6760">
            <v>0</v>
          </cell>
          <cell r="K6760">
            <v>0</v>
          </cell>
          <cell r="L6760">
            <v>0</v>
          </cell>
          <cell r="M6760">
            <v>0</v>
          </cell>
          <cell r="N6760">
            <v>0</v>
          </cell>
          <cell r="O6760">
            <v>-0.1</v>
          </cell>
          <cell r="P6760">
            <v>0</v>
          </cell>
          <cell r="Q6760">
            <v>0</v>
          </cell>
          <cell r="R6760">
            <v>0</v>
          </cell>
          <cell r="S6760">
            <v>0</v>
          </cell>
          <cell r="T6760">
            <v>0</v>
          </cell>
          <cell r="U6760" t="b">
            <v>1</v>
          </cell>
        </row>
        <row r="6761">
          <cell r="A6761" t="str">
            <v>Data split-14;Reg-22</v>
          </cell>
          <cell r="B6761">
            <v>-0.9</v>
          </cell>
          <cell r="C6761">
            <v>1.4</v>
          </cell>
          <cell r="D6761">
            <v>0</v>
          </cell>
          <cell r="E6761">
            <v>0</v>
          </cell>
          <cell r="F6761">
            <v>0</v>
          </cell>
          <cell r="G6761">
            <v>0</v>
          </cell>
          <cell r="H6761">
            <v>2</v>
          </cell>
          <cell r="I6761">
            <v>0</v>
          </cell>
          <cell r="J6761">
            <v>0</v>
          </cell>
          <cell r="K6761">
            <v>0</v>
          </cell>
          <cell r="L6761">
            <v>0</v>
          </cell>
          <cell r="M6761">
            <v>0</v>
          </cell>
          <cell r="N6761">
            <v>0</v>
          </cell>
          <cell r="O6761">
            <v>0</v>
          </cell>
          <cell r="P6761">
            <v>-1.6E-2</v>
          </cell>
          <cell r="Q6761">
            <v>0</v>
          </cell>
          <cell r="R6761">
            <v>0</v>
          </cell>
          <cell r="S6761">
            <v>0</v>
          </cell>
          <cell r="T6761">
            <v>0</v>
          </cell>
          <cell r="U6761" t="b">
            <v>1</v>
          </cell>
        </row>
        <row r="6762">
          <cell r="A6762" t="str">
            <v>Data split-14;Reg-23</v>
          </cell>
          <cell r="B6762">
            <v>0.3</v>
          </cell>
          <cell r="C6762">
            <v>0</v>
          </cell>
          <cell r="D6762">
            <v>1.9</v>
          </cell>
          <cell r="E6762">
            <v>1.5</v>
          </cell>
          <cell r="F6762">
            <v>0</v>
          </cell>
          <cell r="G6762">
            <v>-1.4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0</v>
          </cell>
          <cell r="M6762">
            <v>0</v>
          </cell>
          <cell r="N6762">
            <v>0</v>
          </cell>
          <cell r="O6762">
            <v>0</v>
          </cell>
          <cell r="P6762">
            <v>0</v>
          </cell>
          <cell r="Q6762">
            <v>0</v>
          </cell>
          <cell r="R6762">
            <v>0</v>
          </cell>
          <cell r="S6762">
            <v>0</v>
          </cell>
          <cell r="T6762">
            <v>0</v>
          </cell>
          <cell r="U6762" t="b">
            <v>0</v>
          </cell>
        </row>
        <row r="6763">
          <cell r="A6763" t="str">
            <v>Data split-14;Reg-24</v>
          </cell>
          <cell r="B6763">
            <v>-0.2</v>
          </cell>
          <cell r="C6763">
            <v>0</v>
          </cell>
          <cell r="D6763">
            <v>1.8</v>
          </cell>
          <cell r="E6763">
            <v>0.44</v>
          </cell>
          <cell r="F6763">
            <v>0</v>
          </cell>
          <cell r="G6763">
            <v>0</v>
          </cell>
          <cell r="H6763">
            <v>-0.46</v>
          </cell>
          <cell r="I6763">
            <v>0</v>
          </cell>
          <cell r="J6763">
            <v>0</v>
          </cell>
          <cell r="K6763">
            <v>0</v>
          </cell>
          <cell r="L6763">
            <v>0</v>
          </cell>
          <cell r="M6763">
            <v>0</v>
          </cell>
          <cell r="N6763">
            <v>0</v>
          </cell>
          <cell r="O6763">
            <v>0</v>
          </cell>
          <cell r="P6763">
            <v>0</v>
          </cell>
          <cell r="Q6763">
            <v>0</v>
          </cell>
          <cell r="R6763">
            <v>0</v>
          </cell>
          <cell r="S6763">
            <v>0</v>
          </cell>
          <cell r="T6763">
            <v>0</v>
          </cell>
          <cell r="U6763" t="b">
            <v>0</v>
          </cell>
        </row>
        <row r="6764">
          <cell r="A6764" t="str">
            <v>Data split-14;Reg-25</v>
          </cell>
          <cell r="B6764">
            <v>0.69</v>
          </cell>
          <cell r="C6764">
            <v>0</v>
          </cell>
          <cell r="D6764">
            <v>1.6</v>
          </cell>
          <cell r="E6764">
            <v>0</v>
          </cell>
          <cell r="F6764">
            <v>0.17</v>
          </cell>
          <cell r="G6764">
            <v>-1.7000000000000001E-4</v>
          </cell>
          <cell r="H6764">
            <v>0</v>
          </cell>
          <cell r="I6764">
            <v>0</v>
          </cell>
          <cell r="J6764">
            <v>0</v>
          </cell>
          <cell r="K6764">
            <v>0</v>
          </cell>
          <cell r="L6764">
            <v>0</v>
          </cell>
          <cell r="M6764">
            <v>0</v>
          </cell>
          <cell r="N6764">
            <v>0</v>
          </cell>
          <cell r="O6764">
            <v>0</v>
          </cell>
          <cell r="P6764">
            <v>0</v>
          </cell>
          <cell r="Q6764">
            <v>0</v>
          </cell>
          <cell r="R6764">
            <v>0</v>
          </cell>
          <cell r="S6764">
            <v>0</v>
          </cell>
          <cell r="T6764">
            <v>0</v>
          </cell>
          <cell r="U6764" t="b">
            <v>0</v>
          </cell>
        </row>
        <row r="6765">
          <cell r="A6765" t="str">
            <v>Data split-14;Reg-26</v>
          </cell>
          <cell r="B6765">
            <v>0.51</v>
          </cell>
          <cell r="C6765">
            <v>0</v>
          </cell>
          <cell r="D6765">
            <v>1.2</v>
          </cell>
          <cell r="E6765">
            <v>0</v>
          </cell>
          <cell r="F6765">
            <v>0.18</v>
          </cell>
          <cell r="G6765">
            <v>0</v>
          </cell>
          <cell r="H6765">
            <v>0.76</v>
          </cell>
          <cell r="I6765">
            <v>0</v>
          </cell>
          <cell r="J6765">
            <v>0</v>
          </cell>
          <cell r="K6765">
            <v>0</v>
          </cell>
          <cell r="L6765">
            <v>0</v>
          </cell>
          <cell r="M6765">
            <v>0</v>
          </cell>
          <cell r="N6765">
            <v>0</v>
          </cell>
          <cell r="O6765">
            <v>0</v>
          </cell>
          <cell r="P6765">
            <v>0</v>
          </cell>
          <cell r="Q6765">
            <v>0</v>
          </cell>
          <cell r="R6765">
            <v>0</v>
          </cell>
          <cell r="S6765">
            <v>0</v>
          </cell>
          <cell r="T6765">
            <v>0</v>
          </cell>
          <cell r="U6765" t="b">
            <v>0</v>
          </cell>
        </row>
        <row r="6766">
          <cell r="A6766" t="str">
            <v>Data split-14;Reg-27</v>
          </cell>
          <cell r="B6766">
            <v>-0.66</v>
          </cell>
          <cell r="C6766">
            <v>0</v>
          </cell>
          <cell r="D6766">
            <v>1.7</v>
          </cell>
          <cell r="E6766">
            <v>0.7</v>
          </cell>
          <cell r="F6766">
            <v>0</v>
          </cell>
          <cell r="G6766">
            <v>0</v>
          </cell>
          <cell r="H6766">
            <v>0</v>
          </cell>
          <cell r="I6766">
            <v>0</v>
          </cell>
          <cell r="J6766">
            <v>0</v>
          </cell>
          <cell r="K6766">
            <v>0</v>
          </cell>
          <cell r="L6766">
            <v>0</v>
          </cell>
          <cell r="M6766">
            <v>-4.5999999999999999E-2</v>
          </cell>
          <cell r="N6766">
            <v>0</v>
          </cell>
          <cell r="O6766">
            <v>0</v>
          </cell>
          <cell r="P6766">
            <v>0</v>
          </cell>
          <cell r="Q6766">
            <v>0</v>
          </cell>
          <cell r="R6766">
            <v>0</v>
          </cell>
          <cell r="S6766">
            <v>0</v>
          </cell>
          <cell r="T6766">
            <v>0</v>
          </cell>
          <cell r="U6766" t="b">
            <v>1</v>
          </cell>
        </row>
        <row r="6767">
          <cell r="A6767" t="str">
            <v>Data split-14;Reg-28</v>
          </cell>
          <cell r="B6767">
            <v>-0.51</v>
          </cell>
          <cell r="C6767">
            <v>0</v>
          </cell>
          <cell r="D6767">
            <v>1.8</v>
          </cell>
          <cell r="E6767">
            <v>0.37</v>
          </cell>
          <cell r="F6767">
            <v>0</v>
          </cell>
          <cell r="G6767">
            <v>0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>
            <v>0</v>
          </cell>
          <cell r="M6767">
            <v>0</v>
          </cell>
          <cell r="N6767">
            <v>-3.3E-3</v>
          </cell>
          <cell r="O6767">
            <v>0</v>
          </cell>
          <cell r="P6767">
            <v>0</v>
          </cell>
          <cell r="Q6767">
            <v>0</v>
          </cell>
          <cell r="R6767">
            <v>0</v>
          </cell>
          <cell r="S6767">
            <v>0</v>
          </cell>
          <cell r="T6767">
            <v>0</v>
          </cell>
          <cell r="U6767" t="b">
            <v>1</v>
          </cell>
        </row>
        <row r="6768">
          <cell r="A6768" t="str">
            <v>Data split-14;Reg-29</v>
          </cell>
          <cell r="B6768">
            <v>0.83</v>
          </cell>
          <cell r="C6768">
            <v>0</v>
          </cell>
          <cell r="D6768">
            <v>1.5</v>
          </cell>
          <cell r="E6768">
            <v>0</v>
          </cell>
          <cell r="F6768">
            <v>0.18</v>
          </cell>
          <cell r="G6768">
            <v>0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>
            <v>0</v>
          </cell>
          <cell r="M6768">
            <v>1.6E-2</v>
          </cell>
          <cell r="N6768">
            <v>0</v>
          </cell>
          <cell r="O6768">
            <v>0</v>
          </cell>
          <cell r="P6768">
            <v>0</v>
          </cell>
          <cell r="Q6768">
            <v>0</v>
          </cell>
          <cell r="R6768">
            <v>0</v>
          </cell>
          <cell r="S6768">
            <v>0</v>
          </cell>
          <cell r="T6768">
            <v>0</v>
          </cell>
          <cell r="U6768" t="b">
            <v>0</v>
          </cell>
        </row>
        <row r="6769">
          <cell r="A6769" t="str">
            <v>Data split-14;Reg-30</v>
          </cell>
          <cell r="B6769">
            <v>1.2</v>
          </cell>
          <cell r="C6769">
            <v>0</v>
          </cell>
          <cell r="D6769">
            <v>1.2</v>
          </cell>
          <cell r="E6769">
            <v>0</v>
          </cell>
          <cell r="F6769">
            <v>0.19</v>
          </cell>
          <cell r="G6769">
            <v>0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>
            <v>0</v>
          </cell>
          <cell r="M6769">
            <v>0</v>
          </cell>
          <cell r="N6769">
            <v>8.3000000000000001E-3</v>
          </cell>
          <cell r="O6769">
            <v>0</v>
          </cell>
          <cell r="P6769">
            <v>0</v>
          </cell>
          <cell r="Q6769">
            <v>0</v>
          </cell>
          <cell r="R6769">
            <v>0</v>
          </cell>
          <cell r="S6769">
            <v>0</v>
          </cell>
          <cell r="T6769">
            <v>0</v>
          </cell>
          <cell r="U6769" t="b">
            <v>0</v>
          </cell>
        </row>
        <row r="6770">
          <cell r="A6770" t="str">
            <v>Data split-14;Reg-31</v>
          </cell>
          <cell r="B6770">
            <v>-0.2</v>
          </cell>
          <cell r="C6770">
            <v>0</v>
          </cell>
          <cell r="D6770">
            <v>2.2999999999999998</v>
          </cell>
          <cell r="E6770">
            <v>0</v>
          </cell>
          <cell r="F6770">
            <v>0</v>
          </cell>
          <cell r="G6770">
            <v>-0.2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0</v>
          </cell>
          <cell r="M6770">
            <v>0</v>
          </cell>
          <cell r="N6770">
            <v>0</v>
          </cell>
          <cell r="O6770">
            <v>-4.3999999999999997E-2</v>
          </cell>
          <cell r="P6770">
            <v>0</v>
          </cell>
          <cell r="Q6770">
            <v>0</v>
          </cell>
          <cell r="R6770">
            <v>0</v>
          </cell>
          <cell r="S6770">
            <v>0</v>
          </cell>
          <cell r="T6770">
            <v>0</v>
          </cell>
          <cell r="U6770" t="b">
            <v>0</v>
          </cell>
        </row>
        <row r="6771">
          <cell r="A6771" t="str">
            <v>Data split-14;Reg-32</v>
          </cell>
          <cell r="B6771">
            <v>-8.5000000000000006E-2</v>
          </cell>
          <cell r="C6771">
            <v>0</v>
          </cell>
          <cell r="D6771">
            <v>2.2999999999999998</v>
          </cell>
          <cell r="E6771">
            <v>0</v>
          </cell>
          <cell r="F6771">
            <v>0</v>
          </cell>
          <cell r="G6771">
            <v>-0.47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>
            <v>0</v>
          </cell>
          <cell r="M6771">
            <v>0</v>
          </cell>
          <cell r="N6771">
            <v>0</v>
          </cell>
          <cell r="O6771">
            <v>0</v>
          </cell>
          <cell r="P6771">
            <v>-3.7000000000000002E-3</v>
          </cell>
          <cell r="Q6771">
            <v>0</v>
          </cell>
          <cell r="R6771">
            <v>0</v>
          </cell>
          <cell r="S6771">
            <v>0</v>
          </cell>
          <cell r="T6771">
            <v>0</v>
          </cell>
          <cell r="U6771" t="b">
            <v>0</v>
          </cell>
        </row>
        <row r="6772">
          <cell r="A6772" t="str">
            <v>Data split-14;Reg-33</v>
          </cell>
          <cell r="B6772">
            <v>-0.97</v>
          </cell>
          <cell r="C6772">
            <v>0</v>
          </cell>
          <cell r="D6772">
            <v>1.5</v>
          </cell>
          <cell r="E6772">
            <v>0</v>
          </cell>
          <cell r="F6772">
            <v>0</v>
          </cell>
          <cell r="G6772">
            <v>0</v>
          </cell>
          <cell r="H6772">
            <v>1.9</v>
          </cell>
          <cell r="I6772">
            <v>0</v>
          </cell>
          <cell r="J6772">
            <v>0</v>
          </cell>
          <cell r="K6772">
            <v>0</v>
          </cell>
          <cell r="L6772">
            <v>0</v>
          </cell>
          <cell r="M6772">
            <v>0</v>
          </cell>
          <cell r="N6772">
            <v>0</v>
          </cell>
          <cell r="O6772">
            <v>-9.7000000000000003E-2</v>
          </cell>
          <cell r="P6772">
            <v>0</v>
          </cell>
          <cell r="Q6772">
            <v>0</v>
          </cell>
          <cell r="R6772">
            <v>0</v>
          </cell>
          <cell r="S6772">
            <v>0</v>
          </cell>
          <cell r="T6772">
            <v>0</v>
          </cell>
          <cell r="U6772" t="b">
            <v>1</v>
          </cell>
        </row>
        <row r="6773">
          <cell r="A6773" t="str">
            <v>Data split-14;Reg-34</v>
          </cell>
          <cell r="B6773">
            <v>-1</v>
          </cell>
          <cell r="C6773">
            <v>0</v>
          </cell>
          <cell r="D6773">
            <v>1.7</v>
          </cell>
          <cell r="E6773">
            <v>0</v>
          </cell>
          <cell r="F6773">
            <v>0</v>
          </cell>
          <cell r="G6773">
            <v>0</v>
          </cell>
          <cell r="H6773">
            <v>1.5</v>
          </cell>
          <cell r="I6773">
            <v>0</v>
          </cell>
          <cell r="J6773">
            <v>0</v>
          </cell>
          <cell r="K6773">
            <v>0</v>
          </cell>
          <cell r="L6773">
            <v>0</v>
          </cell>
          <cell r="M6773">
            <v>0</v>
          </cell>
          <cell r="N6773">
            <v>0</v>
          </cell>
          <cell r="O6773">
            <v>0</v>
          </cell>
          <cell r="P6773">
            <v>-1.4999999999999999E-2</v>
          </cell>
          <cell r="Q6773">
            <v>0</v>
          </cell>
          <cell r="R6773">
            <v>0</v>
          </cell>
          <cell r="S6773">
            <v>0</v>
          </cell>
          <cell r="T6773">
            <v>0</v>
          </cell>
          <cell r="U6773" t="b">
            <v>1</v>
          </cell>
        </row>
        <row r="6774">
          <cell r="A6774" t="str">
            <v>Data split-14;Reg-35</v>
          </cell>
          <cell r="B6774">
            <v>0.56000000000000005</v>
          </cell>
          <cell r="C6774">
            <v>1.6</v>
          </cell>
          <cell r="D6774">
            <v>0</v>
          </cell>
          <cell r="E6774">
            <v>1.7</v>
          </cell>
          <cell r="F6774">
            <v>0</v>
          </cell>
          <cell r="G6774">
            <v>-1.3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>
            <v>0</v>
          </cell>
          <cell r="M6774">
            <v>-2.3E-3</v>
          </cell>
          <cell r="N6774">
            <v>0</v>
          </cell>
          <cell r="O6774">
            <v>0</v>
          </cell>
          <cell r="P6774">
            <v>0</v>
          </cell>
          <cell r="Q6774">
            <v>0</v>
          </cell>
          <cell r="R6774">
            <v>0</v>
          </cell>
          <cell r="S6774">
            <v>0</v>
          </cell>
          <cell r="T6774">
            <v>0</v>
          </cell>
          <cell r="U6774" t="b">
            <v>0</v>
          </cell>
        </row>
        <row r="6775">
          <cell r="A6775" t="str">
            <v>Data split-14;Reg-36</v>
          </cell>
          <cell r="B6775">
            <v>1.5</v>
          </cell>
          <cell r="C6775">
            <v>1.6</v>
          </cell>
          <cell r="D6775">
            <v>0</v>
          </cell>
          <cell r="E6775">
            <v>1.5</v>
          </cell>
          <cell r="F6775">
            <v>0</v>
          </cell>
          <cell r="G6775">
            <v>-1.8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>
            <v>0</v>
          </cell>
          <cell r="M6775">
            <v>0</v>
          </cell>
          <cell r="N6775">
            <v>1.2E-2</v>
          </cell>
          <cell r="O6775">
            <v>0</v>
          </cell>
          <cell r="P6775">
            <v>0</v>
          </cell>
          <cell r="Q6775">
            <v>0</v>
          </cell>
          <cell r="R6775">
            <v>0</v>
          </cell>
          <cell r="S6775">
            <v>0</v>
          </cell>
          <cell r="T6775">
            <v>0</v>
          </cell>
          <cell r="U6775" t="b">
            <v>0</v>
          </cell>
        </row>
        <row r="6776">
          <cell r="A6776" t="str">
            <v>Data split-14;Reg-37</v>
          </cell>
          <cell r="B6776">
            <v>-1.5</v>
          </cell>
          <cell r="C6776">
            <v>1.2</v>
          </cell>
          <cell r="D6776">
            <v>0</v>
          </cell>
          <cell r="E6776">
            <v>0.47</v>
          </cell>
          <cell r="F6776">
            <v>0</v>
          </cell>
          <cell r="G6776">
            <v>0</v>
          </cell>
          <cell r="H6776">
            <v>2.5</v>
          </cell>
          <cell r="I6776">
            <v>0</v>
          </cell>
          <cell r="J6776">
            <v>0</v>
          </cell>
          <cell r="K6776">
            <v>0</v>
          </cell>
          <cell r="L6776">
            <v>0</v>
          </cell>
          <cell r="M6776">
            <v>-0.12</v>
          </cell>
          <cell r="N6776">
            <v>0</v>
          </cell>
          <cell r="O6776">
            <v>0</v>
          </cell>
          <cell r="P6776">
            <v>0</v>
          </cell>
          <cell r="Q6776">
            <v>0</v>
          </cell>
          <cell r="R6776">
            <v>0</v>
          </cell>
          <cell r="S6776">
            <v>0</v>
          </cell>
          <cell r="T6776">
            <v>0</v>
          </cell>
          <cell r="U6776" t="b">
            <v>1</v>
          </cell>
        </row>
        <row r="6777">
          <cell r="A6777" t="str">
            <v>Data split-14;Reg-38</v>
          </cell>
          <cell r="B6777">
            <v>-0.42</v>
          </cell>
          <cell r="C6777">
            <v>1.5</v>
          </cell>
          <cell r="D6777">
            <v>0</v>
          </cell>
          <cell r="E6777">
            <v>0.62</v>
          </cell>
          <cell r="F6777">
            <v>0</v>
          </cell>
          <cell r="G6777">
            <v>0</v>
          </cell>
          <cell r="H6777">
            <v>0.31</v>
          </cell>
          <cell r="I6777">
            <v>0</v>
          </cell>
          <cell r="J6777">
            <v>0</v>
          </cell>
          <cell r="K6777">
            <v>0</v>
          </cell>
          <cell r="L6777">
            <v>0</v>
          </cell>
          <cell r="M6777">
            <v>0</v>
          </cell>
          <cell r="N6777">
            <v>-5.4000000000000003E-3</v>
          </cell>
          <cell r="O6777">
            <v>0</v>
          </cell>
          <cell r="P6777">
            <v>0</v>
          </cell>
          <cell r="Q6777">
            <v>0</v>
          </cell>
          <cell r="R6777">
            <v>0</v>
          </cell>
          <cell r="S6777">
            <v>0</v>
          </cell>
          <cell r="T6777">
            <v>0</v>
          </cell>
          <cell r="U6777" t="b">
            <v>1</v>
          </cell>
        </row>
        <row r="6778">
          <cell r="A6778" t="str">
            <v>Data split-14;Reg-39</v>
          </cell>
          <cell r="B6778">
            <v>1.3</v>
          </cell>
          <cell r="C6778">
            <v>1.3</v>
          </cell>
          <cell r="D6778">
            <v>0</v>
          </cell>
          <cell r="E6778">
            <v>0</v>
          </cell>
          <cell r="F6778">
            <v>0.19</v>
          </cell>
          <cell r="G6778">
            <v>-1.7999999999999999E-2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0</v>
          </cell>
          <cell r="M6778">
            <v>2.9000000000000001E-2</v>
          </cell>
          <cell r="N6778">
            <v>0</v>
          </cell>
          <cell r="O6778">
            <v>0</v>
          </cell>
          <cell r="P6778">
            <v>0</v>
          </cell>
          <cell r="Q6778">
            <v>0</v>
          </cell>
          <cell r="R6778">
            <v>0</v>
          </cell>
          <cell r="S6778">
            <v>0</v>
          </cell>
          <cell r="T6778">
            <v>0</v>
          </cell>
          <cell r="U6778" t="b">
            <v>0</v>
          </cell>
        </row>
        <row r="6779">
          <cell r="A6779" t="str">
            <v>Data split-14;Reg-40</v>
          </cell>
          <cell r="B6779">
            <v>2.2999999999999998</v>
          </cell>
          <cell r="C6779">
            <v>1.2</v>
          </cell>
          <cell r="D6779">
            <v>0</v>
          </cell>
          <cell r="E6779">
            <v>0</v>
          </cell>
          <cell r="F6779">
            <v>0.19</v>
          </cell>
          <cell r="G6779">
            <v>-0.52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0</v>
          </cell>
          <cell r="M6779">
            <v>0</v>
          </cell>
          <cell r="N6779">
            <v>1.7000000000000001E-2</v>
          </cell>
          <cell r="O6779">
            <v>0</v>
          </cell>
          <cell r="P6779">
            <v>0</v>
          </cell>
          <cell r="Q6779">
            <v>0</v>
          </cell>
          <cell r="R6779">
            <v>0</v>
          </cell>
          <cell r="S6779">
            <v>0</v>
          </cell>
          <cell r="T6779">
            <v>0</v>
          </cell>
          <cell r="U6779" t="b">
            <v>0</v>
          </cell>
        </row>
        <row r="6780">
          <cell r="A6780" t="str">
            <v>Data split-14;Reg-41</v>
          </cell>
          <cell r="B6780">
            <v>-0.24</v>
          </cell>
          <cell r="C6780">
            <v>0.71</v>
          </cell>
          <cell r="D6780">
            <v>0</v>
          </cell>
          <cell r="E6780">
            <v>0</v>
          </cell>
          <cell r="F6780">
            <v>0.18</v>
          </cell>
          <cell r="G6780">
            <v>0</v>
          </cell>
          <cell r="H6780">
            <v>2.6</v>
          </cell>
          <cell r="I6780">
            <v>0</v>
          </cell>
          <cell r="J6780">
            <v>0</v>
          </cell>
          <cell r="K6780">
            <v>0</v>
          </cell>
          <cell r="L6780">
            <v>0</v>
          </cell>
          <cell r="M6780">
            <v>-7.0000000000000007E-2</v>
          </cell>
          <cell r="N6780">
            <v>0</v>
          </cell>
          <cell r="O6780">
            <v>0</v>
          </cell>
          <cell r="P6780">
            <v>0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 t="b">
            <v>1</v>
          </cell>
        </row>
        <row r="6781">
          <cell r="A6781" t="str">
            <v>Data split-14;Reg-42</v>
          </cell>
          <cell r="B6781">
            <v>1.4</v>
          </cell>
          <cell r="C6781">
            <v>1</v>
          </cell>
          <cell r="D6781">
            <v>0</v>
          </cell>
          <cell r="E6781">
            <v>0</v>
          </cell>
          <cell r="F6781">
            <v>0.2</v>
          </cell>
          <cell r="G6781">
            <v>0</v>
          </cell>
          <cell r="H6781">
            <v>0.36</v>
          </cell>
          <cell r="I6781">
            <v>0</v>
          </cell>
          <cell r="J6781">
            <v>0</v>
          </cell>
          <cell r="K6781">
            <v>0</v>
          </cell>
          <cell r="L6781">
            <v>0</v>
          </cell>
          <cell r="M6781">
            <v>0</v>
          </cell>
          <cell r="N6781">
            <v>8.0000000000000002E-3</v>
          </cell>
          <cell r="O6781">
            <v>0</v>
          </cell>
          <cell r="P6781">
            <v>0</v>
          </cell>
          <cell r="Q6781">
            <v>0</v>
          </cell>
          <cell r="R6781">
            <v>0</v>
          </cell>
          <cell r="S6781">
            <v>0</v>
          </cell>
          <cell r="T6781">
            <v>0</v>
          </cell>
          <cell r="U6781" t="b">
            <v>0</v>
          </cell>
        </row>
        <row r="6782">
          <cell r="A6782" t="str">
            <v>Data split-14;Reg-43</v>
          </cell>
          <cell r="B6782">
            <v>0.18</v>
          </cell>
          <cell r="C6782">
            <v>1.5</v>
          </cell>
          <cell r="D6782">
            <v>0</v>
          </cell>
          <cell r="E6782">
            <v>1.9</v>
          </cell>
          <cell r="F6782">
            <v>0</v>
          </cell>
          <cell r="G6782">
            <v>-0.8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>
            <v>0</v>
          </cell>
          <cell r="M6782">
            <v>0</v>
          </cell>
          <cell r="N6782">
            <v>0</v>
          </cell>
          <cell r="O6782">
            <v>-5.8999999999999997E-2</v>
          </cell>
          <cell r="P6782">
            <v>0</v>
          </cell>
          <cell r="Q6782">
            <v>0</v>
          </cell>
          <cell r="R6782">
            <v>0</v>
          </cell>
          <cell r="S6782">
            <v>0</v>
          </cell>
          <cell r="T6782">
            <v>0</v>
          </cell>
          <cell r="U6782" t="b">
            <v>0</v>
          </cell>
        </row>
        <row r="6783">
          <cell r="A6783" t="str">
            <v>Data split-14;Reg-44</v>
          </cell>
          <cell r="B6783">
            <v>0.26</v>
          </cell>
          <cell r="C6783">
            <v>1.6</v>
          </cell>
          <cell r="D6783">
            <v>0</v>
          </cell>
          <cell r="E6783">
            <v>1.8</v>
          </cell>
          <cell r="F6783">
            <v>0</v>
          </cell>
          <cell r="G6783">
            <v>-1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0</v>
          </cell>
          <cell r="M6783">
            <v>0</v>
          </cell>
          <cell r="N6783">
            <v>0</v>
          </cell>
          <cell r="O6783">
            <v>0</v>
          </cell>
          <cell r="P6783">
            <v>-6.4999999999999997E-3</v>
          </cell>
          <cell r="Q6783">
            <v>0</v>
          </cell>
          <cell r="R6783">
            <v>0</v>
          </cell>
          <cell r="S6783">
            <v>0</v>
          </cell>
          <cell r="T6783">
            <v>0</v>
          </cell>
          <cell r="U6783" t="b">
            <v>0</v>
          </cell>
        </row>
        <row r="6784">
          <cell r="A6784" t="str">
            <v>Data split-14;Reg-45</v>
          </cell>
          <cell r="B6784">
            <v>-0.72</v>
          </cell>
          <cell r="C6784">
            <v>1.2</v>
          </cell>
          <cell r="D6784">
            <v>0</v>
          </cell>
          <cell r="E6784">
            <v>0.75</v>
          </cell>
          <cell r="F6784">
            <v>0</v>
          </cell>
          <cell r="G6784">
            <v>0</v>
          </cell>
          <cell r="H6784">
            <v>1.7</v>
          </cell>
          <cell r="I6784">
            <v>0</v>
          </cell>
          <cell r="J6784">
            <v>0</v>
          </cell>
          <cell r="K6784">
            <v>0</v>
          </cell>
          <cell r="L6784">
            <v>0</v>
          </cell>
          <cell r="M6784">
            <v>0</v>
          </cell>
          <cell r="N6784">
            <v>0</v>
          </cell>
          <cell r="O6784">
            <v>-0.1</v>
          </cell>
          <cell r="P6784">
            <v>0</v>
          </cell>
          <cell r="Q6784">
            <v>0</v>
          </cell>
          <cell r="R6784">
            <v>0</v>
          </cell>
          <cell r="S6784">
            <v>0</v>
          </cell>
          <cell r="T6784">
            <v>0</v>
          </cell>
          <cell r="U6784" t="b">
            <v>1</v>
          </cell>
        </row>
        <row r="6785">
          <cell r="A6785" t="str">
            <v>Data split-14;Reg-46</v>
          </cell>
          <cell r="B6785">
            <v>-0.8</v>
          </cell>
          <cell r="C6785">
            <v>1.3</v>
          </cell>
          <cell r="D6785">
            <v>0</v>
          </cell>
          <cell r="E6785">
            <v>0.74</v>
          </cell>
          <cell r="F6785">
            <v>0</v>
          </cell>
          <cell r="G6785">
            <v>0</v>
          </cell>
          <cell r="H6785">
            <v>1.2</v>
          </cell>
          <cell r="I6785">
            <v>0</v>
          </cell>
          <cell r="J6785">
            <v>0</v>
          </cell>
          <cell r="K6785">
            <v>0</v>
          </cell>
          <cell r="L6785">
            <v>0</v>
          </cell>
          <cell r="M6785">
            <v>0</v>
          </cell>
          <cell r="N6785">
            <v>0</v>
          </cell>
          <cell r="O6785">
            <v>0</v>
          </cell>
          <cell r="P6785">
            <v>-1.7000000000000001E-2</v>
          </cell>
          <cell r="Q6785">
            <v>0</v>
          </cell>
          <cell r="R6785">
            <v>0</v>
          </cell>
          <cell r="S6785">
            <v>0</v>
          </cell>
          <cell r="T6785">
            <v>0</v>
          </cell>
          <cell r="U6785" t="b">
            <v>1</v>
          </cell>
        </row>
        <row r="6786">
          <cell r="A6786" t="str">
            <v>Data split-14;Reg-47</v>
          </cell>
          <cell r="B6786">
            <v>0.48</v>
          </cell>
          <cell r="C6786">
            <v>1.2</v>
          </cell>
          <cell r="D6786">
            <v>0</v>
          </cell>
          <cell r="E6786">
            <v>0</v>
          </cell>
          <cell r="F6786">
            <v>0.21</v>
          </cell>
          <cell r="G6786">
            <v>1.1000000000000001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0</v>
          </cell>
          <cell r="M6786">
            <v>0</v>
          </cell>
          <cell r="N6786">
            <v>0</v>
          </cell>
          <cell r="O6786">
            <v>-7.4999999999999997E-2</v>
          </cell>
          <cell r="P6786">
            <v>0</v>
          </cell>
          <cell r="Q6786">
            <v>0</v>
          </cell>
          <cell r="R6786">
            <v>0</v>
          </cell>
          <cell r="S6786">
            <v>0</v>
          </cell>
          <cell r="T6786">
            <v>0</v>
          </cell>
          <cell r="U6786" t="b">
            <v>0</v>
          </cell>
        </row>
        <row r="6787">
          <cell r="A6787" t="str">
            <v>Data split-14;Reg-48</v>
          </cell>
          <cell r="B6787">
            <v>0.32</v>
          </cell>
          <cell r="C6787">
            <v>1.2</v>
          </cell>
          <cell r="D6787">
            <v>0</v>
          </cell>
          <cell r="E6787">
            <v>0</v>
          </cell>
          <cell r="F6787">
            <v>0.21</v>
          </cell>
          <cell r="G6787">
            <v>1.1000000000000001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0</v>
          </cell>
          <cell r="M6787">
            <v>0</v>
          </cell>
          <cell r="N6787">
            <v>0</v>
          </cell>
          <cell r="O6787">
            <v>0</v>
          </cell>
          <cell r="P6787">
            <v>-1.4E-2</v>
          </cell>
          <cell r="Q6787">
            <v>0</v>
          </cell>
          <cell r="R6787">
            <v>0</v>
          </cell>
          <cell r="S6787">
            <v>0</v>
          </cell>
          <cell r="T6787">
            <v>0</v>
          </cell>
          <cell r="U6787" t="b">
            <v>0</v>
          </cell>
        </row>
        <row r="6788">
          <cell r="A6788" t="str">
            <v>Data split-14;Reg-49</v>
          </cell>
          <cell r="B6788">
            <v>-7.8E-2</v>
          </cell>
          <cell r="C6788">
            <v>0.49</v>
          </cell>
          <cell r="D6788">
            <v>0</v>
          </cell>
          <cell r="E6788">
            <v>0</v>
          </cell>
          <cell r="F6788">
            <v>0.2</v>
          </cell>
          <cell r="G6788">
            <v>0</v>
          </cell>
          <cell r="H6788">
            <v>3.3</v>
          </cell>
          <cell r="I6788">
            <v>0</v>
          </cell>
          <cell r="J6788">
            <v>0</v>
          </cell>
          <cell r="K6788">
            <v>0</v>
          </cell>
          <cell r="L6788">
            <v>0</v>
          </cell>
          <cell r="M6788">
            <v>0</v>
          </cell>
          <cell r="N6788">
            <v>0</v>
          </cell>
          <cell r="O6788">
            <v>-0.11</v>
          </cell>
          <cell r="P6788">
            <v>0</v>
          </cell>
          <cell r="Q6788">
            <v>0</v>
          </cell>
          <cell r="R6788">
            <v>0</v>
          </cell>
          <cell r="S6788">
            <v>0</v>
          </cell>
          <cell r="T6788">
            <v>0</v>
          </cell>
          <cell r="U6788" t="b">
            <v>1</v>
          </cell>
        </row>
        <row r="6789">
          <cell r="A6789" t="str">
            <v>Data split-14;Reg-50</v>
          </cell>
          <cell r="B6789">
            <v>-0.24</v>
          </cell>
          <cell r="C6789">
            <v>0.62</v>
          </cell>
          <cell r="D6789">
            <v>0</v>
          </cell>
          <cell r="E6789">
            <v>0</v>
          </cell>
          <cell r="F6789">
            <v>0.2</v>
          </cell>
          <cell r="G6789">
            <v>0</v>
          </cell>
          <cell r="H6789">
            <v>3.1</v>
          </cell>
          <cell r="I6789">
            <v>0</v>
          </cell>
          <cell r="J6789">
            <v>0</v>
          </cell>
          <cell r="K6789">
            <v>0</v>
          </cell>
          <cell r="L6789">
            <v>0</v>
          </cell>
          <cell r="M6789">
            <v>0</v>
          </cell>
          <cell r="N6789">
            <v>0</v>
          </cell>
          <cell r="O6789">
            <v>0</v>
          </cell>
          <cell r="P6789">
            <v>-1.9E-2</v>
          </cell>
          <cell r="Q6789">
            <v>0</v>
          </cell>
          <cell r="R6789">
            <v>0</v>
          </cell>
          <cell r="S6789">
            <v>0</v>
          </cell>
          <cell r="T6789">
            <v>0</v>
          </cell>
          <cell r="U6789" t="b">
            <v>1</v>
          </cell>
        </row>
        <row r="6790">
          <cell r="A6790" t="str">
            <v>Data split-14;Reg-51</v>
          </cell>
          <cell r="B6790">
            <v>0.33</v>
          </cell>
          <cell r="C6790">
            <v>0</v>
          </cell>
          <cell r="D6790">
            <v>1.9</v>
          </cell>
          <cell r="E6790">
            <v>1.4</v>
          </cell>
          <cell r="F6790">
            <v>0</v>
          </cell>
          <cell r="G6790">
            <v>-1.4</v>
          </cell>
          <cell r="H6790">
            <v>0</v>
          </cell>
          <cell r="I6790">
            <v>0</v>
          </cell>
          <cell r="J6790">
            <v>0</v>
          </cell>
          <cell r="K6790">
            <v>0</v>
          </cell>
          <cell r="L6790">
            <v>0</v>
          </cell>
          <cell r="M6790">
            <v>0</v>
          </cell>
          <cell r="N6790">
            <v>0</v>
          </cell>
          <cell r="O6790">
            <v>2.8999999999999998E-3</v>
          </cell>
          <cell r="P6790">
            <v>0</v>
          </cell>
          <cell r="Q6790">
            <v>0</v>
          </cell>
          <cell r="R6790">
            <v>0</v>
          </cell>
          <cell r="S6790">
            <v>0</v>
          </cell>
          <cell r="T6790">
            <v>0</v>
          </cell>
          <cell r="U6790" t="b">
            <v>0</v>
          </cell>
        </row>
        <row r="6791">
          <cell r="A6791" t="str">
            <v>Data split-14;Reg-52</v>
          </cell>
          <cell r="B6791">
            <v>1.2</v>
          </cell>
          <cell r="C6791">
            <v>0</v>
          </cell>
          <cell r="D6791">
            <v>1.8</v>
          </cell>
          <cell r="E6791">
            <v>1.2</v>
          </cell>
          <cell r="F6791">
            <v>0</v>
          </cell>
          <cell r="G6791">
            <v>-1.8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>
            <v>0</v>
          </cell>
          <cell r="M6791">
            <v>0</v>
          </cell>
          <cell r="N6791">
            <v>1.2E-2</v>
          </cell>
          <cell r="O6791">
            <v>0</v>
          </cell>
          <cell r="P6791">
            <v>0</v>
          </cell>
          <cell r="Q6791">
            <v>0</v>
          </cell>
          <cell r="R6791">
            <v>0</v>
          </cell>
          <cell r="S6791">
            <v>0</v>
          </cell>
          <cell r="T6791">
            <v>0</v>
          </cell>
          <cell r="U6791" t="b">
            <v>0</v>
          </cell>
        </row>
        <row r="6792">
          <cell r="A6792" t="str">
            <v>Data split-14;Reg-53</v>
          </cell>
          <cell r="B6792">
            <v>-1.5</v>
          </cell>
          <cell r="C6792">
            <v>0</v>
          </cell>
          <cell r="D6792">
            <v>1.5</v>
          </cell>
          <cell r="E6792">
            <v>0.3</v>
          </cell>
          <cell r="F6792">
            <v>0</v>
          </cell>
          <cell r="G6792">
            <v>0</v>
          </cell>
          <cell r="H6792">
            <v>1.9</v>
          </cell>
          <cell r="I6792">
            <v>0</v>
          </cell>
          <cell r="J6792">
            <v>0</v>
          </cell>
          <cell r="K6792">
            <v>0</v>
          </cell>
          <cell r="L6792">
            <v>0</v>
          </cell>
          <cell r="M6792">
            <v>-0.1</v>
          </cell>
          <cell r="N6792">
            <v>0</v>
          </cell>
          <cell r="O6792">
            <v>0</v>
          </cell>
          <cell r="P6792">
            <v>0</v>
          </cell>
          <cell r="Q6792">
            <v>0</v>
          </cell>
          <cell r="R6792">
            <v>0</v>
          </cell>
          <cell r="S6792">
            <v>0</v>
          </cell>
          <cell r="T6792">
            <v>0</v>
          </cell>
          <cell r="U6792" t="b">
            <v>1</v>
          </cell>
        </row>
        <row r="6793">
          <cell r="A6793" t="str">
            <v>Data split-14;Reg-54</v>
          </cell>
          <cell r="B6793">
            <v>-0.3</v>
          </cell>
          <cell r="C6793">
            <v>0</v>
          </cell>
          <cell r="D6793">
            <v>1.8</v>
          </cell>
          <cell r="E6793">
            <v>0.43</v>
          </cell>
          <cell r="F6793">
            <v>0</v>
          </cell>
          <cell r="G6793">
            <v>0</v>
          </cell>
          <cell r="H6793">
            <v>-0.33</v>
          </cell>
          <cell r="I6793">
            <v>0</v>
          </cell>
          <cell r="J6793">
            <v>0</v>
          </cell>
          <cell r="K6793">
            <v>0</v>
          </cell>
          <cell r="L6793">
            <v>0</v>
          </cell>
          <cell r="M6793">
            <v>0</v>
          </cell>
          <cell r="N6793">
            <v>-1.1000000000000001E-3</v>
          </cell>
          <cell r="O6793">
            <v>0</v>
          </cell>
          <cell r="P6793">
            <v>0</v>
          </cell>
          <cell r="Q6793">
            <v>0</v>
          </cell>
          <cell r="R6793">
            <v>0</v>
          </cell>
          <cell r="S6793">
            <v>0</v>
          </cell>
          <cell r="T6793">
            <v>0</v>
          </cell>
          <cell r="U6793" t="b">
            <v>0</v>
          </cell>
        </row>
        <row r="6794">
          <cell r="A6794" t="str">
            <v>Data split-14;Reg-55</v>
          </cell>
          <cell r="B6794">
            <v>1</v>
          </cell>
          <cell r="C6794">
            <v>0</v>
          </cell>
          <cell r="D6794">
            <v>1.6</v>
          </cell>
          <cell r="E6794">
            <v>0</v>
          </cell>
          <cell r="F6794">
            <v>0.17</v>
          </cell>
          <cell r="G6794">
            <v>-0.26</v>
          </cell>
          <cell r="H6794">
            <v>0</v>
          </cell>
          <cell r="I6794">
            <v>0</v>
          </cell>
          <cell r="J6794">
            <v>0</v>
          </cell>
          <cell r="K6794">
            <v>0</v>
          </cell>
          <cell r="L6794">
            <v>0</v>
          </cell>
          <cell r="M6794">
            <v>2.8000000000000001E-2</v>
          </cell>
          <cell r="N6794">
            <v>0</v>
          </cell>
          <cell r="O6794">
            <v>0</v>
          </cell>
          <cell r="P6794">
            <v>0</v>
          </cell>
          <cell r="Q6794">
            <v>0</v>
          </cell>
          <cell r="R6794">
            <v>0</v>
          </cell>
          <cell r="S6794">
            <v>0</v>
          </cell>
          <cell r="T6794">
            <v>0</v>
          </cell>
          <cell r="U6794" t="b">
            <v>0</v>
          </cell>
        </row>
        <row r="6795">
          <cell r="A6795" t="str">
            <v>Data split-14;Reg-56</v>
          </cell>
          <cell r="B6795">
            <v>2</v>
          </cell>
          <cell r="C6795">
            <v>0</v>
          </cell>
          <cell r="D6795">
            <v>1.4</v>
          </cell>
          <cell r="E6795">
            <v>0</v>
          </cell>
          <cell r="F6795">
            <v>0.17</v>
          </cell>
          <cell r="G6795">
            <v>-0.74</v>
          </cell>
          <cell r="H6795">
            <v>0</v>
          </cell>
          <cell r="I6795">
            <v>0</v>
          </cell>
          <cell r="J6795">
            <v>0</v>
          </cell>
          <cell r="K6795">
            <v>0</v>
          </cell>
          <cell r="L6795">
            <v>0</v>
          </cell>
          <cell r="M6795">
            <v>0</v>
          </cell>
          <cell r="N6795">
            <v>1.6E-2</v>
          </cell>
          <cell r="O6795">
            <v>0</v>
          </cell>
          <cell r="P6795">
            <v>0</v>
          </cell>
          <cell r="Q6795">
            <v>0</v>
          </cell>
          <cell r="R6795">
            <v>0</v>
          </cell>
          <cell r="S6795">
            <v>0</v>
          </cell>
          <cell r="T6795">
            <v>0</v>
          </cell>
          <cell r="U6795" t="b">
            <v>0</v>
          </cell>
        </row>
        <row r="6796">
          <cell r="A6796" t="str">
            <v>Data split-14;Reg-57</v>
          </cell>
          <cell r="B6796">
            <v>-0.18</v>
          </cell>
          <cell r="C6796">
            <v>0</v>
          </cell>
          <cell r="D6796">
            <v>1</v>
          </cell>
          <cell r="E6796">
            <v>0</v>
          </cell>
          <cell r="F6796">
            <v>0.18</v>
          </cell>
          <cell r="G6796">
            <v>0</v>
          </cell>
          <cell r="H6796">
            <v>1.9</v>
          </cell>
          <cell r="I6796">
            <v>0</v>
          </cell>
          <cell r="J6796">
            <v>0</v>
          </cell>
          <cell r="K6796">
            <v>0</v>
          </cell>
          <cell r="L6796">
            <v>0</v>
          </cell>
          <cell r="M6796">
            <v>-5.1999999999999998E-2</v>
          </cell>
          <cell r="N6796">
            <v>0</v>
          </cell>
          <cell r="O6796">
            <v>0</v>
          </cell>
          <cell r="P6796">
            <v>0</v>
          </cell>
          <cell r="Q6796">
            <v>0</v>
          </cell>
          <cell r="R6796">
            <v>0</v>
          </cell>
          <cell r="S6796">
            <v>0</v>
          </cell>
          <cell r="T6796">
            <v>0</v>
          </cell>
          <cell r="U6796" t="b">
            <v>1</v>
          </cell>
        </row>
        <row r="6797">
          <cell r="A6797" t="str">
            <v>Data split-14;Reg-58</v>
          </cell>
          <cell r="B6797">
            <v>1.6</v>
          </cell>
          <cell r="C6797">
            <v>0</v>
          </cell>
          <cell r="D6797">
            <v>1.3</v>
          </cell>
          <cell r="E6797">
            <v>0</v>
          </cell>
          <cell r="F6797">
            <v>0.19</v>
          </cell>
          <cell r="G6797">
            <v>0</v>
          </cell>
          <cell r="H6797">
            <v>-0.49</v>
          </cell>
          <cell r="I6797">
            <v>0</v>
          </cell>
          <cell r="J6797">
            <v>0</v>
          </cell>
          <cell r="K6797">
            <v>0</v>
          </cell>
          <cell r="L6797">
            <v>0</v>
          </cell>
          <cell r="M6797">
            <v>0</v>
          </cell>
          <cell r="N6797">
            <v>1.2E-2</v>
          </cell>
          <cell r="O6797">
            <v>0</v>
          </cell>
          <cell r="P6797">
            <v>0</v>
          </cell>
          <cell r="Q6797">
            <v>0</v>
          </cell>
          <cell r="R6797">
            <v>0</v>
          </cell>
          <cell r="S6797">
            <v>0</v>
          </cell>
          <cell r="T6797">
            <v>0</v>
          </cell>
          <cell r="U6797" t="b">
            <v>0</v>
          </cell>
        </row>
        <row r="6798">
          <cell r="A6798" t="str">
            <v>Data split-14;Reg-59</v>
          </cell>
          <cell r="B6798">
            <v>-5.0999999999999997E-2</v>
          </cell>
          <cell r="C6798">
            <v>0</v>
          </cell>
          <cell r="D6798">
            <v>1.8</v>
          </cell>
          <cell r="E6798">
            <v>1.6</v>
          </cell>
          <cell r="F6798">
            <v>0</v>
          </cell>
          <cell r="G6798">
            <v>-0.9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0</v>
          </cell>
          <cell r="M6798">
            <v>0</v>
          </cell>
          <cell r="N6798">
            <v>0</v>
          </cell>
          <cell r="O6798">
            <v>-5.3999999999999999E-2</v>
          </cell>
          <cell r="P6798">
            <v>0</v>
          </cell>
          <cell r="Q6798">
            <v>0</v>
          </cell>
          <cell r="R6798">
            <v>0</v>
          </cell>
          <cell r="S6798">
            <v>0</v>
          </cell>
          <cell r="T6798">
            <v>0</v>
          </cell>
          <cell r="U6798" t="b">
            <v>0</v>
          </cell>
        </row>
        <row r="6799">
          <cell r="A6799" t="str">
            <v>Data split-14;Reg-60</v>
          </cell>
          <cell r="B6799">
            <v>4.3999999999999997E-2</v>
          </cell>
          <cell r="C6799">
            <v>0</v>
          </cell>
          <cell r="D6799">
            <v>1.8</v>
          </cell>
          <cell r="E6799">
            <v>1.5</v>
          </cell>
          <cell r="F6799">
            <v>0</v>
          </cell>
          <cell r="G6799">
            <v>-1.1000000000000001</v>
          </cell>
          <cell r="H6799">
            <v>0</v>
          </cell>
          <cell r="I6799">
            <v>0</v>
          </cell>
          <cell r="J6799">
            <v>0</v>
          </cell>
          <cell r="K6799">
            <v>0</v>
          </cell>
          <cell r="L6799">
            <v>0</v>
          </cell>
          <cell r="M6799">
            <v>0</v>
          </cell>
          <cell r="N6799">
            <v>0</v>
          </cell>
          <cell r="O6799">
            <v>0</v>
          </cell>
          <cell r="P6799">
            <v>-5.1999999999999998E-3</v>
          </cell>
          <cell r="Q6799">
            <v>0</v>
          </cell>
          <cell r="R6799">
            <v>0</v>
          </cell>
          <cell r="S6799">
            <v>0</v>
          </cell>
          <cell r="T6799">
            <v>0</v>
          </cell>
          <cell r="U6799" t="b">
            <v>0</v>
          </cell>
        </row>
        <row r="6800">
          <cell r="A6800" t="str">
            <v>Data split-14;Reg-61</v>
          </cell>
          <cell r="B6800">
            <v>-0.89</v>
          </cell>
          <cell r="C6800">
            <v>0</v>
          </cell>
          <cell r="D6800">
            <v>1.4</v>
          </cell>
          <cell r="E6800">
            <v>0.54</v>
          </cell>
          <cell r="F6800">
            <v>0</v>
          </cell>
          <cell r="G6800">
            <v>0</v>
          </cell>
          <cell r="H6800">
            <v>1.4</v>
          </cell>
          <cell r="I6800">
            <v>0</v>
          </cell>
          <cell r="J6800">
            <v>0</v>
          </cell>
          <cell r="K6800">
            <v>0</v>
          </cell>
          <cell r="L6800">
            <v>0</v>
          </cell>
          <cell r="M6800">
            <v>0</v>
          </cell>
          <cell r="N6800">
            <v>0</v>
          </cell>
          <cell r="O6800">
            <v>-9.8000000000000004E-2</v>
          </cell>
          <cell r="P6800">
            <v>0</v>
          </cell>
          <cell r="Q6800">
            <v>0</v>
          </cell>
          <cell r="R6800">
            <v>0</v>
          </cell>
          <cell r="S6800">
            <v>0</v>
          </cell>
          <cell r="T6800">
            <v>0</v>
          </cell>
          <cell r="U6800" t="b">
            <v>1</v>
          </cell>
        </row>
        <row r="6801">
          <cell r="A6801" t="str">
            <v>Data split-14;Reg-62</v>
          </cell>
          <cell r="B6801">
            <v>-0.97</v>
          </cell>
          <cell r="C6801">
            <v>0</v>
          </cell>
          <cell r="D6801">
            <v>1.6</v>
          </cell>
          <cell r="E6801">
            <v>0.52</v>
          </cell>
          <cell r="F6801">
            <v>0</v>
          </cell>
          <cell r="G6801">
            <v>0</v>
          </cell>
          <cell r="H6801">
            <v>0.98</v>
          </cell>
          <cell r="I6801">
            <v>0</v>
          </cell>
          <cell r="J6801">
            <v>0</v>
          </cell>
          <cell r="K6801">
            <v>0</v>
          </cell>
          <cell r="L6801">
            <v>0</v>
          </cell>
          <cell r="M6801">
            <v>0</v>
          </cell>
          <cell r="N6801">
            <v>0</v>
          </cell>
          <cell r="O6801">
            <v>0</v>
          </cell>
          <cell r="P6801">
            <v>-1.4999999999999999E-2</v>
          </cell>
          <cell r="Q6801">
            <v>0</v>
          </cell>
          <cell r="R6801">
            <v>0</v>
          </cell>
          <cell r="S6801">
            <v>0</v>
          </cell>
          <cell r="T6801">
            <v>0</v>
          </cell>
          <cell r="U6801" t="b">
            <v>1</v>
          </cell>
        </row>
        <row r="6802">
          <cell r="A6802" t="str">
            <v>Data split-14;Reg-63</v>
          </cell>
          <cell r="B6802">
            <v>0.27</v>
          </cell>
          <cell r="C6802">
            <v>0</v>
          </cell>
          <cell r="D6802">
            <v>1.4</v>
          </cell>
          <cell r="E6802">
            <v>0</v>
          </cell>
          <cell r="F6802">
            <v>0.19</v>
          </cell>
          <cell r="G6802">
            <v>0.81</v>
          </cell>
          <cell r="H6802">
            <v>0</v>
          </cell>
          <cell r="I6802">
            <v>0</v>
          </cell>
          <cell r="J6802">
            <v>0</v>
          </cell>
          <cell r="K6802">
            <v>0</v>
          </cell>
          <cell r="L6802">
            <v>0</v>
          </cell>
          <cell r="M6802">
            <v>0</v>
          </cell>
          <cell r="N6802">
            <v>0</v>
          </cell>
          <cell r="O6802">
            <v>-7.0000000000000007E-2</v>
          </cell>
          <cell r="P6802">
            <v>0</v>
          </cell>
          <cell r="Q6802">
            <v>0</v>
          </cell>
          <cell r="R6802">
            <v>0</v>
          </cell>
          <cell r="S6802">
            <v>0</v>
          </cell>
          <cell r="T6802">
            <v>0</v>
          </cell>
          <cell r="U6802" t="b">
            <v>0</v>
          </cell>
        </row>
        <row r="6803">
          <cell r="A6803" t="str">
            <v>Data split-14;Reg-64</v>
          </cell>
          <cell r="B6803">
            <v>0.14000000000000001</v>
          </cell>
          <cell r="C6803">
            <v>0</v>
          </cell>
          <cell r="D6803">
            <v>1.4</v>
          </cell>
          <cell r="E6803">
            <v>0</v>
          </cell>
          <cell r="F6803">
            <v>0.19</v>
          </cell>
          <cell r="G6803">
            <v>0.75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>
            <v>0</v>
          </cell>
          <cell r="M6803">
            <v>0</v>
          </cell>
          <cell r="N6803">
            <v>0</v>
          </cell>
          <cell r="O6803">
            <v>0</v>
          </cell>
          <cell r="P6803">
            <v>-1.2E-2</v>
          </cell>
          <cell r="Q6803">
            <v>0</v>
          </cell>
          <cell r="R6803">
            <v>0</v>
          </cell>
          <cell r="S6803">
            <v>0</v>
          </cell>
          <cell r="T6803">
            <v>0</v>
          </cell>
          <cell r="U6803" t="b">
            <v>0</v>
          </cell>
        </row>
        <row r="6804">
          <cell r="A6804" t="str">
            <v>Data split-14;Reg-65</v>
          </cell>
          <cell r="B6804">
            <v>-0.2</v>
          </cell>
          <cell r="C6804">
            <v>0</v>
          </cell>
          <cell r="D6804">
            <v>0.74</v>
          </cell>
          <cell r="E6804">
            <v>0</v>
          </cell>
          <cell r="F6804">
            <v>0.19</v>
          </cell>
          <cell r="G6804">
            <v>0</v>
          </cell>
          <cell r="H6804">
            <v>2.8</v>
          </cell>
          <cell r="I6804">
            <v>0</v>
          </cell>
          <cell r="J6804">
            <v>0</v>
          </cell>
          <cell r="K6804">
            <v>0</v>
          </cell>
          <cell r="L6804">
            <v>0</v>
          </cell>
          <cell r="M6804">
            <v>0</v>
          </cell>
          <cell r="N6804">
            <v>0</v>
          </cell>
          <cell r="O6804">
            <v>-0.1</v>
          </cell>
          <cell r="P6804">
            <v>0</v>
          </cell>
          <cell r="Q6804">
            <v>0</v>
          </cell>
          <cell r="R6804">
            <v>0</v>
          </cell>
          <cell r="S6804">
            <v>0</v>
          </cell>
          <cell r="T6804">
            <v>0</v>
          </cell>
          <cell r="U6804" t="b">
            <v>1</v>
          </cell>
        </row>
        <row r="6805">
          <cell r="A6805" t="str">
            <v>Data split-14;Reg-66</v>
          </cell>
          <cell r="B6805">
            <v>-0.36</v>
          </cell>
          <cell r="C6805">
            <v>0</v>
          </cell>
          <cell r="D6805">
            <v>0.86</v>
          </cell>
          <cell r="E6805">
            <v>0</v>
          </cell>
          <cell r="F6805">
            <v>0.19</v>
          </cell>
          <cell r="G6805">
            <v>0</v>
          </cell>
          <cell r="H6805">
            <v>2.6</v>
          </cell>
          <cell r="I6805">
            <v>0</v>
          </cell>
          <cell r="J6805">
            <v>0</v>
          </cell>
          <cell r="K6805">
            <v>0</v>
          </cell>
          <cell r="L6805">
            <v>0</v>
          </cell>
          <cell r="M6805">
            <v>0</v>
          </cell>
          <cell r="N6805">
            <v>0</v>
          </cell>
          <cell r="O6805">
            <v>0</v>
          </cell>
          <cell r="P6805">
            <v>-1.7999999999999999E-2</v>
          </cell>
          <cell r="Q6805">
            <v>0</v>
          </cell>
          <cell r="R6805">
            <v>0</v>
          </cell>
          <cell r="S6805">
            <v>0</v>
          </cell>
          <cell r="T6805">
            <v>0</v>
          </cell>
          <cell r="U6805" t="b">
            <v>1</v>
          </cell>
        </row>
        <row r="6806">
          <cell r="A6806" t="str">
            <v>Data split-14;Reg-67</v>
          </cell>
          <cell r="B6806">
            <v>0.4</v>
          </cell>
          <cell r="C6806">
            <v>2.1</v>
          </cell>
          <cell r="D6806">
            <v>0</v>
          </cell>
          <cell r="E6806">
            <v>0</v>
          </cell>
          <cell r="F6806">
            <v>0</v>
          </cell>
          <cell r="G6806">
            <v>-0.44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>
            <v>0</v>
          </cell>
          <cell r="M6806">
            <v>0</v>
          </cell>
          <cell r="N6806">
            <v>0</v>
          </cell>
          <cell r="O6806">
            <v>0</v>
          </cell>
          <cell r="P6806">
            <v>0</v>
          </cell>
          <cell r="Q6806">
            <v>0</v>
          </cell>
          <cell r="R6806">
            <v>0</v>
          </cell>
          <cell r="S6806">
            <v>0</v>
          </cell>
          <cell r="T6806">
            <v>0</v>
          </cell>
          <cell r="U6806" t="b">
            <v>0</v>
          </cell>
        </row>
        <row r="6807">
          <cell r="A6807" t="str">
            <v>Data split-14;Reg-68</v>
          </cell>
          <cell r="B6807">
            <v>0.96</v>
          </cell>
          <cell r="C6807">
            <v>1.4</v>
          </cell>
          <cell r="D6807">
            <v>0</v>
          </cell>
          <cell r="E6807">
            <v>0</v>
          </cell>
          <cell r="F6807">
            <v>0.19</v>
          </cell>
          <cell r="G6807">
            <v>0.24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>
            <v>0</v>
          </cell>
          <cell r="M6807">
            <v>0</v>
          </cell>
          <cell r="N6807">
            <v>0</v>
          </cell>
          <cell r="O6807">
            <v>0</v>
          </cell>
          <cell r="P6807">
            <v>0</v>
          </cell>
          <cell r="Q6807">
            <v>0</v>
          </cell>
          <cell r="R6807">
            <v>0</v>
          </cell>
          <cell r="S6807">
            <v>0</v>
          </cell>
          <cell r="T6807">
            <v>0</v>
          </cell>
          <cell r="U6807" t="b">
            <v>0</v>
          </cell>
        </row>
        <row r="6808">
          <cell r="A6808" t="str">
            <v>Data split-14;Reg-69</v>
          </cell>
          <cell r="B6808">
            <v>-4.4000000000000004</v>
          </cell>
          <cell r="C6808">
            <v>2.6</v>
          </cell>
          <cell r="D6808">
            <v>0</v>
          </cell>
          <cell r="E6808">
            <v>0</v>
          </cell>
          <cell r="F6808">
            <v>0</v>
          </cell>
          <cell r="G6808">
            <v>-2</v>
          </cell>
          <cell r="H6808">
            <v>0</v>
          </cell>
          <cell r="I6808">
            <v>0</v>
          </cell>
          <cell r="J6808">
            <v>45.7</v>
          </cell>
          <cell r="K6808">
            <v>0</v>
          </cell>
          <cell r="L6808">
            <v>0</v>
          </cell>
          <cell r="M6808">
            <v>0</v>
          </cell>
          <cell r="N6808">
            <v>0</v>
          </cell>
          <cell r="O6808">
            <v>0</v>
          </cell>
          <cell r="P6808">
            <v>0</v>
          </cell>
          <cell r="Q6808">
            <v>0</v>
          </cell>
          <cell r="R6808">
            <v>0</v>
          </cell>
          <cell r="S6808">
            <v>0</v>
          </cell>
          <cell r="T6808">
            <v>0</v>
          </cell>
          <cell r="U6808" t="b">
            <v>0</v>
          </cell>
        </row>
        <row r="6809">
          <cell r="A6809" t="str">
            <v>Data split-14;Reg-70</v>
          </cell>
          <cell r="B6809">
            <v>-4.4000000000000004</v>
          </cell>
          <cell r="C6809">
            <v>2.6</v>
          </cell>
          <cell r="D6809">
            <v>0</v>
          </cell>
          <cell r="E6809">
            <v>0</v>
          </cell>
          <cell r="F6809">
            <v>0</v>
          </cell>
          <cell r="G6809">
            <v>-2.1</v>
          </cell>
          <cell r="H6809">
            <v>0</v>
          </cell>
          <cell r="I6809">
            <v>0</v>
          </cell>
          <cell r="J6809">
            <v>46.6</v>
          </cell>
          <cell r="K6809">
            <v>0</v>
          </cell>
          <cell r="L6809">
            <v>0</v>
          </cell>
          <cell r="M6809">
            <v>0</v>
          </cell>
          <cell r="N6809">
            <v>0</v>
          </cell>
          <cell r="O6809">
            <v>0</v>
          </cell>
          <cell r="P6809">
            <v>0</v>
          </cell>
          <cell r="Q6809">
            <v>0</v>
          </cell>
          <cell r="R6809">
            <v>0</v>
          </cell>
          <cell r="S6809">
            <v>1.4E-2</v>
          </cell>
          <cell r="T6809">
            <v>0</v>
          </cell>
          <cell r="U6809" t="b">
            <v>0</v>
          </cell>
        </row>
        <row r="6810">
          <cell r="A6810" t="str">
            <v>Data split-14;Reg-71</v>
          </cell>
          <cell r="B6810">
            <v>-0.45</v>
          </cell>
          <cell r="C6810">
            <v>0.87</v>
          </cell>
          <cell r="D6810">
            <v>0</v>
          </cell>
          <cell r="E6810">
            <v>0</v>
          </cell>
          <cell r="F6810">
            <v>0.17</v>
          </cell>
          <cell r="G6810">
            <v>0</v>
          </cell>
          <cell r="H6810">
            <v>2.7</v>
          </cell>
          <cell r="I6810">
            <v>0</v>
          </cell>
          <cell r="J6810">
            <v>0</v>
          </cell>
          <cell r="K6810">
            <v>0</v>
          </cell>
          <cell r="L6810">
            <v>0</v>
          </cell>
          <cell r="M6810">
            <v>0</v>
          </cell>
          <cell r="N6810">
            <v>0</v>
          </cell>
          <cell r="O6810">
            <v>0</v>
          </cell>
          <cell r="P6810">
            <v>0</v>
          </cell>
          <cell r="Q6810">
            <v>0</v>
          </cell>
          <cell r="R6810">
            <v>0</v>
          </cell>
          <cell r="S6810">
            <v>-9.5000000000000001E-2</v>
          </cell>
          <cell r="T6810">
            <v>0</v>
          </cell>
          <cell r="U6810" t="b">
            <v>1</v>
          </cell>
        </row>
        <row r="6811">
          <cell r="A6811" t="str">
            <v>Data split-14;Reg-72</v>
          </cell>
          <cell r="B6811">
            <v>-1.7999999999999999E-2</v>
          </cell>
          <cell r="C6811">
            <v>1.5</v>
          </cell>
          <cell r="D6811">
            <v>0</v>
          </cell>
          <cell r="E6811">
            <v>0.52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0</v>
          </cell>
          <cell r="M6811">
            <v>0</v>
          </cell>
          <cell r="N6811">
            <v>0</v>
          </cell>
          <cell r="O6811">
            <v>0</v>
          </cell>
          <cell r="P6811">
            <v>0</v>
          </cell>
          <cell r="Q6811">
            <v>0</v>
          </cell>
          <cell r="R6811">
            <v>0</v>
          </cell>
          <cell r="S6811">
            <v>0</v>
          </cell>
          <cell r="T6811">
            <v>0</v>
          </cell>
          <cell r="U6811" t="b">
            <v>1</v>
          </cell>
        </row>
        <row r="6812">
          <cell r="A6812" t="str">
            <v>Data split-14;Reg-73</v>
          </cell>
          <cell r="B6812">
            <v>1.1000000000000001</v>
          </cell>
          <cell r="C6812">
            <v>1.5</v>
          </cell>
          <cell r="D6812">
            <v>0</v>
          </cell>
          <cell r="E6812">
            <v>0</v>
          </cell>
          <cell r="F6812">
            <v>0.18</v>
          </cell>
          <cell r="G6812">
            <v>0</v>
          </cell>
          <cell r="H6812">
            <v>0</v>
          </cell>
          <cell r="I6812">
            <v>0</v>
          </cell>
          <cell r="J6812">
            <v>0</v>
          </cell>
          <cell r="K6812">
            <v>0</v>
          </cell>
          <cell r="L6812">
            <v>0</v>
          </cell>
          <cell r="M6812">
            <v>0</v>
          </cell>
          <cell r="N6812">
            <v>0</v>
          </cell>
          <cell r="O6812">
            <v>0</v>
          </cell>
          <cell r="P6812">
            <v>0</v>
          </cell>
          <cell r="Q6812">
            <v>0</v>
          </cell>
          <cell r="R6812">
            <v>0</v>
          </cell>
          <cell r="S6812">
            <v>0</v>
          </cell>
          <cell r="T6812">
            <v>0</v>
          </cell>
          <cell r="U6812" t="b">
            <v>0</v>
          </cell>
        </row>
        <row r="6813">
          <cell r="A6813" t="str">
            <v>Data split-14;Reg-74</v>
          </cell>
          <cell r="B6813">
            <v>-0.31</v>
          </cell>
          <cell r="C6813">
            <v>0</v>
          </cell>
          <cell r="D6813">
            <v>1.7</v>
          </cell>
          <cell r="E6813">
            <v>0.2</v>
          </cell>
          <cell r="F6813">
            <v>0</v>
          </cell>
          <cell r="G6813">
            <v>0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>
            <v>0</v>
          </cell>
          <cell r="M6813">
            <v>0</v>
          </cell>
          <cell r="N6813">
            <v>0</v>
          </cell>
          <cell r="O6813">
            <v>0</v>
          </cell>
          <cell r="P6813">
            <v>0</v>
          </cell>
          <cell r="Q6813">
            <v>0</v>
          </cell>
          <cell r="R6813">
            <v>0</v>
          </cell>
          <cell r="S6813">
            <v>0</v>
          </cell>
          <cell r="T6813">
            <v>0</v>
          </cell>
          <cell r="U6813" t="b">
            <v>1</v>
          </cell>
        </row>
        <row r="6814">
          <cell r="A6814" t="str">
            <v>Data split-14;Reg-75</v>
          </cell>
          <cell r="B6814">
            <v>0.69</v>
          </cell>
          <cell r="C6814">
            <v>0</v>
          </cell>
          <cell r="D6814">
            <v>1.6</v>
          </cell>
          <cell r="E6814">
            <v>0</v>
          </cell>
          <cell r="F6814">
            <v>0.17</v>
          </cell>
          <cell r="G6814">
            <v>0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>
            <v>0</v>
          </cell>
          <cell r="M6814">
            <v>0</v>
          </cell>
          <cell r="N6814">
            <v>0</v>
          </cell>
          <cell r="O6814">
            <v>0</v>
          </cell>
          <cell r="P6814">
            <v>0</v>
          </cell>
          <cell r="Q6814">
            <v>0</v>
          </cell>
          <cell r="R6814">
            <v>0</v>
          </cell>
          <cell r="S6814">
            <v>0</v>
          </cell>
          <cell r="T6814">
            <v>0</v>
          </cell>
          <cell r="U6814" t="b">
            <v>0</v>
          </cell>
        </row>
        <row r="6815">
          <cell r="A6815" t="str">
            <v>Data split-14;Reg-76</v>
          </cell>
          <cell r="B6815">
            <v>0.4</v>
          </cell>
          <cell r="C6815">
            <v>2.1</v>
          </cell>
          <cell r="D6815">
            <v>0</v>
          </cell>
          <cell r="E6815">
            <v>0</v>
          </cell>
          <cell r="F6815">
            <v>0</v>
          </cell>
          <cell r="G6815">
            <v>-0.44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>
            <v>0</v>
          </cell>
          <cell r="M6815">
            <v>0</v>
          </cell>
          <cell r="N6815">
            <v>0</v>
          </cell>
          <cell r="O6815">
            <v>0</v>
          </cell>
          <cell r="P6815">
            <v>0</v>
          </cell>
          <cell r="Q6815">
            <v>0</v>
          </cell>
          <cell r="R6815">
            <v>0</v>
          </cell>
          <cell r="S6815">
            <v>0</v>
          </cell>
          <cell r="T6815">
            <v>0</v>
          </cell>
          <cell r="U6815" t="b">
            <v>0</v>
          </cell>
        </row>
        <row r="6816">
          <cell r="A6816" t="str">
            <v>Data split-14;Reg-77</v>
          </cell>
          <cell r="B6816">
            <v>-3.7999999999999999E-2</v>
          </cell>
          <cell r="C6816">
            <v>1.7</v>
          </cell>
          <cell r="D6816">
            <v>0</v>
          </cell>
          <cell r="E6816">
            <v>0</v>
          </cell>
          <cell r="F6816">
            <v>0</v>
          </cell>
          <cell r="G6816">
            <v>0</v>
          </cell>
          <cell r="H6816">
            <v>0.39</v>
          </cell>
          <cell r="I6816">
            <v>0</v>
          </cell>
          <cell r="J6816">
            <v>0</v>
          </cell>
          <cell r="K6816">
            <v>0</v>
          </cell>
          <cell r="L6816">
            <v>0</v>
          </cell>
          <cell r="M6816">
            <v>0</v>
          </cell>
          <cell r="N6816">
            <v>0</v>
          </cell>
          <cell r="O6816">
            <v>0</v>
          </cell>
          <cell r="P6816">
            <v>0</v>
          </cell>
          <cell r="Q6816">
            <v>0</v>
          </cell>
          <cell r="R6816">
            <v>0</v>
          </cell>
          <cell r="S6816">
            <v>0</v>
          </cell>
          <cell r="T6816">
            <v>0</v>
          </cell>
          <cell r="U6816" t="b">
            <v>1</v>
          </cell>
        </row>
        <row r="6817">
          <cell r="A6817" t="str">
            <v>Data split-14;Reg-78</v>
          </cell>
          <cell r="B6817">
            <v>0.1</v>
          </cell>
          <cell r="C6817">
            <v>0</v>
          </cell>
          <cell r="D6817">
            <v>2.2999999999999998</v>
          </cell>
          <cell r="E6817">
            <v>0</v>
          </cell>
          <cell r="F6817">
            <v>0</v>
          </cell>
          <cell r="G6817">
            <v>-0.67</v>
          </cell>
          <cell r="H6817">
            <v>0</v>
          </cell>
          <cell r="I6817">
            <v>0</v>
          </cell>
          <cell r="J6817">
            <v>0</v>
          </cell>
          <cell r="K6817">
            <v>0</v>
          </cell>
          <cell r="L6817">
            <v>0</v>
          </cell>
          <cell r="M6817">
            <v>0</v>
          </cell>
          <cell r="N6817">
            <v>0</v>
          </cell>
          <cell r="O6817">
            <v>0</v>
          </cell>
          <cell r="P6817">
            <v>0</v>
          </cell>
          <cell r="Q6817">
            <v>0</v>
          </cell>
          <cell r="R6817">
            <v>0</v>
          </cell>
          <cell r="S6817">
            <v>0</v>
          </cell>
          <cell r="T6817">
            <v>0</v>
          </cell>
          <cell r="U6817" t="b">
            <v>0</v>
          </cell>
        </row>
        <row r="6818">
          <cell r="A6818" t="str">
            <v>Data split-14;Reg-79</v>
          </cell>
          <cell r="B6818">
            <v>-0.27</v>
          </cell>
          <cell r="C6818">
            <v>0</v>
          </cell>
          <cell r="D6818">
            <v>1.9</v>
          </cell>
          <cell r="E6818">
            <v>0</v>
          </cell>
          <cell r="F6818">
            <v>0</v>
          </cell>
          <cell r="G6818">
            <v>0</v>
          </cell>
          <cell r="H6818">
            <v>-2.4E-2</v>
          </cell>
          <cell r="I6818">
            <v>0</v>
          </cell>
          <cell r="J6818">
            <v>0</v>
          </cell>
          <cell r="K6818">
            <v>0</v>
          </cell>
          <cell r="L6818">
            <v>0</v>
          </cell>
          <cell r="M6818">
            <v>0</v>
          </cell>
          <cell r="N6818">
            <v>0</v>
          </cell>
          <cell r="O6818">
            <v>0</v>
          </cell>
          <cell r="P6818">
            <v>0</v>
          </cell>
          <cell r="Q6818">
            <v>0</v>
          </cell>
          <cell r="R6818">
            <v>0</v>
          </cell>
          <cell r="S6818">
            <v>0</v>
          </cell>
          <cell r="T6818">
            <v>0</v>
          </cell>
          <cell r="U6818" t="b">
            <v>0</v>
          </cell>
        </row>
        <row r="6819">
          <cell r="A6819" t="str">
            <v>Data split-14;Reg-80</v>
          </cell>
          <cell r="B6819">
            <v>-0.3</v>
          </cell>
          <cell r="C6819">
            <v>1.7</v>
          </cell>
          <cell r="D6819">
            <v>0</v>
          </cell>
          <cell r="E6819">
            <v>0</v>
          </cell>
          <cell r="F6819">
            <v>0</v>
          </cell>
          <cell r="G6819">
            <v>0</v>
          </cell>
          <cell r="H6819">
            <v>0</v>
          </cell>
          <cell r="I6819">
            <v>0.86</v>
          </cell>
          <cell r="J6819">
            <v>0</v>
          </cell>
          <cell r="K6819">
            <v>0</v>
          </cell>
          <cell r="L6819">
            <v>0</v>
          </cell>
          <cell r="M6819">
            <v>0</v>
          </cell>
          <cell r="N6819">
            <v>0</v>
          </cell>
          <cell r="O6819">
            <v>0</v>
          </cell>
          <cell r="P6819">
            <v>0</v>
          </cell>
          <cell r="Q6819">
            <v>0</v>
          </cell>
          <cell r="R6819">
            <v>0</v>
          </cell>
          <cell r="S6819">
            <v>0</v>
          </cell>
          <cell r="T6819">
            <v>0</v>
          </cell>
          <cell r="U6819" t="b">
            <v>0</v>
          </cell>
        </row>
        <row r="6820">
          <cell r="A6820" t="str">
            <v>Data split-14;Reg-81</v>
          </cell>
          <cell r="B6820">
            <v>-2.5</v>
          </cell>
          <cell r="C6820">
            <v>1.6</v>
          </cell>
          <cell r="D6820">
            <v>0</v>
          </cell>
          <cell r="E6820">
            <v>0</v>
          </cell>
          <cell r="F6820">
            <v>0</v>
          </cell>
          <cell r="G6820">
            <v>0</v>
          </cell>
          <cell r="H6820">
            <v>0</v>
          </cell>
          <cell r="I6820">
            <v>0</v>
          </cell>
          <cell r="J6820">
            <v>20.7</v>
          </cell>
          <cell r="K6820">
            <v>0</v>
          </cell>
          <cell r="L6820">
            <v>0</v>
          </cell>
          <cell r="M6820">
            <v>0</v>
          </cell>
          <cell r="N6820">
            <v>0</v>
          </cell>
          <cell r="O6820">
            <v>0</v>
          </cell>
          <cell r="P6820">
            <v>0</v>
          </cell>
          <cell r="Q6820">
            <v>0</v>
          </cell>
          <cell r="R6820">
            <v>0</v>
          </cell>
          <cell r="S6820">
            <v>0</v>
          </cell>
          <cell r="T6820">
            <v>0</v>
          </cell>
          <cell r="U6820" t="b">
            <v>0</v>
          </cell>
        </row>
        <row r="6821">
          <cell r="A6821" t="str">
            <v>Data split-14;Reg-82</v>
          </cell>
          <cell r="B6821">
            <v>-0.43</v>
          </cell>
          <cell r="C6821">
            <v>0</v>
          </cell>
          <cell r="D6821">
            <v>1.8</v>
          </cell>
          <cell r="E6821">
            <v>0</v>
          </cell>
          <cell r="F6821">
            <v>0</v>
          </cell>
          <cell r="G6821">
            <v>0</v>
          </cell>
          <cell r="H6821">
            <v>0</v>
          </cell>
          <cell r="I6821">
            <v>0.35</v>
          </cell>
          <cell r="J6821">
            <v>0</v>
          </cell>
          <cell r="K6821">
            <v>0</v>
          </cell>
          <cell r="L6821">
            <v>0</v>
          </cell>
          <cell r="M6821">
            <v>0</v>
          </cell>
          <cell r="N6821">
            <v>0</v>
          </cell>
          <cell r="O6821">
            <v>0</v>
          </cell>
          <cell r="P6821">
            <v>0</v>
          </cell>
          <cell r="Q6821">
            <v>0</v>
          </cell>
          <cell r="R6821">
            <v>0</v>
          </cell>
          <cell r="S6821">
            <v>0</v>
          </cell>
          <cell r="T6821">
            <v>0</v>
          </cell>
          <cell r="U6821" t="b">
            <v>0</v>
          </cell>
        </row>
        <row r="6822">
          <cell r="A6822" t="str">
            <v>Data split-14;Reg-83</v>
          </cell>
          <cell r="B6822">
            <v>-2.2999999999999998</v>
          </cell>
          <cell r="C6822">
            <v>0</v>
          </cell>
          <cell r="D6822">
            <v>1.7</v>
          </cell>
          <cell r="E6822">
            <v>0</v>
          </cell>
          <cell r="F6822">
            <v>0</v>
          </cell>
          <cell r="G6822">
            <v>0</v>
          </cell>
          <cell r="H6822">
            <v>0</v>
          </cell>
          <cell r="I6822">
            <v>0</v>
          </cell>
          <cell r="J6822">
            <v>17</v>
          </cell>
          <cell r="K6822">
            <v>0</v>
          </cell>
          <cell r="L6822">
            <v>0</v>
          </cell>
          <cell r="M6822">
            <v>0</v>
          </cell>
          <cell r="N6822">
            <v>0</v>
          </cell>
          <cell r="O6822">
            <v>0</v>
          </cell>
          <cell r="P6822">
            <v>0</v>
          </cell>
          <cell r="Q6822">
            <v>0</v>
          </cell>
          <cell r="R6822">
            <v>0</v>
          </cell>
          <cell r="S6822">
            <v>0</v>
          </cell>
          <cell r="T6822">
            <v>0</v>
          </cell>
          <cell r="U6822" t="b">
            <v>0</v>
          </cell>
        </row>
        <row r="6823">
          <cell r="A6823" t="str">
            <v>Data split-14;Reg-84</v>
          </cell>
          <cell r="B6823">
            <v>0.15</v>
          </cell>
          <cell r="C6823">
            <v>1.8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H6823">
            <v>0</v>
          </cell>
          <cell r="I6823">
            <v>0</v>
          </cell>
          <cell r="J6823">
            <v>0</v>
          </cell>
          <cell r="K6823">
            <v>0.16</v>
          </cell>
          <cell r="L6823">
            <v>0</v>
          </cell>
          <cell r="M6823">
            <v>0</v>
          </cell>
          <cell r="N6823">
            <v>0</v>
          </cell>
          <cell r="O6823">
            <v>0</v>
          </cell>
          <cell r="P6823">
            <v>0</v>
          </cell>
          <cell r="Q6823">
            <v>0</v>
          </cell>
          <cell r="R6823">
            <v>0</v>
          </cell>
          <cell r="S6823">
            <v>0</v>
          </cell>
          <cell r="T6823">
            <v>0</v>
          </cell>
          <cell r="U6823" t="b">
            <v>0</v>
          </cell>
        </row>
        <row r="6824">
          <cell r="A6824" t="str">
            <v>Data split-14;Reg-85</v>
          </cell>
          <cell r="B6824">
            <v>-0.28999999999999998</v>
          </cell>
          <cell r="C6824">
            <v>1.7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7.9</v>
          </cell>
          <cell r="M6824">
            <v>0</v>
          </cell>
          <cell r="N6824">
            <v>0</v>
          </cell>
          <cell r="O6824">
            <v>0</v>
          </cell>
          <cell r="P6824">
            <v>0</v>
          </cell>
          <cell r="Q6824">
            <v>0</v>
          </cell>
          <cell r="R6824">
            <v>0</v>
          </cell>
          <cell r="S6824">
            <v>0</v>
          </cell>
          <cell r="T6824">
            <v>0</v>
          </cell>
          <cell r="U6824" t="b">
            <v>0</v>
          </cell>
        </row>
        <row r="6825">
          <cell r="A6825" t="str">
            <v>Data split-14;Reg-86</v>
          </cell>
          <cell r="B6825">
            <v>-0.28999999999999998</v>
          </cell>
          <cell r="C6825">
            <v>0</v>
          </cell>
          <cell r="D6825">
            <v>1.9</v>
          </cell>
          <cell r="E6825">
            <v>0</v>
          </cell>
          <cell r="F6825">
            <v>0</v>
          </cell>
          <cell r="G6825">
            <v>0</v>
          </cell>
          <cell r="H6825">
            <v>0</v>
          </cell>
          <cell r="I6825">
            <v>0</v>
          </cell>
          <cell r="J6825">
            <v>0</v>
          </cell>
          <cell r="K6825">
            <v>-4.4999999999999998E-2</v>
          </cell>
          <cell r="L6825">
            <v>0</v>
          </cell>
          <cell r="M6825">
            <v>0</v>
          </cell>
          <cell r="N6825">
            <v>0</v>
          </cell>
          <cell r="O6825">
            <v>0</v>
          </cell>
          <cell r="P6825">
            <v>0</v>
          </cell>
          <cell r="Q6825">
            <v>0</v>
          </cell>
          <cell r="R6825">
            <v>0</v>
          </cell>
          <cell r="S6825">
            <v>0</v>
          </cell>
          <cell r="T6825">
            <v>0</v>
          </cell>
          <cell r="U6825" t="b">
            <v>1</v>
          </cell>
        </row>
        <row r="6826">
          <cell r="A6826" t="str">
            <v>Data split-14;Reg-87</v>
          </cell>
          <cell r="B6826">
            <v>-0.56000000000000005</v>
          </cell>
          <cell r="C6826">
            <v>0</v>
          </cell>
          <cell r="D6826">
            <v>1.8</v>
          </cell>
          <cell r="E6826">
            <v>0</v>
          </cell>
          <cell r="F6826">
            <v>0</v>
          </cell>
          <cell r="G6826">
            <v>0</v>
          </cell>
          <cell r="H6826">
            <v>0</v>
          </cell>
          <cell r="I6826">
            <v>0</v>
          </cell>
          <cell r="J6826">
            <v>0</v>
          </cell>
          <cell r="K6826">
            <v>0</v>
          </cell>
          <cell r="L6826">
            <v>6</v>
          </cell>
          <cell r="M6826">
            <v>0</v>
          </cell>
          <cell r="N6826">
            <v>0</v>
          </cell>
          <cell r="O6826">
            <v>0</v>
          </cell>
          <cell r="P6826">
            <v>0</v>
          </cell>
          <cell r="Q6826">
            <v>0</v>
          </cell>
          <cell r="R6826">
            <v>0</v>
          </cell>
          <cell r="S6826">
            <v>0</v>
          </cell>
          <cell r="T6826">
            <v>0</v>
          </cell>
          <cell r="U6826" t="b">
            <v>0</v>
          </cell>
        </row>
        <row r="6827">
          <cell r="A6827" t="str">
            <v>Data split-14;Reg-88</v>
          </cell>
          <cell r="B6827">
            <v>4.2999999999999997E-2</v>
          </cell>
          <cell r="C6827">
            <v>1.9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H6827">
            <v>0</v>
          </cell>
          <cell r="I6827">
            <v>0</v>
          </cell>
          <cell r="J6827">
            <v>0</v>
          </cell>
          <cell r="K6827">
            <v>0</v>
          </cell>
          <cell r="L6827">
            <v>0</v>
          </cell>
          <cell r="M6827">
            <v>-1.2E-2</v>
          </cell>
          <cell r="N6827">
            <v>0</v>
          </cell>
          <cell r="O6827">
            <v>0</v>
          </cell>
          <cell r="P6827">
            <v>0</v>
          </cell>
          <cell r="Q6827">
            <v>0</v>
          </cell>
          <cell r="R6827">
            <v>0</v>
          </cell>
          <cell r="S6827">
            <v>0</v>
          </cell>
          <cell r="T6827">
            <v>0</v>
          </cell>
          <cell r="U6827" t="b">
            <v>0</v>
          </cell>
        </row>
        <row r="6828">
          <cell r="A6828" t="str">
            <v>Data split-14;Reg-89</v>
          </cell>
          <cell r="B6828">
            <v>0.2</v>
          </cell>
          <cell r="C6828">
            <v>1.8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H6828">
            <v>0</v>
          </cell>
          <cell r="I6828">
            <v>0</v>
          </cell>
          <cell r="J6828">
            <v>0</v>
          </cell>
          <cell r="K6828">
            <v>0</v>
          </cell>
          <cell r="L6828">
            <v>0</v>
          </cell>
          <cell r="M6828">
            <v>0</v>
          </cell>
          <cell r="N6828">
            <v>1.9E-3</v>
          </cell>
          <cell r="O6828">
            <v>0</v>
          </cell>
          <cell r="P6828">
            <v>0</v>
          </cell>
          <cell r="Q6828">
            <v>0</v>
          </cell>
          <cell r="R6828">
            <v>0</v>
          </cell>
          <cell r="S6828">
            <v>0</v>
          </cell>
          <cell r="T6828">
            <v>0</v>
          </cell>
          <cell r="U6828" t="b">
            <v>0</v>
          </cell>
        </row>
        <row r="6829">
          <cell r="A6829" t="str">
            <v>Data split-14;Reg-90</v>
          </cell>
          <cell r="B6829">
            <v>-0.42</v>
          </cell>
          <cell r="C6829">
            <v>0</v>
          </cell>
          <cell r="D6829">
            <v>2</v>
          </cell>
          <cell r="E6829">
            <v>0</v>
          </cell>
          <cell r="F6829">
            <v>0</v>
          </cell>
          <cell r="G6829">
            <v>0</v>
          </cell>
          <cell r="H6829">
            <v>0</v>
          </cell>
          <cell r="I6829">
            <v>0</v>
          </cell>
          <cell r="J6829">
            <v>0</v>
          </cell>
          <cell r="K6829">
            <v>0</v>
          </cell>
          <cell r="L6829">
            <v>0</v>
          </cell>
          <cell r="M6829">
            <v>-2.3E-2</v>
          </cell>
          <cell r="N6829">
            <v>0</v>
          </cell>
          <cell r="O6829">
            <v>0</v>
          </cell>
          <cell r="P6829">
            <v>0</v>
          </cell>
          <cell r="Q6829">
            <v>0</v>
          </cell>
          <cell r="R6829">
            <v>0</v>
          </cell>
          <cell r="S6829">
            <v>0</v>
          </cell>
          <cell r="T6829">
            <v>0</v>
          </cell>
          <cell r="U6829" t="b">
            <v>1</v>
          </cell>
        </row>
        <row r="6830">
          <cell r="A6830" t="str">
            <v>Data split-14;Reg-91</v>
          </cell>
          <cell r="B6830">
            <v>-0.31</v>
          </cell>
          <cell r="C6830">
            <v>0</v>
          </cell>
          <cell r="D6830">
            <v>1.9</v>
          </cell>
          <cell r="E6830">
            <v>0</v>
          </cell>
          <cell r="F6830">
            <v>0</v>
          </cell>
          <cell r="G6830">
            <v>0</v>
          </cell>
          <cell r="H6830">
            <v>0</v>
          </cell>
          <cell r="I6830">
            <v>0</v>
          </cell>
          <cell r="J6830">
            <v>0</v>
          </cell>
          <cell r="K6830">
            <v>0</v>
          </cell>
          <cell r="L6830">
            <v>0</v>
          </cell>
          <cell r="M6830">
            <v>0</v>
          </cell>
          <cell r="N6830">
            <v>-6.4000000000000005E-4</v>
          </cell>
          <cell r="O6830">
            <v>0</v>
          </cell>
          <cell r="P6830">
            <v>0</v>
          </cell>
          <cell r="Q6830">
            <v>0</v>
          </cell>
          <cell r="R6830">
            <v>0</v>
          </cell>
          <cell r="S6830">
            <v>0</v>
          </cell>
          <cell r="T6830">
            <v>0</v>
          </cell>
          <cell r="U6830" t="b">
            <v>1</v>
          </cell>
        </row>
        <row r="6831">
          <cell r="A6831" t="str">
            <v>Data split-14;Reg-92</v>
          </cell>
          <cell r="B6831">
            <v>9.7000000000000003E-2</v>
          </cell>
          <cell r="C6831">
            <v>2.1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  <cell r="H6831">
            <v>0</v>
          </cell>
          <cell r="I6831">
            <v>0</v>
          </cell>
          <cell r="J6831">
            <v>0</v>
          </cell>
          <cell r="K6831">
            <v>0</v>
          </cell>
          <cell r="L6831">
            <v>0</v>
          </cell>
          <cell r="M6831">
            <v>0</v>
          </cell>
          <cell r="N6831">
            <v>0</v>
          </cell>
          <cell r="O6831">
            <v>-4.5999999999999999E-2</v>
          </cell>
          <cell r="P6831">
            <v>0</v>
          </cell>
          <cell r="Q6831">
            <v>0</v>
          </cell>
          <cell r="R6831">
            <v>0</v>
          </cell>
          <cell r="S6831">
            <v>0</v>
          </cell>
          <cell r="T6831">
            <v>0</v>
          </cell>
          <cell r="U6831" t="b">
            <v>0</v>
          </cell>
        </row>
        <row r="6832">
          <cell r="A6832" t="str">
            <v>Data split-14;Reg-93</v>
          </cell>
          <cell r="B6832">
            <v>4.8999999999999998E-4</v>
          </cell>
          <cell r="C6832">
            <v>2.1</v>
          </cell>
          <cell r="D6832">
            <v>0</v>
          </cell>
          <cell r="E6832">
            <v>0</v>
          </cell>
          <cell r="F6832">
            <v>0</v>
          </cell>
          <cell r="G6832">
            <v>0</v>
          </cell>
          <cell r="H6832">
            <v>0</v>
          </cell>
          <cell r="I6832">
            <v>0</v>
          </cell>
          <cell r="J6832">
            <v>0</v>
          </cell>
          <cell r="K6832">
            <v>0</v>
          </cell>
          <cell r="L6832">
            <v>0</v>
          </cell>
          <cell r="M6832">
            <v>0</v>
          </cell>
          <cell r="N6832">
            <v>0</v>
          </cell>
          <cell r="O6832">
            <v>0</v>
          </cell>
          <cell r="P6832">
            <v>-6.6E-3</v>
          </cell>
          <cell r="Q6832">
            <v>0</v>
          </cell>
          <cell r="R6832">
            <v>0</v>
          </cell>
          <cell r="S6832">
            <v>0</v>
          </cell>
          <cell r="T6832">
            <v>0</v>
          </cell>
          <cell r="U6832" t="b">
            <v>0</v>
          </cell>
        </row>
        <row r="6833">
          <cell r="A6833" t="str">
            <v>Data split-14;Reg-94</v>
          </cell>
          <cell r="B6833">
            <v>-0.33</v>
          </cell>
          <cell r="C6833">
            <v>0</v>
          </cell>
          <cell r="D6833">
            <v>2.2000000000000002</v>
          </cell>
          <cell r="E6833">
            <v>0</v>
          </cell>
          <cell r="F6833">
            <v>0</v>
          </cell>
          <cell r="G6833">
            <v>0</v>
          </cell>
          <cell r="H6833">
            <v>0</v>
          </cell>
          <cell r="I6833">
            <v>0</v>
          </cell>
          <cell r="J6833">
            <v>0</v>
          </cell>
          <cell r="K6833">
            <v>0</v>
          </cell>
          <cell r="L6833">
            <v>0</v>
          </cell>
          <cell r="M6833">
            <v>0</v>
          </cell>
          <cell r="N6833">
            <v>0</v>
          </cell>
          <cell r="O6833">
            <v>-5.1999999999999998E-2</v>
          </cell>
          <cell r="P6833">
            <v>0</v>
          </cell>
          <cell r="Q6833">
            <v>0</v>
          </cell>
          <cell r="R6833">
            <v>0</v>
          </cell>
          <cell r="S6833">
            <v>0</v>
          </cell>
          <cell r="T6833">
            <v>0</v>
          </cell>
          <cell r="U6833" t="b">
            <v>1</v>
          </cell>
        </row>
        <row r="6834">
          <cell r="A6834" t="str">
            <v>Data split-14;Reg-95</v>
          </cell>
          <cell r="B6834">
            <v>-0.44</v>
          </cell>
          <cell r="C6834">
            <v>0</v>
          </cell>
          <cell r="D6834">
            <v>2.1</v>
          </cell>
          <cell r="E6834">
            <v>0</v>
          </cell>
          <cell r="F6834">
            <v>0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>
            <v>0</v>
          </cell>
          <cell r="M6834">
            <v>0</v>
          </cell>
          <cell r="N6834">
            <v>0</v>
          </cell>
          <cell r="O6834">
            <v>0</v>
          </cell>
          <cell r="P6834">
            <v>-8.0000000000000002E-3</v>
          </cell>
          <cell r="Q6834">
            <v>0</v>
          </cell>
          <cell r="R6834">
            <v>0</v>
          </cell>
          <cell r="S6834">
            <v>0</v>
          </cell>
          <cell r="T6834">
            <v>0</v>
          </cell>
          <cell r="U6834" t="b">
            <v>1</v>
          </cell>
        </row>
        <row r="6835">
          <cell r="A6835" t="str">
            <v>Data split-14;Reg-96</v>
          </cell>
          <cell r="B6835">
            <v>-0.19</v>
          </cell>
          <cell r="C6835">
            <v>1.6</v>
          </cell>
          <cell r="D6835">
            <v>0</v>
          </cell>
          <cell r="E6835">
            <v>0.35</v>
          </cell>
          <cell r="F6835">
            <v>0</v>
          </cell>
          <cell r="G6835">
            <v>0</v>
          </cell>
          <cell r="H6835">
            <v>0</v>
          </cell>
          <cell r="I6835">
            <v>0.44</v>
          </cell>
          <cell r="J6835">
            <v>0</v>
          </cell>
          <cell r="K6835">
            <v>0</v>
          </cell>
          <cell r="L6835">
            <v>0</v>
          </cell>
          <cell r="M6835">
            <v>0</v>
          </cell>
          <cell r="N6835">
            <v>0</v>
          </cell>
          <cell r="O6835">
            <v>0</v>
          </cell>
          <cell r="P6835">
            <v>0</v>
          </cell>
          <cell r="Q6835">
            <v>0</v>
          </cell>
          <cell r="R6835">
            <v>0</v>
          </cell>
          <cell r="S6835">
            <v>0</v>
          </cell>
          <cell r="T6835">
            <v>0</v>
          </cell>
          <cell r="U6835" t="b">
            <v>0</v>
          </cell>
        </row>
        <row r="6836">
          <cell r="A6836" t="str">
            <v>Data split-14;Reg-97</v>
          </cell>
          <cell r="B6836">
            <v>-3.5</v>
          </cell>
          <cell r="C6836">
            <v>2.1</v>
          </cell>
          <cell r="D6836">
            <v>0</v>
          </cell>
          <cell r="E6836">
            <v>-0.9</v>
          </cell>
          <cell r="F6836">
            <v>0</v>
          </cell>
          <cell r="G6836">
            <v>0</v>
          </cell>
          <cell r="H6836">
            <v>0</v>
          </cell>
          <cell r="I6836">
            <v>0</v>
          </cell>
          <cell r="J6836">
            <v>29.8</v>
          </cell>
          <cell r="K6836">
            <v>0</v>
          </cell>
          <cell r="L6836">
            <v>0</v>
          </cell>
          <cell r="M6836">
            <v>0</v>
          </cell>
          <cell r="N6836">
            <v>0</v>
          </cell>
          <cell r="O6836">
            <v>0</v>
          </cell>
          <cell r="P6836">
            <v>0</v>
          </cell>
          <cell r="Q6836">
            <v>0</v>
          </cell>
          <cell r="R6836">
            <v>0</v>
          </cell>
          <cell r="S6836">
            <v>0</v>
          </cell>
          <cell r="T6836">
            <v>0</v>
          </cell>
          <cell r="U6836" t="b">
            <v>0</v>
          </cell>
        </row>
        <row r="6837">
          <cell r="A6837" t="str">
            <v>Data split-14;Reg-98</v>
          </cell>
          <cell r="B6837">
            <v>0.47</v>
          </cell>
          <cell r="C6837">
            <v>1.3</v>
          </cell>
          <cell r="D6837">
            <v>0</v>
          </cell>
          <cell r="E6837">
            <v>0</v>
          </cell>
          <cell r="F6837">
            <v>0.18</v>
          </cell>
          <cell r="G6837">
            <v>0</v>
          </cell>
          <cell r="H6837">
            <v>0</v>
          </cell>
          <cell r="I6837">
            <v>1.4</v>
          </cell>
          <cell r="J6837">
            <v>0</v>
          </cell>
          <cell r="K6837">
            <v>0</v>
          </cell>
          <cell r="L6837">
            <v>0</v>
          </cell>
          <cell r="M6837">
            <v>0</v>
          </cell>
          <cell r="N6837">
            <v>0</v>
          </cell>
          <cell r="O6837">
            <v>0</v>
          </cell>
          <cell r="P6837">
            <v>0</v>
          </cell>
          <cell r="Q6837">
            <v>0</v>
          </cell>
          <cell r="R6837">
            <v>0</v>
          </cell>
          <cell r="S6837">
            <v>0</v>
          </cell>
          <cell r="T6837">
            <v>0</v>
          </cell>
          <cell r="U6837" t="b">
            <v>0</v>
          </cell>
        </row>
        <row r="6838">
          <cell r="A6838" t="str">
            <v>Data split-14;Reg-99</v>
          </cell>
          <cell r="B6838">
            <v>-2</v>
          </cell>
          <cell r="C6838">
            <v>1.2</v>
          </cell>
          <cell r="D6838">
            <v>0</v>
          </cell>
          <cell r="E6838">
            <v>0</v>
          </cell>
          <cell r="F6838">
            <v>0.19</v>
          </cell>
          <cell r="G6838">
            <v>0</v>
          </cell>
          <cell r="H6838">
            <v>0</v>
          </cell>
          <cell r="I6838">
            <v>0</v>
          </cell>
          <cell r="J6838">
            <v>24.6</v>
          </cell>
          <cell r="K6838">
            <v>0</v>
          </cell>
          <cell r="L6838">
            <v>0</v>
          </cell>
          <cell r="M6838">
            <v>0</v>
          </cell>
          <cell r="N6838">
            <v>0</v>
          </cell>
          <cell r="O6838">
            <v>0</v>
          </cell>
          <cell r="P6838">
            <v>0</v>
          </cell>
          <cell r="Q6838">
            <v>0</v>
          </cell>
          <cell r="R6838">
            <v>0</v>
          </cell>
          <cell r="S6838">
            <v>0</v>
          </cell>
          <cell r="T6838">
            <v>0</v>
          </cell>
          <cell r="U6838" t="b">
            <v>0</v>
          </cell>
        </row>
        <row r="6839">
          <cell r="A6839" t="str">
            <v>Data split-14;Reg-100</v>
          </cell>
          <cell r="B6839">
            <v>-0.39</v>
          </cell>
          <cell r="C6839">
            <v>0</v>
          </cell>
          <cell r="D6839">
            <v>1.8</v>
          </cell>
          <cell r="E6839">
            <v>0.13</v>
          </cell>
          <cell r="F6839">
            <v>0</v>
          </cell>
          <cell r="G6839">
            <v>0</v>
          </cell>
          <cell r="H6839">
            <v>0</v>
          </cell>
          <cell r="I6839">
            <v>0.21</v>
          </cell>
          <cell r="J6839">
            <v>0</v>
          </cell>
          <cell r="K6839">
            <v>0</v>
          </cell>
          <cell r="L6839">
            <v>0</v>
          </cell>
          <cell r="M6839">
            <v>0</v>
          </cell>
          <cell r="N6839">
            <v>0</v>
          </cell>
          <cell r="O6839">
            <v>0</v>
          </cell>
          <cell r="P6839">
            <v>0</v>
          </cell>
          <cell r="Q6839">
            <v>0</v>
          </cell>
          <cell r="R6839">
            <v>0</v>
          </cell>
          <cell r="S6839">
            <v>0</v>
          </cell>
          <cell r="T6839">
            <v>0</v>
          </cell>
          <cell r="U6839" t="b">
            <v>0</v>
          </cell>
        </row>
        <row r="6840">
          <cell r="A6840" t="str">
            <v>Data split-14;Reg-101</v>
          </cell>
          <cell r="B6840">
            <v>-3.2</v>
          </cell>
          <cell r="C6840">
            <v>0</v>
          </cell>
          <cell r="D6840">
            <v>2.2000000000000002</v>
          </cell>
          <cell r="E6840">
            <v>-0.93</v>
          </cell>
          <cell r="F6840">
            <v>0</v>
          </cell>
          <cell r="G6840">
            <v>0</v>
          </cell>
          <cell r="H6840">
            <v>0</v>
          </cell>
          <cell r="I6840">
            <v>0</v>
          </cell>
          <cell r="J6840">
            <v>25.5</v>
          </cell>
          <cell r="K6840">
            <v>0</v>
          </cell>
          <cell r="L6840">
            <v>0</v>
          </cell>
          <cell r="M6840">
            <v>0</v>
          </cell>
          <cell r="N6840">
            <v>0</v>
          </cell>
          <cell r="O6840">
            <v>0</v>
          </cell>
          <cell r="P6840">
            <v>0</v>
          </cell>
          <cell r="Q6840">
            <v>0</v>
          </cell>
          <cell r="R6840">
            <v>0</v>
          </cell>
          <cell r="S6840">
            <v>0</v>
          </cell>
          <cell r="T6840">
            <v>0</v>
          </cell>
          <cell r="U6840" t="b">
            <v>0</v>
          </cell>
        </row>
        <row r="6841">
          <cell r="A6841" t="str">
            <v>Data split-14;Reg-102</v>
          </cell>
          <cell r="B6841">
            <v>0.33</v>
          </cell>
          <cell r="C6841">
            <v>0</v>
          </cell>
          <cell r="D6841">
            <v>1.4</v>
          </cell>
          <cell r="E6841">
            <v>0</v>
          </cell>
          <cell r="F6841">
            <v>0.18</v>
          </cell>
          <cell r="G6841">
            <v>0</v>
          </cell>
          <cell r="H6841">
            <v>0</v>
          </cell>
          <cell r="I6841">
            <v>0.93</v>
          </cell>
          <cell r="J6841">
            <v>0</v>
          </cell>
          <cell r="K6841">
            <v>0</v>
          </cell>
          <cell r="L6841">
            <v>0</v>
          </cell>
          <cell r="M6841">
            <v>0</v>
          </cell>
          <cell r="N6841">
            <v>0</v>
          </cell>
          <cell r="O6841">
            <v>0</v>
          </cell>
          <cell r="P6841">
            <v>0</v>
          </cell>
          <cell r="Q6841">
            <v>0</v>
          </cell>
          <cell r="R6841">
            <v>0</v>
          </cell>
          <cell r="S6841">
            <v>0</v>
          </cell>
          <cell r="T6841">
            <v>0</v>
          </cell>
          <cell r="U6841" t="b">
            <v>0</v>
          </cell>
        </row>
        <row r="6842">
          <cell r="A6842" t="str">
            <v>Data split-14;Reg-103</v>
          </cell>
          <cell r="B6842">
            <v>-1.8</v>
          </cell>
          <cell r="C6842">
            <v>0</v>
          </cell>
          <cell r="D6842">
            <v>1.3</v>
          </cell>
          <cell r="E6842">
            <v>0</v>
          </cell>
          <cell r="F6842">
            <v>0.19</v>
          </cell>
          <cell r="G6842">
            <v>0</v>
          </cell>
          <cell r="H6842">
            <v>0</v>
          </cell>
          <cell r="I6842">
            <v>0</v>
          </cell>
          <cell r="J6842">
            <v>21.7</v>
          </cell>
          <cell r="K6842">
            <v>0</v>
          </cell>
          <cell r="L6842">
            <v>0</v>
          </cell>
          <cell r="M6842">
            <v>0</v>
          </cell>
          <cell r="N6842">
            <v>0</v>
          </cell>
          <cell r="O6842">
            <v>0</v>
          </cell>
          <cell r="P6842">
            <v>0</v>
          </cell>
          <cell r="Q6842">
            <v>0</v>
          </cell>
          <cell r="R6842">
            <v>0</v>
          </cell>
          <cell r="S6842">
            <v>0</v>
          </cell>
          <cell r="T6842">
            <v>0</v>
          </cell>
          <cell r="U6842" t="b">
            <v>0</v>
          </cell>
        </row>
        <row r="6843">
          <cell r="A6843" t="str">
            <v>Data split-14;Reg-104</v>
          </cell>
          <cell r="B6843">
            <v>-0.2</v>
          </cell>
          <cell r="C6843">
            <v>1.5</v>
          </cell>
          <cell r="D6843">
            <v>0</v>
          </cell>
          <cell r="E6843">
            <v>0.77</v>
          </cell>
          <cell r="F6843">
            <v>0</v>
          </cell>
          <cell r="G6843">
            <v>0</v>
          </cell>
          <cell r="H6843">
            <v>0</v>
          </cell>
          <cell r="I6843">
            <v>0</v>
          </cell>
          <cell r="J6843">
            <v>0</v>
          </cell>
          <cell r="K6843">
            <v>-0.48</v>
          </cell>
          <cell r="L6843">
            <v>0</v>
          </cell>
          <cell r="M6843">
            <v>0</v>
          </cell>
          <cell r="N6843">
            <v>0</v>
          </cell>
          <cell r="O6843">
            <v>0</v>
          </cell>
          <cell r="P6843">
            <v>0</v>
          </cell>
          <cell r="Q6843">
            <v>0</v>
          </cell>
          <cell r="R6843">
            <v>0</v>
          </cell>
          <cell r="S6843">
            <v>0</v>
          </cell>
          <cell r="T6843">
            <v>0</v>
          </cell>
          <cell r="U6843" t="b">
            <v>1</v>
          </cell>
        </row>
        <row r="6844">
          <cell r="A6844" t="str">
            <v>Data split-14;Reg-105</v>
          </cell>
          <cell r="B6844">
            <v>-0.28000000000000003</v>
          </cell>
          <cell r="C6844">
            <v>1.7</v>
          </cell>
          <cell r="D6844">
            <v>0</v>
          </cell>
          <cell r="E6844">
            <v>5.2999999999999999E-2</v>
          </cell>
          <cell r="F6844">
            <v>0</v>
          </cell>
          <cell r="G6844">
            <v>0</v>
          </cell>
          <cell r="H6844">
            <v>0</v>
          </cell>
          <cell r="I6844">
            <v>0</v>
          </cell>
          <cell r="J6844">
            <v>0</v>
          </cell>
          <cell r="K6844">
            <v>0</v>
          </cell>
          <cell r="L6844">
            <v>7.4</v>
          </cell>
          <cell r="M6844">
            <v>0</v>
          </cell>
          <cell r="N6844">
            <v>0</v>
          </cell>
          <cell r="O6844">
            <v>0</v>
          </cell>
          <cell r="P6844">
            <v>0</v>
          </cell>
          <cell r="Q6844">
            <v>0</v>
          </cell>
          <cell r="R6844">
            <v>0</v>
          </cell>
          <cell r="S6844">
            <v>0</v>
          </cell>
          <cell r="T6844">
            <v>0</v>
          </cell>
          <cell r="U6844" t="b">
            <v>0</v>
          </cell>
        </row>
        <row r="6845">
          <cell r="A6845" t="str">
            <v>Data split-14;Reg-106</v>
          </cell>
          <cell r="B6845">
            <v>1.3</v>
          </cell>
          <cell r="C6845">
            <v>1.3</v>
          </cell>
          <cell r="D6845">
            <v>0</v>
          </cell>
          <cell r="E6845">
            <v>0</v>
          </cell>
          <cell r="F6845">
            <v>0.19</v>
          </cell>
          <cell r="G6845">
            <v>0</v>
          </cell>
          <cell r="H6845">
            <v>0</v>
          </cell>
          <cell r="I6845">
            <v>0</v>
          </cell>
          <cell r="J6845">
            <v>0</v>
          </cell>
          <cell r="K6845">
            <v>0.78</v>
          </cell>
          <cell r="L6845">
            <v>0</v>
          </cell>
          <cell r="M6845">
            <v>0</v>
          </cell>
          <cell r="N6845">
            <v>0</v>
          </cell>
          <cell r="O6845">
            <v>0</v>
          </cell>
          <cell r="P6845">
            <v>0</v>
          </cell>
          <cell r="Q6845">
            <v>0</v>
          </cell>
          <cell r="R6845">
            <v>0</v>
          </cell>
          <cell r="S6845">
            <v>0</v>
          </cell>
          <cell r="T6845">
            <v>0</v>
          </cell>
          <cell r="U6845" t="b">
            <v>0</v>
          </cell>
        </row>
        <row r="6846">
          <cell r="A6846" t="str">
            <v>Data split-14;Reg-107</v>
          </cell>
          <cell r="B6846">
            <v>0.5</v>
          </cell>
          <cell r="C6846">
            <v>1.3</v>
          </cell>
          <cell r="D6846">
            <v>0</v>
          </cell>
          <cell r="E6846">
            <v>0</v>
          </cell>
          <cell r="F6846">
            <v>0.2</v>
          </cell>
          <cell r="G6846">
            <v>0</v>
          </cell>
          <cell r="H6846">
            <v>0</v>
          </cell>
          <cell r="I6846">
            <v>0</v>
          </cell>
          <cell r="J6846">
            <v>0</v>
          </cell>
          <cell r="K6846">
            <v>0</v>
          </cell>
          <cell r="L6846">
            <v>13.4</v>
          </cell>
          <cell r="M6846">
            <v>0</v>
          </cell>
          <cell r="N6846">
            <v>0</v>
          </cell>
          <cell r="O6846">
            <v>0</v>
          </cell>
          <cell r="P6846">
            <v>0</v>
          </cell>
          <cell r="Q6846">
            <v>0</v>
          </cell>
          <cell r="R6846">
            <v>0</v>
          </cell>
          <cell r="S6846">
            <v>0</v>
          </cell>
          <cell r="T6846">
            <v>0</v>
          </cell>
          <cell r="U6846" t="b">
            <v>0</v>
          </cell>
        </row>
        <row r="6847">
          <cell r="A6847" t="str">
            <v>Data split-14;Reg-108</v>
          </cell>
          <cell r="B6847">
            <v>-0.44</v>
          </cell>
          <cell r="C6847">
            <v>0</v>
          </cell>
          <cell r="D6847">
            <v>1.7</v>
          </cell>
          <cell r="E6847">
            <v>0.39</v>
          </cell>
          <cell r="F6847">
            <v>0</v>
          </cell>
          <cell r="G6847">
            <v>0</v>
          </cell>
          <cell r="H6847">
            <v>0</v>
          </cell>
          <cell r="I6847">
            <v>0</v>
          </cell>
          <cell r="J6847">
            <v>0</v>
          </cell>
          <cell r="K6847">
            <v>-0.36</v>
          </cell>
          <cell r="L6847">
            <v>0</v>
          </cell>
          <cell r="M6847">
            <v>0</v>
          </cell>
          <cell r="N6847">
            <v>0</v>
          </cell>
          <cell r="O6847">
            <v>0</v>
          </cell>
          <cell r="P6847">
            <v>0</v>
          </cell>
          <cell r="Q6847">
            <v>0</v>
          </cell>
          <cell r="R6847">
            <v>0</v>
          </cell>
          <cell r="S6847">
            <v>0</v>
          </cell>
          <cell r="T6847">
            <v>0</v>
          </cell>
          <cell r="U6847" t="b">
            <v>1</v>
          </cell>
        </row>
        <row r="6848">
          <cell r="A6848" t="str">
            <v>Data split-14;Reg-109</v>
          </cell>
          <cell r="B6848">
            <v>-0.63</v>
          </cell>
          <cell r="C6848">
            <v>0</v>
          </cell>
          <cell r="D6848">
            <v>1.9</v>
          </cell>
          <cell r="E6848">
            <v>-0.34</v>
          </cell>
          <cell r="F6848">
            <v>0</v>
          </cell>
          <cell r="G6848">
            <v>0</v>
          </cell>
          <cell r="H6848">
            <v>0</v>
          </cell>
          <cell r="I6848">
            <v>0</v>
          </cell>
          <cell r="J6848">
            <v>0</v>
          </cell>
          <cell r="K6848">
            <v>0</v>
          </cell>
          <cell r="L6848">
            <v>8.6</v>
          </cell>
          <cell r="M6848">
            <v>0</v>
          </cell>
          <cell r="N6848">
            <v>0</v>
          </cell>
          <cell r="O6848">
            <v>0</v>
          </cell>
          <cell r="P6848">
            <v>0</v>
          </cell>
          <cell r="Q6848">
            <v>0</v>
          </cell>
          <cell r="R6848">
            <v>0</v>
          </cell>
          <cell r="S6848">
            <v>0</v>
          </cell>
          <cell r="T6848">
            <v>0</v>
          </cell>
          <cell r="U6848" t="b">
            <v>0</v>
          </cell>
        </row>
        <row r="6849">
          <cell r="A6849" t="str">
            <v>Data split-14;Reg-110</v>
          </cell>
          <cell r="B6849">
            <v>0.9</v>
          </cell>
          <cell r="C6849">
            <v>0</v>
          </cell>
          <cell r="D6849">
            <v>1.4</v>
          </cell>
          <cell r="E6849">
            <v>0</v>
          </cell>
          <cell r="F6849">
            <v>0.18</v>
          </cell>
          <cell r="G6849">
            <v>0</v>
          </cell>
          <cell r="H6849">
            <v>0</v>
          </cell>
          <cell r="I6849">
            <v>0</v>
          </cell>
          <cell r="J6849">
            <v>0</v>
          </cell>
          <cell r="K6849">
            <v>0.57999999999999996</v>
          </cell>
          <cell r="L6849">
            <v>0</v>
          </cell>
          <cell r="M6849">
            <v>0</v>
          </cell>
          <cell r="N6849">
            <v>0</v>
          </cell>
          <cell r="O6849">
            <v>0</v>
          </cell>
          <cell r="P6849">
            <v>0</v>
          </cell>
          <cell r="Q6849">
            <v>0</v>
          </cell>
          <cell r="R6849">
            <v>0</v>
          </cell>
          <cell r="S6849">
            <v>0</v>
          </cell>
          <cell r="T6849">
            <v>0</v>
          </cell>
          <cell r="U6849" t="b">
            <v>0</v>
          </cell>
        </row>
        <row r="6850">
          <cell r="A6850" t="str">
            <v>Data split-14;Reg-111</v>
          </cell>
          <cell r="B6850">
            <v>0.25</v>
          </cell>
          <cell r="C6850">
            <v>0</v>
          </cell>
          <cell r="D6850">
            <v>1.3</v>
          </cell>
          <cell r="E6850">
            <v>0</v>
          </cell>
          <cell r="F6850">
            <v>0.19</v>
          </cell>
          <cell r="G6850">
            <v>0</v>
          </cell>
          <cell r="H6850">
            <v>0</v>
          </cell>
          <cell r="I6850">
            <v>0</v>
          </cell>
          <cell r="J6850">
            <v>0</v>
          </cell>
          <cell r="K6850">
            <v>0</v>
          </cell>
          <cell r="L6850">
            <v>11.7</v>
          </cell>
          <cell r="M6850">
            <v>0</v>
          </cell>
          <cell r="N6850">
            <v>0</v>
          </cell>
          <cell r="O6850">
            <v>0</v>
          </cell>
          <cell r="P6850">
            <v>0</v>
          </cell>
          <cell r="Q6850">
            <v>0</v>
          </cell>
          <cell r="R6850">
            <v>0</v>
          </cell>
          <cell r="S6850">
            <v>0</v>
          </cell>
          <cell r="T6850">
            <v>0</v>
          </cell>
          <cell r="U6850" t="b">
            <v>0</v>
          </cell>
        </row>
        <row r="6851">
          <cell r="A6851" t="str">
            <v>Data split-14;Reg-112</v>
          </cell>
          <cell r="B6851">
            <v>-0.49</v>
          </cell>
          <cell r="C6851">
            <v>2.2999999999999998</v>
          </cell>
          <cell r="D6851">
            <v>0</v>
          </cell>
          <cell r="E6851">
            <v>0</v>
          </cell>
          <cell r="F6851">
            <v>0</v>
          </cell>
          <cell r="G6851">
            <v>-1.4</v>
          </cell>
          <cell r="H6851">
            <v>0</v>
          </cell>
          <cell r="I6851">
            <v>3.3</v>
          </cell>
          <cell r="J6851">
            <v>0</v>
          </cell>
          <cell r="K6851">
            <v>0</v>
          </cell>
          <cell r="L6851">
            <v>0</v>
          </cell>
          <cell r="M6851">
            <v>0</v>
          </cell>
          <cell r="N6851">
            <v>0</v>
          </cell>
          <cell r="O6851">
            <v>0</v>
          </cell>
          <cell r="P6851">
            <v>0</v>
          </cell>
          <cell r="Q6851">
            <v>0</v>
          </cell>
          <cell r="R6851">
            <v>0</v>
          </cell>
          <cell r="S6851">
            <v>0</v>
          </cell>
          <cell r="T6851">
            <v>0</v>
          </cell>
          <cell r="U6851" t="b">
            <v>0</v>
          </cell>
        </row>
        <row r="6852">
          <cell r="A6852" t="str">
            <v>Data split-14;Reg-113</v>
          </cell>
          <cell r="B6852">
            <v>-4.4000000000000004</v>
          </cell>
          <cell r="C6852">
            <v>2.6</v>
          </cell>
          <cell r="D6852">
            <v>0</v>
          </cell>
          <cell r="E6852">
            <v>0</v>
          </cell>
          <cell r="F6852">
            <v>0</v>
          </cell>
          <cell r="G6852">
            <v>-2</v>
          </cell>
          <cell r="H6852">
            <v>0</v>
          </cell>
          <cell r="I6852">
            <v>0</v>
          </cell>
          <cell r="J6852">
            <v>45.7</v>
          </cell>
          <cell r="K6852">
            <v>0</v>
          </cell>
          <cell r="L6852">
            <v>0</v>
          </cell>
          <cell r="M6852">
            <v>0</v>
          </cell>
          <cell r="N6852">
            <v>0</v>
          </cell>
          <cell r="O6852">
            <v>0</v>
          </cell>
          <cell r="P6852">
            <v>0</v>
          </cell>
          <cell r="Q6852">
            <v>0</v>
          </cell>
          <cell r="R6852">
            <v>0</v>
          </cell>
          <cell r="S6852">
            <v>0</v>
          </cell>
          <cell r="T6852">
            <v>0</v>
          </cell>
          <cell r="U6852" t="b">
            <v>0</v>
          </cell>
        </row>
        <row r="6853">
          <cell r="A6853" t="str">
            <v>Data split-14;Reg-114</v>
          </cell>
          <cell r="B6853">
            <v>-0.3</v>
          </cell>
          <cell r="C6853">
            <v>1.7</v>
          </cell>
          <cell r="D6853">
            <v>0</v>
          </cell>
          <cell r="E6853">
            <v>0</v>
          </cell>
          <cell r="F6853">
            <v>0</v>
          </cell>
          <cell r="G6853">
            <v>0</v>
          </cell>
          <cell r="H6853">
            <v>1.0999999999999999E-2</v>
          </cell>
          <cell r="I6853">
            <v>0.85</v>
          </cell>
          <cell r="J6853">
            <v>0</v>
          </cell>
          <cell r="K6853">
            <v>0</v>
          </cell>
          <cell r="L6853">
            <v>0</v>
          </cell>
          <cell r="M6853">
            <v>0</v>
          </cell>
          <cell r="N6853">
            <v>0</v>
          </cell>
          <cell r="O6853">
            <v>0</v>
          </cell>
          <cell r="P6853">
            <v>0</v>
          </cell>
          <cell r="Q6853">
            <v>0</v>
          </cell>
          <cell r="R6853">
            <v>0</v>
          </cell>
          <cell r="S6853">
            <v>0</v>
          </cell>
          <cell r="T6853">
            <v>0</v>
          </cell>
          <cell r="U6853" t="b">
            <v>0</v>
          </cell>
        </row>
        <row r="6854">
          <cell r="A6854" t="str">
            <v>Data split-14;Reg-115</v>
          </cell>
          <cell r="B6854">
            <v>-3</v>
          </cell>
          <cell r="C6854">
            <v>2.1</v>
          </cell>
          <cell r="D6854">
            <v>0</v>
          </cell>
          <cell r="E6854">
            <v>0</v>
          </cell>
          <cell r="F6854">
            <v>0</v>
          </cell>
          <cell r="G6854">
            <v>0</v>
          </cell>
          <cell r="H6854">
            <v>-1.2</v>
          </cell>
          <cell r="I6854">
            <v>0</v>
          </cell>
          <cell r="J6854">
            <v>28</v>
          </cell>
          <cell r="K6854">
            <v>0</v>
          </cell>
          <cell r="L6854">
            <v>0</v>
          </cell>
          <cell r="M6854">
            <v>0</v>
          </cell>
          <cell r="N6854">
            <v>0</v>
          </cell>
          <cell r="O6854">
            <v>0</v>
          </cell>
          <cell r="P6854">
            <v>0</v>
          </cell>
          <cell r="Q6854">
            <v>0</v>
          </cell>
          <cell r="R6854">
            <v>0</v>
          </cell>
          <cell r="S6854">
            <v>0</v>
          </cell>
          <cell r="T6854">
            <v>0</v>
          </cell>
          <cell r="U6854" t="b">
            <v>0</v>
          </cell>
        </row>
        <row r="6855">
          <cell r="A6855" t="str">
            <v>Data split-14;Reg-116</v>
          </cell>
          <cell r="B6855">
            <v>-0.61</v>
          </cell>
          <cell r="C6855">
            <v>0</v>
          </cell>
          <cell r="D6855">
            <v>2.4</v>
          </cell>
          <cell r="E6855">
            <v>0</v>
          </cell>
          <cell r="F6855">
            <v>0</v>
          </cell>
          <cell r="G6855">
            <v>-1.5</v>
          </cell>
          <cell r="H6855">
            <v>0</v>
          </cell>
          <cell r="I6855">
            <v>2.8</v>
          </cell>
          <cell r="J6855">
            <v>0</v>
          </cell>
          <cell r="K6855">
            <v>0</v>
          </cell>
          <cell r="L6855">
            <v>0</v>
          </cell>
          <cell r="M6855">
            <v>0</v>
          </cell>
          <cell r="N6855">
            <v>0</v>
          </cell>
          <cell r="O6855">
            <v>0</v>
          </cell>
          <cell r="P6855">
            <v>0</v>
          </cell>
          <cell r="Q6855">
            <v>0</v>
          </cell>
          <cell r="R6855">
            <v>0</v>
          </cell>
          <cell r="S6855">
            <v>0</v>
          </cell>
          <cell r="T6855">
            <v>0</v>
          </cell>
          <cell r="U6855" t="b">
            <v>0</v>
          </cell>
        </row>
        <row r="6856">
          <cell r="A6856" t="str">
            <v>Data split-14;Reg-117</v>
          </cell>
          <cell r="B6856">
            <v>-3.9</v>
          </cell>
          <cell r="C6856">
            <v>0</v>
          </cell>
          <cell r="D6856">
            <v>2.7</v>
          </cell>
          <cell r="E6856">
            <v>0</v>
          </cell>
          <cell r="F6856">
            <v>0</v>
          </cell>
          <cell r="G6856">
            <v>-1.9</v>
          </cell>
          <cell r="H6856">
            <v>0</v>
          </cell>
          <cell r="I6856">
            <v>0</v>
          </cell>
          <cell r="J6856">
            <v>39.4</v>
          </cell>
          <cell r="K6856">
            <v>0</v>
          </cell>
          <cell r="L6856">
            <v>0</v>
          </cell>
          <cell r="M6856">
            <v>0</v>
          </cell>
          <cell r="N6856">
            <v>0</v>
          </cell>
          <cell r="O6856">
            <v>0</v>
          </cell>
          <cell r="P6856">
            <v>0</v>
          </cell>
          <cell r="Q6856">
            <v>0</v>
          </cell>
          <cell r="R6856">
            <v>0</v>
          </cell>
          <cell r="S6856">
            <v>0</v>
          </cell>
          <cell r="T6856">
            <v>0</v>
          </cell>
          <cell r="U6856" t="b">
            <v>0</v>
          </cell>
        </row>
        <row r="6857">
          <cell r="A6857" t="str">
            <v>Data split-14;Reg-118</v>
          </cell>
          <cell r="B6857">
            <v>-0.42</v>
          </cell>
          <cell r="C6857">
            <v>0</v>
          </cell>
          <cell r="D6857">
            <v>1.9</v>
          </cell>
          <cell r="E6857">
            <v>0</v>
          </cell>
          <cell r="F6857">
            <v>0</v>
          </cell>
          <cell r="G6857">
            <v>0</v>
          </cell>
          <cell r="H6857">
            <v>-0.22</v>
          </cell>
          <cell r="I6857">
            <v>0.5</v>
          </cell>
          <cell r="J6857">
            <v>0</v>
          </cell>
          <cell r="K6857">
            <v>0</v>
          </cell>
          <cell r="L6857">
            <v>0</v>
          </cell>
          <cell r="M6857">
            <v>0</v>
          </cell>
          <cell r="N6857">
            <v>0</v>
          </cell>
          <cell r="O6857">
            <v>0</v>
          </cell>
          <cell r="P6857">
            <v>0</v>
          </cell>
          <cell r="Q6857">
            <v>0</v>
          </cell>
          <cell r="R6857">
            <v>0</v>
          </cell>
          <cell r="S6857">
            <v>0</v>
          </cell>
          <cell r="T6857">
            <v>0</v>
          </cell>
          <cell r="U6857" t="b">
            <v>0</v>
          </cell>
        </row>
        <row r="6858">
          <cell r="A6858" t="str">
            <v>Data split-14;Reg-119</v>
          </cell>
          <cell r="B6858">
            <v>-2.7</v>
          </cell>
          <cell r="C6858">
            <v>0</v>
          </cell>
          <cell r="D6858">
            <v>2.2000000000000002</v>
          </cell>
          <cell r="E6858">
            <v>0</v>
          </cell>
          <cell r="F6858">
            <v>0</v>
          </cell>
          <cell r="G6858">
            <v>0</v>
          </cell>
          <cell r="H6858">
            <v>-1.2</v>
          </cell>
          <cell r="I6858">
            <v>0</v>
          </cell>
          <cell r="J6858">
            <v>23.3</v>
          </cell>
          <cell r="K6858">
            <v>0</v>
          </cell>
          <cell r="L6858">
            <v>0</v>
          </cell>
          <cell r="M6858">
            <v>0</v>
          </cell>
          <cell r="N6858">
            <v>0</v>
          </cell>
          <cell r="O6858">
            <v>0</v>
          </cell>
          <cell r="P6858">
            <v>0</v>
          </cell>
          <cell r="Q6858">
            <v>0</v>
          </cell>
          <cell r="R6858">
            <v>0</v>
          </cell>
          <cell r="S6858">
            <v>0</v>
          </cell>
          <cell r="T6858">
            <v>0</v>
          </cell>
          <cell r="U6858" t="b">
            <v>0</v>
          </cell>
        </row>
        <row r="6859">
          <cell r="A6859" t="str">
            <v>Data split-14;Reg-120</v>
          </cell>
          <cell r="B6859">
            <v>0.65</v>
          </cell>
          <cell r="C6859">
            <v>2.1</v>
          </cell>
          <cell r="D6859">
            <v>0</v>
          </cell>
          <cell r="E6859">
            <v>0</v>
          </cell>
          <cell r="F6859">
            <v>0</v>
          </cell>
          <cell r="G6859">
            <v>-0.59</v>
          </cell>
          <cell r="H6859">
            <v>0</v>
          </cell>
          <cell r="I6859">
            <v>0</v>
          </cell>
          <cell r="J6859">
            <v>0</v>
          </cell>
          <cell r="K6859">
            <v>0.59</v>
          </cell>
          <cell r="L6859">
            <v>0</v>
          </cell>
          <cell r="M6859">
            <v>0</v>
          </cell>
          <cell r="N6859">
            <v>0</v>
          </cell>
          <cell r="O6859">
            <v>0</v>
          </cell>
          <cell r="P6859">
            <v>0</v>
          </cell>
          <cell r="Q6859">
            <v>0</v>
          </cell>
          <cell r="R6859">
            <v>0</v>
          </cell>
          <cell r="S6859">
            <v>0</v>
          </cell>
          <cell r="T6859">
            <v>0</v>
          </cell>
          <cell r="U6859" t="b">
            <v>0</v>
          </cell>
        </row>
        <row r="6860">
          <cell r="A6860" t="str">
            <v>Data split-14;Reg-121</v>
          </cell>
          <cell r="B6860">
            <v>-1.2999999999999999E-2</v>
          </cell>
          <cell r="C6860">
            <v>2.2000000000000002</v>
          </cell>
          <cell r="D6860">
            <v>0</v>
          </cell>
          <cell r="E6860">
            <v>0</v>
          </cell>
          <cell r="F6860">
            <v>0</v>
          </cell>
          <cell r="G6860">
            <v>-0.82</v>
          </cell>
          <cell r="H6860">
            <v>0</v>
          </cell>
          <cell r="I6860">
            <v>0</v>
          </cell>
          <cell r="J6860">
            <v>0</v>
          </cell>
          <cell r="K6860">
            <v>0</v>
          </cell>
          <cell r="L6860">
            <v>13.2</v>
          </cell>
          <cell r="M6860">
            <v>0</v>
          </cell>
          <cell r="N6860">
            <v>0</v>
          </cell>
          <cell r="O6860">
            <v>0</v>
          </cell>
          <cell r="P6860">
            <v>0</v>
          </cell>
          <cell r="Q6860">
            <v>0</v>
          </cell>
          <cell r="R6860">
            <v>0</v>
          </cell>
          <cell r="S6860">
            <v>0</v>
          </cell>
          <cell r="T6860">
            <v>0</v>
          </cell>
          <cell r="U6860" t="b">
            <v>0</v>
          </cell>
        </row>
        <row r="6861">
          <cell r="A6861" t="str">
            <v>Data split-14;Reg-122</v>
          </cell>
          <cell r="B6861">
            <v>-2.9000000000000001E-2</v>
          </cell>
          <cell r="C6861">
            <v>1.7</v>
          </cell>
          <cell r="D6861">
            <v>0</v>
          </cell>
          <cell r="E6861">
            <v>0</v>
          </cell>
          <cell r="F6861">
            <v>0</v>
          </cell>
          <cell r="G6861">
            <v>0</v>
          </cell>
          <cell r="H6861">
            <v>0.38</v>
          </cell>
          <cell r="I6861">
            <v>0</v>
          </cell>
          <cell r="J6861">
            <v>0</v>
          </cell>
          <cell r="K6861">
            <v>2.1000000000000001E-2</v>
          </cell>
          <cell r="L6861">
            <v>0</v>
          </cell>
          <cell r="M6861">
            <v>0</v>
          </cell>
          <cell r="N6861">
            <v>0</v>
          </cell>
          <cell r="O6861">
            <v>0</v>
          </cell>
          <cell r="P6861">
            <v>0</v>
          </cell>
          <cell r="Q6861">
            <v>0</v>
          </cell>
          <cell r="R6861">
            <v>0</v>
          </cell>
          <cell r="S6861">
            <v>0</v>
          </cell>
          <cell r="T6861">
            <v>0</v>
          </cell>
          <cell r="U6861" t="b">
            <v>0</v>
          </cell>
        </row>
        <row r="6862">
          <cell r="A6862" t="str">
            <v>Data split-14;Reg-123</v>
          </cell>
          <cell r="B6862">
            <v>-0.28000000000000003</v>
          </cell>
          <cell r="C6862">
            <v>1.7</v>
          </cell>
          <cell r="D6862">
            <v>0</v>
          </cell>
          <cell r="E6862">
            <v>0</v>
          </cell>
          <cell r="F6862">
            <v>0</v>
          </cell>
          <cell r="G6862">
            <v>0</v>
          </cell>
          <cell r="H6862">
            <v>-5.3999999999999999E-2</v>
          </cell>
          <cell r="I6862">
            <v>0</v>
          </cell>
          <cell r="J6862">
            <v>0</v>
          </cell>
          <cell r="K6862">
            <v>0</v>
          </cell>
          <cell r="L6862">
            <v>8.1</v>
          </cell>
          <cell r="M6862">
            <v>0</v>
          </cell>
          <cell r="N6862">
            <v>0</v>
          </cell>
          <cell r="O6862">
            <v>0</v>
          </cell>
          <cell r="P6862">
            <v>0</v>
          </cell>
          <cell r="Q6862">
            <v>0</v>
          </cell>
          <cell r="R6862">
            <v>0</v>
          </cell>
          <cell r="S6862">
            <v>0</v>
          </cell>
          <cell r="T6862">
            <v>0</v>
          </cell>
          <cell r="U6862" t="b">
            <v>0</v>
          </cell>
        </row>
        <row r="6863">
          <cell r="A6863" t="str">
            <v>Data split-14;Reg-124</v>
          </cell>
          <cell r="B6863">
            <v>0.32</v>
          </cell>
          <cell r="C6863">
            <v>0</v>
          </cell>
          <cell r="D6863">
            <v>2.2999999999999998</v>
          </cell>
          <cell r="E6863">
            <v>0</v>
          </cell>
          <cell r="F6863">
            <v>0</v>
          </cell>
          <cell r="G6863">
            <v>-0.8</v>
          </cell>
          <cell r="H6863">
            <v>0</v>
          </cell>
          <cell r="I6863">
            <v>0</v>
          </cell>
          <cell r="J6863">
            <v>0</v>
          </cell>
          <cell r="K6863">
            <v>0.5</v>
          </cell>
          <cell r="L6863">
            <v>0</v>
          </cell>
          <cell r="M6863">
            <v>0</v>
          </cell>
          <cell r="N6863">
            <v>0</v>
          </cell>
          <cell r="O6863">
            <v>0</v>
          </cell>
          <cell r="P6863">
            <v>0</v>
          </cell>
          <cell r="Q6863">
            <v>0</v>
          </cell>
          <cell r="R6863">
            <v>0</v>
          </cell>
          <cell r="S6863">
            <v>0</v>
          </cell>
          <cell r="T6863">
            <v>0</v>
          </cell>
          <cell r="U6863" t="b">
            <v>0</v>
          </cell>
        </row>
        <row r="6864">
          <cell r="A6864" t="str">
            <v>Data split-14;Reg-125</v>
          </cell>
          <cell r="B6864">
            <v>-0.27</v>
          </cell>
          <cell r="C6864">
            <v>0</v>
          </cell>
          <cell r="D6864">
            <v>2.2999999999999998</v>
          </cell>
          <cell r="E6864">
            <v>0</v>
          </cell>
          <cell r="F6864">
            <v>0</v>
          </cell>
          <cell r="G6864">
            <v>-1</v>
          </cell>
          <cell r="H6864">
            <v>0</v>
          </cell>
          <cell r="I6864">
            <v>0</v>
          </cell>
          <cell r="J6864">
            <v>0</v>
          </cell>
          <cell r="K6864">
            <v>0</v>
          </cell>
          <cell r="L6864">
            <v>12.2</v>
          </cell>
          <cell r="M6864">
            <v>0</v>
          </cell>
          <cell r="N6864">
            <v>0</v>
          </cell>
          <cell r="O6864">
            <v>0</v>
          </cell>
          <cell r="P6864">
            <v>0</v>
          </cell>
          <cell r="Q6864">
            <v>0</v>
          </cell>
          <cell r="R6864">
            <v>0</v>
          </cell>
          <cell r="S6864">
            <v>0</v>
          </cell>
          <cell r="T6864">
            <v>0</v>
          </cell>
          <cell r="U6864" t="b">
            <v>0</v>
          </cell>
        </row>
        <row r="6865">
          <cell r="A6865" t="str">
            <v>Data split-14;Reg-126</v>
          </cell>
          <cell r="B6865">
            <v>-0.28999999999999998</v>
          </cell>
          <cell r="C6865">
            <v>0</v>
          </cell>
          <cell r="D6865">
            <v>1.9</v>
          </cell>
          <cell r="E6865">
            <v>0</v>
          </cell>
          <cell r="F6865">
            <v>0</v>
          </cell>
          <cell r="G6865">
            <v>0</v>
          </cell>
          <cell r="H6865">
            <v>-5.7000000000000002E-3</v>
          </cell>
          <cell r="I6865">
            <v>0</v>
          </cell>
          <cell r="J6865">
            <v>0</v>
          </cell>
          <cell r="K6865">
            <v>-4.2999999999999997E-2</v>
          </cell>
          <cell r="L6865">
            <v>0</v>
          </cell>
          <cell r="M6865">
            <v>0</v>
          </cell>
          <cell r="N6865">
            <v>0</v>
          </cell>
          <cell r="O6865">
            <v>0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 t="b">
            <v>0</v>
          </cell>
        </row>
        <row r="6866">
          <cell r="A6866" t="str">
            <v>Data split-14;Reg-127</v>
          </cell>
          <cell r="B6866">
            <v>-0.49</v>
          </cell>
          <cell r="C6866">
            <v>0</v>
          </cell>
          <cell r="D6866">
            <v>1.9</v>
          </cell>
          <cell r="E6866">
            <v>0</v>
          </cell>
          <cell r="F6866">
            <v>0</v>
          </cell>
          <cell r="G6866">
            <v>0</v>
          </cell>
          <cell r="H6866">
            <v>-0.4</v>
          </cell>
          <cell r="I6866">
            <v>0</v>
          </cell>
          <cell r="J6866">
            <v>0</v>
          </cell>
          <cell r="K6866">
            <v>0</v>
          </cell>
          <cell r="L6866">
            <v>7.4</v>
          </cell>
          <cell r="M6866">
            <v>0</v>
          </cell>
          <cell r="N6866">
            <v>0</v>
          </cell>
          <cell r="O6866">
            <v>0</v>
          </cell>
          <cell r="P6866">
            <v>0</v>
          </cell>
          <cell r="Q6866">
            <v>0</v>
          </cell>
          <cell r="R6866">
            <v>0</v>
          </cell>
          <cell r="S6866">
            <v>0</v>
          </cell>
          <cell r="T6866">
            <v>0</v>
          </cell>
          <cell r="U6866" t="b">
            <v>0</v>
          </cell>
        </row>
        <row r="6867">
          <cell r="A6867" t="str">
            <v>Data split-15;Reg-1</v>
          </cell>
          <cell r="B6867">
            <v>-6.2</v>
          </cell>
          <cell r="C6867">
            <v>2.5</v>
          </cell>
          <cell r="D6867">
            <v>0</v>
          </cell>
          <cell r="E6867">
            <v>0</v>
          </cell>
          <cell r="F6867">
            <v>0.16</v>
          </cell>
          <cell r="G6867">
            <v>0</v>
          </cell>
          <cell r="H6867">
            <v>0</v>
          </cell>
          <cell r="I6867">
            <v>0</v>
          </cell>
          <cell r="J6867">
            <v>0</v>
          </cell>
          <cell r="K6867">
            <v>0</v>
          </cell>
          <cell r="L6867">
            <v>-4.2</v>
          </cell>
          <cell r="M6867">
            <v>0</v>
          </cell>
          <cell r="N6867">
            <v>0</v>
          </cell>
          <cell r="O6867">
            <v>0</v>
          </cell>
          <cell r="P6867">
            <v>0</v>
          </cell>
          <cell r="Q6867">
            <v>0</v>
          </cell>
          <cell r="R6867">
            <v>0</v>
          </cell>
          <cell r="S6867">
            <v>0</v>
          </cell>
          <cell r="T6867">
            <v>0</v>
          </cell>
          <cell r="U6867" t="b">
            <v>1</v>
          </cell>
        </row>
        <row r="6868">
          <cell r="A6868" t="str">
            <v>Data split-15;Reg-2</v>
          </cell>
          <cell r="B6868">
            <v>-3.3</v>
          </cell>
          <cell r="C6868">
            <v>3</v>
          </cell>
          <cell r="D6868">
            <v>0</v>
          </cell>
          <cell r="E6868">
            <v>0</v>
          </cell>
          <cell r="F6868">
            <v>0.16</v>
          </cell>
          <cell r="G6868">
            <v>-1.3</v>
          </cell>
          <cell r="H6868">
            <v>0</v>
          </cell>
          <cell r="I6868">
            <v>0</v>
          </cell>
          <cell r="J6868">
            <v>0</v>
          </cell>
          <cell r="K6868">
            <v>0</v>
          </cell>
          <cell r="L6868">
            <v>0</v>
          </cell>
          <cell r="M6868">
            <v>2.5000000000000001E-3</v>
          </cell>
          <cell r="N6868">
            <v>0</v>
          </cell>
          <cell r="O6868">
            <v>0</v>
          </cell>
          <cell r="P6868">
            <v>0</v>
          </cell>
          <cell r="Q6868">
            <v>0</v>
          </cell>
          <cell r="R6868">
            <v>0</v>
          </cell>
          <cell r="S6868">
            <v>0</v>
          </cell>
          <cell r="T6868">
            <v>0</v>
          </cell>
          <cell r="U6868" t="b">
            <v>0</v>
          </cell>
        </row>
        <row r="6869">
          <cell r="A6869" t="str">
            <v>Data split-15;Reg-3</v>
          </cell>
          <cell r="B6869">
            <v>-3.2</v>
          </cell>
          <cell r="C6869">
            <v>3</v>
          </cell>
          <cell r="D6869">
            <v>0</v>
          </cell>
          <cell r="E6869">
            <v>0</v>
          </cell>
          <cell r="F6869">
            <v>0.16</v>
          </cell>
          <cell r="G6869">
            <v>-1.5</v>
          </cell>
          <cell r="H6869">
            <v>0</v>
          </cell>
          <cell r="I6869">
            <v>0</v>
          </cell>
          <cell r="J6869">
            <v>0</v>
          </cell>
          <cell r="K6869">
            <v>0</v>
          </cell>
          <cell r="L6869">
            <v>0</v>
          </cell>
          <cell r="M6869">
            <v>0</v>
          </cell>
          <cell r="N6869">
            <v>3.7000000000000002E-3</v>
          </cell>
          <cell r="O6869">
            <v>0</v>
          </cell>
          <cell r="P6869">
            <v>0</v>
          </cell>
          <cell r="Q6869">
            <v>0</v>
          </cell>
          <cell r="R6869">
            <v>0</v>
          </cell>
          <cell r="S6869">
            <v>0</v>
          </cell>
          <cell r="T6869">
            <v>0</v>
          </cell>
          <cell r="U6869" t="b">
            <v>0</v>
          </cell>
        </row>
        <row r="6870">
          <cell r="A6870" t="str">
            <v>Data split-15;Reg-4</v>
          </cell>
          <cell r="B6870">
            <v>-3</v>
          </cell>
          <cell r="C6870">
            <v>3.2</v>
          </cell>
          <cell r="D6870">
            <v>0</v>
          </cell>
          <cell r="E6870">
            <v>0</v>
          </cell>
          <cell r="F6870">
            <v>0.21</v>
          </cell>
          <cell r="G6870">
            <v>0</v>
          </cell>
          <cell r="H6870">
            <v>-3.1</v>
          </cell>
          <cell r="I6870">
            <v>0</v>
          </cell>
          <cell r="J6870">
            <v>0</v>
          </cell>
          <cell r="K6870">
            <v>0</v>
          </cell>
          <cell r="L6870">
            <v>0</v>
          </cell>
          <cell r="M6870">
            <v>0.06</v>
          </cell>
          <cell r="N6870">
            <v>0</v>
          </cell>
          <cell r="O6870">
            <v>0</v>
          </cell>
          <cell r="P6870">
            <v>0</v>
          </cell>
          <cell r="Q6870">
            <v>0</v>
          </cell>
          <cell r="R6870">
            <v>0</v>
          </cell>
          <cell r="S6870">
            <v>0</v>
          </cell>
          <cell r="T6870">
            <v>0</v>
          </cell>
          <cell r="U6870" t="b">
            <v>0</v>
          </cell>
        </row>
        <row r="6871">
          <cell r="A6871" t="str">
            <v>Data split-15;Reg-5</v>
          </cell>
          <cell r="B6871">
            <v>-3.6</v>
          </cell>
          <cell r="C6871">
            <v>0</v>
          </cell>
          <cell r="D6871">
            <v>3.3</v>
          </cell>
          <cell r="E6871">
            <v>0</v>
          </cell>
          <cell r="F6871">
            <v>0.21</v>
          </cell>
          <cell r="G6871">
            <v>0</v>
          </cell>
          <cell r="H6871">
            <v>-3.2</v>
          </cell>
          <cell r="I6871">
            <v>0</v>
          </cell>
          <cell r="J6871">
            <v>0</v>
          </cell>
          <cell r="K6871">
            <v>0</v>
          </cell>
          <cell r="L6871">
            <v>0</v>
          </cell>
          <cell r="M6871">
            <v>6.5000000000000002E-2</v>
          </cell>
          <cell r="N6871">
            <v>0</v>
          </cell>
          <cell r="O6871">
            <v>0</v>
          </cell>
          <cell r="P6871">
            <v>0</v>
          </cell>
          <cell r="Q6871">
            <v>0</v>
          </cell>
          <cell r="R6871">
            <v>0</v>
          </cell>
          <cell r="S6871">
            <v>0</v>
          </cell>
          <cell r="T6871">
            <v>0</v>
          </cell>
          <cell r="U6871" t="b">
            <v>0</v>
          </cell>
        </row>
        <row r="6872">
          <cell r="A6872" t="str">
            <v>Data split-15;Reg-6</v>
          </cell>
          <cell r="B6872">
            <v>-2.8</v>
          </cell>
          <cell r="C6872">
            <v>3.3</v>
          </cell>
          <cell r="D6872">
            <v>0</v>
          </cell>
          <cell r="E6872">
            <v>-2.4</v>
          </cell>
          <cell r="F6872">
            <v>0</v>
          </cell>
          <cell r="G6872">
            <v>0</v>
          </cell>
          <cell r="H6872">
            <v>0</v>
          </cell>
          <cell r="I6872">
            <v>0</v>
          </cell>
          <cell r="J6872">
            <v>0</v>
          </cell>
          <cell r="K6872">
            <v>0</v>
          </cell>
          <cell r="L6872">
            <v>1.5</v>
          </cell>
          <cell r="M6872">
            <v>4.9000000000000002E-2</v>
          </cell>
          <cell r="N6872">
            <v>0</v>
          </cell>
          <cell r="O6872">
            <v>0</v>
          </cell>
          <cell r="P6872">
            <v>0</v>
          </cell>
          <cell r="Q6872">
            <v>0</v>
          </cell>
          <cell r="R6872">
            <v>0</v>
          </cell>
          <cell r="S6872">
            <v>0</v>
          </cell>
          <cell r="T6872">
            <v>0</v>
          </cell>
          <cell r="U6872" t="b">
            <v>0</v>
          </cell>
        </row>
        <row r="6873">
          <cell r="A6873" t="str">
            <v>Data split-15;Reg-7</v>
          </cell>
          <cell r="B6873">
            <v>-3.4</v>
          </cell>
          <cell r="C6873">
            <v>2.9</v>
          </cell>
          <cell r="D6873">
            <v>0</v>
          </cell>
          <cell r="E6873">
            <v>0</v>
          </cell>
          <cell r="F6873">
            <v>0.19</v>
          </cell>
          <cell r="G6873">
            <v>0</v>
          </cell>
          <cell r="H6873">
            <v>0</v>
          </cell>
          <cell r="I6873">
            <v>0</v>
          </cell>
          <cell r="J6873">
            <v>0</v>
          </cell>
          <cell r="K6873">
            <v>0</v>
          </cell>
          <cell r="L6873">
            <v>-4.3</v>
          </cell>
          <cell r="M6873">
            <v>0</v>
          </cell>
          <cell r="N6873">
            <v>0</v>
          </cell>
          <cell r="O6873">
            <v>0</v>
          </cell>
          <cell r="P6873">
            <v>0</v>
          </cell>
          <cell r="Q6873">
            <v>0</v>
          </cell>
          <cell r="R6873">
            <v>0</v>
          </cell>
          <cell r="S6873">
            <v>-0.12</v>
          </cell>
          <cell r="T6873">
            <v>0</v>
          </cell>
          <cell r="U6873" t="b">
            <v>1</v>
          </cell>
        </row>
        <row r="6874">
          <cell r="A6874" t="str">
            <v>Data split-15;Reg-8</v>
          </cell>
          <cell r="B6874">
            <v>-2.4</v>
          </cell>
          <cell r="C6874">
            <v>3.2</v>
          </cell>
          <cell r="D6874">
            <v>0</v>
          </cell>
          <cell r="E6874">
            <v>0</v>
          </cell>
          <cell r="F6874">
            <v>0</v>
          </cell>
          <cell r="G6874">
            <v>-0.78</v>
          </cell>
          <cell r="H6874">
            <v>0</v>
          </cell>
          <cell r="I6874">
            <v>0</v>
          </cell>
          <cell r="J6874">
            <v>0</v>
          </cell>
          <cell r="K6874">
            <v>0</v>
          </cell>
          <cell r="L6874">
            <v>-5.4</v>
          </cell>
          <cell r="M6874">
            <v>0</v>
          </cell>
          <cell r="N6874">
            <v>0</v>
          </cell>
          <cell r="O6874">
            <v>0</v>
          </cell>
          <cell r="P6874">
            <v>0</v>
          </cell>
          <cell r="Q6874">
            <v>0</v>
          </cell>
          <cell r="R6874">
            <v>0</v>
          </cell>
          <cell r="S6874">
            <v>-6.5000000000000002E-2</v>
          </cell>
          <cell r="T6874">
            <v>0</v>
          </cell>
          <cell r="U6874" t="b">
            <v>0</v>
          </cell>
        </row>
        <row r="6875">
          <cell r="A6875" t="str">
            <v>Data split-15;Reg-9</v>
          </cell>
          <cell r="B6875">
            <v>-3.7</v>
          </cell>
          <cell r="C6875">
            <v>0</v>
          </cell>
          <cell r="D6875">
            <v>3.2</v>
          </cell>
          <cell r="E6875">
            <v>0</v>
          </cell>
          <cell r="F6875">
            <v>0</v>
          </cell>
          <cell r="G6875">
            <v>0</v>
          </cell>
          <cell r="H6875">
            <v>-0.8</v>
          </cell>
          <cell r="I6875">
            <v>0</v>
          </cell>
          <cell r="J6875">
            <v>0</v>
          </cell>
          <cell r="K6875">
            <v>0</v>
          </cell>
          <cell r="L6875">
            <v>-4.9000000000000004</v>
          </cell>
          <cell r="M6875">
            <v>0</v>
          </cell>
          <cell r="N6875">
            <v>0</v>
          </cell>
          <cell r="O6875">
            <v>0</v>
          </cell>
          <cell r="P6875">
            <v>0</v>
          </cell>
          <cell r="Q6875">
            <v>0</v>
          </cell>
          <cell r="R6875">
            <v>0</v>
          </cell>
          <cell r="S6875">
            <v>-7.6999999999999999E-2</v>
          </cell>
          <cell r="T6875">
            <v>0</v>
          </cell>
          <cell r="U6875" t="b">
            <v>0</v>
          </cell>
        </row>
        <row r="6876">
          <cell r="A6876" t="str">
            <v>Data split-15;Reg-10</v>
          </cell>
          <cell r="B6876">
            <v>-3.7</v>
          </cell>
          <cell r="C6876">
            <v>0</v>
          </cell>
          <cell r="D6876">
            <v>3.2</v>
          </cell>
          <cell r="E6876">
            <v>0</v>
          </cell>
          <cell r="F6876">
            <v>0</v>
          </cell>
          <cell r="G6876">
            <v>0</v>
          </cell>
          <cell r="H6876">
            <v>-0.8</v>
          </cell>
          <cell r="I6876">
            <v>0</v>
          </cell>
          <cell r="J6876">
            <v>0</v>
          </cell>
          <cell r="K6876">
            <v>0</v>
          </cell>
          <cell r="L6876">
            <v>-4.9000000000000004</v>
          </cell>
          <cell r="M6876">
            <v>0</v>
          </cell>
          <cell r="N6876">
            <v>0</v>
          </cell>
          <cell r="O6876">
            <v>0</v>
          </cell>
          <cell r="P6876">
            <v>0</v>
          </cell>
          <cell r="Q6876">
            <v>0</v>
          </cell>
          <cell r="R6876">
            <v>0</v>
          </cell>
          <cell r="S6876">
            <v>-7.6999999999999999E-2</v>
          </cell>
          <cell r="T6876">
            <v>0</v>
          </cell>
          <cell r="U6876" t="b">
            <v>0</v>
          </cell>
        </row>
        <row r="6877">
          <cell r="A6877" t="str">
            <v>Data split-15;Reg-11</v>
          </cell>
          <cell r="B6877">
            <v>-2.6</v>
          </cell>
          <cell r="C6877">
            <v>3.3</v>
          </cell>
          <cell r="D6877">
            <v>0</v>
          </cell>
          <cell r="E6877">
            <v>-1.5</v>
          </cell>
          <cell r="F6877">
            <v>0</v>
          </cell>
          <cell r="G6877">
            <v>-0.31</v>
          </cell>
          <cell r="H6877">
            <v>0</v>
          </cell>
          <cell r="I6877">
            <v>0</v>
          </cell>
          <cell r="J6877">
            <v>0</v>
          </cell>
          <cell r="K6877">
            <v>0</v>
          </cell>
          <cell r="L6877">
            <v>0</v>
          </cell>
          <cell r="M6877">
            <v>0</v>
          </cell>
          <cell r="N6877">
            <v>0</v>
          </cell>
          <cell r="O6877">
            <v>0</v>
          </cell>
          <cell r="P6877">
            <v>0</v>
          </cell>
          <cell r="Q6877">
            <v>0</v>
          </cell>
          <cell r="R6877">
            <v>0</v>
          </cell>
          <cell r="S6877">
            <v>0</v>
          </cell>
          <cell r="T6877">
            <v>0</v>
          </cell>
          <cell r="U6877" t="b">
            <v>0</v>
          </cell>
        </row>
        <row r="6878">
          <cell r="A6878" t="str">
            <v>Data split-15;Reg-12</v>
          </cell>
          <cell r="B6878">
            <v>-2.8</v>
          </cell>
          <cell r="C6878">
            <v>3.2</v>
          </cell>
          <cell r="D6878">
            <v>0</v>
          </cell>
          <cell r="E6878">
            <v>-3.2</v>
          </cell>
          <cell r="F6878">
            <v>0</v>
          </cell>
          <cell r="G6878">
            <v>0</v>
          </cell>
          <cell r="H6878">
            <v>2</v>
          </cell>
          <cell r="I6878">
            <v>0</v>
          </cell>
          <cell r="J6878">
            <v>0</v>
          </cell>
          <cell r="K6878">
            <v>0</v>
          </cell>
          <cell r="L6878">
            <v>0</v>
          </cell>
          <cell r="M6878">
            <v>0</v>
          </cell>
          <cell r="N6878">
            <v>0</v>
          </cell>
          <cell r="O6878">
            <v>0</v>
          </cell>
          <cell r="P6878">
            <v>0</v>
          </cell>
          <cell r="Q6878">
            <v>0</v>
          </cell>
          <cell r="R6878">
            <v>0</v>
          </cell>
          <cell r="S6878">
            <v>0</v>
          </cell>
          <cell r="T6878">
            <v>0</v>
          </cell>
          <cell r="U6878" t="b">
            <v>0</v>
          </cell>
        </row>
        <row r="6879">
          <cell r="A6879" t="str">
            <v>Data split-15;Reg-13</v>
          </cell>
          <cell r="B6879">
            <v>-3.3</v>
          </cell>
          <cell r="C6879">
            <v>3</v>
          </cell>
          <cell r="D6879">
            <v>0</v>
          </cell>
          <cell r="E6879">
            <v>0</v>
          </cell>
          <cell r="F6879">
            <v>0.16</v>
          </cell>
          <cell r="G6879">
            <v>-1.3</v>
          </cell>
          <cell r="H6879">
            <v>0</v>
          </cell>
          <cell r="I6879">
            <v>0</v>
          </cell>
          <cell r="J6879">
            <v>0</v>
          </cell>
          <cell r="K6879">
            <v>0</v>
          </cell>
          <cell r="L6879">
            <v>0</v>
          </cell>
          <cell r="M6879">
            <v>0</v>
          </cell>
          <cell r="N6879">
            <v>0</v>
          </cell>
          <cell r="O6879">
            <v>0</v>
          </cell>
          <cell r="P6879">
            <v>0</v>
          </cell>
          <cell r="Q6879">
            <v>0</v>
          </cell>
          <cell r="R6879">
            <v>0</v>
          </cell>
          <cell r="S6879">
            <v>0</v>
          </cell>
          <cell r="T6879">
            <v>0</v>
          </cell>
          <cell r="U6879" t="b">
            <v>0</v>
          </cell>
        </row>
        <row r="6880">
          <cell r="A6880" t="str">
            <v>Data split-15;Reg-14</v>
          </cell>
          <cell r="B6880">
            <v>-3.3</v>
          </cell>
          <cell r="C6880">
            <v>3.1</v>
          </cell>
          <cell r="D6880">
            <v>0</v>
          </cell>
          <cell r="E6880">
            <v>0</v>
          </cell>
          <cell r="F6880">
            <v>0.2</v>
          </cell>
          <cell r="G6880">
            <v>0</v>
          </cell>
          <cell r="H6880">
            <v>-2.1</v>
          </cell>
          <cell r="I6880">
            <v>0</v>
          </cell>
          <cell r="J6880">
            <v>0</v>
          </cell>
          <cell r="K6880">
            <v>0</v>
          </cell>
          <cell r="L6880">
            <v>0</v>
          </cell>
          <cell r="M6880">
            <v>0</v>
          </cell>
          <cell r="N6880">
            <v>0</v>
          </cell>
          <cell r="O6880">
            <v>0</v>
          </cell>
          <cell r="P6880">
            <v>0</v>
          </cell>
          <cell r="Q6880">
            <v>0</v>
          </cell>
          <cell r="R6880">
            <v>0</v>
          </cell>
          <cell r="S6880">
            <v>0</v>
          </cell>
          <cell r="T6880">
            <v>0</v>
          </cell>
          <cell r="U6880" t="b">
            <v>0</v>
          </cell>
        </row>
        <row r="6881">
          <cell r="A6881" t="str">
            <v>Data split-15;Reg-15</v>
          </cell>
          <cell r="B6881">
            <v>-2.6</v>
          </cell>
          <cell r="C6881">
            <v>3.3</v>
          </cell>
          <cell r="D6881">
            <v>0</v>
          </cell>
          <cell r="E6881">
            <v>-2.2999999999999998</v>
          </cell>
          <cell r="F6881">
            <v>0</v>
          </cell>
          <cell r="G6881">
            <v>0</v>
          </cell>
          <cell r="H6881">
            <v>0</v>
          </cell>
          <cell r="I6881">
            <v>0</v>
          </cell>
          <cell r="J6881">
            <v>0</v>
          </cell>
          <cell r="K6881">
            <v>0</v>
          </cell>
          <cell r="L6881">
            <v>0</v>
          </cell>
          <cell r="M6881">
            <v>4.7E-2</v>
          </cell>
          <cell r="N6881">
            <v>0</v>
          </cell>
          <cell r="O6881">
            <v>0</v>
          </cell>
          <cell r="P6881">
            <v>0</v>
          </cell>
          <cell r="Q6881">
            <v>0</v>
          </cell>
          <cell r="R6881">
            <v>0</v>
          </cell>
          <cell r="S6881">
            <v>0</v>
          </cell>
          <cell r="T6881">
            <v>0</v>
          </cell>
          <cell r="U6881" t="b">
            <v>0</v>
          </cell>
        </row>
        <row r="6882">
          <cell r="A6882" t="str">
            <v>Data split-15;Reg-16</v>
          </cell>
          <cell r="B6882">
            <v>-2.2999999999999998</v>
          </cell>
          <cell r="C6882">
            <v>3.3</v>
          </cell>
          <cell r="D6882">
            <v>0</v>
          </cell>
          <cell r="E6882">
            <v>-2.6</v>
          </cell>
          <cell r="F6882">
            <v>0</v>
          </cell>
          <cell r="G6882">
            <v>0</v>
          </cell>
          <cell r="H6882">
            <v>0</v>
          </cell>
          <cell r="I6882">
            <v>0</v>
          </cell>
          <cell r="J6882">
            <v>0</v>
          </cell>
          <cell r="K6882">
            <v>0</v>
          </cell>
          <cell r="L6882">
            <v>0</v>
          </cell>
          <cell r="M6882">
            <v>0</v>
          </cell>
          <cell r="N6882">
            <v>1.4E-2</v>
          </cell>
          <cell r="O6882">
            <v>0</v>
          </cell>
          <cell r="P6882">
            <v>0</v>
          </cell>
          <cell r="Q6882">
            <v>0</v>
          </cell>
          <cell r="R6882">
            <v>0</v>
          </cell>
          <cell r="S6882">
            <v>0</v>
          </cell>
          <cell r="T6882">
            <v>0</v>
          </cell>
          <cell r="U6882" t="b">
            <v>0</v>
          </cell>
        </row>
        <row r="6883">
          <cell r="A6883" t="str">
            <v>Data split-15;Reg-17</v>
          </cell>
          <cell r="B6883">
            <v>-5</v>
          </cell>
          <cell r="C6883">
            <v>2.7</v>
          </cell>
          <cell r="D6883">
            <v>0</v>
          </cell>
          <cell r="E6883">
            <v>0</v>
          </cell>
          <cell r="F6883">
            <v>0.18</v>
          </cell>
          <cell r="G6883">
            <v>0</v>
          </cell>
          <cell r="H6883">
            <v>0</v>
          </cell>
          <cell r="I6883">
            <v>0</v>
          </cell>
          <cell r="J6883">
            <v>0</v>
          </cell>
          <cell r="K6883">
            <v>0</v>
          </cell>
          <cell r="L6883">
            <v>0</v>
          </cell>
          <cell r="M6883">
            <v>-8.4000000000000005E-2</v>
          </cell>
          <cell r="N6883">
            <v>0</v>
          </cell>
          <cell r="O6883">
            <v>0</v>
          </cell>
          <cell r="P6883">
            <v>0</v>
          </cell>
          <cell r="Q6883">
            <v>0</v>
          </cell>
          <cell r="R6883">
            <v>0</v>
          </cell>
          <cell r="S6883">
            <v>0</v>
          </cell>
          <cell r="T6883">
            <v>0</v>
          </cell>
          <cell r="U6883" t="b">
            <v>1</v>
          </cell>
        </row>
        <row r="6884">
          <cell r="A6884" t="str">
            <v>Data split-15;Reg-18</v>
          </cell>
          <cell r="B6884">
            <v>-5.2</v>
          </cell>
          <cell r="C6884">
            <v>2.8</v>
          </cell>
          <cell r="D6884">
            <v>0</v>
          </cell>
          <cell r="E6884">
            <v>0</v>
          </cell>
          <cell r="F6884">
            <v>0.18</v>
          </cell>
          <cell r="G6884">
            <v>0</v>
          </cell>
          <cell r="H6884">
            <v>0</v>
          </cell>
          <cell r="I6884">
            <v>0</v>
          </cell>
          <cell r="J6884">
            <v>0</v>
          </cell>
          <cell r="K6884">
            <v>0</v>
          </cell>
          <cell r="L6884">
            <v>0</v>
          </cell>
          <cell r="M6884">
            <v>0</v>
          </cell>
          <cell r="N6884">
            <v>-1.7000000000000001E-2</v>
          </cell>
          <cell r="O6884">
            <v>0</v>
          </cell>
          <cell r="P6884">
            <v>0</v>
          </cell>
          <cell r="Q6884">
            <v>0</v>
          </cell>
          <cell r="R6884">
            <v>0</v>
          </cell>
          <cell r="S6884">
            <v>0</v>
          </cell>
          <cell r="T6884">
            <v>0</v>
          </cell>
          <cell r="U6884" t="b">
            <v>1</v>
          </cell>
        </row>
        <row r="6885">
          <cell r="A6885" t="str">
            <v>Data split-15;Reg-19</v>
          </cell>
          <cell r="B6885">
            <v>-3.6</v>
          </cell>
          <cell r="C6885">
            <v>3.1</v>
          </cell>
          <cell r="D6885">
            <v>0</v>
          </cell>
          <cell r="E6885">
            <v>0</v>
          </cell>
          <cell r="F6885">
            <v>0</v>
          </cell>
          <cell r="G6885">
            <v>-0.8</v>
          </cell>
          <cell r="H6885">
            <v>0</v>
          </cell>
          <cell r="I6885">
            <v>0</v>
          </cell>
          <cell r="J6885">
            <v>0</v>
          </cell>
          <cell r="K6885">
            <v>0</v>
          </cell>
          <cell r="L6885">
            <v>0</v>
          </cell>
          <cell r="M6885">
            <v>0</v>
          </cell>
          <cell r="N6885">
            <v>0</v>
          </cell>
          <cell r="O6885">
            <v>-5.3999999999999999E-2</v>
          </cell>
          <cell r="P6885">
            <v>0</v>
          </cell>
          <cell r="Q6885">
            <v>0</v>
          </cell>
          <cell r="R6885">
            <v>0</v>
          </cell>
          <cell r="S6885">
            <v>0</v>
          </cell>
          <cell r="T6885">
            <v>0</v>
          </cell>
          <cell r="U6885" t="b">
            <v>0</v>
          </cell>
        </row>
        <row r="6886">
          <cell r="A6886" t="str">
            <v>Data split-15;Reg-20</v>
          </cell>
          <cell r="B6886">
            <v>-3.7</v>
          </cell>
          <cell r="C6886">
            <v>3.2</v>
          </cell>
          <cell r="D6886">
            <v>0</v>
          </cell>
          <cell r="E6886">
            <v>0</v>
          </cell>
          <cell r="F6886">
            <v>0</v>
          </cell>
          <cell r="G6886">
            <v>-0.96</v>
          </cell>
          <cell r="H6886">
            <v>0</v>
          </cell>
          <cell r="I6886">
            <v>0</v>
          </cell>
          <cell r="J6886">
            <v>0</v>
          </cell>
          <cell r="K6886">
            <v>0</v>
          </cell>
          <cell r="L6886">
            <v>0</v>
          </cell>
          <cell r="M6886">
            <v>0</v>
          </cell>
          <cell r="N6886">
            <v>0</v>
          </cell>
          <cell r="O6886">
            <v>0</v>
          </cell>
          <cell r="P6886">
            <v>-6.7999999999999996E-3</v>
          </cell>
          <cell r="Q6886">
            <v>0</v>
          </cell>
          <cell r="R6886">
            <v>0</v>
          </cell>
          <cell r="S6886">
            <v>0</v>
          </cell>
          <cell r="T6886">
            <v>0</v>
          </cell>
          <cell r="U6886" t="b">
            <v>0</v>
          </cell>
        </row>
        <row r="6887">
          <cell r="A6887" t="str">
            <v>Data split-15;Reg-21</v>
          </cell>
          <cell r="B6887">
            <v>-4</v>
          </cell>
          <cell r="C6887">
            <v>3.1</v>
          </cell>
          <cell r="D6887">
            <v>0</v>
          </cell>
          <cell r="E6887">
            <v>0</v>
          </cell>
          <cell r="F6887">
            <v>0</v>
          </cell>
          <cell r="G6887">
            <v>0</v>
          </cell>
          <cell r="H6887">
            <v>-0.92</v>
          </cell>
          <cell r="I6887">
            <v>0</v>
          </cell>
          <cell r="J6887">
            <v>0</v>
          </cell>
          <cell r="K6887">
            <v>0</v>
          </cell>
          <cell r="L6887">
            <v>0</v>
          </cell>
          <cell r="M6887">
            <v>0</v>
          </cell>
          <cell r="N6887">
            <v>0</v>
          </cell>
          <cell r="O6887">
            <v>-6.6000000000000003E-2</v>
          </cell>
          <cell r="P6887">
            <v>0</v>
          </cell>
          <cell r="Q6887">
            <v>0</v>
          </cell>
          <cell r="R6887">
            <v>0</v>
          </cell>
          <cell r="S6887">
            <v>0</v>
          </cell>
          <cell r="T6887">
            <v>0</v>
          </cell>
          <cell r="U6887" t="b">
            <v>0</v>
          </cell>
        </row>
        <row r="6888">
          <cell r="A6888" t="str">
            <v>Data split-15;Reg-22</v>
          </cell>
          <cell r="B6888">
            <v>-4.2</v>
          </cell>
          <cell r="C6888">
            <v>3.2</v>
          </cell>
          <cell r="D6888">
            <v>0</v>
          </cell>
          <cell r="E6888">
            <v>0</v>
          </cell>
          <cell r="F6888">
            <v>0</v>
          </cell>
          <cell r="G6888">
            <v>0</v>
          </cell>
          <cell r="H6888">
            <v>-1.1000000000000001</v>
          </cell>
          <cell r="I6888">
            <v>0</v>
          </cell>
          <cell r="J6888">
            <v>0</v>
          </cell>
          <cell r="K6888">
            <v>0</v>
          </cell>
          <cell r="L6888">
            <v>0</v>
          </cell>
          <cell r="M6888">
            <v>0</v>
          </cell>
          <cell r="N6888">
            <v>0</v>
          </cell>
          <cell r="O6888">
            <v>0</v>
          </cell>
          <cell r="P6888">
            <v>-0.01</v>
          </cell>
          <cell r="Q6888">
            <v>0</v>
          </cell>
          <cell r="R6888">
            <v>0</v>
          </cell>
          <cell r="S6888">
            <v>0</v>
          </cell>
          <cell r="T6888">
            <v>0</v>
          </cell>
          <cell r="U6888" t="b">
            <v>0</v>
          </cell>
        </row>
        <row r="6889">
          <cell r="A6889" t="str">
            <v>Data split-15;Reg-23</v>
          </cell>
          <cell r="B6889">
            <v>-3.2</v>
          </cell>
          <cell r="C6889">
            <v>0</v>
          </cell>
          <cell r="D6889">
            <v>3.4</v>
          </cell>
          <cell r="E6889">
            <v>-1.6</v>
          </cell>
          <cell r="F6889">
            <v>0</v>
          </cell>
          <cell r="G6889">
            <v>-0.34</v>
          </cell>
          <cell r="H6889">
            <v>0</v>
          </cell>
          <cell r="I6889">
            <v>0</v>
          </cell>
          <cell r="J6889">
            <v>0</v>
          </cell>
          <cell r="K6889">
            <v>0</v>
          </cell>
          <cell r="L6889">
            <v>0</v>
          </cell>
          <cell r="M6889">
            <v>0</v>
          </cell>
          <cell r="N6889">
            <v>0</v>
          </cell>
          <cell r="O6889">
            <v>0</v>
          </cell>
          <cell r="P6889">
            <v>0</v>
          </cell>
          <cell r="Q6889">
            <v>0</v>
          </cell>
          <cell r="R6889">
            <v>0</v>
          </cell>
          <cell r="S6889">
            <v>0</v>
          </cell>
          <cell r="T6889">
            <v>0</v>
          </cell>
          <cell r="U6889" t="b">
            <v>0</v>
          </cell>
        </row>
        <row r="6890">
          <cell r="A6890" t="str">
            <v>Data split-15;Reg-24</v>
          </cell>
          <cell r="B6890">
            <v>-3.4</v>
          </cell>
          <cell r="C6890">
            <v>0</v>
          </cell>
          <cell r="D6890">
            <v>3.3</v>
          </cell>
          <cell r="E6890">
            <v>-3.4</v>
          </cell>
          <cell r="F6890">
            <v>0</v>
          </cell>
          <cell r="G6890">
            <v>0</v>
          </cell>
          <cell r="H6890">
            <v>2.1</v>
          </cell>
          <cell r="I6890">
            <v>0</v>
          </cell>
          <cell r="J6890">
            <v>0</v>
          </cell>
          <cell r="K6890">
            <v>0</v>
          </cell>
          <cell r="L6890">
            <v>0</v>
          </cell>
          <cell r="M6890">
            <v>0</v>
          </cell>
          <cell r="N6890">
            <v>0</v>
          </cell>
          <cell r="O6890">
            <v>0</v>
          </cell>
          <cell r="P6890">
            <v>0</v>
          </cell>
          <cell r="Q6890">
            <v>0</v>
          </cell>
          <cell r="R6890">
            <v>0</v>
          </cell>
          <cell r="S6890">
            <v>0</v>
          </cell>
          <cell r="T6890">
            <v>0</v>
          </cell>
          <cell r="U6890" t="b">
            <v>0</v>
          </cell>
        </row>
        <row r="6891">
          <cell r="A6891" t="str">
            <v>Data split-15;Reg-25</v>
          </cell>
          <cell r="B6891">
            <v>-3.9</v>
          </cell>
          <cell r="C6891">
            <v>0</v>
          </cell>
          <cell r="D6891">
            <v>3.1</v>
          </cell>
          <cell r="E6891">
            <v>0</v>
          </cell>
          <cell r="F6891">
            <v>0.16</v>
          </cell>
          <cell r="G6891">
            <v>-1.4</v>
          </cell>
          <cell r="H6891">
            <v>0</v>
          </cell>
          <cell r="I6891">
            <v>0</v>
          </cell>
          <cell r="J6891">
            <v>0</v>
          </cell>
          <cell r="K6891">
            <v>0</v>
          </cell>
          <cell r="L6891">
            <v>0</v>
          </cell>
          <cell r="M6891">
            <v>0</v>
          </cell>
          <cell r="N6891">
            <v>0</v>
          </cell>
          <cell r="O6891">
            <v>0</v>
          </cell>
          <cell r="P6891">
            <v>0</v>
          </cell>
          <cell r="Q6891">
            <v>0</v>
          </cell>
          <cell r="R6891">
            <v>0</v>
          </cell>
          <cell r="S6891">
            <v>0</v>
          </cell>
          <cell r="T6891">
            <v>0</v>
          </cell>
          <cell r="U6891" t="b">
            <v>0</v>
          </cell>
        </row>
        <row r="6892">
          <cell r="A6892" t="str">
            <v>Data split-15;Reg-26</v>
          </cell>
          <cell r="B6892">
            <v>-3.9</v>
          </cell>
          <cell r="C6892">
            <v>0</v>
          </cell>
          <cell r="D6892">
            <v>3.2</v>
          </cell>
          <cell r="E6892">
            <v>0</v>
          </cell>
          <cell r="F6892">
            <v>0.2</v>
          </cell>
          <cell r="G6892">
            <v>0</v>
          </cell>
          <cell r="H6892">
            <v>-2.2000000000000002</v>
          </cell>
          <cell r="I6892">
            <v>0</v>
          </cell>
          <cell r="J6892">
            <v>0</v>
          </cell>
          <cell r="K6892">
            <v>0</v>
          </cell>
          <cell r="L6892">
            <v>0</v>
          </cell>
          <cell r="M6892">
            <v>0</v>
          </cell>
          <cell r="N6892">
            <v>0</v>
          </cell>
          <cell r="O6892">
            <v>0</v>
          </cell>
          <cell r="P6892">
            <v>0</v>
          </cell>
          <cell r="Q6892">
            <v>0</v>
          </cell>
          <cell r="R6892">
            <v>0</v>
          </cell>
          <cell r="S6892">
            <v>0</v>
          </cell>
          <cell r="T6892">
            <v>0</v>
          </cell>
          <cell r="U6892" t="b">
            <v>0</v>
          </cell>
        </row>
        <row r="6893">
          <cell r="A6893" t="str">
            <v>Data split-15;Reg-27</v>
          </cell>
          <cell r="B6893">
            <v>-3.2</v>
          </cell>
          <cell r="C6893">
            <v>0</v>
          </cell>
          <cell r="D6893">
            <v>3.4</v>
          </cell>
          <cell r="E6893">
            <v>-2.5</v>
          </cell>
          <cell r="F6893">
            <v>0</v>
          </cell>
          <cell r="G6893">
            <v>0</v>
          </cell>
          <cell r="H6893">
            <v>0</v>
          </cell>
          <cell r="I6893">
            <v>0</v>
          </cell>
          <cell r="J6893">
            <v>0</v>
          </cell>
          <cell r="K6893">
            <v>0</v>
          </cell>
          <cell r="L6893">
            <v>0</v>
          </cell>
          <cell r="M6893">
            <v>5.1999999999999998E-2</v>
          </cell>
          <cell r="N6893">
            <v>0</v>
          </cell>
          <cell r="O6893">
            <v>0</v>
          </cell>
          <cell r="P6893">
            <v>0</v>
          </cell>
          <cell r="Q6893">
            <v>0</v>
          </cell>
          <cell r="R6893">
            <v>0</v>
          </cell>
          <cell r="S6893">
            <v>0</v>
          </cell>
          <cell r="T6893">
            <v>0</v>
          </cell>
          <cell r="U6893" t="b">
            <v>0</v>
          </cell>
        </row>
        <row r="6894">
          <cell r="A6894" t="str">
            <v>Data split-15;Reg-28</v>
          </cell>
          <cell r="B6894">
            <v>-2.8</v>
          </cell>
          <cell r="C6894">
            <v>0</v>
          </cell>
          <cell r="D6894">
            <v>3.4</v>
          </cell>
          <cell r="E6894">
            <v>-2.7</v>
          </cell>
          <cell r="F6894">
            <v>0</v>
          </cell>
          <cell r="G6894">
            <v>0</v>
          </cell>
          <cell r="H6894">
            <v>0</v>
          </cell>
          <cell r="I6894">
            <v>0</v>
          </cell>
          <cell r="J6894">
            <v>0</v>
          </cell>
          <cell r="K6894">
            <v>0</v>
          </cell>
          <cell r="L6894">
            <v>0</v>
          </cell>
          <cell r="M6894">
            <v>0</v>
          </cell>
          <cell r="N6894">
            <v>1.4999999999999999E-2</v>
          </cell>
          <cell r="O6894">
            <v>0</v>
          </cell>
          <cell r="P6894">
            <v>0</v>
          </cell>
          <cell r="Q6894">
            <v>0</v>
          </cell>
          <cell r="R6894">
            <v>0</v>
          </cell>
          <cell r="S6894">
            <v>0</v>
          </cell>
          <cell r="T6894">
            <v>0</v>
          </cell>
          <cell r="U6894" t="b">
            <v>0</v>
          </cell>
        </row>
        <row r="6895">
          <cell r="A6895" t="str">
            <v>Data split-15;Reg-29</v>
          </cell>
          <cell r="B6895">
            <v>-5.6</v>
          </cell>
          <cell r="C6895">
            <v>0</v>
          </cell>
          <cell r="D6895">
            <v>2.8</v>
          </cell>
          <cell r="E6895">
            <v>0</v>
          </cell>
          <cell r="F6895">
            <v>0.17</v>
          </cell>
          <cell r="G6895">
            <v>0</v>
          </cell>
          <cell r="H6895">
            <v>0</v>
          </cell>
          <cell r="I6895">
            <v>0</v>
          </cell>
          <cell r="J6895">
            <v>0</v>
          </cell>
          <cell r="K6895">
            <v>0</v>
          </cell>
          <cell r="L6895">
            <v>0</v>
          </cell>
          <cell r="M6895">
            <v>-8.5999999999999993E-2</v>
          </cell>
          <cell r="N6895">
            <v>0</v>
          </cell>
          <cell r="O6895">
            <v>0</v>
          </cell>
          <cell r="P6895">
            <v>0</v>
          </cell>
          <cell r="Q6895">
            <v>0</v>
          </cell>
          <cell r="R6895">
            <v>0</v>
          </cell>
          <cell r="S6895">
            <v>0</v>
          </cell>
          <cell r="T6895">
            <v>0</v>
          </cell>
          <cell r="U6895" t="b">
            <v>1</v>
          </cell>
        </row>
        <row r="6896">
          <cell r="A6896" t="str">
            <v>Data split-15;Reg-30</v>
          </cell>
          <cell r="B6896">
            <v>-5.9</v>
          </cell>
          <cell r="C6896">
            <v>0</v>
          </cell>
          <cell r="D6896">
            <v>2.9</v>
          </cell>
          <cell r="E6896">
            <v>0</v>
          </cell>
          <cell r="F6896">
            <v>0.18</v>
          </cell>
          <cell r="G6896">
            <v>0</v>
          </cell>
          <cell r="H6896">
            <v>0</v>
          </cell>
          <cell r="I6896">
            <v>0</v>
          </cell>
          <cell r="J6896">
            <v>0</v>
          </cell>
          <cell r="K6896">
            <v>0</v>
          </cell>
          <cell r="L6896">
            <v>0</v>
          </cell>
          <cell r="M6896">
            <v>0</v>
          </cell>
          <cell r="N6896">
            <v>-1.7999999999999999E-2</v>
          </cell>
          <cell r="O6896">
            <v>0</v>
          </cell>
          <cell r="P6896">
            <v>0</v>
          </cell>
          <cell r="Q6896">
            <v>0</v>
          </cell>
          <cell r="R6896">
            <v>0</v>
          </cell>
          <cell r="S6896">
            <v>0</v>
          </cell>
          <cell r="T6896">
            <v>0</v>
          </cell>
          <cell r="U6896" t="b">
            <v>1</v>
          </cell>
        </row>
        <row r="6897">
          <cell r="A6897" t="str">
            <v>Data split-15;Reg-31</v>
          </cell>
          <cell r="B6897">
            <v>-4.2</v>
          </cell>
          <cell r="C6897">
            <v>0</v>
          </cell>
          <cell r="D6897">
            <v>3.2</v>
          </cell>
          <cell r="E6897">
            <v>0</v>
          </cell>
          <cell r="F6897">
            <v>0</v>
          </cell>
          <cell r="G6897">
            <v>-0.92</v>
          </cell>
          <cell r="H6897">
            <v>0</v>
          </cell>
          <cell r="I6897">
            <v>0</v>
          </cell>
          <cell r="J6897">
            <v>0</v>
          </cell>
          <cell r="K6897">
            <v>0</v>
          </cell>
          <cell r="L6897">
            <v>0</v>
          </cell>
          <cell r="M6897">
            <v>0</v>
          </cell>
          <cell r="N6897">
            <v>0</v>
          </cell>
          <cell r="O6897">
            <v>-4.8000000000000001E-2</v>
          </cell>
          <cell r="P6897">
            <v>0</v>
          </cell>
          <cell r="Q6897">
            <v>0</v>
          </cell>
          <cell r="R6897">
            <v>0</v>
          </cell>
          <cell r="S6897">
            <v>0</v>
          </cell>
          <cell r="T6897">
            <v>0</v>
          </cell>
          <cell r="U6897" t="b">
            <v>0</v>
          </cell>
        </row>
        <row r="6898">
          <cell r="A6898" t="str">
            <v>Data split-15;Reg-32</v>
          </cell>
          <cell r="B6898">
            <v>-4.2</v>
          </cell>
          <cell r="C6898">
            <v>0</v>
          </cell>
          <cell r="D6898">
            <v>3.2</v>
          </cell>
          <cell r="E6898">
            <v>0</v>
          </cell>
          <cell r="F6898">
            <v>0</v>
          </cell>
          <cell r="G6898">
            <v>-1.1000000000000001</v>
          </cell>
          <cell r="H6898">
            <v>0</v>
          </cell>
          <cell r="I6898">
            <v>0</v>
          </cell>
          <cell r="J6898">
            <v>0</v>
          </cell>
          <cell r="K6898">
            <v>0</v>
          </cell>
          <cell r="L6898">
            <v>0</v>
          </cell>
          <cell r="M6898">
            <v>0</v>
          </cell>
          <cell r="N6898">
            <v>0</v>
          </cell>
          <cell r="O6898">
            <v>0</v>
          </cell>
          <cell r="P6898">
            <v>-5.1999999999999998E-3</v>
          </cell>
          <cell r="Q6898">
            <v>0</v>
          </cell>
          <cell r="R6898">
            <v>0</v>
          </cell>
          <cell r="S6898">
            <v>0</v>
          </cell>
          <cell r="T6898">
            <v>0</v>
          </cell>
          <cell r="U6898" t="b">
            <v>0</v>
          </cell>
        </row>
        <row r="6899">
          <cell r="A6899" t="str">
            <v>Data split-15;Reg-33</v>
          </cell>
          <cell r="B6899">
            <v>-4.5999999999999996</v>
          </cell>
          <cell r="C6899">
            <v>0</v>
          </cell>
          <cell r="D6899">
            <v>3.2</v>
          </cell>
          <cell r="E6899">
            <v>0</v>
          </cell>
          <cell r="F6899">
            <v>0</v>
          </cell>
          <cell r="G6899">
            <v>0</v>
          </cell>
          <cell r="H6899">
            <v>-1.1000000000000001</v>
          </cell>
          <cell r="I6899">
            <v>0</v>
          </cell>
          <cell r="J6899">
            <v>0</v>
          </cell>
          <cell r="K6899">
            <v>0</v>
          </cell>
          <cell r="L6899">
            <v>0</v>
          </cell>
          <cell r="M6899">
            <v>0</v>
          </cell>
          <cell r="N6899">
            <v>0</v>
          </cell>
          <cell r="O6899">
            <v>-6.0999999999999999E-2</v>
          </cell>
          <cell r="P6899">
            <v>0</v>
          </cell>
          <cell r="Q6899">
            <v>0</v>
          </cell>
          <cell r="R6899">
            <v>0</v>
          </cell>
          <cell r="S6899">
            <v>0</v>
          </cell>
          <cell r="T6899">
            <v>0</v>
          </cell>
          <cell r="U6899" t="b">
            <v>0</v>
          </cell>
        </row>
        <row r="6900">
          <cell r="A6900" t="str">
            <v>Data split-15;Reg-34</v>
          </cell>
          <cell r="B6900">
            <v>-4.8</v>
          </cell>
          <cell r="C6900">
            <v>0</v>
          </cell>
          <cell r="D6900">
            <v>3.2</v>
          </cell>
          <cell r="E6900">
            <v>0</v>
          </cell>
          <cell r="F6900">
            <v>0</v>
          </cell>
          <cell r="G6900">
            <v>0</v>
          </cell>
          <cell r="H6900">
            <v>-1.3</v>
          </cell>
          <cell r="I6900">
            <v>0</v>
          </cell>
          <cell r="J6900">
            <v>0</v>
          </cell>
          <cell r="K6900">
            <v>0</v>
          </cell>
          <cell r="L6900">
            <v>0</v>
          </cell>
          <cell r="M6900">
            <v>0</v>
          </cell>
          <cell r="N6900">
            <v>0</v>
          </cell>
          <cell r="O6900">
            <v>0</v>
          </cell>
          <cell r="P6900">
            <v>-8.9999999999999993E-3</v>
          </cell>
          <cell r="Q6900">
            <v>0</v>
          </cell>
          <cell r="R6900">
            <v>0</v>
          </cell>
          <cell r="S6900">
            <v>0</v>
          </cell>
          <cell r="T6900">
            <v>0</v>
          </cell>
          <cell r="U6900" t="b">
            <v>0</v>
          </cell>
        </row>
        <row r="6901">
          <cell r="A6901" t="str">
            <v>Data split-15;Reg-35</v>
          </cell>
          <cell r="B6901">
            <v>-2.2999999999999998</v>
          </cell>
          <cell r="C6901">
            <v>3.4</v>
          </cell>
          <cell r="D6901">
            <v>0</v>
          </cell>
          <cell r="E6901">
            <v>-1.9</v>
          </cell>
          <cell r="F6901">
            <v>0</v>
          </cell>
          <cell r="G6901">
            <v>-0.6</v>
          </cell>
          <cell r="H6901">
            <v>0</v>
          </cell>
          <cell r="I6901">
            <v>0</v>
          </cell>
          <cell r="J6901">
            <v>0</v>
          </cell>
          <cell r="K6901">
            <v>0</v>
          </cell>
          <cell r="L6901">
            <v>0</v>
          </cell>
          <cell r="M6901">
            <v>6.5000000000000002E-2</v>
          </cell>
          <cell r="N6901">
            <v>0</v>
          </cell>
          <cell r="O6901">
            <v>0</v>
          </cell>
          <cell r="P6901">
            <v>0</v>
          </cell>
          <cell r="Q6901">
            <v>0</v>
          </cell>
          <cell r="R6901">
            <v>0</v>
          </cell>
          <cell r="S6901">
            <v>0</v>
          </cell>
          <cell r="T6901">
            <v>0</v>
          </cell>
          <cell r="U6901" t="b">
            <v>0</v>
          </cell>
        </row>
        <row r="6902">
          <cell r="A6902" t="str">
            <v>Data split-15;Reg-36</v>
          </cell>
          <cell r="B6902">
            <v>-1.7</v>
          </cell>
          <cell r="C6902">
            <v>3.3</v>
          </cell>
          <cell r="D6902">
            <v>0</v>
          </cell>
          <cell r="E6902">
            <v>-2.1</v>
          </cell>
          <cell r="F6902">
            <v>0</v>
          </cell>
          <cell r="G6902">
            <v>-0.81</v>
          </cell>
          <cell r="H6902">
            <v>0</v>
          </cell>
          <cell r="I6902">
            <v>0</v>
          </cell>
          <cell r="J6902">
            <v>0</v>
          </cell>
          <cell r="K6902">
            <v>0</v>
          </cell>
          <cell r="L6902">
            <v>0</v>
          </cell>
          <cell r="M6902">
            <v>0</v>
          </cell>
          <cell r="N6902">
            <v>0.02</v>
          </cell>
          <cell r="O6902">
            <v>0</v>
          </cell>
          <cell r="P6902">
            <v>0</v>
          </cell>
          <cell r="Q6902">
            <v>0</v>
          </cell>
          <cell r="R6902">
            <v>0</v>
          </cell>
          <cell r="S6902">
            <v>0</v>
          </cell>
          <cell r="T6902">
            <v>0</v>
          </cell>
          <cell r="U6902" t="b">
            <v>0</v>
          </cell>
        </row>
        <row r="6903">
          <cell r="A6903" t="str">
            <v>Data split-15;Reg-37</v>
          </cell>
          <cell r="B6903">
            <v>-2.8</v>
          </cell>
          <cell r="C6903">
            <v>3.2</v>
          </cell>
          <cell r="D6903">
            <v>0</v>
          </cell>
          <cell r="E6903">
            <v>-3.2</v>
          </cell>
          <cell r="F6903">
            <v>0</v>
          </cell>
          <cell r="G6903">
            <v>0</v>
          </cell>
          <cell r="H6903">
            <v>1.8</v>
          </cell>
          <cell r="I6903">
            <v>0</v>
          </cell>
          <cell r="J6903">
            <v>0</v>
          </cell>
          <cell r="K6903">
            <v>0</v>
          </cell>
          <cell r="L6903">
            <v>0</v>
          </cell>
          <cell r="M6903">
            <v>7.3000000000000001E-3</v>
          </cell>
          <cell r="N6903">
            <v>0</v>
          </cell>
          <cell r="O6903">
            <v>0</v>
          </cell>
          <cell r="P6903">
            <v>0</v>
          </cell>
          <cell r="Q6903">
            <v>0</v>
          </cell>
          <cell r="R6903">
            <v>0</v>
          </cell>
          <cell r="S6903">
            <v>0</v>
          </cell>
          <cell r="T6903">
            <v>0</v>
          </cell>
          <cell r="U6903" t="b">
            <v>0</v>
          </cell>
        </row>
        <row r="6904">
          <cell r="A6904" t="str">
            <v>Data split-15;Reg-38</v>
          </cell>
          <cell r="B6904">
            <v>-2.5</v>
          </cell>
          <cell r="C6904">
            <v>3.2</v>
          </cell>
          <cell r="D6904">
            <v>0</v>
          </cell>
          <cell r="E6904">
            <v>-3</v>
          </cell>
          <cell r="F6904">
            <v>0</v>
          </cell>
          <cell r="G6904">
            <v>0</v>
          </cell>
          <cell r="H6904">
            <v>1.1000000000000001</v>
          </cell>
          <cell r="I6904">
            <v>0</v>
          </cell>
          <cell r="J6904">
            <v>0</v>
          </cell>
          <cell r="K6904">
            <v>0</v>
          </cell>
          <cell r="L6904">
            <v>0</v>
          </cell>
          <cell r="M6904">
            <v>0</v>
          </cell>
          <cell r="N6904">
            <v>8.0000000000000002E-3</v>
          </cell>
          <cell r="O6904">
            <v>0</v>
          </cell>
          <cell r="P6904">
            <v>0</v>
          </cell>
          <cell r="Q6904">
            <v>0</v>
          </cell>
          <cell r="R6904">
            <v>0</v>
          </cell>
          <cell r="S6904">
            <v>0</v>
          </cell>
          <cell r="T6904">
            <v>0</v>
          </cell>
          <cell r="U6904" t="b">
            <v>0</v>
          </cell>
        </row>
        <row r="6905">
          <cell r="A6905" t="str">
            <v>Data split-15;Reg-39</v>
          </cell>
          <cell r="B6905">
            <v>-3.3</v>
          </cell>
          <cell r="C6905">
            <v>3</v>
          </cell>
          <cell r="D6905">
            <v>0</v>
          </cell>
          <cell r="E6905">
            <v>0</v>
          </cell>
          <cell r="F6905">
            <v>0.16</v>
          </cell>
          <cell r="G6905">
            <v>-1.3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>
            <v>0</v>
          </cell>
          <cell r="M6905">
            <v>2.5000000000000001E-3</v>
          </cell>
          <cell r="N6905">
            <v>0</v>
          </cell>
          <cell r="O6905">
            <v>0</v>
          </cell>
          <cell r="P6905">
            <v>0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 t="b">
            <v>0</v>
          </cell>
        </row>
        <row r="6906">
          <cell r="A6906" t="str">
            <v>Data split-15;Reg-40</v>
          </cell>
          <cell r="B6906">
            <v>-3.2</v>
          </cell>
          <cell r="C6906">
            <v>3</v>
          </cell>
          <cell r="D6906">
            <v>0</v>
          </cell>
          <cell r="E6906">
            <v>0</v>
          </cell>
          <cell r="F6906">
            <v>0.16</v>
          </cell>
          <cell r="G6906">
            <v>-1.5</v>
          </cell>
          <cell r="H6906">
            <v>0</v>
          </cell>
          <cell r="I6906">
            <v>0</v>
          </cell>
          <cell r="J6906">
            <v>0</v>
          </cell>
          <cell r="K6906">
            <v>0</v>
          </cell>
          <cell r="L6906">
            <v>0</v>
          </cell>
          <cell r="M6906">
            <v>0</v>
          </cell>
          <cell r="N6906">
            <v>3.7000000000000002E-3</v>
          </cell>
          <cell r="O6906">
            <v>0</v>
          </cell>
          <cell r="P6906">
            <v>0</v>
          </cell>
          <cell r="Q6906">
            <v>0</v>
          </cell>
          <cell r="R6906">
            <v>0</v>
          </cell>
          <cell r="S6906">
            <v>0</v>
          </cell>
          <cell r="T6906">
            <v>0</v>
          </cell>
          <cell r="U6906" t="b">
            <v>0</v>
          </cell>
        </row>
        <row r="6907">
          <cell r="A6907" t="str">
            <v>Data split-15;Reg-41</v>
          </cell>
          <cell r="B6907">
            <v>-3</v>
          </cell>
          <cell r="C6907">
            <v>3.2</v>
          </cell>
          <cell r="D6907">
            <v>0</v>
          </cell>
          <cell r="E6907">
            <v>0</v>
          </cell>
          <cell r="F6907">
            <v>0.21</v>
          </cell>
          <cell r="G6907">
            <v>0</v>
          </cell>
          <cell r="H6907">
            <v>-3.1</v>
          </cell>
          <cell r="I6907">
            <v>0</v>
          </cell>
          <cell r="J6907">
            <v>0</v>
          </cell>
          <cell r="K6907">
            <v>0</v>
          </cell>
          <cell r="L6907">
            <v>0</v>
          </cell>
          <cell r="M6907">
            <v>0.06</v>
          </cell>
          <cell r="N6907">
            <v>0</v>
          </cell>
          <cell r="O6907">
            <v>0</v>
          </cell>
          <cell r="P6907">
            <v>0</v>
          </cell>
          <cell r="Q6907">
            <v>0</v>
          </cell>
          <cell r="R6907">
            <v>0</v>
          </cell>
          <cell r="S6907">
            <v>0</v>
          </cell>
          <cell r="T6907">
            <v>0</v>
          </cell>
          <cell r="U6907" t="b">
            <v>0</v>
          </cell>
        </row>
        <row r="6908">
          <cell r="A6908" t="str">
            <v>Data split-15;Reg-42</v>
          </cell>
          <cell r="B6908">
            <v>-1.9</v>
          </cell>
          <cell r="C6908">
            <v>3.2</v>
          </cell>
          <cell r="D6908">
            <v>0</v>
          </cell>
          <cell r="E6908">
            <v>0</v>
          </cell>
          <cell r="F6908">
            <v>0.21</v>
          </cell>
          <cell r="G6908">
            <v>0</v>
          </cell>
          <cell r="H6908">
            <v>-4.5</v>
          </cell>
          <cell r="I6908">
            <v>0</v>
          </cell>
          <cell r="J6908">
            <v>0</v>
          </cell>
          <cell r="K6908">
            <v>0</v>
          </cell>
          <cell r="L6908">
            <v>0</v>
          </cell>
          <cell r="M6908">
            <v>0</v>
          </cell>
          <cell r="N6908">
            <v>2.9000000000000001E-2</v>
          </cell>
          <cell r="O6908">
            <v>0</v>
          </cell>
          <cell r="P6908">
            <v>0</v>
          </cell>
          <cell r="Q6908">
            <v>0</v>
          </cell>
          <cell r="R6908">
            <v>0</v>
          </cell>
          <cell r="S6908">
            <v>0</v>
          </cell>
          <cell r="T6908">
            <v>0</v>
          </cell>
          <cell r="U6908" t="b">
            <v>0</v>
          </cell>
        </row>
        <row r="6909">
          <cell r="A6909" t="str">
            <v>Data split-15;Reg-43</v>
          </cell>
          <cell r="B6909">
            <v>-2.8</v>
          </cell>
          <cell r="C6909">
            <v>3.3</v>
          </cell>
          <cell r="D6909">
            <v>0</v>
          </cell>
          <cell r="E6909">
            <v>-1.4</v>
          </cell>
          <cell r="F6909">
            <v>0</v>
          </cell>
          <cell r="G6909">
            <v>-7.4999999999999997E-2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>
            <v>0</v>
          </cell>
          <cell r="M6909">
            <v>0</v>
          </cell>
          <cell r="N6909">
            <v>0</v>
          </cell>
          <cell r="O6909">
            <v>-3.5000000000000003E-2</v>
          </cell>
          <cell r="P6909">
            <v>0</v>
          </cell>
          <cell r="Q6909">
            <v>0</v>
          </cell>
          <cell r="R6909">
            <v>0</v>
          </cell>
          <cell r="S6909">
            <v>0</v>
          </cell>
          <cell r="T6909">
            <v>0</v>
          </cell>
          <cell r="U6909" t="b">
            <v>0</v>
          </cell>
        </row>
        <row r="6910">
          <cell r="A6910" t="str">
            <v>Data split-15;Reg-44</v>
          </cell>
          <cell r="B6910">
            <v>-2.7</v>
          </cell>
          <cell r="C6910">
            <v>3.3</v>
          </cell>
          <cell r="D6910">
            <v>0</v>
          </cell>
          <cell r="E6910">
            <v>-1.5</v>
          </cell>
          <cell r="F6910">
            <v>0</v>
          </cell>
          <cell r="G6910">
            <v>-0.21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  <cell r="M6910">
            <v>0</v>
          </cell>
          <cell r="N6910">
            <v>0</v>
          </cell>
          <cell r="O6910">
            <v>0</v>
          </cell>
          <cell r="P6910">
            <v>-2.5000000000000001E-3</v>
          </cell>
          <cell r="Q6910">
            <v>0</v>
          </cell>
          <cell r="R6910">
            <v>0</v>
          </cell>
          <cell r="S6910">
            <v>0</v>
          </cell>
          <cell r="T6910">
            <v>0</v>
          </cell>
          <cell r="U6910" t="b">
            <v>0</v>
          </cell>
        </row>
        <row r="6911">
          <cell r="A6911" t="str">
            <v>Data split-15;Reg-45</v>
          </cell>
          <cell r="B6911">
            <v>-3.2</v>
          </cell>
          <cell r="C6911">
            <v>3.1</v>
          </cell>
          <cell r="D6911">
            <v>0</v>
          </cell>
          <cell r="E6911">
            <v>-3.3</v>
          </cell>
          <cell r="F6911">
            <v>0</v>
          </cell>
          <cell r="G6911">
            <v>0</v>
          </cell>
          <cell r="H6911">
            <v>3.2</v>
          </cell>
          <cell r="I6911">
            <v>0</v>
          </cell>
          <cell r="J6911">
            <v>0</v>
          </cell>
          <cell r="K6911">
            <v>0</v>
          </cell>
          <cell r="L6911">
            <v>0</v>
          </cell>
          <cell r="M6911">
            <v>0</v>
          </cell>
          <cell r="N6911">
            <v>0</v>
          </cell>
          <cell r="O6911">
            <v>-7.2999999999999995E-2</v>
          </cell>
          <cell r="P6911">
            <v>0</v>
          </cell>
          <cell r="Q6911">
            <v>0</v>
          </cell>
          <cell r="R6911">
            <v>0</v>
          </cell>
          <cell r="S6911">
            <v>0</v>
          </cell>
          <cell r="T6911">
            <v>0</v>
          </cell>
          <cell r="U6911" t="b">
            <v>0</v>
          </cell>
        </row>
        <row r="6912">
          <cell r="A6912" t="str">
            <v>Data split-15;Reg-46</v>
          </cell>
          <cell r="B6912">
            <v>-3.6</v>
          </cell>
          <cell r="C6912">
            <v>3.1</v>
          </cell>
          <cell r="D6912">
            <v>0</v>
          </cell>
          <cell r="E6912">
            <v>-3.6</v>
          </cell>
          <cell r="F6912">
            <v>0</v>
          </cell>
          <cell r="G6912">
            <v>0</v>
          </cell>
          <cell r="H6912">
            <v>3.7</v>
          </cell>
          <cell r="I6912">
            <v>0</v>
          </cell>
          <cell r="J6912">
            <v>0</v>
          </cell>
          <cell r="K6912">
            <v>0</v>
          </cell>
          <cell r="L6912">
            <v>0</v>
          </cell>
          <cell r="M6912">
            <v>0</v>
          </cell>
          <cell r="N6912">
            <v>0</v>
          </cell>
          <cell r="O6912">
            <v>0</v>
          </cell>
          <cell r="P6912">
            <v>-1.6E-2</v>
          </cell>
          <cell r="Q6912">
            <v>0</v>
          </cell>
          <cell r="R6912">
            <v>0</v>
          </cell>
          <cell r="S6912">
            <v>0</v>
          </cell>
          <cell r="T6912">
            <v>0</v>
          </cell>
          <cell r="U6912" t="b">
            <v>0</v>
          </cell>
        </row>
        <row r="6913">
          <cell r="A6913" t="str">
            <v>Data split-15;Reg-47</v>
          </cell>
          <cell r="B6913">
            <v>-3.6</v>
          </cell>
          <cell r="C6913">
            <v>3</v>
          </cell>
          <cell r="D6913">
            <v>0</v>
          </cell>
          <cell r="E6913">
            <v>0</v>
          </cell>
          <cell r="F6913">
            <v>0.18</v>
          </cell>
          <cell r="G6913">
            <v>-0.68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>
            <v>0</v>
          </cell>
          <cell r="M6913">
            <v>0</v>
          </cell>
          <cell r="N6913">
            <v>0</v>
          </cell>
          <cell r="O6913">
            <v>-6.7000000000000004E-2</v>
          </cell>
          <cell r="P6913">
            <v>0</v>
          </cell>
          <cell r="Q6913">
            <v>0</v>
          </cell>
          <cell r="R6913">
            <v>0</v>
          </cell>
          <cell r="S6913">
            <v>0</v>
          </cell>
          <cell r="T6913">
            <v>0</v>
          </cell>
          <cell r="U6913" t="b">
            <v>0</v>
          </cell>
        </row>
        <row r="6914">
          <cell r="A6914" t="str">
            <v>Data split-15;Reg-48</v>
          </cell>
          <cell r="B6914">
            <v>-3.9</v>
          </cell>
          <cell r="C6914">
            <v>3</v>
          </cell>
          <cell r="D6914">
            <v>0</v>
          </cell>
          <cell r="E6914">
            <v>0</v>
          </cell>
          <cell r="F6914">
            <v>0.18</v>
          </cell>
          <cell r="G6914">
            <v>-0.77</v>
          </cell>
          <cell r="H6914">
            <v>0</v>
          </cell>
          <cell r="I6914">
            <v>0</v>
          </cell>
          <cell r="J6914">
            <v>0</v>
          </cell>
          <cell r="K6914">
            <v>0</v>
          </cell>
          <cell r="L6914">
            <v>0</v>
          </cell>
          <cell r="M6914">
            <v>0</v>
          </cell>
          <cell r="N6914">
            <v>0</v>
          </cell>
          <cell r="O6914">
            <v>0</v>
          </cell>
          <cell r="P6914">
            <v>-1.0999999999999999E-2</v>
          </cell>
          <cell r="Q6914">
            <v>0</v>
          </cell>
          <cell r="R6914">
            <v>0</v>
          </cell>
          <cell r="S6914">
            <v>0</v>
          </cell>
          <cell r="T6914">
            <v>0</v>
          </cell>
          <cell r="U6914" t="b">
            <v>0</v>
          </cell>
        </row>
        <row r="6915">
          <cell r="A6915" t="str">
            <v>Data split-15;Reg-49</v>
          </cell>
          <cell r="B6915">
            <v>-3.6</v>
          </cell>
          <cell r="C6915">
            <v>3</v>
          </cell>
          <cell r="D6915">
            <v>0</v>
          </cell>
          <cell r="E6915">
            <v>0</v>
          </cell>
          <cell r="F6915">
            <v>0.2</v>
          </cell>
          <cell r="G6915">
            <v>0</v>
          </cell>
          <cell r="H6915">
            <v>-1.1000000000000001</v>
          </cell>
          <cell r="I6915">
            <v>0</v>
          </cell>
          <cell r="J6915">
            <v>0</v>
          </cell>
          <cell r="K6915">
            <v>0</v>
          </cell>
          <cell r="L6915">
            <v>0</v>
          </cell>
          <cell r="M6915">
            <v>0</v>
          </cell>
          <cell r="N6915">
            <v>0</v>
          </cell>
          <cell r="O6915">
            <v>-6.7000000000000004E-2</v>
          </cell>
          <cell r="P6915">
            <v>0</v>
          </cell>
          <cell r="Q6915">
            <v>0</v>
          </cell>
          <cell r="R6915">
            <v>0</v>
          </cell>
          <cell r="S6915">
            <v>0</v>
          </cell>
          <cell r="T6915">
            <v>0</v>
          </cell>
          <cell r="U6915" t="b">
            <v>0</v>
          </cell>
        </row>
        <row r="6916">
          <cell r="A6916" t="str">
            <v>Data split-15;Reg-50</v>
          </cell>
          <cell r="B6916">
            <v>-3.9</v>
          </cell>
          <cell r="C6916">
            <v>3</v>
          </cell>
          <cell r="D6916">
            <v>0</v>
          </cell>
          <cell r="E6916">
            <v>0</v>
          </cell>
          <cell r="F6916">
            <v>0.21</v>
          </cell>
          <cell r="G6916">
            <v>0</v>
          </cell>
          <cell r="H6916">
            <v>-1.3</v>
          </cell>
          <cell r="I6916">
            <v>0</v>
          </cell>
          <cell r="J6916">
            <v>0</v>
          </cell>
          <cell r="K6916">
            <v>0</v>
          </cell>
          <cell r="L6916">
            <v>0</v>
          </cell>
          <cell r="M6916">
            <v>0</v>
          </cell>
          <cell r="N6916">
            <v>0</v>
          </cell>
          <cell r="O6916">
            <v>0</v>
          </cell>
          <cell r="P6916">
            <v>-1.0999999999999999E-2</v>
          </cell>
          <cell r="Q6916">
            <v>0</v>
          </cell>
          <cell r="R6916">
            <v>0</v>
          </cell>
          <cell r="S6916">
            <v>0</v>
          </cell>
          <cell r="T6916">
            <v>0</v>
          </cell>
          <cell r="U6916" t="b">
            <v>0</v>
          </cell>
        </row>
        <row r="6917">
          <cell r="A6917" t="str">
            <v>Data split-15;Reg-51</v>
          </cell>
          <cell r="B6917">
            <v>-2.8</v>
          </cell>
          <cell r="C6917">
            <v>0</v>
          </cell>
          <cell r="D6917">
            <v>3.5</v>
          </cell>
          <cell r="E6917">
            <v>-2</v>
          </cell>
          <cell r="F6917">
            <v>0</v>
          </cell>
          <cell r="G6917">
            <v>-0.66</v>
          </cell>
          <cell r="H6917">
            <v>0</v>
          </cell>
          <cell r="I6917">
            <v>0</v>
          </cell>
          <cell r="J6917">
            <v>0</v>
          </cell>
          <cell r="K6917">
            <v>0</v>
          </cell>
          <cell r="L6917">
            <v>0</v>
          </cell>
          <cell r="M6917">
            <v>0</v>
          </cell>
          <cell r="N6917">
            <v>0</v>
          </cell>
          <cell r="O6917">
            <v>7.1999999999999995E-2</v>
          </cell>
          <cell r="P6917">
            <v>0</v>
          </cell>
          <cell r="Q6917">
            <v>0</v>
          </cell>
          <cell r="R6917">
            <v>0</v>
          </cell>
          <cell r="S6917">
            <v>0</v>
          </cell>
          <cell r="T6917">
            <v>0</v>
          </cell>
          <cell r="U6917" t="b">
            <v>0</v>
          </cell>
        </row>
        <row r="6918">
          <cell r="A6918" t="str">
            <v>Data split-15;Reg-52</v>
          </cell>
          <cell r="B6918">
            <v>-2.2000000000000002</v>
          </cell>
          <cell r="C6918">
            <v>0</v>
          </cell>
          <cell r="D6918">
            <v>3.4</v>
          </cell>
          <cell r="E6918">
            <v>-2.2000000000000002</v>
          </cell>
          <cell r="F6918">
            <v>0</v>
          </cell>
          <cell r="G6918">
            <v>-0.87</v>
          </cell>
          <cell r="H6918">
            <v>0</v>
          </cell>
          <cell r="I6918">
            <v>0</v>
          </cell>
          <cell r="J6918">
            <v>0</v>
          </cell>
          <cell r="K6918">
            <v>0</v>
          </cell>
          <cell r="L6918">
            <v>0</v>
          </cell>
          <cell r="M6918">
            <v>0</v>
          </cell>
          <cell r="N6918">
            <v>2.1999999999999999E-2</v>
          </cell>
          <cell r="O6918">
            <v>0</v>
          </cell>
          <cell r="P6918">
            <v>0</v>
          </cell>
          <cell r="Q6918">
            <v>0</v>
          </cell>
          <cell r="R6918">
            <v>0</v>
          </cell>
          <cell r="S6918">
            <v>0</v>
          </cell>
          <cell r="T6918">
            <v>0</v>
          </cell>
          <cell r="U6918" t="b">
            <v>0</v>
          </cell>
        </row>
        <row r="6919">
          <cell r="A6919" t="str">
            <v>Data split-15;Reg-53</v>
          </cell>
          <cell r="B6919">
            <v>-3.4</v>
          </cell>
          <cell r="C6919">
            <v>0</v>
          </cell>
          <cell r="D6919">
            <v>3.3</v>
          </cell>
          <cell r="E6919">
            <v>-3.4</v>
          </cell>
          <cell r="F6919">
            <v>0</v>
          </cell>
          <cell r="G6919">
            <v>0</v>
          </cell>
          <cell r="H6919">
            <v>1.9</v>
          </cell>
          <cell r="I6919">
            <v>0</v>
          </cell>
          <cell r="J6919">
            <v>0</v>
          </cell>
          <cell r="K6919">
            <v>0</v>
          </cell>
          <cell r="L6919">
            <v>0</v>
          </cell>
          <cell r="M6919">
            <v>1.2E-2</v>
          </cell>
          <cell r="N6919">
            <v>0</v>
          </cell>
          <cell r="O6919">
            <v>0</v>
          </cell>
          <cell r="P6919">
            <v>0</v>
          </cell>
          <cell r="Q6919">
            <v>0</v>
          </cell>
          <cell r="R6919">
            <v>0</v>
          </cell>
          <cell r="S6919">
            <v>0</v>
          </cell>
          <cell r="T6919">
            <v>0</v>
          </cell>
          <cell r="U6919" t="b">
            <v>0</v>
          </cell>
        </row>
        <row r="6920">
          <cell r="A6920" t="str">
            <v>Data split-15;Reg-54</v>
          </cell>
          <cell r="B6920">
            <v>-3.1</v>
          </cell>
          <cell r="C6920">
            <v>0</v>
          </cell>
          <cell r="D6920">
            <v>3.3</v>
          </cell>
          <cell r="E6920">
            <v>-3.2</v>
          </cell>
          <cell r="F6920">
            <v>0</v>
          </cell>
          <cell r="G6920">
            <v>0</v>
          </cell>
          <cell r="H6920">
            <v>1.2</v>
          </cell>
          <cell r="I6920">
            <v>0</v>
          </cell>
          <cell r="J6920">
            <v>0</v>
          </cell>
          <cell r="K6920">
            <v>0</v>
          </cell>
          <cell r="L6920">
            <v>0</v>
          </cell>
          <cell r="M6920">
            <v>0</v>
          </cell>
          <cell r="N6920">
            <v>8.3000000000000001E-3</v>
          </cell>
          <cell r="O6920">
            <v>0</v>
          </cell>
          <cell r="P6920">
            <v>0</v>
          </cell>
          <cell r="Q6920">
            <v>0</v>
          </cell>
          <cell r="R6920">
            <v>0</v>
          </cell>
          <cell r="S6920">
            <v>0</v>
          </cell>
          <cell r="T6920">
            <v>0</v>
          </cell>
          <cell r="U6920" t="b">
            <v>0</v>
          </cell>
        </row>
        <row r="6921">
          <cell r="A6921" t="str">
            <v>Data split-15;Reg-55</v>
          </cell>
          <cell r="B6921">
            <v>-3.8</v>
          </cell>
          <cell r="C6921">
            <v>0</v>
          </cell>
          <cell r="D6921">
            <v>3.1</v>
          </cell>
          <cell r="E6921">
            <v>0</v>
          </cell>
          <cell r="F6921">
            <v>0.16</v>
          </cell>
          <cell r="G6921">
            <v>-1.4</v>
          </cell>
          <cell r="H6921">
            <v>0</v>
          </cell>
          <cell r="I6921">
            <v>0</v>
          </cell>
          <cell r="J6921">
            <v>0</v>
          </cell>
          <cell r="K6921">
            <v>0</v>
          </cell>
          <cell r="L6921">
            <v>0</v>
          </cell>
          <cell r="M6921">
            <v>6.7999999999999996E-3</v>
          </cell>
          <cell r="N6921">
            <v>0</v>
          </cell>
          <cell r="O6921">
            <v>0</v>
          </cell>
          <cell r="P6921">
            <v>0</v>
          </cell>
          <cell r="Q6921">
            <v>0</v>
          </cell>
          <cell r="R6921">
            <v>0</v>
          </cell>
          <cell r="S6921">
            <v>0</v>
          </cell>
          <cell r="T6921">
            <v>0</v>
          </cell>
          <cell r="U6921" t="b">
            <v>0</v>
          </cell>
        </row>
        <row r="6922">
          <cell r="A6922" t="str">
            <v>Data split-15;Reg-56</v>
          </cell>
          <cell r="B6922">
            <v>-3.7</v>
          </cell>
          <cell r="C6922">
            <v>0</v>
          </cell>
          <cell r="D6922">
            <v>3.1</v>
          </cell>
          <cell r="E6922">
            <v>0</v>
          </cell>
          <cell r="F6922">
            <v>0.15</v>
          </cell>
          <cell r="G6922">
            <v>-1.6</v>
          </cell>
          <cell r="H6922">
            <v>0</v>
          </cell>
          <cell r="I6922">
            <v>0</v>
          </cell>
          <cell r="J6922">
            <v>0</v>
          </cell>
          <cell r="K6922">
            <v>0</v>
          </cell>
          <cell r="L6922">
            <v>0</v>
          </cell>
          <cell r="M6922">
            <v>0</v>
          </cell>
          <cell r="N6922">
            <v>4.4999999999999997E-3</v>
          </cell>
          <cell r="O6922">
            <v>0</v>
          </cell>
          <cell r="P6922">
            <v>0</v>
          </cell>
          <cell r="Q6922">
            <v>0</v>
          </cell>
          <cell r="R6922">
            <v>0</v>
          </cell>
          <cell r="S6922">
            <v>0</v>
          </cell>
          <cell r="T6922">
            <v>0</v>
          </cell>
          <cell r="U6922" t="b">
            <v>0</v>
          </cell>
        </row>
        <row r="6923">
          <cell r="A6923" t="str">
            <v>Data split-15;Reg-57</v>
          </cell>
          <cell r="B6923">
            <v>-3.6</v>
          </cell>
          <cell r="C6923">
            <v>0</v>
          </cell>
          <cell r="D6923">
            <v>3.3</v>
          </cell>
          <cell r="E6923">
            <v>0</v>
          </cell>
          <cell r="F6923">
            <v>0.21</v>
          </cell>
          <cell r="G6923">
            <v>0</v>
          </cell>
          <cell r="H6923">
            <v>-3.2</v>
          </cell>
          <cell r="I6923">
            <v>0</v>
          </cell>
          <cell r="J6923">
            <v>0</v>
          </cell>
          <cell r="K6923">
            <v>0</v>
          </cell>
          <cell r="L6923">
            <v>0</v>
          </cell>
          <cell r="M6923">
            <v>6.5000000000000002E-2</v>
          </cell>
          <cell r="N6923">
            <v>0</v>
          </cell>
          <cell r="O6923">
            <v>0</v>
          </cell>
          <cell r="P6923">
            <v>0</v>
          </cell>
          <cell r="Q6923">
            <v>0</v>
          </cell>
          <cell r="R6923">
            <v>0</v>
          </cell>
          <cell r="S6923">
            <v>0</v>
          </cell>
          <cell r="T6923">
            <v>0</v>
          </cell>
          <cell r="U6923" t="b">
            <v>0</v>
          </cell>
        </row>
        <row r="6924">
          <cell r="A6924" t="str">
            <v>Data split-15;Reg-58</v>
          </cell>
          <cell r="B6924">
            <v>-2.5</v>
          </cell>
          <cell r="C6924">
            <v>0</v>
          </cell>
          <cell r="D6924">
            <v>3.3</v>
          </cell>
          <cell r="E6924">
            <v>0</v>
          </cell>
          <cell r="F6924">
            <v>0.21</v>
          </cell>
          <cell r="G6924">
            <v>0</v>
          </cell>
          <cell r="H6924">
            <v>-4.7</v>
          </cell>
          <cell r="I6924">
            <v>0</v>
          </cell>
          <cell r="J6924">
            <v>0</v>
          </cell>
          <cell r="K6924">
            <v>0</v>
          </cell>
          <cell r="L6924">
            <v>0</v>
          </cell>
          <cell r="M6924">
            <v>0</v>
          </cell>
          <cell r="N6924">
            <v>0.03</v>
          </cell>
          <cell r="O6924">
            <v>0</v>
          </cell>
          <cell r="P6924">
            <v>0</v>
          </cell>
          <cell r="Q6924">
            <v>0</v>
          </cell>
          <cell r="R6924">
            <v>0</v>
          </cell>
          <cell r="S6924">
            <v>0</v>
          </cell>
          <cell r="T6924">
            <v>0</v>
          </cell>
          <cell r="U6924" t="b">
            <v>0</v>
          </cell>
        </row>
        <row r="6925">
          <cell r="A6925" t="str">
            <v>Data split-15;Reg-59</v>
          </cell>
          <cell r="B6925">
            <v>-3.4</v>
          </cell>
          <cell r="C6925">
            <v>0</v>
          </cell>
          <cell r="D6925">
            <v>3.4</v>
          </cell>
          <cell r="E6925">
            <v>-1.5</v>
          </cell>
          <cell r="F6925">
            <v>0</v>
          </cell>
          <cell r="G6925">
            <v>-0.16</v>
          </cell>
          <cell r="H6925">
            <v>0</v>
          </cell>
          <cell r="I6925">
            <v>0</v>
          </cell>
          <cell r="J6925">
            <v>0</v>
          </cell>
          <cell r="K6925">
            <v>0</v>
          </cell>
          <cell r="L6925">
            <v>0</v>
          </cell>
          <cell r="M6925">
            <v>0</v>
          </cell>
          <cell r="N6925">
            <v>0</v>
          </cell>
          <cell r="O6925">
            <v>-2.8000000000000001E-2</v>
          </cell>
          <cell r="P6925">
            <v>0</v>
          </cell>
          <cell r="Q6925">
            <v>0</v>
          </cell>
          <cell r="R6925">
            <v>0</v>
          </cell>
          <cell r="S6925">
            <v>0</v>
          </cell>
          <cell r="T6925">
            <v>0</v>
          </cell>
          <cell r="U6925" t="b">
            <v>0</v>
          </cell>
        </row>
        <row r="6926">
          <cell r="A6926" t="str">
            <v>Data split-15;Reg-60</v>
          </cell>
          <cell r="B6926">
            <v>-3.2</v>
          </cell>
          <cell r="C6926">
            <v>0</v>
          </cell>
          <cell r="D6926">
            <v>3.4</v>
          </cell>
          <cell r="E6926">
            <v>-1.6</v>
          </cell>
          <cell r="F6926">
            <v>0</v>
          </cell>
          <cell r="G6926">
            <v>-0.31</v>
          </cell>
          <cell r="H6926">
            <v>0</v>
          </cell>
          <cell r="I6926">
            <v>0</v>
          </cell>
          <cell r="J6926">
            <v>0</v>
          </cell>
          <cell r="K6926">
            <v>0</v>
          </cell>
          <cell r="L6926">
            <v>0</v>
          </cell>
          <cell r="M6926">
            <v>0</v>
          </cell>
          <cell r="N6926">
            <v>0</v>
          </cell>
          <cell r="O6926">
            <v>0</v>
          </cell>
          <cell r="P6926">
            <v>-6.4999999999999997E-4</v>
          </cell>
          <cell r="Q6926">
            <v>0</v>
          </cell>
          <cell r="R6926">
            <v>0</v>
          </cell>
          <cell r="S6926">
            <v>0</v>
          </cell>
          <cell r="T6926">
            <v>0</v>
          </cell>
          <cell r="U6926" t="b">
            <v>0</v>
          </cell>
        </row>
        <row r="6927">
          <cell r="A6927" t="str">
            <v>Data split-15;Reg-61</v>
          </cell>
          <cell r="B6927">
            <v>-3.7</v>
          </cell>
          <cell r="C6927">
            <v>0</v>
          </cell>
          <cell r="D6927">
            <v>3.2</v>
          </cell>
          <cell r="E6927">
            <v>-3.5</v>
          </cell>
          <cell r="F6927">
            <v>0</v>
          </cell>
          <cell r="G6927">
            <v>0</v>
          </cell>
          <cell r="H6927">
            <v>3.3</v>
          </cell>
          <cell r="I6927">
            <v>0</v>
          </cell>
          <cell r="J6927">
            <v>0</v>
          </cell>
          <cell r="K6927">
            <v>0</v>
          </cell>
          <cell r="L6927">
            <v>0</v>
          </cell>
          <cell r="M6927">
            <v>0</v>
          </cell>
          <cell r="N6927">
            <v>0</v>
          </cell>
          <cell r="O6927">
            <v>-6.8000000000000005E-2</v>
          </cell>
          <cell r="P6927">
            <v>0</v>
          </cell>
          <cell r="Q6927">
            <v>0</v>
          </cell>
          <cell r="R6927">
            <v>0</v>
          </cell>
          <cell r="S6927">
            <v>0</v>
          </cell>
          <cell r="T6927">
            <v>0</v>
          </cell>
          <cell r="U6927" t="b">
            <v>0</v>
          </cell>
        </row>
        <row r="6928">
          <cell r="A6928" t="str">
            <v>Data split-15;Reg-62</v>
          </cell>
          <cell r="B6928">
            <v>-4.0999999999999996</v>
          </cell>
          <cell r="C6928">
            <v>0</v>
          </cell>
          <cell r="D6928">
            <v>3.2</v>
          </cell>
          <cell r="E6928">
            <v>-3.7</v>
          </cell>
          <cell r="F6928">
            <v>0</v>
          </cell>
          <cell r="G6928">
            <v>0</v>
          </cell>
          <cell r="H6928">
            <v>3.7</v>
          </cell>
          <cell r="I6928">
            <v>0</v>
          </cell>
          <cell r="J6928">
            <v>0</v>
          </cell>
          <cell r="K6928">
            <v>0</v>
          </cell>
          <cell r="L6928">
            <v>0</v>
          </cell>
          <cell r="M6928">
            <v>0</v>
          </cell>
          <cell r="N6928">
            <v>0</v>
          </cell>
          <cell r="O6928">
            <v>0</v>
          </cell>
          <cell r="P6928">
            <v>-1.4999999999999999E-2</v>
          </cell>
          <cell r="Q6928">
            <v>0</v>
          </cell>
          <cell r="R6928">
            <v>0</v>
          </cell>
          <cell r="S6928">
            <v>0</v>
          </cell>
          <cell r="T6928">
            <v>0</v>
          </cell>
          <cell r="U6928" t="b">
            <v>0</v>
          </cell>
        </row>
        <row r="6929">
          <cell r="A6929" t="str">
            <v>Data split-15;Reg-63</v>
          </cell>
          <cell r="B6929">
            <v>-4.0999999999999996</v>
          </cell>
          <cell r="C6929">
            <v>0</v>
          </cell>
          <cell r="D6929">
            <v>3</v>
          </cell>
          <cell r="E6929">
            <v>0</v>
          </cell>
          <cell r="F6929">
            <v>0.18</v>
          </cell>
          <cell r="G6929">
            <v>-0.8</v>
          </cell>
          <cell r="H6929">
            <v>0</v>
          </cell>
          <cell r="I6929">
            <v>0</v>
          </cell>
          <cell r="J6929">
            <v>0</v>
          </cell>
          <cell r="K6929">
            <v>0</v>
          </cell>
          <cell r="L6929">
            <v>0</v>
          </cell>
          <cell r="M6929">
            <v>0</v>
          </cell>
          <cell r="N6929">
            <v>0</v>
          </cell>
          <cell r="O6929">
            <v>-6.0999999999999999E-2</v>
          </cell>
          <cell r="P6929">
            <v>0</v>
          </cell>
          <cell r="Q6929">
            <v>0</v>
          </cell>
          <cell r="R6929">
            <v>0</v>
          </cell>
          <cell r="S6929">
            <v>0</v>
          </cell>
          <cell r="T6929">
            <v>0</v>
          </cell>
          <cell r="U6929" t="b">
            <v>0</v>
          </cell>
        </row>
        <row r="6930">
          <cell r="A6930" t="str">
            <v>Data split-15;Reg-64</v>
          </cell>
          <cell r="B6930">
            <v>-4.4000000000000004</v>
          </cell>
          <cell r="C6930">
            <v>0</v>
          </cell>
          <cell r="D6930">
            <v>3.1</v>
          </cell>
          <cell r="E6930">
            <v>0</v>
          </cell>
          <cell r="F6930">
            <v>0.18</v>
          </cell>
          <cell r="G6930">
            <v>-0.91</v>
          </cell>
          <cell r="H6930">
            <v>0</v>
          </cell>
          <cell r="I6930">
            <v>0</v>
          </cell>
          <cell r="J6930">
            <v>0</v>
          </cell>
          <cell r="K6930">
            <v>0</v>
          </cell>
          <cell r="L6930">
            <v>0</v>
          </cell>
          <cell r="M6930">
            <v>0</v>
          </cell>
          <cell r="N6930">
            <v>0</v>
          </cell>
          <cell r="O6930">
            <v>0</v>
          </cell>
          <cell r="P6930">
            <v>-9.4000000000000004E-3</v>
          </cell>
          <cell r="Q6930">
            <v>0</v>
          </cell>
          <cell r="R6930">
            <v>0</v>
          </cell>
          <cell r="S6930">
            <v>0</v>
          </cell>
          <cell r="T6930">
            <v>0</v>
          </cell>
          <cell r="U6930" t="b">
            <v>0</v>
          </cell>
        </row>
        <row r="6931">
          <cell r="A6931" t="str">
            <v>Data split-15;Reg-65</v>
          </cell>
          <cell r="B6931">
            <v>-4.2</v>
          </cell>
          <cell r="C6931">
            <v>0</v>
          </cell>
          <cell r="D6931">
            <v>3.1</v>
          </cell>
          <cell r="E6931">
            <v>0</v>
          </cell>
          <cell r="F6931">
            <v>0.2</v>
          </cell>
          <cell r="G6931">
            <v>0</v>
          </cell>
          <cell r="H6931">
            <v>-1.2</v>
          </cell>
          <cell r="I6931">
            <v>0</v>
          </cell>
          <cell r="J6931">
            <v>0</v>
          </cell>
          <cell r="K6931">
            <v>0</v>
          </cell>
          <cell r="L6931">
            <v>0</v>
          </cell>
          <cell r="M6931">
            <v>0</v>
          </cell>
          <cell r="N6931">
            <v>0</v>
          </cell>
          <cell r="O6931">
            <v>-6.2E-2</v>
          </cell>
          <cell r="P6931">
            <v>0</v>
          </cell>
          <cell r="Q6931">
            <v>0</v>
          </cell>
          <cell r="R6931">
            <v>0</v>
          </cell>
          <cell r="S6931">
            <v>0</v>
          </cell>
          <cell r="T6931">
            <v>0</v>
          </cell>
          <cell r="U6931" t="b">
            <v>0</v>
          </cell>
        </row>
        <row r="6932">
          <cell r="A6932" t="str">
            <v>Data split-15;Reg-66</v>
          </cell>
          <cell r="B6932">
            <v>-4.4000000000000004</v>
          </cell>
          <cell r="C6932">
            <v>0</v>
          </cell>
          <cell r="D6932">
            <v>3.1</v>
          </cell>
          <cell r="E6932">
            <v>0</v>
          </cell>
          <cell r="F6932">
            <v>0.2</v>
          </cell>
          <cell r="G6932">
            <v>0</v>
          </cell>
          <cell r="H6932">
            <v>-1.4</v>
          </cell>
          <cell r="I6932">
            <v>0</v>
          </cell>
          <cell r="J6932">
            <v>0</v>
          </cell>
          <cell r="K6932">
            <v>0</v>
          </cell>
          <cell r="L6932">
            <v>0</v>
          </cell>
          <cell r="M6932">
            <v>0</v>
          </cell>
          <cell r="N6932">
            <v>0</v>
          </cell>
          <cell r="O6932">
            <v>0</v>
          </cell>
          <cell r="P6932">
            <v>-9.7999999999999997E-3</v>
          </cell>
          <cell r="Q6932">
            <v>0</v>
          </cell>
          <cell r="R6932">
            <v>0</v>
          </cell>
          <cell r="S6932">
            <v>0</v>
          </cell>
          <cell r="T6932">
            <v>0</v>
          </cell>
          <cell r="U6932" t="b">
            <v>0</v>
          </cell>
        </row>
        <row r="6933">
          <cell r="A6933" t="str">
            <v>Data split-15;Reg-67</v>
          </cell>
          <cell r="B6933">
            <v>-3.4</v>
          </cell>
          <cell r="C6933">
            <v>3.2</v>
          </cell>
          <cell r="D6933">
            <v>0</v>
          </cell>
          <cell r="E6933">
            <v>0</v>
          </cell>
          <cell r="F6933">
            <v>0</v>
          </cell>
          <cell r="G6933">
            <v>-1.3</v>
          </cell>
          <cell r="H6933">
            <v>0</v>
          </cell>
          <cell r="I6933">
            <v>0</v>
          </cell>
          <cell r="J6933">
            <v>0</v>
          </cell>
          <cell r="K6933">
            <v>0</v>
          </cell>
          <cell r="L6933">
            <v>0</v>
          </cell>
          <cell r="M6933">
            <v>0</v>
          </cell>
          <cell r="N6933">
            <v>0</v>
          </cell>
          <cell r="O6933">
            <v>0</v>
          </cell>
          <cell r="P6933">
            <v>0</v>
          </cell>
          <cell r="Q6933">
            <v>0</v>
          </cell>
          <cell r="R6933">
            <v>0</v>
          </cell>
          <cell r="S6933">
            <v>0</v>
          </cell>
          <cell r="T6933">
            <v>0</v>
          </cell>
          <cell r="U6933" t="b">
            <v>0</v>
          </cell>
        </row>
        <row r="6934">
          <cell r="A6934" t="str">
            <v>Data split-15;Reg-68</v>
          </cell>
          <cell r="B6934">
            <v>-3.3</v>
          </cell>
          <cell r="C6934">
            <v>3</v>
          </cell>
          <cell r="D6934">
            <v>0</v>
          </cell>
          <cell r="E6934">
            <v>0</v>
          </cell>
          <cell r="F6934">
            <v>0.16</v>
          </cell>
          <cell r="G6934">
            <v>-1.3</v>
          </cell>
          <cell r="H6934">
            <v>0</v>
          </cell>
          <cell r="I6934">
            <v>0</v>
          </cell>
          <cell r="J6934">
            <v>0</v>
          </cell>
          <cell r="K6934">
            <v>0</v>
          </cell>
          <cell r="L6934">
            <v>0</v>
          </cell>
          <cell r="M6934">
            <v>0</v>
          </cell>
          <cell r="N6934">
            <v>0</v>
          </cell>
          <cell r="O6934">
            <v>0</v>
          </cell>
          <cell r="P6934">
            <v>0</v>
          </cell>
          <cell r="Q6934">
            <v>0</v>
          </cell>
          <cell r="R6934">
            <v>0</v>
          </cell>
          <cell r="S6934">
            <v>0</v>
          </cell>
          <cell r="T6934">
            <v>0</v>
          </cell>
          <cell r="U6934" t="b">
            <v>0</v>
          </cell>
        </row>
        <row r="6935">
          <cell r="A6935" t="str">
            <v>Data split-15;Reg-69</v>
          </cell>
          <cell r="B6935">
            <v>-11.2</v>
          </cell>
          <cell r="C6935">
            <v>3.2</v>
          </cell>
          <cell r="D6935">
            <v>0</v>
          </cell>
          <cell r="E6935">
            <v>0</v>
          </cell>
          <cell r="F6935">
            <v>0</v>
          </cell>
          <cell r="G6935">
            <v>-2.1</v>
          </cell>
          <cell r="H6935">
            <v>0</v>
          </cell>
          <cell r="I6935">
            <v>0</v>
          </cell>
          <cell r="J6935">
            <v>55.8</v>
          </cell>
          <cell r="K6935">
            <v>0</v>
          </cell>
          <cell r="L6935">
            <v>0</v>
          </cell>
          <cell r="M6935">
            <v>0</v>
          </cell>
          <cell r="N6935">
            <v>0</v>
          </cell>
          <cell r="O6935">
            <v>0</v>
          </cell>
          <cell r="P6935">
            <v>0</v>
          </cell>
          <cell r="Q6935">
            <v>0</v>
          </cell>
          <cell r="R6935">
            <v>0</v>
          </cell>
          <cell r="S6935">
            <v>0</v>
          </cell>
          <cell r="T6935">
            <v>0</v>
          </cell>
          <cell r="U6935" t="b">
            <v>0</v>
          </cell>
        </row>
        <row r="6936">
          <cell r="A6936" t="str">
            <v>Data split-15;Reg-70</v>
          </cell>
          <cell r="B6936">
            <v>-10.9</v>
          </cell>
          <cell r="C6936">
            <v>3.2</v>
          </cell>
          <cell r="D6936">
            <v>0</v>
          </cell>
          <cell r="E6936">
            <v>0</v>
          </cell>
          <cell r="F6936">
            <v>0</v>
          </cell>
          <cell r="G6936">
            <v>-1.8</v>
          </cell>
          <cell r="H6936">
            <v>0</v>
          </cell>
          <cell r="I6936">
            <v>0</v>
          </cell>
          <cell r="J6936">
            <v>54.3</v>
          </cell>
          <cell r="K6936">
            <v>0</v>
          </cell>
          <cell r="L6936">
            <v>0</v>
          </cell>
          <cell r="M6936">
            <v>0</v>
          </cell>
          <cell r="N6936">
            <v>0</v>
          </cell>
          <cell r="O6936">
            <v>0</v>
          </cell>
          <cell r="P6936">
            <v>0</v>
          </cell>
          <cell r="Q6936">
            <v>0</v>
          </cell>
          <cell r="R6936">
            <v>0</v>
          </cell>
          <cell r="S6936">
            <v>-3.9E-2</v>
          </cell>
          <cell r="T6936">
            <v>0</v>
          </cell>
          <cell r="U6936" t="b">
            <v>0</v>
          </cell>
        </row>
        <row r="6937">
          <cell r="A6937" t="str">
            <v>Data split-15;Reg-71</v>
          </cell>
          <cell r="B6937">
            <v>-4</v>
          </cell>
          <cell r="C6937">
            <v>3.1</v>
          </cell>
          <cell r="D6937">
            <v>0</v>
          </cell>
          <cell r="E6937">
            <v>0</v>
          </cell>
          <cell r="F6937">
            <v>0.19</v>
          </cell>
          <cell r="G6937">
            <v>0</v>
          </cell>
          <cell r="H6937">
            <v>-1.2</v>
          </cell>
          <cell r="I6937">
            <v>0</v>
          </cell>
          <cell r="J6937">
            <v>0</v>
          </cell>
          <cell r="K6937">
            <v>0</v>
          </cell>
          <cell r="L6937">
            <v>0</v>
          </cell>
          <cell r="M6937">
            <v>0</v>
          </cell>
          <cell r="N6937">
            <v>0</v>
          </cell>
          <cell r="O6937">
            <v>0</v>
          </cell>
          <cell r="P6937">
            <v>0</v>
          </cell>
          <cell r="Q6937">
            <v>0</v>
          </cell>
          <cell r="R6937">
            <v>0</v>
          </cell>
          <cell r="S6937">
            <v>-6.6000000000000003E-2</v>
          </cell>
          <cell r="T6937">
            <v>0</v>
          </cell>
          <cell r="U6937" t="b">
            <v>0</v>
          </cell>
        </row>
        <row r="6938">
          <cell r="A6938" t="str">
            <v>Data split-15;Reg-72</v>
          </cell>
          <cell r="B6938">
            <v>-2.7</v>
          </cell>
          <cell r="C6938">
            <v>3.3</v>
          </cell>
          <cell r="D6938">
            <v>0</v>
          </cell>
          <cell r="E6938">
            <v>-1.8</v>
          </cell>
          <cell r="F6938">
            <v>0</v>
          </cell>
          <cell r="G6938">
            <v>0</v>
          </cell>
          <cell r="H6938">
            <v>0</v>
          </cell>
          <cell r="I6938">
            <v>0</v>
          </cell>
          <cell r="J6938">
            <v>0</v>
          </cell>
          <cell r="K6938">
            <v>0</v>
          </cell>
          <cell r="L6938">
            <v>0</v>
          </cell>
          <cell r="M6938">
            <v>0</v>
          </cell>
          <cell r="N6938">
            <v>0</v>
          </cell>
          <cell r="O6938">
            <v>0</v>
          </cell>
          <cell r="P6938">
            <v>0</v>
          </cell>
          <cell r="Q6938">
            <v>0</v>
          </cell>
          <cell r="R6938">
            <v>0</v>
          </cell>
          <cell r="S6938">
            <v>0</v>
          </cell>
          <cell r="T6938">
            <v>0</v>
          </cell>
          <cell r="U6938" t="b">
            <v>0</v>
          </cell>
        </row>
        <row r="6939">
          <cell r="A6939" t="str">
            <v>Data split-15;Reg-73</v>
          </cell>
          <cell r="B6939">
            <v>-6.8</v>
          </cell>
          <cell r="C6939">
            <v>2.5</v>
          </cell>
          <cell r="D6939">
            <v>0</v>
          </cell>
          <cell r="E6939">
            <v>0</v>
          </cell>
          <cell r="F6939">
            <v>0.16</v>
          </cell>
          <cell r="G6939">
            <v>0</v>
          </cell>
          <cell r="H6939">
            <v>0</v>
          </cell>
          <cell r="I6939">
            <v>0</v>
          </cell>
          <cell r="J6939">
            <v>0</v>
          </cell>
          <cell r="K6939">
            <v>0</v>
          </cell>
          <cell r="L6939">
            <v>0</v>
          </cell>
          <cell r="M6939">
            <v>0</v>
          </cell>
          <cell r="N6939">
            <v>0</v>
          </cell>
          <cell r="O6939">
            <v>0</v>
          </cell>
          <cell r="P6939">
            <v>0</v>
          </cell>
          <cell r="Q6939">
            <v>0</v>
          </cell>
          <cell r="R6939">
            <v>0</v>
          </cell>
          <cell r="S6939">
            <v>0</v>
          </cell>
          <cell r="T6939">
            <v>0</v>
          </cell>
          <cell r="U6939" t="b">
            <v>1</v>
          </cell>
        </row>
        <row r="6940">
          <cell r="A6940" t="str">
            <v>Data split-15;Reg-74</v>
          </cell>
          <cell r="B6940">
            <v>-3.3</v>
          </cell>
          <cell r="C6940">
            <v>0</v>
          </cell>
          <cell r="D6940">
            <v>3.4</v>
          </cell>
          <cell r="E6940">
            <v>-1.9</v>
          </cell>
          <cell r="F6940">
            <v>0</v>
          </cell>
          <cell r="G6940">
            <v>0</v>
          </cell>
          <cell r="H6940">
            <v>0</v>
          </cell>
          <cell r="I6940">
            <v>0</v>
          </cell>
          <cell r="J6940">
            <v>0</v>
          </cell>
          <cell r="K6940">
            <v>0</v>
          </cell>
          <cell r="L6940">
            <v>0</v>
          </cell>
          <cell r="M6940">
            <v>0</v>
          </cell>
          <cell r="N6940">
            <v>0</v>
          </cell>
          <cell r="O6940">
            <v>0</v>
          </cell>
          <cell r="P6940">
            <v>0</v>
          </cell>
          <cell r="Q6940">
            <v>0</v>
          </cell>
          <cell r="R6940">
            <v>0</v>
          </cell>
          <cell r="S6940">
            <v>0</v>
          </cell>
          <cell r="T6940">
            <v>0</v>
          </cell>
          <cell r="U6940" t="b">
            <v>0</v>
          </cell>
        </row>
        <row r="6941">
          <cell r="A6941" t="str">
            <v>Data split-15;Reg-75</v>
          </cell>
          <cell r="B6941">
            <v>-7.4</v>
          </cell>
          <cell r="C6941">
            <v>0</v>
          </cell>
          <cell r="D6941">
            <v>2.5</v>
          </cell>
          <cell r="E6941">
            <v>0</v>
          </cell>
          <cell r="F6941">
            <v>0.16</v>
          </cell>
          <cell r="G6941">
            <v>0</v>
          </cell>
          <cell r="H6941">
            <v>0</v>
          </cell>
          <cell r="I6941">
            <v>0</v>
          </cell>
          <cell r="J6941">
            <v>0</v>
          </cell>
          <cell r="K6941">
            <v>0</v>
          </cell>
          <cell r="L6941">
            <v>0</v>
          </cell>
          <cell r="M6941">
            <v>0</v>
          </cell>
          <cell r="N6941">
            <v>0</v>
          </cell>
          <cell r="O6941">
            <v>0</v>
          </cell>
          <cell r="P6941">
            <v>0</v>
          </cell>
          <cell r="Q6941">
            <v>0</v>
          </cell>
          <cell r="R6941">
            <v>0</v>
          </cell>
          <cell r="S6941">
            <v>0</v>
          </cell>
          <cell r="T6941">
            <v>0</v>
          </cell>
          <cell r="U6941" t="b">
            <v>1</v>
          </cell>
        </row>
        <row r="6942">
          <cell r="A6942" t="str">
            <v>Data split-15;Reg-76</v>
          </cell>
          <cell r="B6942">
            <v>-3.4</v>
          </cell>
          <cell r="C6942">
            <v>3.2</v>
          </cell>
          <cell r="D6942">
            <v>0</v>
          </cell>
          <cell r="E6942">
            <v>0</v>
          </cell>
          <cell r="F6942">
            <v>0</v>
          </cell>
          <cell r="G6942">
            <v>-1.3</v>
          </cell>
          <cell r="H6942">
            <v>0</v>
          </cell>
          <cell r="I6942">
            <v>0</v>
          </cell>
          <cell r="J6942">
            <v>0</v>
          </cell>
          <cell r="K6942">
            <v>0</v>
          </cell>
          <cell r="L6942">
            <v>0</v>
          </cell>
          <cell r="M6942">
            <v>0</v>
          </cell>
          <cell r="N6942">
            <v>0</v>
          </cell>
          <cell r="O6942">
            <v>0</v>
          </cell>
          <cell r="P6942">
            <v>0</v>
          </cell>
          <cell r="Q6942">
            <v>0</v>
          </cell>
          <cell r="R6942">
            <v>0</v>
          </cell>
          <cell r="S6942">
            <v>0</v>
          </cell>
          <cell r="T6942">
            <v>0</v>
          </cell>
          <cell r="U6942" t="b">
            <v>0</v>
          </cell>
        </row>
        <row r="6943">
          <cell r="A6943" t="str">
            <v>Data split-15;Reg-77</v>
          </cell>
          <cell r="B6943">
            <v>-3.7</v>
          </cell>
          <cell r="C6943">
            <v>3.2</v>
          </cell>
          <cell r="D6943">
            <v>0</v>
          </cell>
          <cell r="E6943">
            <v>0</v>
          </cell>
          <cell r="F6943">
            <v>0</v>
          </cell>
          <cell r="G6943">
            <v>0</v>
          </cell>
          <cell r="H6943">
            <v>-1.9</v>
          </cell>
          <cell r="I6943">
            <v>0</v>
          </cell>
          <cell r="J6943">
            <v>0</v>
          </cell>
          <cell r="K6943">
            <v>0</v>
          </cell>
          <cell r="L6943">
            <v>0</v>
          </cell>
          <cell r="M6943">
            <v>0</v>
          </cell>
          <cell r="N6943">
            <v>0</v>
          </cell>
          <cell r="O6943">
            <v>0</v>
          </cell>
          <cell r="P6943">
            <v>0</v>
          </cell>
          <cell r="Q6943">
            <v>0</v>
          </cell>
          <cell r="R6943">
            <v>0</v>
          </cell>
          <cell r="S6943">
            <v>0</v>
          </cell>
          <cell r="T6943">
            <v>0</v>
          </cell>
          <cell r="U6943" t="b">
            <v>0</v>
          </cell>
        </row>
        <row r="6944">
          <cell r="A6944" t="str">
            <v>Data split-15;Reg-78</v>
          </cell>
          <cell r="B6944">
            <v>-4</v>
          </cell>
          <cell r="C6944">
            <v>0</v>
          </cell>
          <cell r="D6944">
            <v>3.2</v>
          </cell>
          <cell r="E6944">
            <v>0</v>
          </cell>
          <cell r="F6944">
            <v>0</v>
          </cell>
          <cell r="G6944">
            <v>-1.4</v>
          </cell>
          <cell r="H6944">
            <v>0</v>
          </cell>
          <cell r="I6944">
            <v>0</v>
          </cell>
          <cell r="J6944">
            <v>0</v>
          </cell>
          <cell r="K6944">
            <v>0</v>
          </cell>
          <cell r="L6944">
            <v>0</v>
          </cell>
          <cell r="M6944">
            <v>0</v>
          </cell>
          <cell r="N6944">
            <v>0</v>
          </cell>
          <cell r="O6944">
            <v>0</v>
          </cell>
          <cell r="P6944">
            <v>0</v>
          </cell>
          <cell r="Q6944">
            <v>0</v>
          </cell>
          <cell r="R6944">
            <v>0</v>
          </cell>
          <cell r="S6944">
            <v>0</v>
          </cell>
          <cell r="T6944">
            <v>0</v>
          </cell>
          <cell r="U6944" t="b">
            <v>0</v>
          </cell>
        </row>
        <row r="6945">
          <cell r="A6945" t="str">
            <v>Data split-15;Reg-79</v>
          </cell>
          <cell r="B6945">
            <v>-4.3</v>
          </cell>
          <cell r="C6945">
            <v>0</v>
          </cell>
          <cell r="D6945">
            <v>3.3</v>
          </cell>
          <cell r="E6945">
            <v>0</v>
          </cell>
          <cell r="F6945">
            <v>0</v>
          </cell>
          <cell r="G6945">
            <v>0</v>
          </cell>
          <cell r="H6945">
            <v>-2</v>
          </cell>
          <cell r="I6945">
            <v>0</v>
          </cell>
          <cell r="J6945">
            <v>0</v>
          </cell>
          <cell r="K6945">
            <v>0</v>
          </cell>
          <cell r="L6945">
            <v>0</v>
          </cell>
          <cell r="M6945">
            <v>0</v>
          </cell>
          <cell r="N6945">
            <v>0</v>
          </cell>
          <cell r="O6945">
            <v>0</v>
          </cell>
          <cell r="P6945">
            <v>0</v>
          </cell>
          <cell r="Q6945">
            <v>0</v>
          </cell>
          <cell r="R6945">
            <v>0</v>
          </cell>
          <cell r="S6945">
            <v>0</v>
          </cell>
          <cell r="T6945">
            <v>0</v>
          </cell>
          <cell r="U6945" t="b">
            <v>0</v>
          </cell>
        </row>
        <row r="6946">
          <cell r="A6946" t="str">
            <v>Data split-15;Reg-80</v>
          </cell>
          <cell r="B6946">
            <v>-8.8000000000000007</v>
          </cell>
          <cell r="C6946">
            <v>2.4</v>
          </cell>
          <cell r="D6946">
            <v>0</v>
          </cell>
          <cell r="E6946">
            <v>0</v>
          </cell>
          <cell r="F6946">
            <v>0</v>
          </cell>
          <cell r="G6946">
            <v>0</v>
          </cell>
          <cell r="H6946">
            <v>0</v>
          </cell>
          <cell r="I6946">
            <v>1.9</v>
          </cell>
          <cell r="J6946">
            <v>0</v>
          </cell>
          <cell r="K6946">
            <v>0</v>
          </cell>
          <cell r="L6946">
            <v>0</v>
          </cell>
          <cell r="M6946">
            <v>0</v>
          </cell>
          <cell r="N6946">
            <v>0</v>
          </cell>
          <cell r="O6946">
            <v>0</v>
          </cell>
          <cell r="P6946">
            <v>0</v>
          </cell>
          <cell r="Q6946">
            <v>0</v>
          </cell>
          <cell r="R6946">
            <v>0</v>
          </cell>
          <cell r="S6946">
            <v>0</v>
          </cell>
          <cell r="T6946">
            <v>0</v>
          </cell>
          <cell r="U6946" t="b">
            <v>0</v>
          </cell>
        </row>
        <row r="6947">
          <cell r="A6947" t="str">
            <v>Data split-15;Reg-81</v>
          </cell>
          <cell r="B6947">
            <v>-11.9</v>
          </cell>
          <cell r="C6947">
            <v>2.5</v>
          </cell>
          <cell r="D6947">
            <v>0</v>
          </cell>
          <cell r="E6947">
            <v>0</v>
          </cell>
          <cell r="F6947">
            <v>0</v>
          </cell>
          <cell r="G6947">
            <v>0</v>
          </cell>
          <cell r="H6947">
            <v>0</v>
          </cell>
          <cell r="I6947">
            <v>0</v>
          </cell>
          <cell r="J6947">
            <v>28.3</v>
          </cell>
          <cell r="K6947">
            <v>0</v>
          </cell>
          <cell r="L6947">
            <v>0</v>
          </cell>
          <cell r="M6947">
            <v>0</v>
          </cell>
          <cell r="N6947">
            <v>0</v>
          </cell>
          <cell r="O6947">
            <v>0</v>
          </cell>
          <cell r="P6947">
            <v>0</v>
          </cell>
          <cell r="Q6947">
            <v>0</v>
          </cell>
          <cell r="R6947">
            <v>0</v>
          </cell>
          <cell r="S6947">
            <v>0</v>
          </cell>
          <cell r="T6947">
            <v>0</v>
          </cell>
          <cell r="U6947" t="b">
            <v>0</v>
          </cell>
        </row>
        <row r="6948">
          <cell r="A6948" t="str">
            <v>Data split-15;Reg-82</v>
          </cell>
          <cell r="B6948">
            <v>-9</v>
          </cell>
          <cell r="C6948">
            <v>0</v>
          </cell>
          <cell r="D6948">
            <v>2.5</v>
          </cell>
          <cell r="E6948">
            <v>0</v>
          </cell>
          <cell r="F6948">
            <v>0</v>
          </cell>
          <cell r="G6948">
            <v>0</v>
          </cell>
          <cell r="H6948">
            <v>0</v>
          </cell>
          <cell r="I6948">
            <v>1.6</v>
          </cell>
          <cell r="J6948">
            <v>0</v>
          </cell>
          <cell r="K6948">
            <v>0</v>
          </cell>
          <cell r="L6948">
            <v>0</v>
          </cell>
          <cell r="M6948">
            <v>0</v>
          </cell>
          <cell r="N6948">
            <v>0</v>
          </cell>
          <cell r="O6948">
            <v>0</v>
          </cell>
          <cell r="P6948">
            <v>0</v>
          </cell>
          <cell r="Q6948">
            <v>0</v>
          </cell>
          <cell r="R6948">
            <v>0</v>
          </cell>
          <cell r="S6948">
            <v>0</v>
          </cell>
          <cell r="T6948">
            <v>0</v>
          </cell>
          <cell r="U6948" t="b">
            <v>0</v>
          </cell>
        </row>
        <row r="6949">
          <cell r="A6949" t="str">
            <v>Data split-15;Reg-83</v>
          </cell>
          <cell r="B6949">
            <v>-11.7</v>
          </cell>
          <cell r="C6949">
            <v>0</v>
          </cell>
          <cell r="D6949">
            <v>2.5</v>
          </cell>
          <cell r="E6949">
            <v>0</v>
          </cell>
          <cell r="F6949">
            <v>0</v>
          </cell>
          <cell r="G6949">
            <v>0</v>
          </cell>
          <cell r="H6949">
            <v>0</v>
          </cell>
          <cell r="I6949">
            <v>0</v>
          </cell>
          <cell r="J6949">
            <v>24.2</v>
          </cell>
          <cell r="K6949">
            <v>0</v>
          </cell>
          <cell r="L6949">
            <v>0</v>
          </cell>
          <cell r="M6949">
            <v>0</v>
          </cell>
          <cell r="N6949">
            <v>0</v>
          </cell>
          <cell r="O6949">
            <v>0</v>
          </cell>
          <cell r="P6949">
            <v>0</v>
          </cell>
          <cell r="Q6949">
            <v>0</v>
          </cell>
          <cell r="R6949">
            <v>0</v>
          </cell>
          <cell r="S6949">
            <v>0</v>
          </cell>
          <cell r="T6949">
            <v>0</v>
          </cell>
          <cell r="U6949" t="b">
            <v>0</v>
          </cell>
        </row>
        <row r="6950">
          <cell r="A6950" t="str">
            <v>Data split-15;Reg-84</v>
          </cell>
          <cell r="B6950">
            <v>-6.6</v>
          </cell>
          <cell r="C6950">
            <v>2.6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  <cell r="H6950">
            <v>0</v>
          </cell>
          <cell r="I6950">
            <v>0</v>
          </cell>
          <cell r="J6950">
            <v>0</v>
          </cell>
          <cell r="K6950">
            <v>-0.31</v>
          </cell>
          <cell r="L6950">
            <v>0</v>
          </cell>
          <cell r="M6950">
            <v>0</v>
          </cell>
          <cell r="N6950">
            <v>0</v>
          </cell>
          <cell r="O6950">
            <v>0</v>
          </cell>
          <cell r="P6950">
            <v>0</v>
          </cell>
          <cell r="Q6950">
            <v>0</v>
          </cell>
          <cell r="R6950">
            <v>0</v>
          </cell>
          <cell r="S6950">
            <v>0</v>
          </cell>
          <cell r="T6950">
            <v>0</v>
          </cell>
          <cell r="U6950" t="b">
            <v>1</v>
          </cell>
        </row>
        <row r="6951">
          <cell r="A6951" t="str">
            <v>Data split-15;Reg-85</v>
          </cell>
          <cell r="B6951">
            <v>-6.1</v>
          </cell>
          <cell r="C6951">
            <v>2.7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>
            <v>-4.7</v>
          </cell>
          <cell r="M6951">
            <v>0</v>
          </cell>
          <cell r="N6951">
            <v>0</v>
          </cell>
          <cell r="O6951">
            <v>0</v>
          </cell>
          <cell r="P6951">
            <v>0</v>
          </cell>
          <cell r="Q6951">
            <v>0</v>
          </cell>
          <cell r="R6951">
            <v>0</v>
          </cell>
          <cell r="S6951">
            <v>0</v>
          </cell>
          <cell r="T6951">
            <v>0</v>
          </cell>
          <cell r="U6951" t="b">
            <v>1</v>
          </cell>
        </row>
        <row r="6952">
          <cell r="A6952" t="str">
            <v>Data split-15;Reg-86</v>
          </cell>
          <cell r="B6952">
            <v>-7.2</v>
          </cell>
          <cell r="C6952">
            <v>0</v>
          </cell>
          <cell r="D6952">
            <v>2.7</v>
          </cell>
          <cell r="E6952">
            <v>0</v>
          </cell>
          <cell r="F6952">
            <v>0</v>
          </cell>
          <cell r="G6952">
            <v>0</v>
          </cell>
          <cell r="H6952">
            <v>0</v>
          </cell>
          <cell r="I6952">
            <v>0</v>
          </cell>
          <cell r="J6952">
            <v>0</v>
          </cell>
          <cell r="K6952">
            <v>-0.41</v>
          </cell>
          <cell r="L6952">
            <v>0</v>
          </cell>
          <cell r="M6952">
            <v>0</v>
          </cell>
          <cell r="N6952">
            <v>0</v>
          </cell>
          <cell r="O6952">
            <v>0</v>
          </cell>
          <cell r="P6952">
            <v>0</v>
          </cell>
          <cell r="Q6952">
            <v>0</v>
          </cell>
          <cell r="R6952">
            <v>0</v>
          </cell>
          <cell r="S6952">
            <v>0</v>
          </cell>
          <cell r="T6952">
            <v>0</v>
          </cell>
          <cell r="U6952" t="b">
            <v>1</v>
          </cell>
        </row>
        <row r="6953">
          <cell r="A6953" t="str">
            <v>Data split-15;Reg-87</v>
          </cell>
          <cell r="B6953">
            <v>-6.7</v>
          </cell>
          <cell r="C6953">
            <v>0</v>
          </cell>
          <cell r="D6953">
            <v>2.7</v>
          </cell>
          <cell r="E6953">
            <v>0</v>
          </cell>
          <cell r="F6953">
            <v>0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>
            <v>-5.3</v>
          </cell>
          <cell r="M6953">
            <v>0</v>
          </cell>
          <cell r="N6953">
            <v>0</v>
          </cell>
          <cell r="O6953">
            <v>0</v>
          </cell>
          <cell r="P6953">
            <v>0</v>
          </cell>
          <cell r="Q6953">
            <v>0</v>
          </cell>
          <cell r="R6953">
            <v>0</v>
          </cell>
          <cell r="S6953">
            <v>0</v>
          </cell>
          <cell r="T6953">
            <v>0</v>
          </cell>
          <cell r="U6953" t="b">
            <v>1</v>
          </cell>
        </row>
        <row r="6954">
          <cell r="A6954" t="str">
            <v>Data split-15;Reg-88</v>
          </cell>
          <cell r="B6954">
            <v>-5.0999999999999996</v>
          </cell>
          <cell r="C6954">
            <v>2.9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H6954">
            <v>0</v>
          </cell>
          <cell r="I6954">
            <v>0</v>
          </cell>
          <cell r="J6954">
            <v>0</v>
          </cell>
          <cell r="K6954">
            <v>0</v>
          </cell>
          <cell r="L6954">
            <v>0</v>
          </cell>
          <cell r="M6954">
            <v>-7.8E-2</v>
          </cell>
          <cell r="N6954">
            <v>0</v>
          </cell>
          <cell r="O6954">
            <v>0</v>
          </cell>
          <cell r="P6954">
            <v>0</v>
          </cell>
          <cell r="Q6954">
            <v>0</v>
          </cell>
          <cell r="R6954">
            <v>0</v>
          </cell>
          <cell r="S6954">
            <v>0</v>
          </cell>
          <cell r="T6954">
            <v>0</v>
          </cell>
          <cell r="U6954" t="b">
            <v>1</v>
          </cell>
        </row>
        <row r="6955">
          <cell r="A6955" t="str">
            <v>Data split-15;Reg-89</v>
          </cell>
          <cell r="B6955">
            <v>-5.4</v>
          </cell>
          <cell r="C6955">
            <v>2.9</v>
          </cell>
          <cell r="D6955">
            <v>0</v>
          </cell>
          <cell r="E6955">
            <v>0</v>
          </cell>
          <cell r="F6955">
            <v>0</v>
          </cell>
          <cell r="G6955">
            <v>0</v>
          </cell>
          <cell r="H6955">
            <v>0</v>
          </cell>
          <cell r="I6955">
            <v>0</v>
          </cell>
          <cell r="J6955">
            <v>0</v>
          </cell>
          <cell r="K6955">
            <v>0</v>
          </cell>
          <cell r="L6955">
            <v>0</v>
          </cell>
          <cell r="M6955">
            <v>0</v>
          </cell>
          <cell r="N6955">
            <v>-1.6E-2</v>
          </cell>
          <cell r="O6955">
            <v>0</v>
          </cell>
          <cell r="P6955">
            <v>0</v>
          </cell>
          <cell r="Q6955">
            <v>0</v>
          </cell>
          <cell r="R6955">
            <v>0</v>
          </cell>
          <cell r="S6955">
            <v>0</v>
          </cell>
          <cell r="T6955">
            <v>0</v>
          </cell>
          <cell r="U6955" t="b">
            <v>1</v>
          </cell>
        </row>
        <row r="6956">
          <cell r="A6956" t="str">
            <v>Data split-15;Reg-90</v>
          </cell>
          <cell r="B6956">
            <v>-5.8</v>
          </cell>
          <cell r="C6956">
            <v>0</v>
          </cell>
          <cell r="D6956">
            <v>2.9</v>
          </cell>
          <cell r="E6956">
            <v>0</v>
          </cell>
          <cell r="F6956">
            <v>0</v>
          </cell>
          <cell r="G6956">
            <v>0</v>
          </cell>
          <cell r="H6956">
            <v>0</v>
          </cell>
          <cell r="I6956">
            <v>0</v>
          </cell>
          <cell r="J6956">
            <v>0</v>
          </cell>
          <cell r="K6956">
            <v>0</v>
          </cell>
          <cell r="L6956">
            <v>0</v>
          </cell>
          <cell r="M6956">
            <v>-0.08</v>
          </cell>
          <cell r="N6956">
            <v>0</v>
          </cell>
          <cell r="O6956">
            <v>0</v>
          </cell>
          <cell r="P6956">
            <v>0</v>
          </cell>
          <cell r="Q6956">
            <v>0</v>
          </cell>
          <cell r="R6956">
            <v>0</v>
          </cell>
          <cell r="S6956">
            <v>0</v>
          </cell>
          <cell r="T6956">
            <v>0</v>
          </cell>
          <cell r="U6956" t="b">
            <v>1</v>
          </cell>
        </row>
        <row r="6957">
          <cell r="A6957" t="str">
            <v>Data split-15;Reg-91</v>
          </cell>
          <cell r="B6957">
            <v>-6.1</v>
          </cell>
          <cell r="C6957">
            <v>0</v>
          </cell>
          <cell r="D6957">
            <v>3</v>
          </cell>
          <cell r="E6957">
            <v>0</v>
          </cell>
          <cell r="F6957">
            <v>0</v>
          </cell>
          <cell r="G6957">
            <v>0</v>
          </cell>
          <cell r="H6957">
            <v>0</v>
          </cell>
          <cell r="I6957">
            <v>0</v>
          </cell>
          <cell r="J6957">
            <v>0</v>
          </cell>
          <cell r="K6957">
            <v>0</v>
          </cell>
          <cell r="L6957">
            <v>0</v>
          </cell>
          <cell r="M6957">
            <v>0</v>
          </cell>
          <cell r="N6957">
            <v>-1.6E-2</v>
          </cell>
          <cell r="O6957">
            <v>0</v>
          </cell>
          <cell r="P6957">
            <v>0</v>
          </cell>
          <cell r="Q6957">
            <v>0</v>
          </cell>
          <cell r="R6957">
            <v>0</v>
          </cell>
          <cell r="S6957">
            <v>0</v>
          </cell>
          <cell r="T6957">
            <v>0</v>
          </cell>
          <cell r="U6957" t="b">
            <v>1</v>
          </cell>
        </row>
        <row r="6958">
          <cell r="A6958" t="str">
            <v>Data split-15;Reg-92</v>
          </cell>
          <cell r="B6958">
            <v>-4.9000000000000004</v>
          </cell>
          <cell r="C6958">
            <v>2.9</v>
          </cell>
          <cell r="D6958">
            <v>0</v>
          </cell>
          <cell r="E6958">
            <v>0</v>
          </cell>
          <cell r="F6958">
            <v>0</v>
          </cell>
          <cell r="G6958">
            <v>0</v>
          </cell>
          <cell r="H6958">
            <v>0</v>
          </cell>
          <cell r="I6958">
            <v>0</v>
          </cell>
          <cell r="J6958">
            <v>0</v>
          </cell>
          <cell r="K6958">
            <v>0</v>
          </cell>
          <cell r="L6958">
            <v>0</v>
          </cell>
          <cell r="M6958">
            <v>0</v>
          </cell>
          <cell r="N6958">
            <v>0</v>
          </cell>
          <cell r="O6958">
            <v>-0.1</v>
          </cell>
          <cell r="P6958">
            <v>0</v>
          </cell>
          <cell r="Q6958">
            <v>0</v>
          </cell>
          <cell r="R6958">
            <v>0</v>
          </cell>
          <cell r="S6958">
            <v>0</v>
          </cell>
          <cell r="T6958">
            <v>0</v>
          </cell>
          <cell r="U6958" t="b">
            <v>1</v>
          </cell>
        </row>
        <row r="6959">
          <cell r="A6959" t="str">
            <v>Data split-15;Reg-93</v>
          </cell>
          <cell r="B6959">
            <v>-5.4</v>
          </cell>
          <cell r="C6959">
            <v>3</v>
          </cell>
          <cell r="D6959">
            <v>0</v>
          </cell>
          <cell r="E6959">
            <v>0</v>
          </cell>
          <cell r="F6959">
            <v>0</v>
          </cell>
          <cell r="G6959">
            <v>0</v>
          </cell>
          <cell r="H6959">
            <v>0</v>
          </cell>
          <cell r="I6959">
            <v>0</v>
          </cell>
          <cell r="J6959">
            <v>0</v>
          </cell>
          <cell r="K6959">
            <v>0</v>
          </cell>
          <cell r="L6959">
            <v>0</v>
          </cell>
          <cell r="M6959">
            <v>0</v>
          </cell>
          <cell r="N6959">
            <v>0</v>
          </cell>
          <cell r="O6959">
            <v>0</v>
          </cell>
          <cell r="P6959">
            <v>-1.9E-2</v>
          </cell>
          <cell r="Q6959">
            <v>0</v>
          </cell>
          <cell r="R6959">
            <v>0</v>
          </cell>
          <cell r="S6959">
            <v>0</v>
          </cell>
          <cell r="T6959">
            <v>0</v>
          </cell>
          <cell r="U6959" t="b">
            <v>1</v>
          </cell>
        </row>
        <row r="6960">
          <cell r="A6960" t="str">
            <v>Data split-15;Reg-94</v>
          </cell>
          <cell r="B6960">
            <v>-5.5</v>
          </cell>
          <cell r="C6960">
            <v>0</v>
          </cell>
          <cell r="D6960">
            <v>3</v>
          </cell>
          <cell r="E6960">
            <v>0</v>
          </cell>
          <cell r="F6960">
            <v>0</v>
          </cell>
          <cell r="G6960">
            <v>0</v>
          </cell>
          <cell r="H6960">
            <v>0</v>
          </cell>
          <cell r="I6960">
            <v>0</v>
          </cell>
          <cell r="J6960">
            <v>0</v>
          </cell>
          <cell r="K6960">
            <v>0</v>
          </cell>
          <cell r="L6960">
            <v>0</v>
          </cell>
          <cell r="M6960">
            <v>0</v>
          </cell>
          <cell r="N6960">
            <v>0</v>
          </cell>
          <cell r="O6960">
            <v>-0.1</v>
          </cell>
          <cell r="P6960">
            <v>0</v>
          </cell>
          <cell r="Q6960">
            <v>0</v>
          </cell>
          <cell r="R6960">
            <v>0</v>
          </cell>
          <cell r="S6960">
            <v>0</v>
          </cell>
          <cell r="T6960">
            <v>0</v>
          </cell>
          <cell r="U6960" t="b">
            <v>1</v>
          </cell>
        </row>
        <row r="6961">
          <cell r="A6961" t="str">
            <v>Data split-15;Reg-95</v>
          </cell>
          <cell r="B6961">
            <v>-6.1</v>
          </cell>
          <cell r="C6961">
            <v>0</v>
          </cell>
          <cell r="D6961">
            <v>3</v>
          </cell>
          <cell r="E6961">
            <v>0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>
            <v>0</v>
          </cell>
          <cell r="M6961">
            <v>0</v>
          </cell>
          <cell r="N6961">
            <v>0</v>
          </cell>
          <cell r="O6961">
            <v>0</v>
          </cell>
          <cell r="P6961">
            <v>-0.02</v>
          </cell>
          <cell r="Q6961">
            <v>0</v>
          </cell>
          <cell r="R6961">
            <v>0</v>
          </cell>
          <cell r="S6961">
            <v>0</v>
          </cell>
          <cell r="T6961">
            <v>0</v>
          </cell>
          <cell r="U6961" t="b">
            <v>1</v>
          </cell>
        </row>
        <row r="6962">
          <cell r="A6962" t="str">
            <v>Data split-15;Reg-96</v>
          </cell>
          <cell r="B6962">
            <v>-6.5</v>
          </cell>
          <cell r="C6962">
            <v>3.4</v>
          </cell>
          <cell r="D6962">
            <v>0</v>
          </cell>
          <cell r="E6962">
            <v>-4</v>
          </cell>
          <cell r="F6962">
            <v>0</v>
          </cell>
          <cell r="G6962">
            <v>0</v>
          </cell>
          <cell r="H6962">
            <v>0</v>
          </cell>
          <cell r="I6962">
            <v>8.5</v>
          </cell>
          <cell r="J6962">
            <v>0</v>
          </cell>
          <cell r="K6962">
            <v>0</v>
          </cell>
          <cell r="L6962">
            <v>0</v>
          </cell>
          <cell r="M6962">
            <v>0</v>
          </cell>
          <cell r="N6962">
            <v>0</v>
          </cell>
          <cell r="O6962">
            <v>0</v>
          </cell>
          <cell r="P6962">
            <v>0</v>
          </cell>
          <cell r="Q6962">
            <v>0</v>
          </cell>
          <cell r="R6962">
            <v>0</v>
          </cell>
          <cell r="S6962">
            <v>0</v>
          </cell>
          <cell r="T6962">
            <v>0</v>
          </cell>
          <cell r="U6962" t="b">
            <v>0</v>
          </cell>
        </row>
        <row r="6963">
          <cell r="A6963" t="str">
            <v>Data split-15;Reg-97</v>
          </cell>
          <cell r="B6963">
            <v>-12.1</v>
          </cell>
          <cell r="C6963">
            <v>3.5</v>
          </cell>
          <cell r="D6963">
            <v>0</v>
          </cell>
          <cell r="E6963">
            <v>-3.3</v>
          </cell>
          <cell r="F6963">
            <v>0</v>
          </cell>
          <cell r="G6963">
            <v>0</v>
          </cell>
          <cell r="H6963">
            <v>0</v>
          </cell>
          <cell r="I6963">
            <v>0</v>
          </cell>
          <cell r="J6963">
            <v>71.5</v>
          </cell>
          <cell r="K6963">
            <v>0</v>
          </cell>
          <cell r="L6963">
            <v>0</v>
          </cell>
          <cell r="M6963">
            <v>0</v>
          </cell>
          <cell r="N6963">
            <v>0</v>
          </cell>
          <cell r="O6963">
            <v>0</v>
          </cell>
          <cell r="P6963">
            <v>0</v>
          </cell>
          <cell r="Q6963">
            <v>0</v>
          </cell>
          <cell r="R6963">
            <v>0</v>
          </cell>
          <cell r="S6963">
            <v>0</v>
          </cell>
          <cell r="T6963">
            <v>0</v>
          </cell>
          <cell r="U6963" t="b">
            <v>0</v>
          </cell>
        </row>
        <row r="6964">
          <cell r="A6964" t="str">
            <v>Data split-15;Reg-98</v>
          </cell>
          <cell r="B6964">
            <v>-8.4</v>
          </cell>
          <cell r="C6964">
            <v>2.2999999999999998</v>
          </cell>
          <cell r="D6964">
            <v>0</v>
          </cell>
          <cell r="E6964">
            <v>0</v>
          </cell>
          <cell r="F6964">
            <v>0.14000000000000001</v>
          </cell>
          <cell r="G6964">
            <v>0</v>
          </cell>
          <cell r="H6964">
            <v>0</v>
          </cell>
          <cell r="I6964">
            <v>1.6</v>
          </cell>
          <cell r="J6964">
            <v>0</v>
          </cell>
          <cell r="K6964">
            <v>0</v>
          </cell>
          <cell r="L6964">
            <v>0</v>
          </cell>
          <cell r="M6964">
            <v>0</v>
          </cell>
          <cell r="N6964">
            <v>0</v>
          </cell>
          <cell r="O6964">
            <v>0</v>
          </cell>
          <cell r="P6964">
            <v>0</v>
          </cell>
          <cell r="Q6964">
            <v>0</v>
          </cell>
          <cell r="R6964">
            <v>0</v>
          </cell>
          <cell r="S6964">
            <v>0</v>
          </cell>
          <cell r="T6964">
            <v>0</v>
          </cell>
          <cell r="U6964" t="b">
            <v>0</v>
          </cell>
        </row>
        <row r="6965">
          <cell r="A6965" t="str">
            <v>Data split-15;Reg-99</v>
          </cell>
          <cell r="B6965">
            <v>-11.5</v>
          </cell>
          <cell r="C6965">
            <v>2.2999999999999998</v>
          </cell>
          <cell r="D6965">
            <v>0</v>
          </cell>
          <cell r="E6965">
            <v>0</v>
          </cell>
          <cell r="F6965">
            <v>0.14000000000000001</v>
          </cell>
          <cell r="G6965">
            <v>0</v>
          </cell>
          <cell r="H6965">
            <v>0</v>
          </cell>
          <cell r="I6965">
            <v>0</v>
          </cell>
          <cell r="J6965">
            <v>26.5</v>
          </cell>
          <cell r="K6965">
            <v>0</v>
          </cell>
          <cell r="L6965">
            <v>0</v>
          </cell>
          <cell r="M6965">
            <v>0</v>
          </cell>
          <cell r="N6965">
            <v>0</v>
          </cell>
          <cell r="O6965">
            <v>0</v>
          </cell>
          <cell r="P6965">
            <v>0</v>
          </cell>
          <cell r="Q6965">
            <v>0</v>
          </cell>
          <cell r="R6965">
            <v>0</v>
          </cell>
          <cell r="S6965">
            <v>0</v>
          </cell>
          <cell r="T6965">
            <v>0</v>
          </cell>
          <cell r="U6965" t="b">
            <v>0</v>
          </cell>
        </row>
        <row r="6966">
          <cell r="A6966" t="str">
            <v>Data split-15;Reg-100</v>
          </cell>
          <cell r="B6966">
            <v>-6.8</v>
          </cell>
          <cell r="C6966">
            <v>0</v>
          </cell>
          <cell r="D6966">
            <v>3.4</v>
          </cell>
          <cell r="E6966">
            <v>-3.9</v>
          </cell>
          <cell r="F6966">
            <v>0</v>
          </cell>
          <cell r="G6966">
            <v>0</v>
          </cell>
          <cell r="H6966">
            <v>0</v>
          </cell>
          <cell r="I6966">
            <v>7.9</v>
          </cell>
          <cell r="J6966">
            <v>0</v>
          </cell>
          <cell r="K6966">
            <v>0</v>
          </cell>
          <cell r="L6966">
            <v>0</v>
          </cell>
          <cell r="M6966">
            <v>0</v>
          </cell>
          <cell r="N6966">
            <v>0</v>
          </cell>
          <cell r="O6966">
            <v>0</v>
          </cell>
          <cell r="P6966">
            <v>0</v>
          </cell>
          <cell r="Q6966">
            <v>0</v>
          </cell>
          <cell r="R6966">
            <v>0</v>
          </cell>
          <cell r="S6966">
            <v>0</v>
          </cell>
          <cell r="T6966">
            <v>0</v>
          </cell>
          <cell r="U6966" t="b">
            <v>0</v>
          </cell>
        </row>
        <row r="6967">
          <cell r="A6967" t="str">
            <v>Data split-15;Reg-101</v>
          </cell>
          <cell r="B6967">
            <v>-11.8</v>
          </cell>
          <cell r="C6967">
            <v>0</v>
          </cell>
          <cell r="D6967">
            <v>3.5</v>
          </cell>
          <cell r="E6967">
            <v>-3.2</v>
          </cell>
          <cell r="F6967">
            <v>0</v>
          </cell>
          <cell r="G6967">
            <v>0</v>
          </cell>
          <cell r="H6967">
            <v>0</v>
          </cell>
          <cell r="I6967">
            <v>0</v>
          </cell>
          <cell r="J6967">
            <v>64.400000000000006</v>
          </cell>
          <cell r="K6967">
            <v>0</v>
          </cell>
          <cell r="L6967">
            <v>0</v>
          </cell>
          <cell r="M6967">
            <v>0</v>
          </cell>
          <cell r="N6967">
            <v>0</v>
          </cell>
          <cell r="O6967">
            <v>0</v>
          </cell>
          <cell r="P6967">
            <v>0</v>
          </cell>
          <cell r="Q6967">
            <v>0</v>
          </cell>
          <cell r="R6967">
            <v>0</v>
          </cell>
          <cell r="S6967">
            <v>0</v>
          </cell>
          <cell r="T6967">
            <v>0</v>
          </cell>
          <cell r="U6967" t="b">
            <v>0</v>
          </cell>
        </row>
        <row r="6968">
          <cell r="A6968" t="str">
            <v>Data split-15;Reg-102</v>
          </cell>
          <cell r="B6968">
            <v>-8.6</v>
          </cell>
          <cell r="C6968">
            <v>0</v>
          </cell>
          <cell r="D6968">
            <v>2.4</v>
          </cell>
          <cell r="E6968">
            <v>0</v>
          </cell>
          <cell r="F6968">
            <v>0.14000000000000001</v>
          </cell>
          <cell r="G6968">
            <v>0</v>
          </cell>
          <cell r="H6968">
            <v>0</v>
          </cell>
          <cell r="I6968">
            <v>1.2</v>
          </cell>
          <cell r="J6968">
            <v>0</v>
          </cell>
          <cell r="K6968">
            <v>0</v>
          </cell>
          <cell r="L6968">
            <v>0</v>
          </cell>
          <cell r="M6968">
            <v>0</v>
          </cell>
          <cell r="N6968">
            <v>0</v>
          </cell>
          <cell r="O6968">
            <v>0</v>
          </cell>
          <cell r="P6968">
            <v>0</v>
          </cell>
          <cell r="Q6968">
            <v>0</v>
          </cell>
          <cell r="R6968">
            <v>0</v>
          </cell>
          <cell r="S6968">
            <v>0</v>
          </cell>
          <cell r="T6968">
            <v>0</v>
          </cell>
          <cell r="U6968" t="b">
            <v>0</v>
          </cell>
        </row>
        <row r="6969">
          <cell r="A6969" t="str">
            <v>Data split-15;Reg-103</v>
          </cell>
          <cell r="B6969">
            <v>-11.4</v>
          </cell>
          <cell r="C6969">
            <v>0</v>
          </cell>
          <cell r="D6969">
            <v>2.4</v>
          </cell>
          <cell r="E6969">
            <v>0</v>
          </cell>
          <cell r="F6969">
            <v>0.14000000000000001</v>
          </cell>
          <cell r="G6969">
            <v>0</v>
          </cell>
          <cell r="H6969">
            <v>0</v>
          </cell>
          <cell r="I6969">
            <v>0</v>
          </cell>
          <cell r="J6969">
            <v>22.6</v>
          </cell>
          <cell r="K6969">
            <v>0</v>
          </cell>
          <cell r="L6969">
            <v>0</v>
          </cell>
          <cell r="M6969">
            <v>0</v>
          </cell>
          <cell r="N6969">
            <v>0</v>
          </cell>
          <cell r="O6969">
            <v>0</v>
          </cell>
          <cell r="P6969">
            <v>0</v>
          </cell>
          <cell r="Q6969">
            <v>0</v>
          </cell>
          <cell r="R6969">
            <v>0</v>
          </cell>
          <cell r="S6969">
            <v>0</v>
          </cell>
          <cell r="T6969">
            <v>0</v>
          </cell>
          <cell r="U6969" t="b">
            <v>0</v>
          </cell>
        </row>
        <row r="6970">
          <cell r="A6970" t="str">
            <v>Data split-15;Reg-104</v>
          </cell>
          <cell r="B6970">
            <v>-2.9</v>
          </cell>
          <cell r="C6970">
            <v>3.3</v>
          </cell>
          <cell r="D6970">
            <v>0</v>
          </cell>
          <cell r="E6970">
            <v>-2.2999999999999998</v>
          </cell>
          <cell r="F6970">
            <v>0</v>
          </cell>
          <cell r="G6970">
            <v>0</v>
          </cell>
          <cell r="H6970">
            <v>0</v>
          </cell>
          <cell r="I6970">
            <v>0</v>
          </cell>
          <cell r="J6970">
            <v>0</v>
          </cell>
          <cell r="K6970">
            <v>1.6</v>
          </cell>
          <cell r="L6970">
            <v>0</v>
          </cell>
          <cell r="M6970">
            <v>0</v>
          </cell>
          <cell r="N6970">
            <v>0</v>
          </cell>
          <cell r="O6970">
            <v>0</v>
          </cell>
          <cell r="P6970">
            <v>0</v>
          </cell>
          <cell r="Q6970">
            <v>0</v>
          </cell>
          <cell r="R6970">
            <v>0</v>
          </cell>
          <cell r="S6970">
            <v>0</v>
          </cell>
          <cell r="T6970">
            <v>0</v>
          </cell>
          <cell r="U6970" t="b">
            <v>0</v>
          </cell>
        </row>
        <row r="6971">
          <cell r="A6971" t="str">
            <v>Data split-15;Reg-105</v>
          </cell>
          <cell r="B6971">
            <v>-2.8</v>
          </cell>
          <cell r="C6971">
            <v>3.3</v>
          </cell>
          <cell r="D6971">
            <v>0</v>
          </cell>
          <cell r="E6971">
            <v>-1.8</v>
          </cell>
          <cell r="F6971">
            <v>0</v>
          </cell>
          <cell r="G6971">
            <v>0</v>
          </cell>
          <cell r="H6971">
            <v>0</v>
          </cell>
          <cell r="I6971">
            <v>0</v>
          </cell>
          <cell r="J6971">
            <v>0</v>
          </cell>
          <cell r="K6971">
            <v>0</v>
          </cell>
          <cell r="L6971">
            <v>0.4</v>
          </cell>
          <cell r="M6971">
            <v>0</v>
          </cell>
          <cell r="N6971">
            <v>0</v>
          </cell>
          <cell r="O6971">
            <v>0</v>
          </cell>
          <cell r="P6971">
            <v>0</v>
          </cell>
          <cell r="Q6971">
            <v>0</v>
          </cell>
          <cell r="R6971">
            <v>0</v>
          </cell>
          <cell r="S6971">
            <v>0</v>
          </cell>
          <cell r="T6971">
            <v>0</v>
          </cell>
          <cell r="U6971" t="b">
            <v>0</v>
          </cell>
        </row>
        <row r="6972">
          <cell r="A6972" t="str">
            <v>Data split-15;Reg-106</v>
          </cell>
          <cell r="B6972">
            <v>-6.5</v>
          </cell>
          <cell r="C6972">
            <v>2.5</v>
          </cell>
          <cell r="D6972">
            <v>0</v>
          </cell>
          <cell r="E6972">
            <v>0</v>
          </cell>
          <cell r="F6972">
            <v>0.16</v>
          </cell>
          <cell r="G6972">
            <v>0</v>
          </cell>
          <cell r="H6972">
            <v>0</v>
          </cell>
          <cell r="I6972">
            <v>0</v>
          </cell>
          <cell r="J6972">
            <v>0</v>
          </cell>
          <cell r="K6972">
            <v>-0.37</v>
          </cell>
          <cell r="L6972">
            <v>0</v>
          </cell>
          <cell r="M6972">
            <v>0</v>
          </cell>
          <cell r="N6972">
            <v>0</v>
          </cell>
          <cell r="O6972">
            <v>0</v>
          </cell>
          <cell r="P6972">
            <v>0</v>
          </cell>
          <cell r="Q6972">
            <v>0</v>
          </cell>
          <cell r="R6972">
            <v>0</v>
          </cell>
          <cell r="S6972">
            <v>0</v>
          </cell>
          <cell r="T6972">
            <v>0</v>
          </cell>
          <cell r="U6972" t="b">
            <v>1</v>
          </cell>
        </row>
        <row r="6973">
          <cell r="A6973" t="str">
            <v>Data split-15;Reg-107</v>
          </cell>
          <cell r="B6973">
            <v>-6.2</v>
          </cell>
          <cell r="C6973">
            <v>2.5</v>
          </cell>
          <cell r="D6973">
            <v>0</v>
          </cell>
          <cell r="E6973">
            <v>0</v>
          </cell>
          <cell r="F6973">
            <v>0.16</v>
          </cell>
          <cell r="G6973">
            <v>0</v>
          </cell>
          <cell r="H6973">
            <v>0</v>
          </cell>
          <cell r="I6973">
            <v>0</v>
          </cell>
          <cell r="J6973">
            <v>0</v>
          </cell>
          <cell r="K6973">
            <v>0</v>
          </cell>
          <cell r="L6973">
            <v>-4.2</v>
          </cell>
          <cell r="M6973">
            <v>0</v>
          </cell>
          <cell r="N6973">
            <v>0</v>
          </cell>
          <cell r="O6973">
            <v>0</v>
          </cell>
          <cell r="P6973">
            <v>0</v>
          </cell>
          <cell r="Q6973">
            <v>0</v>
          </cell>
          <cell r="R6973">
            <v>0</v>
          </cell>
          <cell r="S6973">
            <v>0</v>
          </cell>
          <cell r="T6973">
            <v>0</v>
          </cell>
          <cell r="U6973" t="b">
            <v>1</v>
          </cell>
        </row>
        <row r="6974">
          <cell r="A6974" t="str">
            <v>Data split-15;Reg-108</v>
          </cell>
          <cell r="B6974">
            <v>-3.5</v>
          </cell>
          <cell r="C6974">
            <v>0</v>
          </cell>
          <cell r="D6974">
            <v>3.4</v>
          </cell>
          <cell r="E6974">
            <v>-2.2999999999999998</v>
          </cell>
          <cell r="F6974">
            <v>0</v>
          </cell>
          <cell r="G6974">
            <v>0</v>
          </cell>
          <cell r="H6974">
            <v>0</v>
          </cell>
          <cell r="I6974">
            <v>0</v>
          </cell>
          <cell r="J6974">
            <v>0</v>
          </cell>
          <cell r="K6974">
            <v>1.6</v>
          </cell>
          <cell r="L6974">
            <v>0</v>
          </cell>
          <cell r="M6974">
            <v>0</v>
          </cell>
          <cell r="N6974">
            <v>0</v>
          </cell>
          <cell r="O6974">
            <v>0</v>
          </cell>
          <cell r="P6974">
            <v>0</v>
          </cell>
          <cell r="Q6974">
            <v>0</v>
          </cell>
          <cell r="R6974">
            <v>0</v>
          </cell>
          <cell r="S6974">
            <v>0</v>
          </cell>
          <cell r="T6974">
            <v>0</v>
          </cell>
          <cell r="U6974" t="b">
            <v>0</v>
          </cell>
        </row>
        <row r="6975">
          <cell r="A6975" t="str">
            <v>Data split-15;Reg-109</v>
          </cell>
          <cell r="B6975">
            <v>-3.3</v>
          </cell>
          <cell r="C6975">
            <v>0</v>
          </cell>
          <cell r="D6975">
            <v>3.4</v>
          </cell>
          <cell r="E6975">
            <v>-1.9</v>
          </cell>
          <cell r="F6975">
            <v>0</v>
          </cell>
          <cell r="G6975">
            <v>0</v>
          </cell>
          <cell r="H6975">
            <v>0</v>
          </cell>
          <cell r="I6975">
            <v>0</v>
          </cell>
          <cell r="J6975">
            <v>0</v>
          </cell>
          <cell r="K6975">
            <v>0</v>
          </cell>
          <cell r="L6975">
            <v>-0.12</v>
          </cell>
          <cell r="M6975">
            <v>0</v>
          </cell>
          <cell r="N6975">
            <v>0</v>
          </cell>
          <cell r="O6975">
            <v>0</v>
          </cell>
          <cell r="P6975">
            <v>0</v>
          </cell>
          <cell r="Q6975">
            <v>0</v>
          </cell>
          <cell r="R6975">
            <v>0</v>
          </cell>
          <cell r="S6975">
            <v>0</v>
          </cell>
          <cell r="T6975">
            <v>0</v>
          </cell>
          <cell r="U6975" t="b">
            <v>0</v>
          </cell>
        </row>
        <row r="6976">
          <cell r="A6976" t="str">
            <v>Data split-15;Reg-110</v>
          </cell>
          <cell r="B6976">
            <v>-7.1</v>
          </cell>
          <cell r="C6976">
            <v>0</v>
          </cell>
          <cell r="D6976">
            <v>2.6</v>
          </cell>
          <cell r="E6976">
            <v>0</v>
          </cell>
          <cell r="F6976">
            <v>0.16</v>
          </cell>
          <cell r="G6976">
            <v>0</v>
          </cell>
          <cell r="H6976">
            <v>0</v>
          </cell>
          <cell r="I6976">
            <v>0</v>
          </cell>
          <cell r="J6976">
            <v>0</v>
          </cell>
          <cell r="K6976">
            <v>-0.46</v>
          </cell>
          <cell r="L6976">
            <v>0</v>
          </cell>
          <cell r="M6976">
            <v>0</v>
          </cell>
          <cell r="N6976">
            <v>0</v>
          </cell>
          <cell r="O6976">
            <v>0</v>
          </cell>
          <cell r="P6976">
            <v>0</v>
          </cell>
          <cell r="Q6976">
            <v>0</v>
          </cell>
          <cell r="R6976">
            <v>0</v>
          </cell>
          <cell r="S6976">
            <v>0</v>
          </cell>
          <cell r="T6976">
            <v>0</v>
          </cell>
          <cell r="U6976" t="b">
            <v>1</v>
          </cell>
        </row>
        <row r="6977">
          <cell r="A6977" t="str">
            <v>Data split-15;Reg-111</v>
          </cell>
          <cell r="B6977">
            <v>-6.7</v>
          </cell>
          <cell r="C6977">
            <v>0</v>
          </cell>
          <cell r="D6977">
            <v>2.6</v>
          </cell>
          <cell r="E6977">
            <v>0</v>
          </cell>
          <cell r="F6977">
            <v>0.15</v>
          </cell>
          <cell r="G6977">
            <v>0</v>
          </cell>
          <cell r="H6977">
            <v>0</v>
          </cell>
          <cell r="I6977">
            <v>0</v>
          </cell>
          <cell r="J6977">
            <v>0</v>
          </cell>
          <cell r="K6977">
            <v>0</v>
          </cell>
          <cell r="L6977">
            <v>-4.8</v>
          </cell>
          <cell r="M6977">
            <v>0</v>
          </cell>
          <cell r="N6977">
            <v>0</v>
          </cell>
          <cell r="O6977">
            <v>0</v>
          </cell>
          <cell r="P6977">
            <v>0</v>
          </cell>
          <cell r="Q6977">
            <v>0</v>
          </cell>
          <cell r="R6977">
            <v>0</v>
          </cell>
          <cell r="S6977">
            <v>0</v>
          </cell>
          <cell r="T6977">
            <v>0</v>
          </cell>
          <cell r="U6977" t="b">
            <v>1</v>
          </cell>
        </row>
        <row r="6978">
          <cell r="A6978" t="str">
            <v>Data split-15;Reg-112</v>
          </cell>
          <cell r="B6978">
            <v>-6.7</v>
          </cell>
          <cell r="C6978">
            <v>3.1</v>
          </cell>
          <cell r="D6978">
            <v>0</v>
          </cell>
          <cell r="E6978">
            <v>0</v>
          </cell>
          <cell r="F6978">
            <v>0</v>
          </cell>
          <cell r="G6978">
            <v>-2.6</v>
          </cell>
          <cell r="H6978">
            <v>0</v>
          </cell>
          <cell r="I6978">
            <v>6.8</v>
          </cell>
          <cell r="J6978">
            <v>0</v>
          </cell>
          <cell r="K6978">
            <v>0</v>
          </cell>
          <cell r="L6978">
            <v>0</v>
          </cell>
          <cell r="M6978">
            <v>0</v>
          </cell>
          <cell r="N6978">
            <v>0</v>
          </cell>
          <cell r="O6978">
            <v>0</v>
          </cell>
          <cell r="P6978">
            <v>0</v>
          </cell>
          <cell r="Q6978">
            <v>0</v>
          </cell>
          <cell r="R6978">
            <v>0</v>
          </cell>
          <cell r="S6978">
            <v>0</v>
          </cell>
          <cell r="T6978">
            <v>0</v>
          </cell>
          <cell r="U6978" t="b">
            <v>0</v>
          </cell>
        </row>
        <row r="6979">
          <cell r="A6979" t="str">
            <v>Data split-15;Reg-113</v>
          </cell>
          <cell r="B6979">
            <v>-11.2</v>
          </cell>
          <cell r="C6979">
            <v>3.2</v>
          </cell>
          <cell r="D6979">
            <v>0</v>
          </cell>
          <cell r="E6979">
            <v>0</v>
          </cell>
          <cell r="F6979">
            <v>0</v>
          </cell>
          <cell r="G6979">
            <v>-2.1</v>
          </cell>
          <cell r="H6979">
            <v>0</v>
          </cell>
          <cell r="I6979">
            <v>0</v>
          </cell>
          <cell r="J6979">
            <v>55.8</v>
          </cell>
          <cell r="K6979">
            <v>0</v>
          </cell>
          <cell r="L6979">
            <v>0</v>
          </cell>
          <cell r="M6979">
            <v>0</v>
          </cell>
          <cell r="N6979">
            <v>0</v>
          </cell>
          <cell r="O6979">
            <v>0</v>
          </cell>
          <cell r="P6979">
            <v>0</v>
          </cell>
          <cell r="Q6979">
            <v>0</v>
          </cell>
          <cell r="R6979">
            <v>0</v>
          </cell>
          <cell r="S6979">
            <v>0</v>
          </cell>
          <cell r="T6979">
            <v>0</v>
          </cell>
          <cell r="U6979" t="b">
            <v>0</v>
          </cell>
        </row>
        <row r="6980">
          <cell r="A6980" t="str">
            <v>Data split-15;Reg-114</v>
          </cell>
          <cell r="B6980">
            <v>-7.1</v>
          </cell>
          <cell r="C6980">
            <v>3.4</v>
          </cell>
          <cell r="D6980">
            <v>0</v>
          </cell>
          <cell r="E6980">
            <v>0</v>
          </cell>
          <cell r="F6980">
            <v>0</v>
          </cell>
          <cell r="G6980">
            <v>0</v>
          </cell>
          <cell r="H6980">
            <v>-4.4000000000000004</v>
          </cell>
          <cell r="I6980">
            <v>7.2</v>
          </cell>
          <cell r="J6980">
            <v>0</v>
          </cell>
          <cell r="K6980">
            <v>0</v>
          </cell>
          <cell r="L6980">
            <v>0</v>
          </cell>
          <cell r="M6980">
            <v>0</v>
          </cell>
          <cell r="N6980">
            <v>0</v>
          </cell>
          <cell r="O6980">
            <v>0</v>
          </cell>
          <cell r="P6980">
            <v>0</v>
          </cell>
          <cell r="Q6980">
            <v>0</v>
          </cell>
          <cell r="R6980">
            <v>0</v>
          </cell>
          <cell r="S6980">
            <v>0</v>
          </cell>
          <cell r="T6980">
            <v>0</v>
          </cell>
          <cell r="U6980" t="b">
            <v>0</v>
          </cell>
        </row>
        <row r="6981">
          <cell r="A6981" t="str">
            <v>Data split-15;Reg-115</v>
          </cell>
          <cell r="B6981">
            <v>-12.1</v>
          </cell>
          <cell r="C6981">
            <v>3.4</v>
          </cell>
          <cell r="D6981">
            <v>0</v>
          </cell>
          <cell r="E6981">
            <v>0</v>
          </cell>
          <cell r="F6981">
            <v>0</v>
          </cell>
          <cell r="G6981">
            <v>0</v>
          </cell>
          <cell r="H6981">
            <v>-3.6</v>
          </cell>
          <cell r="I6981">
            <v>0</v>
          </cell>
          <cell r="J6981">
            <v>62.1</v>
          </cell>
          <cell r="K6981">
            <v>0</v>
          </cell>
          <cell r="L6981">
            <v>0</v>
          </cell>
          <cell r="M6981">
            <v>0</v>
          </cell>
          <cell r="N6981">
            <v>0</v>
          </cell>
          <cell r="O6981">
            <v>0</v>
          </cell>
          <cell r="P6981">
            <v>0</v>
          </cell>
          <cell r="Q6981">
            <v>0</v>
          </cell>
          <cell r="R6981">
            <v>0</v>
          </cell>
          <cell r="S6981">
            <v>0</v>
          </cell>
          <cell r="T6981">
            <v>0</v>
          </cell>
          <cell r="U6981" t="b">
            <v>0</v>
          </cell>
        </row>
        <row r="6982">
          <cell r="A6982" t="str">
            <v>Data split-15;Reg-116</v>
          </cell>
          <cell r="B6982">
            <v>-7.1</v>
          </cell>
          <cell r="C6982">
            <v>0</v>
          </cell>
          <cell r="D6982">
            <v>3.2</v>
          </cell>
          <cell r="E6982">
            <v>0</v>
          </cell>
          <cell r="F6982">
            <v>0</v>
          </cell>
          <cell r="G6982">
            <v>-2.6</v>
          </cell>
          <cell r="H6982">
            <v>0</v>
          </cell>
          <cell r="I6982">
            <v>6.3</v>
          </cell>
          <cell r="J6982">
            <v>0</v>
          </cell>
          <cell r="K6982">
            <v>0</v>
          </cell>
          <cell r="L6982">
            <v>0</v>
          </cell>
          <cell r="M6982">
            <v>0</v>
          </cell>
          <cell r="N6982">
            <v>0</v>
          </cell>
          <cell r="O6982">
            <v>0</v>
          </cell>
          <cell r="P6982">
            <v>0</v>
          </cell>
          <cell r="Q6982">
            <v>0</v>
          </cell>
          <cell r="R6982">
            <v>0</v>
          </cell>
          <cell r="S6982">
            <v>0</v>
          </cell>
          <cell r="T6982">
            <v>0</v>
          </cell>
          <cell r="U6982" t="b">
            <v>0</v>
          </cell>
        </row>
        <row r="6983">
          <cell r="A6983" t="str">
            <v>Data split-15;Reg-117</v>
          </cell>
          <cell r="B6983">
            <v>-10.9</v>
          </cell>
          <cell r="C6983">
            <v>0</v>
          </cell>
          <cell r="D6983">
            <v>3.2</v>
          </cell>
          <cell r="E6983">
            <v>0</v>
          </cell>
          <cell r="F6983">
            <v>0</v>
          </cell>
          <cell r="G6983">
            <v>-2</v>
          </cell>
          <cell r="H6983">
            <v>0</v>
          </cell>
          <cell r="I6983">
            <v>0</v>
          </cell>
          <cell r="J6983">
            <v>50</v>
          </cell>
          <cell r="K6983">
            <v>0</v>
          </cell>
          <cell r="L6983">
            <v>0</v>
          </cell>
          <cell r="M6983">
            <v>0</v>
          </cell>
          <cell r="N6983">
            <v>0</v>
          </cell>
          <cell r="O6983">
            <v>0</v>
          </cell>
          <cell r="P6983">
            <v>0</v>
          </cell>
          <cell r="Q6983">
            <v>0</v>
          </cell>
          <cell r="R6983">
            <v>0</v>
          </cell>
          <cell r="S6983">
            <v>0</v>
          </cell>
          <cell r="T6983">
            <v>0</v>
          </cell>
          <cell r="U6983" t="b">
            <v>0</v>
          </cell>
        </row>
        <row r="6984">
          <cell r="A6984" t="str">
            <v>Data split-15;Reg-118</v>
          </cell>
          <cell r="B6984">
            <v>-7.5</v>
          </cell>
          <cell r="C6984">
            <v>0</v>
          </cell>
          <cell r="D6984">
            <v>3.4</v>
          </cell>
          <cell r="E6984">
            <v>0</v>
          </cell>
          <cell r="F6984">
            <v>0</v>
          </cell>
          <cell r="G6984">
            <v>0</v>
          </cell>
          <cell r="H6984">
            <v>-4.2</v>
          </cell>
          <cell r="I6984">
            <v>6.6</v>
          </cell>
          <cell r="J6984">
            <v>0</v>
          </cell>
          <cell r="K6984">
            <v>0</v>
          </cell>
          <cell r="L6984">
            <v>0</v>
          </cell>
          <cell r="M6984">
            <v>0</v>
          </cell>
          <cell r="N6984">
            <v>0</v>
          </cell>
          <cell r="O6984">
            <v>0</v>
          </cell>
          <cell r="P6984">
            <v>0</v>
          </cell>
          <cell r="Q6984">
            <v>0</v>
          </cell>
          <cell r="R6984">
            <v>0</v>
          </cell>
          <cell r="S6984">
            <v>0</v>
          </cell>
          <cell r="T6984">
            <v>0</v>
          </cell>
          <cell r="U6984" t="b">
            <v>0</v>
          </cell>
        </row>
        <row r="6985">
          <cell r="A6985" t="str">
            <v>Data split-15;Reg-119</v>
          </cell>
          <cell r="B6985">
            <v>-11.7</v>
          </cell>
          <cell r="C6985">
            <v>0</v>
          </cell>
          <cell r="D6985">
            <v>3.4</v>
          </cell>
          <cell r="E6985">
            <v>0</v>
          </cell>
          <cell r="F6985">
            <v>0</v>
          </cell>
          <cell r="G6985">
            <v>0</v>
          </cell>
          <cell r="H6985">
            <v>-3.4</v>
          </cell>
          <cell r="I6985">
            <v>0</v>
          </cell>
          <cell r="J6985">
            <v>54.9</v>
          </cell>
          <cell r="K6985">
            <v>0</v>
          </cell>
          <cell r="L6985">
            <v>0</v>
          </cell>
          <cell r="M6985">
            <v>0</v>
          </cell>
          <cell r="N6985">
            <v>0</v>
          </cell>
          <cell r="O6985">
            <v>0</v>
          </cell>
          <cell r="P6985">
            <v>0</v>
          </cell>
          <cell r="Q6985">
            <v>0</v>
          </cell>
          <cell r="R6985">
            <v>0</v>
          </cell>
          <cell r="S6985">
            <v>0</v>
          </cell>
          <cell r="T6985">
            <v>0</v>
          </cell>
          <cell r="U6985" t="b">
            <v>0</v>
          </cell>
        </row>
        <row r="6986">
          <cell r="A6986" t="str">
            <v>Data split-15;Reg-120</v>
          </cell>
          <cell r="B6986">
            <v>-3.5</v>
          </cell>
          <cell r="C6986">
            <v>3.1</v>
          </cell>
          <cell r="D6986">
            <v>0</v>
          </cell>
          <cell r="E6986">
            <v>0</v>
          </cell>
          <cell r="F6986">
            <v>0</v>
          </cell>
          <cell r="G6986">
            <v>-1.3</v>
          </cell>
          <cell r="H6986">
            <v>0</v>
          </cell>
          <cell r="I6986">
            <v>0</v>
          </cell>
          <cell r="J6986">
            <v>0</v>
          </cell>
          <cell r="K6986">
            <v>0.39</v>
          </cell>
          <cell r="L6986">
            <v>0</v>
          </cell>
          <cell r="M6986">
            <v>0</v>
          </cell>
          <cell r="N6986">
            <v>0</v>
          </cell>
          <cell r="O6986">
            <v>0</v>
          </cell>
          <cell r="P6986">
            <v>0</v>
          </cell>
          <cell r="Q6986">
            <v>0</v>
          </cell>
          <cell r="R6986">
            <v>0</v>
          </cell>
          <cell r="S6986">
            <v>0</v>
          </cell>
          <cell r="T6986">
            <v>0</v>
          </cell>
          <cell r="U6986" t="b">
            <v>0</v>
          </cell>
        </row>
        <row r="6987">
          <cell r="A6987" t="str">
            <v>Data split-15;Reg-121</v>
          </cell>
          <cell r="B6987">
            <v>-2.5</v>
          </cell>
          <cell r="C6987">
            <v>3.2</v>
          </cell>
          <cell r="D6987">
            <v>0</v>
          </cell>
          <cell r="E6987">
            <v>0</v>
          </cell>
          <cell r="F6987">
            <v>0</v>
          </cell>
          <cell r="G6987">
            <v>-1.3</v>
          </cell>
          <cell r="H6987">
            <v>0</v>
          </cell>
          <cell r="I6987">
            <v>0</v>
          </cell>
          <cell r="J6987">
            <v>0</v>
          </cell>
          <cell r="K6987">
            <v>0</v>
          </cell>
          <cell r="L6987">
            <v>-5.6</v>
          </cell>
          <cell r="M6987">
            <v>0</v>
          </cell>
          <cell r="N6987">
            <v>0</v>
          </cell>
          <cell r="O6987">
            <v>0</v>
          </cell>
          <cell r="P6987">
            <v>0</v>
          </cell>
          <cell r="Q6987">
            <v>0</v>
          </cell>
          <cell r="R6987">
            <v>0</v>
          </cell>
          <cell r="S6987">
            <v>0</v>
          </cell>
          <cell r="T6987">
            <v>0</v>
          </cell>
          <cell r="U6987" t="b">
            <v>0</v>
          </cell>
        </row>
        <row r="6988">
          <cell r="A6988" t="str">
            <v>Data split-15;Reg-122</v>
          </cell>
          <cell r="B6988">
            <v>-3.9</v>
          </cell>
          <cell r="C6988">
            <v>3.2</v>
          </cell>
          <cell r="D6988">
            <v>0</v>
          </cell>
          <cell r="E6988">
            <v>0</v>
          </cell>
          <cell r="F6988">
            <v>0</v>
          </cell>
          <cell r="G6988">
            <v>0</v>
          </cell>
          <cell r="H6988">
            <v>-2.1</v>
          </cell>
          <cell r="I6988">
            <v>0</v>
          </cell>
          <cell r="J6988">
            <v>0</v>
          </cell>
          <cell r="K6988">
            <v>0.69</v>
          </cell>
          <cell r="L6988">
            <v>0</v>
          </cell>
          <cell r="M6988">
            <v>0</v>
          </cell>
          <cell r="N6988">
            <v>0</v>
          </cell>
          <cell r="O6988">
            <v>0</v>
          </cell>
          <cell r="P6988">
            <v>0</v>
          </cell>
          <cell r="Q6988">
            <v>0</v>
          </cell>
          <cell r="R6988">
            <v>0</v>
          </cell>
          <cell r="S6988">
            <v>0</v>
          </cell>
          <cell r="T6988">
            <v>0</v>
          </cell>
          <cell r="U6988" t="b">
            <v>0</v>
          </cell>
        </row>
        <row r="6989">
          <cell r="A6989" t="str">
            <v>Data split-15;Reg-123</v>
          </cell>
          <cell r="B6989">
            <v>-3.2</v>
          </cell>
          <cell r="C6989">
            <v>3.2</v>
          </cell>
          <cell r="D6989">
            <v>0</v>
          </cell>
          <cell r="E6989">
            <v>0</v>
          </cell>
          <cell r="F6989">
            <v>0</v>
          </cell>
          <cell r="G6989">
            <v>0</v>
          </cell>
          <cell r="H6989">
            <v>-1.9</v>
          </cell>
          <cell r="I6989">
            <v>0</v>
          </cell>
          <cell r="J6989">
            <v>0</v>
          </cell>
          <cell r="K6989">
            <v>0</v>
          </cell>
          <cell r="L6989">
            <v>-3.3</v>
          </cell>
          <cell r="M6989">
            <v>0</v>
          </cell>
          <cell r="N6989">
            <v>0</v>
          </cell>
          <cell r="O6989">
            <v>0</v>
          </cell>
          <cell r="P6989">
            <v>0</v>
          </cell>
          <cell r="Q6989">
            <v>0</v>
          </cell>
          <cell r="R6989">
            <v>0</v>
          </cell>
          <cell r="S6989">
            <v>0</v>
          </cell>
          <cell r="T6989">
            <v>0</v>
          </cell>
          <cell r="U6989" t="b">
            <v>0</v>
          </cell>
        </row>
        <row r="6990">
          <cell r="A6990" t="str">
            <v>Data split-15;Reg-124</v>
          </cell>
          <cell r="B6990">
            <v>-4.0999999999999996</v>
          </cell>
          <cell r="C6990">
            <v>0</v>
          </cell>
          <cell r="D6990">
            <v>3.2</v>
          </cell>
          <cell r="E6990">
            <v>0</v>
          </cell>
          <cell r="F6990">
            <v>0</v>
          </cell>
          <cell r="G6990">
            <v>-1.4</v>
          </cell>
          <cell r="H6990">
            <v>0</v>
          </cell>
          <cell r="I6990">
            <v>0</v>
          </cell>
          <cell r="J6990">
            <v>0</v>
          </cell>
          <cell r="K6990">
            <v>0.3</v>
          </cell>
          <cell r="L6990">
            <v>0</v>
          </cell>
          <cell r="M6990">
            <v>0</v>
          </cell>
          <cell r="N6990">
            <v>0</v>
          </cell>
          <cell r="O6990">
            <v>0</v>
          </cell>
          <cell r="P6990">
            <v>0</v>
          </cell>
          <cell r="Q6990">
            <v>0</v>
          </cell>
          <cell r="R6990">
            <v>0</v>
          </cell>
          <cell r="S6990">
            <v>0</v>
          </cell>
          <cell r="T6990">
            <v>0</v>
          </cell>
          <cell r="U6990" t="b">
            <v>0</v>
          </cell>
        </row>
        <row r="6991">
          <cell r="A6991" t="str">
            <v>Data split-15;Reg-125</v>
          </cell>
          <cell r="B6991">
            <v>-2.9</v>
          </cell>
          <cell r="C6991">
            <v>0</v>
          </cell>
          <cell r="D6991">
            <v>3.3</v>
          </cell>
          <cell r="E6991">
            <v>0</v>
          </cell>
          <cell r="F6991">
            <v>0</v>
          </cell>
          <cell r="G6991">
            <v>-1.4</v>
          </cell>
          <cell r="H6991">
            <v>0</v>
          </cell>
          <cell r="I6991">
            <v>0</v>
          </cell>
          <cell r="J6991">
            <v>0</v>
          </cell>
          <cell r="K6991">
            <v>0</v>
          </cell>
          <cell r="L6991">
            <v>-6.3</v>
          </cell>
          <cell r="M6991">
            <v>0</v>
          </cell>
          <cell r="N6991">
            <v>0</v>
          </cell>
          <cell r="O6991">
            <v>0</v>
          </cell>
          <cell r="P6991">
            <v>0</v>
          </cell>
          <cell r="Q6991">
            <v>0</v>
          </cell>
          <cell r="R6991">
            <v>0</v>
          </cell>
          <cell r="S6991">
            <v>0</v>
          </cell>
          <cell r="T6991">
            <v>0</v>
          </cell>
          <cell r="U6991" t="b">
            <v>0</v>
          </cell>
        </row>
        <row r="6992">
          <cell r="A6992" t="str">
            <v>Data split-15;Reg-126</v>
          </cell>
          <cell r="B6992">
            <v>-4.5</v>
          </cell>
          <cell r="C6992">
            <v>0</v>
          </cell>
          <cell r="D6992">
            <v>3.3</v>
          </cell>
          <cell r="E6992">
            <v>0</v>
          </cell>
          <cell r="F6992">
            <v>0</v>
          </cell>
          <cell r="G6992">
            <v>0</v>
          </cell>
          <cell r="H6992">
            <v>-2.2000000000000002</v>
          </cell>
          <cell r="I6992">
            <v>0</v>
          </cell>
          <cell r="J6992">
            <v>0</v>
          </cell>
          <cell r="K6992">
            <v>0.6</v>
          </cell>
          <cell r="L6992">
            <v>0</v>
          </cell>
          <cell r="M6992">
            <v>0</v>
          </cell>
          <cell r="N6992">
            <v>0</v>
          </cell>
          <cell r="O6992">
            <v>0</v>
          </cell>
          <cell r="P6992">
            <v>0</v>
          </cell>
          <cell r="Q6992">
            <v>0</v>
          </cell>
          <cell r="R6992">
            <v>0</v>
          </cell>
          <cell r="S6992">
            <v>0</v>
          </cell>
          <cell r="T6992">
            <v>0</v>
          </cell>
          <cell r="U6992" t="b">
            <v>0</v>
          </cell>
        </row>
        <row r="6993">
          <cell r="A6993" t="str">
            <v>Data split-15;Reg-127</v>
          </cell>
          <cell r="B6993">
            <v>-3.8</v>
          </cell>
          <cell r="C6993">
            <v>0</v>
          </cell>
          <cell r="D6993">
            <v>3.3</v>
          </cell>
          <cell r="E6993">
            <v>0</v>
          </cell>
          <cell r="F6993">
            <v>0</v>
          </cell>
          <cell r="G6993">
            <v>0</v>
          </cell>
          <cell r="H6993">
            <v>-2</v>
          </cell>
          <cell r="I6993">
            <v>0</v>
          </cell>
          <cell r="J6993">
            <v>0</v>
          </cell>
          <cell r="K6993">
            <v>0</v>
          </cell>
          <cell r="L6993">
            <v>-3.9</v>
          </cell>
          <cell r="M6993">
            <v>0</v>
          </cell>
          <cell r="N6993">
            <v>0</v>
          </cell>
          <cell r="O6993">
            <v>0</v>
          </cell>
          <cell r="P6993">
            <v>0</v>
          </cell>
          <cell r="Q6993">
            <v>0</v>
          </cell>
          <cell r="R6993">
            <v>0</v>
          </cell>
          <cell r="S6993">
            <v>0</v>
          </cell>
          <cell r="T6993">
            <v>0</v>
          </cell>
          <cell r="U6993" t="b">
            <v>0</v>
          </cell>
        </row>
        <row r="6994">
          <cell r="A6994" t="str">
            <v>Data split-16;Reg-1</v>
          </cell>
          <cell r="B6994">
            <v>-3.5</v>
          </cell>
          <cell r="C6994">
            <v>1.7</v>
          </cell>
          <cell r="D6994">
            <v>0</v>
          </cell>
          <cell r="E6994">
            <v>0</v>
          </cell>
          <cell r="F6994">
            <v>0.18</v>
          </cell>
          <cell r="G6994">
            <v>0</v>
          </cell>
          <cell r="H6994">
            <v>0</v>
          </cell>
          <cell r="I6994">
            <v>0</v>
          </cell>
          <cell r="J6994">
            <v>0</v>
          </cell>
          <cell r="K6994">
            <v>0</v>
          </cell>
          <cell r="L6994">
            <v>6.7</v>
          </cell>
          <cell r="M6994">
            <v>0</v>
          </cell>
          <cell r="N6994">
            <v>0</v>
          </cell>
          <cell r="O6994">
            <v>0</v>
          </cell>
          <cell r="P6994">
            <v>0</v>
          </cell>
          <cell r="Q6994">
            <v>0</v>
          </cell>
          <cell r="R6994">
            <v>0</v>
          </cell>
          <cell r="S6994">
            <v>0</v>
          </cell>
          <cell r="T6994">
            <v>0</v>
          </cell>
          <cell r="U6994" t="b">
            <v>0</v>
          </cell>
        </row>
        <row r="6995">
          <cell r="A6995" t="str">
            <v>Data split-16;Reg-2</v>
          </cell>
          <cell r="B6995">
            <v>-3.1</v>
          </cell>
          <cell r="C6995">
            <v>1.9</v>
          </cell>
          <cell r="D6995">
            <v>0</v>
          </cell>
          <cell r="E6995">
            <v>0</v>
          </cell>
          <cell r="F6995">
            <v>0.16</v>
          </cell>
          <cell r="G6995">
            <v>-0.33</v>
          </cell>
          <cell r="H6995">
            <v>0</v>
          </cell>
          <cell r="I6995">
            <v>0</v>
          </cell>
          <cell r="J6995">
            <v>0</v>
          </cell>
          <cell r="K6995">
            <v>0</v>
          </cell>
          <cell r="L6995">
            <v>0</v>
          </cell>
          <cell r="M6995">
            <v>3.6999999999999998E-2</v>
          </cell>
          <cell r="N6995">
            <v>0</v>
          </cell>
          <cell r="O6995">
            <v>0</v>
          </cell>
          <cell r="P6995">
            <v>0</v>
          </cell>
          <cell r="Q6995">
            <v>0</v>
          </cell>
          <cell r="R6995">
            <v>0</v>
          </cell>
          <cell r="S6995">
            <v>0</v>
          </cell>
          <cell r="T6995">
            <v>0</v>
          </cell>
          <cell r="U6995" t="b">
            <v>0</v>
          </cell>
        </row>
        <row r="6996">
          <cell r="A6996" t="str">
            <v>Data split-16;Reg-3</v>
          </cell>
          <cell r="B6996">
            <v>-2.8</v>
          </cell>
          <cell r="C6996">
            <v>1.8</v>
          </cell>
          <cell r="D6996">
            <v>0</v>
          </cell>
          <cell r="E6996">
            <v>0</v>
          </cell>
          <cell r="F6996">
            <v>0.16</v>
          </cell>
          <cell r="G6996">
            <v>-0.38</v>
          </cell>
          <cell r="H6996">
            <v>0</v>
          </cell>
          <cell r="I6996">
            <v>0</v>
          </cell>
          <cell r="J6996">
            <v>0</v>
          </cell>
          <cell r="K6996">
            <v>0</v>
          </cell>
          <cell r="L6996">
            <v>0</v>
          </cell>
          <cell r="M6996">
            <v>0</v>
          </cell>
          <cell r="N6996">
            <v>9.1000000000000004E-3</v>
          </cell>
          <cell r="O6996">
            <v>0</v>
          </cell>
          <cell r="P6996">
            <v>0</v>
          </cell>
          <cell r="Q6996">
            <v>0</v>
          </cell>
          <cell r="R6996">
            <v>0</v>
          </cell>
          <cell r="S6996">
            <v>0</v>
          </cell>
          <cell r="T6996">
            <v>0</v>
          </cell>
          <cell r="U6996" t="b">
            <v>0</v>
          </cell>
        </row>
        <row r="6997">
          <cell r="A6997" t="str">
            <v>Data split-16;Reg-4</v>
          </cell>
          <cell r="B6997">
            <v>-3.5</v>
          </cell>
          <cell r="C6997">
            <v>1.4</v>
          </cell>
          <cell r="D6997">
            <v>0</v>
          </cell>
          <cell r="E6997">
            <v>0</v>
          </cell>
          <cell r="F6997">
            <v>0.16</v>
          </cell>
          <cell r="G6997">
            <v>0</v>
          </cell>
          <cell r="H6997">
            <v>1.3</v>
          </cell>
          <cell r="I6997">
            <v>0</v>
          </cell>
          <cell r="J6997">
            <v>0</v>
          </cell>
          <cell r="K6997">
            <v>0</v>
          </cell>
          <cell r="L6997">
            <v>0</v>
          </cell>
          <cell r="M6997">
            <v>-2.7E-2</v>
          </cell>
          <cell r="N6997">
            <v>0</v>
          </cell>
          <cell r="O6997">
            <v>0</v>
          </cell>
          <cell r="P6997">
            <v>0</v>
          </cell>
          <cell r="Q6997">
            <v>0</v>
          </cell>
          <cell r="R6997">
            <v>0</v>
          </cell>
          <cell r="S6997">
            <v>0</v>
          </cell>
          <cell r="T6997">
            <v>0</v>
          </cell>
          <cell r="U6997" t="b">
            <v>1</v>
          </cell>
        </row>
        <row r="6998">
          <cell r="A6998" t="str">
            <v>Data split-16;Reg-5</v>
          </cell>
          <cell r="B6998">
            <v>-3.5</v>
          </cell>
          <cell r="C6998">
            <v>0</v>
          </cell>
          <cell r="D6998">
            <v>1.4</v>
          </cell>
          <cell r="E6998">
            <v>0</v>
          </cell>
          <cell r="F6998">
            <v>0.16</v>
          </cell>
          <cell r="G6998">
            <v>0</v>
          </cell>
          <cell r="H6998">
            <v>1.3</v>
          </cell>
          <cell r="I6998">
            <v>0</v>
          </cell>
          <cell r="J6998">
            <v>0</v>
          </cell>
          <cell r="K6998">
            <v>0</v>
          </cell>
          <cell r="L6998">
            <v>0</v>
          </cell>
          <cell r="M6998">
            <v>-2.7E-2</v>
          </cell>
          <cell r="N6998">
            <v>0</v>
          </cell>
          <cell r="O6998">
            <v>0</v>
          </cell>
          <cell r="P6998">
            <v>0</v>
          </cell>
          <cell r="Q6998">
            <v>0</v>
          </cell>
          <cell r="R6998">
            <v>0</v>
          </cell>
          <cell r="S6998">
            <v>0</v>
          </cell>
          <cell r="T6998">
            <v>0</v>
          </cell>
          <cell r="U6998" t="b">
            <v>1</v>
          </cell>
        </row>
        <row r="6999">
          <cell r="A6999" t="str">
            <v>Data split-16;Reg-6</v>
          </cell>
          <cell r="B6999">
            <v>-4.5999999999999996</v>
          </cell>
          <cell r="C6999">
            <v>1.9</v>
          </cell>
          <cell r="D6999">
            <v>0</v>
          </cell>
          <cell r="E6999">
            <v>0.37</v>
          </cell>
          <cell r="F6999">
            <v>0</v>
          </cell>
          <cell r="G6999">
            <v>0</v>
          </cell>
          <cell r="H6999">
            <v>0</v>
          </cell>
          <cell r="I6999">
            <v>0</v>
          </cell>
          <cell r="J6999">
            <v>0</v>
          </cell>
          <cell r="K6999">
            <v>0</v>
          </cell>
          <cell r="L6999">
            <v>3.2</v>
          </cell>
          <cell r="M6999">
            <v>-6.4000000000000005E-4</v>
          </cell>
          <cell r="N6999">
            <v>0</v>
          </cell>
          <cell r="O6999">
            <v>0</v>
          </cell>
          <cell r="P6999">
            <v>0</v>
          </cell>
          <cell r="Q6999">
            <v>0</v>
          </cell>
          <cell r="R6999">
            <v>0</v>
          </cell>
          <cell r="S6999">
            <v>0</v>
          </cell>
          <cell r="T6999">
            <v>0</v>
          </cell>
          <cell r="U6999" t="b">
            <v>0</v>
          </cell>
        </row>
        <row r="7000">
          <cell r="A7000" t="str">
            <v>Data split-16;Reg-7</v>
          </cell>
          <cell r="B7000">
            <v>-3.7</v>
          </cell>
          <cell r="C7000">
            <v>1.7</v>
          </cell>
          <cell r="D7000">
            <v>0</v>
          </cell>
          <cell r="E7000">
            <v>0</v>
          </cell>
          <cell r="F7000">
            <v>0.18</v>
          </cell>
          <cell r="G7000">
            <v>0</v>
          </cell>
          <cell r="H7000">
            <v>0</v>
          </cell>
          <cell r="I7000">
            <v>0</v>
          </cell>
          <cell r="J7000">
            <v>0</v>
          </cell>
          <cell r="K7000">
            <v>0</v>
          </cell>
          <cell r="L7000">
            <v>7.4</v>
          </cell>
          <cell r="M7000">
            <v>0</v>
          </cell>
          <cell r="N7000">
            <v>0</v>
          </cell>
          <cell r="O7000">
            <v>0</v>
          </cell>
          <cell r="P7000">
            <v>0</v>
          </cell>
          <cell r="Q7000">
            <v>0</v>
          </cell>
          <cell r="R7000">
            <v>0</v>
          </cell>
          <cell r="S7000">
            <v>1.2E-2</v>
          </cell>
          <cell r="T7000">
            <v>0</v>
          </cell>
          <cell r="U7000" t="b">
            <v>0</v>
          </cell>
        </row>
        <row r="7001">
          <cell r="A7001" t="str">
            <v>Data split-16;Reg-8</v>
          </cell>
          <cell r="B7001">
            <v>-4</v>
          </cell>
          <cell r="C7001">
            <v>2.2999999999999998</v>
          </cell>
          <cell r="D7001">
            <v>0</v>
          </cell>
          <cell r="E7001">
            <v>0</v>
          </cell>
          <cell r="F7001">
            <v>0</v>
          </cell>
          <cell r="G7001">
            <v>-0.36</v>
          </cell>
          <cell r="H7001">
            <v>0</v>
          </cell>
          <cell r="I7001">
            <v>0</v>
          </cell>
          <cell r="J7001">
            <v>0</v>
          </cell>
          <cell r="K7001">
            <v>0</v>
          </cell>
          <cell r="L7001">
            <v>0.38</v>
          </cell>
          <cell r="M7001">
            <v>0</v>
          </cell>
          <cell r="N7001">
            <v>0</v>
          </cell>
          <cell r="O7001">
            <v>0</v>
          </cell>
          <cell r="P7001">
            <v>0</v>
          </cell>
          <cell r="Q7001">
            <v>0</v>
          </cell>
          <cell r="R7001">
            <v>0</v>
          </cell>
          <cell r="S7001">
            <v>1.0999999999999999E-2</v>
          </cell>
          <cell r="T7001">
            <v>0</v>
          </cell>
          <cell r="U7001" t="b">
            <v>0</v>
          </cell>
        </row>
        <row r="7002">
          <cell r="A7002" t="str">
            <v>Data split-16;Reg-9</v>
          </cell>
          <cell r="B7002">
            <v>-4.5999999999999996</v>
          </cell>
          <cell r="C7002">
            <v>0</v>
          </cell>
          <cell r="D7002">
            <v>1.4</v>
          </cell>
          <cell r="E7002">
            <v>0</v>
          </cell>
          <cell r="F7002">
            <v>0</v>
          </cell>
          <cell r="G7002">
            <v>0</v>
          </cell>
          <cell r="H7002">
            <v>2.2999999999999998</v>
          </cell>
          <cell r="I7002">
            <v>0</v>
          </cell>
          <cell r="J7002">
            <v>0</v>
          </cell>
          <cell r="K7002">
            <v>0</v>
          </cell>
          <cell r="L7002">
            <v>4.7</v>
          </cell>
          <cell r="M7002">
            <v>0</v>
          </cell>
          <cell r="N7002">
            <v>0</v>
          </cell>
          <cell r="O7002">
            <v>0</v>
          </cell>
          <cell r="P7002">
            <v>0</v>
          </cell>
          <cell r="Q7002">
            <v>0</v>
          </cell>
          <cell r="R7002">
            <v>0</v>
          </cell>
          <cell r="S7002">
            <v>-8.4000000000000005E-2</v>
          </cell>
          <cell r="T7002">
            <v>0</v>
          </cell>
          <cell r="U7002" t="b">
            <v>0</v>
          </cell>
        </row>
        <row r="7003">
          <cell r="A7003" t="str">
            <v>Data split-16;Reg-10</v>
          </cell>
          <cell r="B7003">
            <v>-4.5999999999999996</v>
          </cell>
          <cell r="C7003">
            <v>0</v>
          </cell>
          <cell r="D7003">
            <v>1.4</v>
          </cell>
          <cell r="E7003">
            <v>0</v>
          </cell>
          <cell r="F7003">
            <v>0</v>
          </cell>
          <cell r="G7003">
            <v>0</v>
          </cell>
          <cell r="H7003">
            <v>2.2999999999999998</v>
          </cell>
          <cell r="I7003">
            <v>0</v>
          </cell>
          <cell r="J7003">
            <v>0</v>
          </cell>
          <cell r="K7003">
            <v>0</v>
          </cell>
          <cell r="L7003">
            <v>4.7</v>
          </cell>
          <cell r="M7003">
            <v>0</v>
          </cell>
          <cell r="N7003">
            <v>0</v>
          </cell>
          <cell r="O7003">
            <v>0</v>
          </cell>
          <cell r="P7003">
            <v>0</v>
          </cell>
          <cell r="Q7003">
            <v>0</v>
          </cell>
          <cell r="R7003">
            <v>0</v>
          </cell>
          <cell r="S7003">
            <v>-8.4000000000000005E-2</v>
          </cell>
          <cell r="T7003">
            <v>0</v>
          </cell>
          <cell r="U7003" t="b">
            <v>0</v>
          </cell>
        </row>
        <row r="7004">
          <cell r="A7004" t="str">
            <v>Data split-16;Reg-11</v>
          </cell>
          <cell r="B7004">
            <v>-4.5</v>
          </cell>
          <cell r="C7004">
            <v>1.9</v>
          </cell>
          <cell r="D7004">
            <v>0</v>
          </cell>
          <cell r="E7004">
            <v>1.3</v>
          </cell>
          <cell r="F7004">
            <v>0</v>
          </cell>
          <cell r="G7004">
            <v>-0.76</v>
          </cell>
          <cell r="H7004">
            <v>0</v>
          </cell>
          <cell r="I7004">
            <v>0</v>
          </cell>
          <cell r="J7004">
            <v>0</v>
          </cell>
          <cell r="K7004">
            <v>0</v>
          </cell>
          <cell r="L7004">
            <v>0</v>
          </cell>
          <cell r="M7004">
            <v>0</v>
          </cell>
          <cell r="N7004">
            <v>0</v>
          </cell>
          <cell r="O7004">
            <v>0</v>
          </cell>
          <cell r="P7004">
            <v>0</v>
          </cell>
          <cell r="Q7004">
            <v>0</v>
          </cell>
          <cell r="R7004">
            <v>0</v>
          </cell>
          <cell r="S7004">
            <v>0</v>
          </cell>
          <cell r="T7004">
            <v>0</v>
          </cell>
          <cell r="U7004" t="b">
            <v>0</v>
          </cell>
        </row>
        <row r="7005">
          <cell r="A7005" t="str">
            <v>Data split-16;Reg-12</v>
          </cell>
          <cell r="B7005">
            <v>-3.7</v>
          </cell>
          <cell r="C7005">
            <v>2.2000000000000002</v>
          </cell>
          <cell r="D7005">
            <v>0</v>
          </cell>
          <cell r="E7005">
            <v>-1.9</v>
          </cell>
          <cell r="F7005">
            <v>0</v>
          </cell>
          <cell r="G7005">
            <v>0</v>
          </cell>
          <cell r="H7005">
            <v>2.2000000000000002</v>
          </cell>
          <cell r="I7005">
            <v>0</v>
          </cell>
          <cell r="J7005">
            <v>0</v>
          </cell>
          <cell r="K7005">
            <v>0</v>
          </cell>
          <cell r="L7005">
            <v>0</v>
          </cell>
          <cell r="M7005">
            <v>0</v>
          </cell>
          <cell r="N7005">
            <v>0</v>
          </cell>
          <cell r="O7005">
            <v>0</v>
          </cell>
          <cell r="P7005">
            <v>0</v>
          </cell>
          <cell r="Q7005">
            <v>0</v>
          </cell>
          <cell r="R7005">
            <v>0</v>
          </cell>
          <cell r="S7005">
            <v>0</v>
          </cell>
          <cell r="T7005">
            <v>0</v>
          </cell>
          <cell r="U7005" t="b">
            <v>0</v>
          </cell>
        </row>
        <row r="7006">
          <cell r="A7006" t="str">
            <v>Data split-16;Reg-13</v>
          </cell>
          <cell r="B7006">
            <v>-3</v>
          </cell>
          <cell r="C7006">
            <v>1.9</v>
          </cell>
          <cell r="D7006">
            <v>0</v>
          </cell>
          <cell r="E7006">
            <v>0</v>
          </cell>
          <cell r="F7006">
            <v>0.16</v>
          </cell>
          <cell r="G7006">
            <v>-1.4999999999999999E-2</v>
          </cell>
          <cell r="H7006">
            <v>0</v>
          </cell>
          <cell r="I7006">
            <v>0</v>
          </cell>
          <cell r="J7006">
            <v>0</v>
          </cell>
          <cell r="K7006">
            <v>0</v>
          </cell>
          <cell r="L7006">
            <v>0</v>
          </cell>
          <cell r="M7006">
            <v>0</v>
          </cell>
          <cell r="N7006">
            <v>0</v>
          </cell>
          <cell r="O7006">
            <v>0</v>
          </cell>
          <cell r="P7006">
            <v>0</v>
          </cell>
          <cell r="Q7006">
            <v>0</v>
          </cell>
          <cell r="R7006">
            <v>0</v>
          </cell>
          <cell r="S7006">
            <v>0</v>
          </cell>
          <cell r="T7006">
            <v>0</v>
          </cell>
          <cell r="U7006" t="b">
            <v>0</v>
          </cell>
        </row>
        <row r="7007">
          <cell r="A7007" t="str">
            <v>Data split-16;Reg-14</v>
          </cell>
          <cell r="B7007">
            <v>-3.4</v>
          </cell>
          <cell r="C7007">
            <v>1.5</v>
          </cell>
          <cell r="D7007">
            <v>0</v>
          </cell>
          <cell r="E7007">
            <v>0</v>
          </cell>
          <cell r="F7007">
            <v>0.17</v>
          </cell>
          <cell r="G7007">
            <v>0</v>
          </cell>
          <cell r="H7007">
            <v>0.7</v>
          </cell>
          <cell r="I7007">
            <v>0</v>
          </cell>
          <cell r="J7007">
            <v>0</v>
          </cell>
          <cell r="K7007">
            <v>0</v>
          </cell>
          <cell r="L7007">
            <v>0</v>
          </cell>
          <cell r="M7007">
            <v>0</v>
          </cell>
          <cell r="N7007">
            <v>0</v>
          </cell>
          <cell r="O7007">
            <v>0</v>
          </cell>
          <cell r="P7007">
            <v>0</v>
          </cell>
          <cell r="Q7007">
            <v>0</v>
          </cell>
          <cell r="R7007">
            <v>0</v>
          </cell>
          <cell r="S7007">
            <v>0</v>
          </cell>
          <cell r="T7007">
            <v>0</v>
          </cell>
          <cell r="U7007" t="b">
            <v>1</v>
          </cell>
        </row>
        <row r="7008">
          <cell r="A7008" t="str">
            <v>Data split-16;Reg-15</v>
          </cell>
          <cell r="B7008">
            <v>-4.2</v>
          </cell>
          <cell r="C7008">
            <v>2</v>
          </cell>
          <cell r="D7008">
            <v>0</v>
          </cell>
          <cell r="E7008">
            <v>0.13</v>
          </cell>
          <cell r="F7008">
            <v>0</v>
          </cell>
          <cell r="G7008">
            <v>0</v>
          </cell>
          <cell r="H7008">
            <v>0</v>
          </cell>
          <cell r="I7008">
            <v>0</v>
          </cell>
          <cell r="J7008">
            <v>0</v>
          </cell>
          <cell r="K7008">
            <v>0</v>
          </cell>
          <cell r="L7008">
            <v>0</v>
          </cell>
          <cell r="M7008">
            <v>5.1999999999999998E-3</v>
          </cell>
          <cell r="N7008">
            <v>0</v>
          </cell>
          <cell r="O7008">
            <v>0</v>
          </cell>
          <cell r="P7008">
            <v>0</v>
          </cell>
          <cell r="Q7008">
            <v>0</v>
          </cell>
          <cell r="R7008">
            <v>0</v>
          </cell>
          <cell r="S7008">
            <v>0</v>
          </cell>
          <cell r="T7008">
            <v>0</v>
          </cell>
          <cell r="U7008" t="b">
            <v>0</v>
          </cell>
        </row>
        <row r="7009">
          <cell r="A7009" t="str">
            <v>Data split-16;Reg-16</v>
          </cell>
          <cell r="B7009">
            <v>-4.0999999999999996</v>
          </cell>
          <cell r="C7009">
            <v>2</v>
          </cell>
          <cell r="D7009">
            <v>0</v>
          </cell>
          <cell r="E7009">
            <v>6.6000000000000003E-2</v>
          </cell>
          <cell r="F7009">
            <v>0</v>
          </cell>
          <cell r="G7009">
            <v>0</v>
          </cell>
          <cell r="H7009">
            <v>0</v>
          </cell>
          <cell r="I7009">
            <v>0</v>
          </cell>
          <cell r="J7009">
            <v>0</v>
          </cell>
          <cell r="K7009">
            <v>0</v>
          </cell>
          <cell r="L7009">
            <v>0</v>
          </cell>
          <cell r="M7009">
            <v>0</v>
          </cell>
          <cell r="N7009">
            <v>1.8E-3</v>
          </cell>
          <cell r="O7009">
            <v>0</v>
          </cell>
          <cell r="P7009">
            <v>0</v>
          </cell>
          <cell r="Q7009">
            <v>0</v>
          </cell>
          <cell r="R7009">
            <v>0</v>
          </cell>
          <cell r="S7009">
            <v>0</v>
          </cell>
          <cell r="T7009">
            <v>0</v>
          </cell>
          <cell r="U7009" t="b">
            <v>0</v>
          </cell>
        </row>
        <row r="7010">
          <cell r="A7010" t="str">
            <v>Data split-16;Reg-17</v>
          </cell>
          <cell r="B7010">
            <v>-3.2</v>
          </cell>
          <cell r="C7010">
            <v>1.8</v>
          </cell>
          <cell r="D7010">
            <v>0</v>
          </cell>
          <cell r="E7010">
            <v>0</v>
          </cell>
          <cell r="F7010">
            <v>0.17</v>
          </cell>
          <cell r="G7010">
            <v>0</v>
          </cell>
          <cell r="H7010">
            <v>0</v>
          </cell>
          <cell r="I7010">
            <v>0</v>
          </cell>
          <cell r="J7010">
            <v>0</v>
          </cell>
          <cell r="K7010">
            <v>0</v>
          </cell>
          <cell r="L7010">
            <v>0</v>
          </cell>
          <cell r="M7010">
            <v>2.1000000000000001E-2</v>
          </cell>
          <cell r="N7010">
            <v>0</v>
          </cell>
          <cell r="O7010">
            <v>0</v>
          </cell>
          <cell r="P7010">
            <v>0</v>
          </cell>
          <cell r="Q7010">
            <v>0</v>
          </cell>
          <cell r="R7010">
            <v>0</v>
          </cell>
          <cell r="S7010">
            <v>0</v>
          </cell>
          <cell r="T7010">
            <v>0</v>
          </cell>
          <cell r="U7010" t="b">
            <v>0</v>
          </cell>
        </row>
        <row r="7011">
          <cell r="A7011" t="str">
            <v>Data split-16;Reg-18</v>
          </cell>
          <cell r="B7011">
            <v>-3</v>
          </cell>
          <cell r="C7011">
            <v>1.7</v>
          </cell>
          <cell r="D7011">
            <v>0</v>
          </cell>
          <cell r="E7011">
            <v>0</v>
          </cell>
          <cell r="F7011">
            <v>0.17</v>
          </cell>
          <cell r="G7011">
            <v>0</v>
          </cell>
          <cell r="H7011">
            <v>0</v>
          </cell>
          <cell r="I7011">
            <v>0</v>
          </cell>
          <cell r="J7011">
            <v>0</v>
          </cell>
          <cell r="K7011">
            <v>0</v>
          </cell>
          <cell r="L7011">
            <v>0</v>
          </cell>
          <cell r="M7011">
            <v>0</v>
          </cell>
          <cell r="N7011">
            <v>4.4999999999999997E-3</v>
          </cell>
          <cell r="O7011">
            <v>0</v>
          </cell>
          <cell r="P7011">
            <v>0</v>
          </cell>
          <cell r="Q7011">
            <v>0</v>
          </cell>
          <cell r="R7011">
            <v>0</v>
          </cell>
          <cell r="S7011">
            <v>0</v>
          </cell>
          <cell r="T7011">
            <v>0</v>
          </cell>
          <cell r="U7011" t="b">
            <v>0</v>
          </cell>
        </row>
        <row r="7012">
          <cell r="A7012" t="str">
            <v>Data split-16;Reg-19</v>
          </cell>
          <cell r="B7012">
            <v>-4.0999999999999996</v>
          </cell>
          <cell r="C7012">
            <v>2.4</v>
          </cell>
          <cell r="D7012">
            <v>0</v>
          </cell>
          <cell r="E7012">
            <v>0</v>
          </cell>
          <cell r="F7012">
            <v>0</v>
          </cell>
          <cell r="G7012">
            <v>-0.53</v>
          </cell>
          <cell r="H7012">
            <v>0</v>
          </cell>
          <cell r="I7012">
            <v>0</v>
          </cell>
          <cell r="J7012">
            <v>0</v>
          </cell>
          <cell r="K7012">
            <v>0</v>
          </cell>
          <cell r="L7012">
            <v>0</v>
          </cell>
          <cell r="M7012">
            <v>0</v>
          </cell>
          <cell r="N7012">
            <v>0</v>
          </cell>
          <cell r="O7012">
            <v>0.03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 t="b">
            <v>0</v>
          </cell>
        </row>
        <row r="7013">
          <cell r="A7013" t="str">
            <v>Data split-16;Reg-20</v>
          </cell>
          <cell r="B7013">
            <v>-3.9</v>
          </cell>
          <cell r="C7013">
            <v>2.2999999999999998</v>
          </cell>
          <cell r="D7013">
            <v>0</v>
          </cell>
          <cell r="E7013">
            <v>0</v>
          </cell>
          <cell r="F7013">
            <v>0</v>
          </cell>
          <cell r="G7013">
            <v>-0.7</v>
          </cell>
          <cell r="H7013">
            <v>0</v>
          </cell>
          <cell r="I7013">
            <v>0</v>
          </cell>
          <cell r="J7013">
            <v>0</v>
          </cell>
          <cell r="K7013">
            <v>0</v>
          </cell>
          <cell r="L7013">
            <v>0</v>
          </cell>
          <cell r="M7013">
            <v>0</v>
          </cell>
          <cell r="N7013">
            <v>0</v>
          </cell>
          <cell r="O7013">
            <v>0</v>
          </cell>
          <cell r="P7013">
            <v>9.9000000000000008E-3</v>
          </cell>
          <cell r="Q7013">
            <v>0</v>
          </cell>
          <cell r="R7013">
            <v>0</v>
          </cell>
          <cell r="S7013">
            <v>0</v>
          </cell>
          <cell r="T7013">
            <v>0</v>
          </cell>
          <cell r="U7013" t="b">
            <v>0</v>
          </cell>
        </row>
        <row r="7014">
          <cell r="A7014" t="str">
            <v>Data split-16;Reg-21</v>
          </cell>
          <cell r="B7014">
            <v>-4.2</v>
          </cell>
          <cell r="C7014">
            <v>1.8</v>
          </cell>
          <cell r="D7014">
            <v>0</v>
          </cell>
          <cell r="E7014">
            <v>0</v>
          </cell>
          <cell r="F7014">
            <v>0</v>
          </cell>
          <cell r="G7014">
            <v>0</v>
          </cell>
          <cell r="H7014">
            <v>1.1000000000000001</v>
          </cell>
          <cell r="I7014">
            <v>0</v>
          </cell>
          <cell r="J7014">
            <v>0</v>
          </cell>
          <cell r="K7014">
            <v>0</v>
          </cell>
          <cell r="L7014">
            <v>0</v>
          </cell>
          <cell r="M7014">
            <v>0</v>
          </cell>
          <cell r="N7014">
            <v>0</v>
          </cell>
          <cell r="O7014">
            <v>-3.5000000000000003E-2</v>
          </cell>
          <cell r="P7014">
            <v>0</v>
          </cell>
          <cell r="Q7014">
            <v>0</v>
          </cell>
          <cell r="R7014">
            <v>0</v>
          </cell>
          <cell r="S7014">
            <v>0</v>
          </cell>
          <cell r="T7014">
            <v>0</v>
          </cell>
          <cell r="U7014" t="b">
            <v>1</v>
          </cell>
        </row>
        <row r="7015">
          <cell r="A7015" t="str">
            <v>Data split-16;Reg-22</v>
          </cell>
          <cell r="B7015">
            <v>-4.4000000000000004</v>
          </cell>
          <cell r="C7015">
            <v>1.8</v>
          </cell>
          <cell r="D7015">
            <v>0</v>
          </cell>
          <cell r="E7015">
            <v>0</v>
          </cell>
          <cell r="F7015">
            <v>0</v>
          </cell>
          <cell r="G7015">
            <v>0</v>
          </cell>
          <cell r="H7015">
            <v>1.1000000000000001</v>
          </cell>
          <cell r="I7015">
            <v>0</v>
          </cell>
          <cell r="J7015">
            <v>0</v>
          </cell>
          <cell r="K7015">
            <v>0</v>
          </cell>
          <cell r="L7015">
            <v>0</v>
          </cell>
          <cell r="M7015">
            <v>0</v>
          </cell>
          <cell r="N7015">
            <v>0</v>
          </cell>
          <cell r="O7015">
            <v>0</v>
          </cell>
          <cell r="P7015">
            <v>-6.6E-3</v>
          </cell>
          <cell r="Q7015">
            <v>0</v>
          </cell>
          <cell r="R7015">
            <v>0</v>
          </cell>
          <cell r="S7015">
            <v>0</v>
          </cell>
          <cell r="T7015">
            <v>0</v>
          </cell>
          <cell r="U7015" t="b">
            <v>1</v>
          </cell>
        </row>
        <row r="7016">
          <cell r="A7016" t="str">
            <v>Data split-16;Reg-23</v>
          </cell>
          <cell r="B7016">
            <v>-4.5</v>
          </cell>
          <cell r="C7016">
            <v>0</v>
          </cell>
          <cell r="D7016">
            <v>1.9</v>
          </cell>
          <cell r="E7016">
            <v>1.3</v>
          </cell>
          <cell r="F7016">
            <v>0</v>
          </cell>
          <cell r="G7016">
            <v>-0.76</v>
          </cell>
          <cell r="H7016">
            <v>0</v>
          </cell>
          <cell r="I7016">
            <v>0</v>
          </cell>
          <cell r="J7016">
            <v>0</v>
          </cell>
          <cell r="K7016">
            <v>0</v>
          </cell>
          <cell r="L7016">
            <v>0</v>
          </cell>
          <cell r="M7016">
            <v>0</v>
          </cell>
          <cell r="N7016">
            <v>0</v>
          </cell>
          <cell r="O7016">
            <v>0</v>
          </cell>
          <cell r="P7016">
            <v>0</v>
          </cell>
          <cell r="Q7016">
            <v>0</v>
          </cell>
          <cell r="R7016">
            <v>0</v>
          </cell>
          <cell r="S7016">
            <v>0</v>
          </cell>
          <cell r="T7016">
            <v>0</v>
          </cell>
          <cell r="U7016" t="b">
            <v>0</v>
          </cell>
        </row>
        <row r="7017">
          <cell r="A7017" t="str">
            <v>Data split-16;Reg-24</v>
          </cell>
          <cell r="B7017">
            <v>-3.7</v>
          </cell>
          <cell r="C7017">
            <v>0</v>
          </cell>
          <cell r="D7017">
            <v>2.2000000000000002</v>
          </cell>
          <cell r="E7017">
            <v>-1.9</v>
          </cell>
          <cell r="F7017">
            <v>0</v>
          </cell>
          <cell r="G7017">
            <v>0</v>
          </cell>
          <cell r="H7017">
            <v>2.2000000000000002</v>
          </cell>
          <cell r="I7017">
            <v>0</v>
          </cell>
          <cell r="J7017">
            <v>0</v>
          </cell>
          <cell r="K7017">
            <v>0</v>
          </cell>
          <cell r="L7017">
            <v>0</v>
          </cell>
          <cell r="M7017">
            <v>0</v>
          </cell>
          <cell r="N7017">
            <v>0</v>
          </cell>
          <cell r="O7017">
            <v>0</v>
          </cell>
          <cell r="P7017">
            <v>0</v>
          </cell>
          <cell r="Q7017">
            <v>0</v>
          </cell>
          <cell r="R7017">
            <v>0</v>
          </cell>
          <cell r="S7017">
            <v>0</v>
          </cell>
          <cell r="T7017">
            <v>0</v>
          </cell>
          <cell r="U7017" t="b">
            <v>0</v>
          </cell>
        </row>
        <row r="7018">
          <cell r="A7018" t="str">
            <v>Data split-16;Reg-25</v>
          </cell>
          <cell r="B7018">
            <v>-3</v>
          </cell>
          <cell r="C7018">
            <v>0</v>
          </cell>
          <cell r="D7018">
            <v>1.9</v>
          </cell>
          <cell r="E7018">
            <v>0</v>
          </cell>
          <cell r="F7018">
            <v>0.16</v>
          </cell>
          <cell r="G7018">
            <v>-1.2999999999999999E-2</v>
          </cell>
          <cell r="H7018">
            <v>0</v>
          </cell>
          <cell r="I7018">
            <v>0</v>
          </cell>
          <cell r="J7018">
            <v>0</v>
          </cell>
          <cell r="K7018">
            <v>0</v>
          </cell>
          <cell r="L7018">
            <v>0</v>
          </cell>
          <cell r="M7018">
            <v>0</v>
          </cell>
          <cell r="N7018">
            <v>0</v>
          </cell>
          <cell r="O7018">
            <v>0</v>
          </cell>
          <cell r="P7018">
            <v>0</v>
          </cell>
          <cell r="Q7018">
            <v>0</v>
          </cell>
          <cell r="R7018">
            <v>0</v>
          </cell>
          <cell r="S7018">
            <v>0</v>
          </cell>
          <cell r="T7018">
            <v>0</v>
          </cell>
          <cell r="U7018" t="b">
            <v>0</v>
          </cell>
        </row>
        <row r="7019">
          <cell r="A7019" t="str">
            <v>Data split-16;Reg-26</v>
          </cell>
          <cell r="B7019">
            <v>-3.4</v>
          </cell>
          <cell r="C7019">
            <v>0</v>
          </cell>
          <cell r="D7019">
            <v>1.5</v>
          </cell>
          <cell r="E7019">
            <v>0</v>
          </cell>
          <cell r="F7019">
            <v>0.17</v>
          </cell>
          <cell r="G7019">
            <v>0</v>
          </cell>
          <cell r="H7019">
            <v>0.71</v>
          </cell>
          <cell r="I7019">
            <v>0</v>
          </cell>
          <cell r="J7019">
            <v>0</v>
          </cell>
          <cell r="K7019">
            <v>0</v>
          </cell>
          <cell r="L7019">
            <v>0</v>
          </cell>
          <cell r="M7019">
            <v>0</v>
          </cell>
          <cell r="N7019">
            <v>0</v>
          </cell>
          <cell r="O7019">
            <v>0</v>
          </cell>
          <cell r="P7019">
            <v>0</v>
          </cell>
          <cell r="Q7019">
            <v>0</v>
          </cell>
          <cell r="R7019">
            <v>0</v>
          </cell>
          <cell r="S7019">
            <v>0</v>
          </cell>
          <cell r="T7019">
            <v>0</v>
          </cell>
          <cell r="U7019" t="b">
            <v>1</v>
          </cell>
        </row>
        <row r="7020">
          <cell r="A7020" t="str">
            <v>Data split-16;Reg-27</v>
          </cell>
          <cell r="B7020">
            <v>-4.2</v>
          </cell>
          <cell r="C7020">
            <v>0</v>
          </cell>
          <cell r="D7020">
            <v>2</v>
          </cell>
          <cell r="E7020">
            <v>0.12</v>
          </cell>
          <cell r="F7020">
            <v>0</v>
          </cell>
          <cell r="G7020">
            <v>0</v>
          </cell>
          <cell r="H7020">
            <v>0</v>
          </cell>
          <cell r="I7020">
            <v>0</v>
          </cell>
          <cell r="J7020">
            <v>0</v>
          </cell>
          <cell r="K7020">
            <v>0</v>
          </cell>
          <cell r="L7020">
            <v>0</v>
          </cell>
          <cell r="M7020">
            <v>5.5999999999999999E-3</v>
          </cell>
          <cell r="N7020">
            <v>0</v>
          </cell>
          <cell r="O7020">
            <v>0</v>
          </cell>
          <cell r="P7020">
            <v>0</v>
          </cell>
          <cell r="Q7020">
            <v>0</v>
          </cell>
          <cell r="R7020">
            <v>0</v>
          </cell>
          <cell r="S7020">
            <v>0</v>
          </cell>
          <cell r="T7020">
            <v>0</v>
          </cell>
          <cell r="U7020" t="b">
            <v>0</v>
          </cell>
        </row>
        <row r="7021">
          <cell r="A7021" t="str">
            <v>Data split-16;Reg-28</v>
          </cell>
          <cell r="B7021">
            <v>-4.0999999999999996</v>
          </cell>
          <cell r="C7021">
            <v>0</v>
          </cell>
          <cell r="D7021">
            <v>2</v>
          </cell>
          <cell r="E7021">
            <v>6.4000000000000001E-2</v>
          </cell>
          <cell r="F7021">
            <v>0</v>
          </cell>
          <cell r="G7021">
            <v>0</v>
          </cell>
          <cell r="H7021">
            <v>0</v>
          </cell>
          <cell r="I7021">
            <v>0</v>
          </cell>
          <cell r="J7021">
            <v>0</v>
          </cell>
          <cell r="K7021">
            <v>0</v>
          </cell>
          <cell r="L7021">
            <v>0</v>
          </cell>
          <cell r="M7021">
            <v>0</v>
          </cell>
          <cell r="N7021">
            <v>1.8E-3</v>
          </cell>
          <cell r="O7021">
            <v>0</v>
          </cell>
          <cell r="P7021">
            <v>0</v>
          </cell>
          <cell r="Q7021">
            <v>0</v>
          </cell>
          <cell r="R7021">
            <v>0</v>
          </cell>
          <cell r="S7021">
            <v>0</v>
          </cell>
          <cell r="T7021">
            <v>0</v>
          </cell>
          <cell r="U7021" t="b">
            <v>0</v>
          </cell>
        </row>
        <row r="7022">
          <cell r="A7022" t="str">
            <v>Data split-16;Reg-29</v>
          </cell>
          <cell r="B7022">
            <v>-3.1</v>
          </cell>
          <cell r="C7022">
            <v>0</v>
          </cell>
          <cell r="D7022">
            <v>1.8</v>
          </cell>
          <cell r="E7022">
            <v>0</v>
          </cell>
          <cell r="F7022">
            <v>0.17</v>
          </cell>
          <cell r="G7022">
            <v>0</v>
          </cell>
          <cell r="H7022">
            <v>0</v>
          </cell>
          <cell r="I7022">
            <v>0</v>
          </cell>
          <cell r="J7022">
            <v>0</v>
          </cell>
          <cell r="K7022">
            <v>0</v>
          </cell>
          <cell r="L7022">
            <v>0</v>
          </cell>
          <cell r="M7022">
            <v>2.1000000000000001E-2</v>
          </cell>
          <cell r="N7022">
            <v>0</v>
          </cell>
          <cell r="O7022">
            <v>0</v>
          </cell>
          <cell r="P7022">
            <v>0</v>
          </cell>
          <cell r="Q7022">
            <v>0</v>
          </cell>
          <cell r="R7022">
            <v>0</v>
          </cell>
          <cell r="S7022">
            <v>0</v>
          </cell>
          <cell r="T7022">
            <v>0</v>
          </cell>
          <cell r="U7022" t="b">
            <v>0</v>
          </cell>
        </row>
        <row r="7023">
          <cell r="A7023" t="str">
            <v>Data split-16;Reg-30</v>
          </cell>
          <cell r="B7023">
            <v>-3</v>
          </cell>
          <cell r="C7023">
            <v>0</v>
          </cell>
          <cell r="D7023">
            <v>1.7</v>
          </cell>
          <cell r="E7023">
            <v>0</v>
          </cell>
          <cell r="F7023">
            <v>0.17</v>
          </cell>
          <cell r="G7023">
            <v>0</v>
          </cell>
          <cell r="H7023">
            <v>0</v>
          </cell>
          <cell r="I7023">
            <v>0</v>
          </cell>
          <cell r="J7023">
            <v>0</v>
          </cell>
          <cell r="K7023">
            <v>0</v>
          </cell>
          <cell r="L7023">
            <v>0</v>
          </cell>
          <cell r="M7023">
            <v>0</v>
          </cell>
          <cell r="N7023">
            <v>4.4999999999999997E-3</v>
          </cell>
          <cell r="O7023">
            <v>0</v>
          </cell>
          <cell r="P7023">
            <v>0</v>
          </cell>
          <cell r="Q7023">
            <v>0</v>
          </cell>
          <cell r="R7023">
            <v>0</v>
          </cell>
          <cell r="S7023">
            <v>0</v>
          </cell>
          <cell r="T7023">
            <v>0</v>
          </cell>
          <cell r="U7023" t="b">
            <v>0</v>
          </cell>
        </row>
        <row r="7024">
          <cell r="A7024" t="str">
            <v>Data split-16;Reg-31</v>
          </cell>
          <cell r="B7024">
            <v>-4.0999999999999996</v>
          </cell>
          <cell r="C7024">
            <v>0</v>
          </cell>
          <cell r="D7024">
            <v>2.4</v>
          </cell>
          <cell r="E7024">
            <v>0</v>
          </cell>
          <cell r="F7024">
            <v>0</v>
          </cell>
          <cell r="G7024">
            <v>-0.53</v>
          </cell>
          <cell r="H7024">
            <v>0</v>
          </cell>
          <cell r="I7024">
            <v>0</v>
          </cell>
          <cell r="J7024">
            <v>0</v>
          </cell>
          <cell r="K7024">
            <v>0</v>
          </cell>
          <cell r="L7024">
            <v>0</v>
          </cell>
          <cell r="M7024">
            <v>0</v>
          </cell>
          <cell r="N7024">
            <v>0</v>
          </cell>
          <cell r="O7024">
            <v>0.03</v>
          </cell>
          <cell r="P7024">
            <v>0</v>
          </cell>
          <cell r="Q7024">
            <v>0</v>
          </cell>
          <cell r="R7024">
            <v>0</v>
          </cell>
          <cell r="S7024">
            <v>0</v>
          </cell>
          <cell r="T7024">
            <v>0</v>
          </cell>
          <cell r="U7024" t="b">
            <v>0</v>
          </cell>
        </row>
        <row r="7025">
          <cell r="A7025" t="str">
            <v>Data split-16;Reg-32</v>
          </cell>
          <cell r="B7025">
            <v>-3.9</v>
          </cell>
          <cell r="C7025">
            <v>0</v>
          </cell>
          <cell r="D7025">
            <v>2.2999999999999998</v>
          </cell>
          <cell r="E7025">
            <v>0</v>
          </cell>
          <cell r="F7025">
            <v>0</v>
          </cell>
          <cell r="G7025">
            <v>-0.7</v>
          </cell>
          <cell r="H7025">
            <v>0</v>
          </cell>
          <cell r="I7025">
            <v>0</v>
          </cell>
          <cell r="J7025">
            <v>0</v>
          </cell>
          <cell r="K7025">
            <v>0</v>
          </cell>
          <cell r="L7025">
            <v>0</v>
          </cell>
          <cell r="M7025">
            <v>0</v>
          </cell>
          <cell r="N7025">
            <v>0</v>
          </cell>
          <cell r="O7025">
            <v>0</v>
          </cell>
          <cell r="P7025">
            <v>9.7999999999999997E-3</v>
          </cell>
          <cell r="Q7025">
            <v>0</v>
          </cell>
          <cell r="R7025">
            <v>0</v>
          </cell>
          <cell r="S7025">
            <v>0</v>
          </cell>
          <cell r="T7025">
            <v>0</v>
          </cell>
          <cell r="U7025" t="b">
            <v>0</v>
          </cell>
        </row>
        <row r="7026">
          <cell r="A7026" t="str">
            <v>Data split-16;Reg-33</v>
          </cell>
          <cell r="B7026">
            <v>-4.2</v>
          </cell>
          <cell r="C7026">
            <v>0</v>
          </cell>
          <cell r="D7026">
            <v>1.8</v>
          </cell>
          <cell r="E7026">
            <v>0</v>
          </cell>
          <cell r="F7026">
            <v>0</v>
          </cell>
          <cell r="G7026">
            <v>0</v>
          </cell>
          <cell r="H7026">
            <v>1.1000000000000001</v>
          </cell>
          <cell r="I7026">
            <v>0</v>
          </cell>
          <cell r="J7026">
            <v>0</v>
          </cell>
          <cell r="K7026">
            <v>0</v>
          </cell>
          <cell r="L7026">
            <v>0</v>
          </cell>
          <cell r="M7026">
            <v>0</v>
          </cell>
          <cell r="N7026">
            <v>0</v>
          </cell>
          <cell r="O7026">
            <v>-3.5000000000000003E-2</v>
          </cell>
          <cell r="P7026">
            <v>0</v>
          </cell>
          <cell r="Q7026">
            <v>0</v>
          </cell>
          <cell r="R7026">
            <v>0</v>
          </cell>
          <cell r="S7026">
            <v>0</v>
          </cell>
          <cell r="T7026">
            <v>0</v>
          </cell>
          <cell r="U7026" t="b">
            <v>1</v>
          </cell>
        </row>
        <row r="7027">
          <cell r="A7027" t="str">
            <v>Data split-16;Reg-34</v>
          </cell>
          <cell r="B7027">
            <v>-4.4000000000000004</v>
          </cell>
          <cell r="C7027">
            <v>0</v>
          </cell>
          <cell r="D7027">
            <v>1.8</v>
          </cell>
          <cell r="E7027">
            <v>0</v>
          </cell>
          <cell r="F7027">
            <v>0</v>
          </cell>
          <cell r="G7027">
            <v>0</v>
          </cell>
          <cell r="H7027">
            <v>1.1000000000000001</v>
          </cell>
          <cell r="I7027">
            <v>0</v>
          </cell>
          <cell r="J7027">
            <v>0</v>
          </cell>
          <cell r="K7027">
            <v>0</v>
          </cell>
          <cell r="L7027">
            <v>0</v>
          </cell>
          <cell r="M7027">
            <v>0</v>
          </cell>
          <cell r="N7027">
            <v>0</v>
          </cell>
          <cell r="O7027">
            <v>0</v>
          </cell>
          <cell r="P7027">
            <v>-6.7000000000000002E-3</v>
          </cell>
          <cell r="Q7027">
            <v>0</v>
          </cell>
          <cell r="R7027">
            <v>0</v>
          </cell>
          <cell r="S7027">
            <v>0</v>
          </cell>
          <cell r="T7027">
            <v>0</v>
          </cell>
          <cell r="U7027" t="b">
            <v>1</v>
          </cell>
        </row>
        <row r="7028">
          <cell r="A7028" t="str">
            <v>Data split-16;Reg-35</v>
          </cell>
          <cell r="B7028">
            <v>-4.4000000000000004</v>
          </cell>
          <cell r="C7028">
            <v>2</v>
          </cell>
          <cell r="D7028">
            <v>0</v>
          </cell>
          <cell r="E7028">
            <v>1.1000000000000001</v>
          </cell>
          <cell r="F7028">
            <v>0</v>
          </cell>
          <cell r="G7028">
            <v>-0.77</v>
          </cell>
          <cell r="H7028">
            <v>0</v>
          </cell>
          <cell r="I7028">
            <v>0</v>
          </cell>
          <cell r="J7028">
            <v>0</v>
          </cell>
          <cell r="K7028">
            <v>0</v>
          </cell>
          <cell r="L7028">
            <v>0</v>
          </cell>
          <cell r="M7028">
            <v>1.0999999999999999E-2</v>
          </cell>
          <cell r="N7028">
            <v>0</v>
          </cell>
          <cell r="O7028">
            <v>0</v>
          </cell>
          <cell r="P7028">
            <v>0</v>
          </cell>
          <cell r="Q7028">
            <v>0</v>
          </cell>
          <cell r="R7028">
            <v>0</v>
          </cell>
          <cell r="S7028">
            <v>0</v>
          </cell>
          <cell r="T7028">
            <v>0</v>
          </cell>
          <cell r="U7028" t="b">
            <v>0</v>
          </cell>
        </row>
        <row r="7029">
          <cell r="A7029" t="str">
            <v>Data split-16;Reg-36</v>
          </cell>
          <cell r="B7029">
            <v>-4.0999999999999996</v>
          </cell>
          <cell r="C7029">
            <v>2</v>
          </cell>
          <cell r="D7029">
            <v>0</v>
          </cell>
          <cell r="E7029">
            <v>0.78</v>
          </cell>
          <cell r="F7029">
            <v>0</v>
          </cell>
          <cell r="G7029">
            <v>-0.82</v>
          </cell>
          <cell r="H7029">
            <v>0</v>
          </cell>
          <cell r="I7029">
            <v>0</v>
          </cell>
          <cell r="J7029">
            <v>0</v>
          </cell>
          <cell r="K7029">
            <v>0</v>
          </cell>
          <cell r="L7029">
            <v>0</v>
          </cell>
          <cell r="M7029">
            <v>0</v>
          </cell>
          <cell r="N7029">
            <v>6.1999999999999998E-3</v>
          </cell>
          <cell r="O7029">
            <v>0</v>
          </cell>
          <cell r="P7029">
            <v>0</v>
          </cell>
          <cell r="Q7029">
            <v>0</v>
          </cell>
          <cell r="R7029">
            <v>0</v>
          </cell>
          <cell r="S7029">
            <v>0</v>
          </cell>
          <cell r="T7029">
            <v>0</v>
          </cell>
          <cell r="U7029" t="b">
            <v>0</v>
          </cell>
        </row>
        <row r="7030">
          <cell r="A7030" t="str">
            <v>Data split-16;Reg-37</v>
          </cell>
          <cell r="B7030">
            <v>-3.9</v>
          </cell>
          <cell r="C7030">
            <v>2</v>
          </cell>
          <cell r="D7030">
            <v>0</v>
          </cell>
          <cell r="E7030">
            <v>-1.6</v>
          </cell>
          <cell r="F7030">
            <v>0</v>
          </cell>
          <cell r="G7030">
            <v>0</v>
          </cell>
          <cell r="H7030">
            <v>2.5</v>
          </cell>
          <cell r="I7030">
            <v>0</v>
          </cell>
          <cell r="J7030">
            <v>0</v>
          </cell>
          <cell r="K7030">
            <v>0</v>
          </cell>
          <cell r="L7030">
            <v>0</v>
          </cell>
          <cell r="M7030">
            <v>-0.03</v>
          </cell>
          <cell r="N7030">
            <v>0</v>
          </cell>
          <cell r="O7030">
            <v>0</v>
          </cell>
          <cell r="P7030">
            <v>0</v>
          </cell>
          <cell r="Q7030">
            <v>0</v>
          </cell>
          <cell r="R7030">
            <v>0</v>
          </cell>
          <cell r="S7030">
            <v>0</v>
          </cell>
          <cell r="T7030">
            <v>0</v>
          </cell>
          <cell r="U7030" t="b">
            <v>0</v>
          </cell>
        </row>
        <row r="7031">
          <cell r="A7031" t="str">
            <v>Data split-16;Reg-38</v>
          </cell>
          <cell r="B7031">
            <v>-4.5999999999999996</v>
          </cell>
          <cell r="C7031">
            <v>2</v>
          </cell>
          <cell r="D7031">
            <v>0</v>
          </cell>
          <cell r="E7031">
            <v>-1.7</v>
          </cell>
          <cell r="F7031">
            <v>0</v>
          </cell>
          <cell r="G7031">
            <v>0</v>
          </cell>
          <cell r="H7031">
            <v>3.7</v>
          </cell>
          <cell r="I7031">
            <v>0</v>
          </cell>
          <cell r="J7031">
            <v>0</v>
          </cell>
          <cell r="K7031">
            <v>0</v>
          </cell>
          <cell r="L7031">
            <v>0</v>
          </cell>
          <cell r="M7031">
            <v>0</v>
          </cell>
          <cell r="N7031">
            <v>-1.7000000000000001E-2</v>
          </cell>
          <cell r="O7031">
            <v>0</v>
          </cell>
          <cell r="P7031">
            <v>0</v>
          </cell>
          <cell r="Q7031">
            <v>0</v>
          </cell>
          <cell r="R7031">
            <v>0</v>
          </cell>
          <cell r="S7031">
            <v>0</v>
          </cell>
          <cell r="T7031">
            <v>0</v>
          </cell>
          <cell r="U7031" t="b">
            <v>0</v>
          </cell>
        </row>
        <row r="7032">
          <cell r="A7032" t="str">
            <v>Data split-16;Reg-39</v>
          </cell>
          <cell r="B7032">
            <v>-3.1</v>
          </cell>
          <cell r="C7032">
            <v>1.9</v>
          </cell>
          <cell r="D7032">
            <v>0</v>
          </cell>
          <cell r="E7032">
            <v>0</v>
          </cell>
          <cell r="F7032">
            <v>0.16</v>
          </cell>
          <cell r="G7032">
            <v>-0.33</v>
          </cell>
          <cell r="H7032">
            <v>0</v>
          </cell>
          <cell r="I7032">
            <v>0</v>
          </cell>
          <cell r="J7032">
            <v>0</v>
          </cell>
          <cell r="K7032">
            <v>0</v>
          </cell>
          <cell r="L7032">
            <v>0</v>
          </cell>
          <cell r="M7032">
            <v>3.6999999999999998E-2</v>
          </cell>
          <cell r="N7032">
            <v>0</v>
          </cell>
          <cell r="O7032">
            <v>0</v>
          </cell>
          <cell r="P7032">
            <v>0</v>
          </cell>
          <cell r="Q7032">
            <v>0</v>
          </cell>
          <cell r="R7032">
            <v>0</v>
          </cell>
          <cell r="S7032">
            <v>0</v>
          </cell>
          <cell r="T7032">
            <v>0</v>
          </cell>
          <cell r="U7032" t="b">
            <v>0</v>
          </cell>
        </row>
        <row r="7033">
          <cell r="A7033" t="str">
            <v>Data split-16;Reg-40</v>
          </cell>
          <cell r="B7033">
            <v>-2.8</v>
          </cell>
          <cell r="C7033">
            <v>1.8</v>
          </cell>
          <cell r="D7033">
            <v>0</v>
          </cell>
          <cell r="E7033">
            <v>0</v>
          </cell>
          <cell r="F7033">
            <v>0.16</v>
          </cell>
          <cell r="G7033">
            <v>-0.38</v>
          </cell>
          <cell r="H7033">
            <v>0</v>
          </cell>
          <cell r="I7033">
            <v>0</v>
          </cell>
          <cell r="J7033">
            <v>0</v>
          </cell>
          <cell r="K7033">
            <v>0</v>
          </cell>
          <cell r="L7033">
            <v>0</v>
          </cell>
          <cell r="M7033">
            <v>0</v>
          </cell>
          <cell r="N7033">
            <v>9.1000000000000004E-3</v>
          </cell>
          <cell r="O7033">
            <v>0</v>
          </cell>
          <cell r="P7033">
            <v>0</v>
          </cell>
          <cell r="Q7033">
            <v>0</v>
          </cell>
          <cell r="R7033">
            <v>0</v>
          </cell>
          <cell r="S7033">
            <v>0</v>
          </cell>
          <cell r="T7033">
            <v>0</v>
          </cell>
          <cell r="U7033" t="b">
            <v>0</v>
          </cell>
        </row>
        <row r="7034">
          <cell r="A7034" t="str">
            <v>Data split-16;Reg-41</v>
          </cell>
          <cell r="B7034">
            <v>-3.5</v>
          </cell>
          <cell r="C7034">
            <v>1.4</v>
          </cell>
          <cell r="D7034">
            <v>0</v>
          </cell>
          <cell r="E7034">
            <v>0</v>
          </cell>
          <cell r="F7034">
            <v>0.16</v>
          </cell>
          <cell r="G7034">
            <v>0</v>
          </cell>
          <cell r="H7034">
            <v>1.3</v>
          </cell>
          <cell r="I7034">
            <v>0</v>
          </cell>
          <cell r="J7034">
            <v>0</v>
          </cell>
          <cell r="K7034">
            <v>0</v>
          </cell>
          <cell r="L7034">
            <v>0</v>
          </cell>
          <cell r="M7034">
            <v>-2.7E-2</v>
          </cell>
          <cell r="N7034">
            <v>0</v>
          </cell>
          <cell r="O7034">
            <v>0</v>
          </cell>
          <cell r="P7034">
            <v>0</v>
          </cell>
          <cell r="Q7034">
            <v>0</v>
          </cell>
          <cell r="R7034">
            <v>0</v>
          </cell>
          <cell r="S7034">
            <v>0</v>
          </cell>
          <cell r="T7034">
            <v>0</v>
          </cell>
          <cell r="U7034" t="b">
            <v>1</v>
          </cell>
        </row>
        <row r="7035">
          <cell r="A7035" t="str">
            <v>Data split-16;Reg-42</v>
          </cell>
          <cell r="B7035">
            <v>-4</v>
          </cell>
          <cell r="C7035">
            <v>1.4</v>
          </cell>
          <cell r="D7035">
            <v>0</v>
          </cell>
          <cell r="E7035">
            <v>0</v>
          </cell>
          <cell r="F7035">
            <v>0.16</v>
          </cell>
          <cell r="G7035">
            <v>0</v>
          </cell>
          <cell r="H7035">
            <v>2.1</v>
          </cell>
          <cell r="I7035">
            <v>0</v>
          </cell>
          <cell r="J7035">
            <v>0</v>
          </cell>
          <cell r="K7035">
            <v>0</v>
          </cell>
          <cell r="L7035">
            <v>0</v>
          </cell>
          <cell r="M7035">
            <v>0</v>
          </cell>
          <cell r="N7035">
            <v>-1.4E-2</v>
          </cell>
          <cell r="O7035">
            <v>0</v>
          </cell>
          <cell r="P7035">
            <v>0</v>
          </cell>
          <cell r="Q7035">
            <v>0</v>
          </cell>
          <cell r="R7035">
            <v>0</v>
          </cell>
          <cell r="S7035">
            <v>0</v>
          </cell>
          <cell r="T7035">
            <v>0</v>
          </cell>
          <cell r="U7035" t="b">
            <v>1</v>
          </cell>
        </row>
        <row r="7036">
          <cell r="A7036" t="str">
            <v>Data split-16;Reg-43</v>
          </cell>
          <cell r="B7036">
            <v>-4.5999999999999996</v>
          </cell>
          <cell r="C7036">
            <v>1.9</v>
          </cell>
          <cell r="D7036">
            <v>0</v>
          </cell>
          <cell r="E7036">
            <v>1.2</v>
          </cell>
          <cell r="F7036">
            <v>0</v>
          </cell>
          <cell r="G7036">
            <v>-0.81</v>
          </cell>
          <cell r="H7036">
            <v>0</v>
          </cell>
          <cell r="I7036">
            <v>0</v>
          </cell>
          <cell r="J7036">
            <v>0</v>
          </cell>
          <cell r="K7036">
            <v>0</v>
          </cell>
          <cell r="L7036">
            <v>0</v>
          </cell>
          <cell r="M7036">
            <v>0</v>
          </cell>
          <cell r="N7036">
            <v>0</v>
          </cell>
          <cell r="O7036">
            <v>9.7000000000000003E-3</v>
          </cell>
          <cell r="P7036">
            <v>0</v>
          </cell>
          <cell r="Q7036">
            <v>0</v>
          </cell>
          <cell r="R7036">
            <v>0</v>
          </cell>
          <cell r="S7036">
            <v>0</v>
          </cell>
          <cell r="T7036">
            <v>0</v>
          </cell>
          <cell r="U7036" t="b">
            <v>0</v>
          </cell>
        </row>
        <row r="7037">
          <cell r="A7037" t="str">
            <v>Data split-16;Reg-44</v>
          </cell>
          <cell r="B7037">
            <v>-4.4000000000000004</v>
          </cell>
          <cell r="C7037">
            <v>2</v>
          </cell>
          <cell r="D7037">
            <v>0</v>
          </cell>
          <cell r="E7037">
            <v>1.1000000000000001</v>
          </cell>
          <cell r="F7037">
            <v>0</v>
          </cell>
          <cell r="G7037">
            <v>-0.95</v>
          </cell>
          <cell r="H7037">
            <v>0</v>
          </cell>
          <cell r="I7037">
            <v>0</v>
          </cell>
          <cell r="J7037">
            <v>0</v>
          </cell>
          <cell r="K7037">
            <v>0</v>
          </cell>
          <cell r="L7037">
            <v>0</v>
          </cell>
          <cell r="M7037">
            <v>0</v>
          </cell>
          <cell r="N7037">
            <v>0</v>
          </cell>
          <cell r="O7037">
            <v>0</v>
          </cell>
          <cell r="P7037">
            <v>6.6E-3</v>
          </cell>
          <cell r="Q7037">
            <v>0</v>
          </cell>
          <cell r="R7037">
            <v>0</v>
          </cell>
          <cell r="S7037">
            <v>0</v>
          </cell>
          <cell r="T7037">
            <v>0</v>
          </cell>
          <cell r="U7037" t="b">
            <v>0</v>
          </cell>
        </row>
        <row r="7038">
          <cell r="A7038" t="str">
            <v>Data split-16;Reg-45</v>
          </cell>
          <cell r="B7038">
            <v>-3.6</v>
          </cell>
          <cell r="C7038">
            <v>2.1</v>
          </cell>
          <cell r="D7038">
            <v>0</v>
          </cell>
          <cell r="E7038">
            <v>-1.7</v>
          </cell>
          <cell r="F7038">
            <v>0</v>
          </cell>
          <cell r="G7038">
            <v>0</v>
          </cell>
          <cell r="H7038">
            <v>2.5</v>
          </cell>
          <cell r="I7038">
            <v>0</v>
          </cell>
          <cell r="J7038">
            <v>0</v>
          </cell>
          <cell r="K7038">
            <v>0</v>
          </cell>
          <cell r="L7038">
            <v>0</v>
          </cell>
          <cell r="M7038">
            <v>0</v>
          </cell>
          <cell r="N7038">
            <v>0</v>
          </cell>
          <cell r="O7038">
            <v>-2.9000000000000001E-2</v>
          </cell>
          <cell r="P7038">
            <v>0</v>
          </cell>
          <cell r="Q7038">
            <v>0</v>
          </cell>
          <cell r="R7038">
            <v>0</v>
          </cell>
          <cell r="S7038">
            <v>0</v>
          </cell>
          <cell r="T7038">
            <v>0</v>
          </cell>
          <cell r="U7038" t="b">
            <v>0</v>
          </cell>
        </row>
        <row r="7039">
          <cell r="A7039" t="str">
            <v>Data split-16;Reg-46</v>
          </cell>
          <cell r="B7039">
            <v>-3.7</v>
          </cell>
          <cell r="C7039">
            <v>2.1</v>
          </cell>
          <cell r="D7039">
            <v>0</v>
          </cell>
          <cell r="E7039">
            <v>-2</v>
          </cell>
          <cell r="F7039">
            <v>0</v>
          </cell>
          <cell r="G7039">
            <v>0</v>
          </cell>
          <cell r="H7039">
            <v>2.8</v>
          </cell>
          <cell r="I7039">
            <v>0</v>
          </cell>
          <cell r="J7039">
            <v>0</v>
          </cell>
          <cell r="K7039">
            <v>0</v>
          </cell>
          <cell r="L7039">
            <v>0</v>
          </cell>
          <cell r="M7039">
            <v>0</v>
          </cell>
          <cell r="N7039">
            <v>0</v>
          </cell>
          <cell r="O7039">
            <v>0</v>
          </cell>
          <cell r="P7039">
            <v>-7.1999999999999998E-3</v>
          </cell>
          <cell r="Q7039">
            <v>0</v>
          </cell>
          <cell r="R7039">
            <v>0</v>
          </cell>
          <cell r="S7039">
            <v>0</v>
          </cell>
          <cell r="T7039">
            <v>0</v>
          </cell>
          <cell r="U7039" t="b">
            <v>0</v>
          </cell>
        </row>
        <row r="7040">
          <cell r="A7040" t="str">
            <v>Data split-16;Reg-47</v>
          </cell>
          <cell r="B7040">
            <v>-3.1</v>
          </cell>
          <cell r="C7040">
            <v>1.9</v>
          </cell>
          <cell r="D7040">
            <v>0</v>
          </cell>
          <cell r="E7040">
            <v>0</v>
          </cell>
          <cell r="F7040">
            <v>0.16</v>
          </cell>
          <cell r="G7040">
            <v>-0.12</v>
          </cell>
          <cell r="H7040">
            <v>0</v>
          </cell>
          <cell r="I7040">
            <v>0</v>
          </cell>
          <cell r="J7040">
            <v>0</v>
          </cell>
          <cell r="K7040">
            <v>0</v>
          </cell>
          <cell r="L7040">
            <v>0</v>
          </cell>
          <cell r="M7040">
            <v>0</v>
          </cell>
          <cell r="N7040">
            <v>0</v>
          </cell>
          <cell r="O7040">
            <v>1.2E-2</v>
          </cell>
          <cell r="P7040">
            <v>0</v>
          </cell>
          <cell r="Q7040">
            <v>0</v>
          </cell>
          <cell r="R7040">
            <v>0</v>
          </cell>
          <cell r="S7040">
            <v>0</v>
          </cell>
          <cell r="T7040">
            <v>0</v>
          </cell>
          <cell r="U7040" t="b">
            <v>0</v>
          </cell>
        </row>
        <row r="7041">
          <cell r="A7041" t="str">
            <v>Data split-16;Reg-48</v>
          </cell>
          <cell r="B7041">
            <v>-3.1</v>
          </cell>
          <cell r="C7041">
            <v>1.9</v>
          </cell>
          <cell r="D7041">
            <v>0</v>
          </cell>
          <cell r="E7041">
            <v>0</v>
          </cell>
          <cell r="F7041">
            <v>0.16</v>
          </cell>
          <cell r="G7041">
            <v>-0.17</v>
          </cell>
          <cell r="H7041">
            <v>0</v>
          </cell>
          <cell r="I7041">
            <v>0</v>
          </cell>
          <cell r="J7041">
            <v>0</v>
          </cell>
          <cell r="K7041">
            <v>0</v>
          </cell>
          <cell r="L7041">
            <v>0</v>
          </cell>
          <cell r="M7041">
            <v>0</v>
          </cell>
          <cell r="N7041">
            <v>0</v>
          </cell>
          <cell r="O7041">
            <v>0</v>
          </cell>
          <cell r="P7041">
            <v>3.5000000000000001E-3</v>
          </cell>
          <cell r="Q7041">
            <v>0</v>
          </cell>
          <cell r="R7041">
            <v>0</v>
          </cell>
          <cell r="S7041">
            <v>0</v>
          </cell>
          <cell r="T7041">
            <v>0</v>
          </cell>
          <cell r="U7041" t="b">
            <v>0</v>
          </cell>
        </row>
        <row r="7042">
          <cell r="A7042" t="str">
            <v>Data split-16;Reg-49</v>
          </cell>
          <cell r="B7042">
            <v>-3.2</v>
          </cell>
          <cell r="C7042">
            <v>1.5</v>
          </cell>
          <cell r="D7042">
            <v>0</v>
          </cell>
          <cell r="E7042">
            <v>0</v>
          </cell>
          <cell r="F7042">
            <v>0.17</v>
          </cell>
          <cell r="G7042">
            <v>0</v>
          </cell>
          <cell r="H7042">
            <v>1.2</v>
          </cell>
          <cell r="I7042">
            <v>0</v>
          </cell>
          <cell r="J7042">
            <v>0</v>
          </cell>
          <cell r="K7042">
            <v>0</v>
          </cell>
          <cell r="L7042">
            <v>0</v>
          </cell>
          <cell r="M7042">
            <v>0</v>
          </cell>
          <cell r="N7042">
            <v>0</v>
          </cell>
          <cell r="O7042">
            <v>-3.3000000000000002E-2</v>
          </cell>
          <cell r="P7042">
            <v>0</v>
          </cell>
          <cell r="Q7042">
            <v>0</v>
          </cell>
          <cell r="R7042">
            <v>0</v>
          </cell>
          <cell r="S7042">
            <v>0</v>
          </cell>
          <cell r="T7042">
            <v>0</v>
          </cell>
          <cell r="U7042" t="b">
            <v>1</v>
          </cell>
        </row>
        <row r="7043">
          <cell r="A7043" t="str">
            <v>Data split-16;Reg-50</v>
          </cell>
          <cell r="B7043">
            <v>-3.4</v>
          </cell>
          <cell r="C7043">
            <v>1.5</v>
          </cell>
          <cell r="D7043">
            <v>0</v>
          </cell>
          <cell r="E7043">
            <v>0</v>
          </cell>
          <cell r="F7043">
            <v>0.17</v>
          </cell>
          <cell r="G7043">
            <v>0</v>
          </cell>
          <cell r="H7043">
            <v>1.4</v>
          </cell>
          <cell r="I7043">
            <v>0</v>
          </cell>
          <cell r="J7043">
            <v>0</v>
          </cell>
          <cell r="K7043">
            <v>0</v>
          </cell>
          <cell r="L7043">
            <v>0</v>
          </cell>
          <cell r="M7043">
            <v>0</v>
          </cell>
          <cell r="N7043">
            <v>0</v>
          </cell>
          <cell r="O7043">
            <v>0</v>
          </cell>
          <cell r="P7043">
            <v>-8.6E-3</v>
          </cell>
          <cell r="Q7043">
            <v>0</v>
          </cell>
          <cell r="R7043">
            <v>0</v>
          </cell>
          <cell r="S7043">
            <v>0</v>
          </cell>
          <cell r="T7043">
            <v>0</v>
          </cell>
          <cell r="U7043" t="b">
            <v>1</v>
          </cell>
        </row>
        <row r="7044">
          <cell r="A7044" t="str">
            <v>Data split-16;Reg-51</v>
          </cell>
          <cell r="B7044">
            <v>-4.4000000000000004</v>
          </cell>
          <cell r="C7044">
            <v>0</v>
          </cell>
          <cell r="D7044">
            <v>2</v>
          </cell>
          <cell r="E7044">
            <v>1.1000000000000001</v>
          </cell>
          <cell r="F7044">
            <v>0</v>
          </cell>
          <cell r="G7044">
            <v>-0.77</v>
          </cell>
          <cell r="H7044">
            <v>0</v>
          </cell>
          <cell r="I7044">
            <v>0</v>
          </cell>
          <cell r="J7044">
            <v>0</v>
          </cell>
          <cell r="K7044">
            <v>0</v>
          </cell>
          <cell r="L7044">
            <v>0</v>
          </cell>
          <cell r="M7044">
            <v>0</v>
          </cell>
          <cell r="N7044">
            <v>0</v>
          </cell>
          <cell r="O7044">
            <v>1.0999999999999999E-2</v>
          </cell>
          <cell r="P7044">
            <v>0</v>
          </cell>
          <cell r="Q7044">
            <v>0</v>
          </cell>
          <cell r="R7044">
            <v>0</v>
          </cell>
          <cell r="S7044">
            <v>0</v>
          </cell>
          <cell r="T7044">
            <v>0</v>
          </cell>
          <cell r="U7044" t="b">
            <v>0</v>
          </cell>
        </row>
        <row r="7045">
          <cell r="A7045" t="str">
            <v>Data split-16;Reg-52</v>
          </cell>
          <cell r="B7045">
            <v>-4.0999999999999996</v>
          </cell>
          <cell r="C7045">
            <v>0</v>
          </cell>
          <cell r="D7045">
            <v>2</v>
          </cell>
          <cell r="E7045">
            <v>0.78</v>
          </cell>
          <cell r="F7045">
            <v>0</v>
          </cell>
          <cell r="G7045">
            <v>-0.82</v>
          </cell>
          <cell r="H7045">
            <v>0</v>
          </cell>
          <cell r="I7045">
            <v>0</v>
          </cell>
          <cell r="J7045">
            <v>0</v>
          </cell>
          <cell r="K7045">
            <v>0</v>
          </cell>
          <cell r="L7045">
            <v>0</v>
          </cell>
          <cell r="M7045">
            <v>0</v>
          </cell>
          <cell r="N7045">
            <v>6.3E-3</v>
          </cell>
          <cell r="O7045">
            <v>0</v>
          </cell>
          <cell r="P7045">
            <v>0</v>
          </cell>
          <cell r="Q7045">
            <v>0</v>
          </cell>
          <cell r="R7045">
            <v>0</v>
          </cell>
          <cell r="S7045">
            <v>0</v>
          </cell>
          <cell r="T7045">
            <v>0</v>
          </cell>
          <cell r="U7045" t="b">
            <v>0</v>
          </cell>
        </row>
        <row r="7046">
          <cell r="A7046" t="str">
            <v>Data split-16;Reg-53</v>
          </cell>
          <cell r="B7046">
            <v>-3.9</v>
          </cell>
          <cell r="C7046">
            <v>0</v>
          </cell>
          <cell r="D7046">
            <v>2</v>
          </cell>
          <cell r="E7046">
            <v>-1.6</v>
          </cell>
          <cell r="F7046">
            <v>0</v>
          </cell>
          <cell r="G7046">
            <v>0</v>
          </cell>
          <cell r="H7046">
            <v>2.5</v>
          </cell>
          <cell r="I7046">
            <v>0</v>
          </cell>
          <cell r="J7046">
            <v>0</v>
          </cell>
          <cell r="K7046">
            <v>0</v>
          </cell>
          <cell r="L7046">
            <v>0</v>
          </cell>
          <cell r="M7046">
            <v>-2.9000000000000001E-2</v>
          </cell>
          <cell r="N7046">
            <v>0</v>
          </cell>
          <cell r="O7046">
            <v>0</v>
          </cell>
          <cell r="P7046">
            <v>0</v>
          </cell>
          <cell r="Q7046">
            <v>0</v>
          </cell>
          <cell r="R7046">
            <v>0</v>
          </cell>
          <cell r="S7046">
            <v>0</v>
          </cell>
          <cell r="T7046">
            <v>0</v>
          </cell>
          <cell r="U7046" t="b">
            <v>0</v>
          </cell>
        </row>
        <row r="7047">
          <cell r="A7047" t="str">
            <v>Data split-16;Reg-54</v>
          </cell>
          <cell r="B7047">
            <v>-4.5999999999999996</v>
          </cell>
          <cell r="C7047">
            <v>0</v>
          </cell>
          <cell r="D7047">
            <v>2</v>
          </cell>
          <cell r="E7047">
            <v>-1.7</v>
          </cell>
          <cell r="F7047">
            <v>0</v>
          </cell>
          <cell r="G7047">
            <v>0</v>
          </cell>
          <cell r="H7047">
            <v>3.7</v>
          </cell>
          <cell r="I7047">
            <v>0</v>
          </cell>
          <cell r="J7047">
            <v>0</v>
          </cell>
          <cell r="K7047">
            <v>0</v>
          </cell>
          <cell r="L7047">
            <v>0</v>
          </cell>
          <cell r="M7047">
            <v>0</v>
          </cell>
          <cell r="N7047">
            <v>-1.7000000000000001E-2</v>
          </cell>
          <cell r="O7047">
            <v>0</v>
          </cell>
          <cell r="P7047">
            <v>0</v>
          </cell>
          <cell r="Q7047">
            <v>0</v>
          </cell>
          <cell r="R7047">
            <v>0</v>
          </cell>
          <cell r="S7047">
            <v>0</v>
          </cell>
          <cell r="T7047">
            <v>0</v>
          </cell>
          <cell r="U7047" t="b">
            <v>0</v>
          </cell>
        </row>
        <row r="7048">
          <cell r="A7048" t="str">
            <v>Data split-16;Reg-55</v>
          </cell>
          <cell r="B7048">
            <v>-3.1</v>
          </cell>
          <cell r="C7048">
            <v>0</v>
          </cell>
          <cell r="D7048">
            <v>1.9</v>
          </cell>
          <cell r="E7048">
            <v>0</v>
          </cell>
          <cell r="F7048">
            <v>0.16</v>
          </cell>
          <cell r="G7048">
            <v>-0.33</v>
          </cell>
          <cell r="H7048">
            <v>0</v>
          </cell>
          <cell r="I7048">
            <v>0</v>
          </cell>
          <cell r="J7048">
            <v>0</v>
          </cell>
          <cell r="K7048">
            <v>0</v>
          </cell>
          <cell r="L7048">
            <v>0</v>
          </cell>
          <cell r="M7048">
            <v>3.6999999999999998E-2</v>
          </cell>
          <cell r="N7048">
            <v>0</v>
          </cell>
          <cell r="O7048">
            <v>0</v>
          </cell>
          <cell r="P7048">
            <v>0</v>
          </cell>
          <cell r="Q7048">
            <v>0</v>
          </cell>
          <cell r="R7048">
            <v>0</v>
          </cell>
          <cell r="S7048">
            <v>0</v>
          </cell>
          <cell r="T7048">
            <v>0</v>
          </cell>
          <cell r="U7048" t="b">
            <v>0</v>
          </cell>
        </row>
        <row r="7049">
          <cell r="A7049" t="str">
            <v>Data split-16;Reg-56</v>
          </cell>
          <cell r="B7049">
            <v>-2.8</v>
          </cell>
          <cell r="C7049">
            <v>0</v>
          </cell>
          <cell r="D7049">
            <v>1.8</v>
          </cell>
          <cell r="E7049">
            <v>0</v>
          </cell>
          <cell r="F7049">
            <v>0.16</v>
          </cell>
          <cell r="G7049">
            <v>-0.38</v>
          </cell>
          <cell r="H7049">
            <v>0</v>
          </cell>
          <cell r="I7049">
            <v>0</v>
          </cell>
          <cell r="J7049">
            <v>0</v>
          </cell>
          <cell r="K7049">
            <v>0</v>
          </cell>
          <cell r="L7049">
            <v>0</v>
          </cell>
          <cell r="M7049">
            <v>0</v>
          </cell>
          <cell r="N7049">
            <v>9.1000000000000004E-3</v>
          </cell>
          <cell r="O7049">
            <v>0</v>
          </cell>
          <cell r="P7049">
            <v>0</v>
          </cell>
          <cell r="Q7049">
            <v>0</v>
          </cell>
          <cell r="R7049">
            <v>0</v>
          </cell>
          <cell r="S7049">
            <v>0</v>
          </cell>
          <cell r="T7049">
            <v>0</v>
          </cell>
          <cell r="U7049" t="b">
            <v>0</v>
          </cell>
        </row>
        <row r="7050">
          <cell r="A7050" t="str">
            <v>Data split-16;Reg-57</v>
          </cell>
          <cell r="B7050">
            <v>-3.5</v>
          </cell>
          <cell r="C7050">
            <v>0</v>
          </cell>
          <cell r="D7050">
            <v>1.4</v>
          </cell>
          <cell r="E7050">
            <v>0</v>
          </cell>
          <cell r="F7050">
            <v>0.16</v>
          </cell>
          <cell r="G7050">
            <v>0</v>
          </cell>
          <cell r="H7050">
            <v>1.3</v>
          </cell>
          <cell r="I7050">
            <v>0</v>
          </cell>
          <cell r="J7050">
            <v>0</v>
          </cell>
          <cell r="K7050">
            <v>0</v>
          </cell>
          <cell r="L7050">
            <v>0</v>
          </cell>
          <cell r="M7050">
            <v>-2.7E-2</v>
          </cell>
          <cell r="N7050">
            <v>0</v>
          </cell>
          <cell r="O7050">
            <v>0</v>
          </cell>
          <cell r="P7050">
            <v>0</v>
          </cell>
          <cell r="Q7050">
            <v>0</v>
          </cell>
          <cell r="R7050">
            <v>0</v>
          </cell>
          <cell r="S7050">
            <v>0</v>
          </cell>
          <cell r="T7050">
            <v>0</v>
          </cell>
          <cell r="U7050" t="b">
            <v>1</v>
          </cell>
        </row>
        <row r="7051">
          <cell r="A7051" t="str">
            <v>Data split-16;Reg-58</v>
          </cell>
          <cell r="B7051">
            <v>-4</v>
          </cell>
          <cell r="C7051">
            <v>0</v>
          </cell>
          <cell r="D7051">
            <v>1.4</v>
          </cell>
          <cell r="E7051">
            <v>0</v>
          </cell>
          <cell r="F7051">
            <v>0.16</v>
          </cell>
          <cell r="G7051">
            <v>0</v>
          </cell>
          <cell r="H7051">
            <v>2.1</v>
          </cell>
          <cell r="I7051">
            <v>0</v>
          </cell>
          <cell r="J7051">
            <v>0</v>
          </cell>
          <cell r="K7051">
            <v>0</v>
          </cell>
          <cell r="L7051">
            <v>0</v>
          </cell>
          <cell r="M7051">
            <v>0</v>
          </cell>
          <cell r="N7051">
            <v>-1.4E-2</v>
          </cell>
          <cell r="O7051">
            <v>0</v>
          </cell>
          <cell r="P7051">
            <v>0</v>
          </cell>
          <cell r="Q7051">
            <v>0</v>
          </cell>
          <cell r="R7051">
            <v>0</v>
          </cell>
          <cell r="S7051">
            <v>0</v>
          </cell>
          <cell r="T7051">
            <v>0</v>
          </cell>
          <cell r="U7051" t="b">
            <v>1</v>
          </cell>
        </row>
        <row r="7052">
          <cell r="A7052" t="str">
            <v>Data split-16;Reg-59</v>
          </cell>
          <cell r="B7052">
            <v>-4.5</v>
          </cell>
          <cell r="C7052">
            <v>0</v>
          </cell>
          <cell r="D7052">
            <v>1.9</v>
          </cell>
          <cell r="E7052">
            <v>1.2</v>
          </cell>
          <cell r="F7052">
            <v>0</v>
          </cell>
          <cell r="G7052">
            <v>-0.81</v>
          </cell>
          <cell r="H7052">
            <v>0</v>
          </cell>
          <cell r="I7052">
            <v>0</v>
          </cell>
          <cell r="J7052">
            <v>0</v>
          </cell>
          <cell r="K7052">
            <v>0</v>
          </cell>
          <cell r="L7052">
            <v>0</v>
          </cell>
          <cell r="M7052">
            <v>0</v>
          </cell>
          <cell r="N7052">
            <v>0</v>
          </cell>
          <cell r="O7052">
            <v>9.5999999999999992E-3</v>
          </cell>
          <cell r="P7052">
            <v>0</v>
          </cell>
          <cell r="Q7052">
            <v>0</v>
          </cell>
          <cell r="R7052">
            <v>0</v>
          </cell>
          <cell r="S7052">
            <v>0</v>
          </cell>
          <cell r="T7052">
            <v>0</v>
          </cell>
          <cell r="U7052" t="b">
            <v>0</v>
          </cell>
        </row>
        <row r="7053">
          <cell r="A7053" t="str">
            <v>Data split-16;Reg-60</v>
          </cell>
          <cell r="B7053">
            <v>-4.4000000000000004</v>
          </cell>
          <cell r="C7053">
            <v>0</v>
          </cell>
          <cell r="D7053">
            <v>2</v>
          </cell>
          <cell r="E7053">
            <v>1.1000000000000001</v>
          </cell>
          <cell r="F7053">
            <v>0</v>
          </cell>
          <cell r="G7053">
            <v>-0.95</v>
          </cell>
          <cell r="H7053">
            <v>0</v>
          </cell>
          <cell r="I7053">
            <v>0</v>
          </cell>
          <cell r="J7053">
            <v>0</v>
          </cell>
          <cell r="K7053">
            <v>0</v>
          </cell>
          <cell r="L7053">
            <v>0</v>
          </cell>
          <cell r="M7053">
            <v>0</v>
          </cell>
          <cell r="N7053">
            <v>0</v>
          </cell>
          <cell r="O7053">
            <v>0</v>
          </cell>
          <cell r="P7053">
            <v>6.6E-3</v>
          </cell>
          <cell r="Q7053">
            <v>0</v>
          </cell>
          <cell r="R7053">
            <v>0</v>
          </cell>
          <cell r="S7053">
            <v>0</v>
          </cell>
          <cell r="T7053">
            <v>0</v>
          </cell>
          <cell r="U7053" t="b">
            <v>0</v>
          </cell>
        </row>
        <row r="7054">
          <cell r="A7054" t="str">
            <v>Data split-16;Reg-61</v>
          </cell>
          <cell r="B7054">
            <v>-3.6</v>
          </cell>
          <cell r="C7054">
            <v>0</v>
          </cell>
          <cell r="D7054">
            <v>2.1</v>
          </cell>
          <cell r="E7054">
            <v>-1.7</v>
          </cell>
          <cell r="F7054">
            <v>0</v>
          </cell>
          <cell r="G7054">
            <v>0</v>
          </cell>
          <cell r="H7054">
            <v>2.5</v>
          </cell>
          <cell r="I7054">
            <v>0</v>
          </cell>
          <cell r="J7054">
            <v>0</v>
          </cell>
          <cell r="K7054">
            <v>0</v>
          </cell>
          <cell r="L7054">
            <v>0</v>
          </cell>
          <cell r="M7054">
            <v>0</v>
          </cell>
          <cell r="N7054">
            <v>0</v>
          </cell>
          <cell r="O7054">
            <v>-2.9000000000000001E-2</v>
          </cell>
          <cell r="P7054">
            <v>0</v>
          </cell>
          <cell r="Q7054">
            <v>0</v>
          </cell>
          <cell r="R7054">
            <v>0</v>
          </cell>
          <cell r="S7054">
            <v>0</v>
          </cell>
          <cell r="T7054">
            <v>0</v>
          </cell>
          <cell r="U7054" t="b">
            <v>0</v>
          </cell>
        </row>
        <row r="7055">
          <cell r="A7055" t="str">
            <v>Data split-16;Reg-62</v>
          </cell>
          <cell r="B7055">
            <v>-3.7</v>
          </cell>
          <cell r="C7055">
            <v>0</v>
          </cell>
          <cell r="D7055">
            <v>2.1</v>
          </cell>
          <cell r="E7055">
            <v>-2</v>
          </cell>
          <cell r="F7055">
            <v>0</v>
          </cell>
          <cell r="G7055">
            <v>0</v>
          </cell>
          <cell r="H7055">
            <v>2.8</v>
          </cell>
          <cell r="I7055">
            <v>0</v>
          </cell>
          <cell r="J7055">
            <v>0</v>
          </cell>
          <cell r="K7055">
            <v>0</v>
          </cell>
          <cell r="L7055">
            <v>0</v>
          </cell>
          <cell r="M7055">
            <v>0</v>
          </cell>
          <cell r="N7055">
            <v>0</v>
          </cell>
          <cell r="O7055">
            <v>0</v>
          </cell>
          <cell r="P7055">
            <v>-7.1999999999999998E-3</v>
          </cell>
          <cell r="Q7055">
            <v>0</v>
          </cell>
          <cell r="R7055">
            <v>0</v>
          </cell>
          <cell r="S7055">
            <v>0</v>
          </cell>
          <cell r="T7055">
            <v>0</v>
          </cell>
          <cell r="U7055" t="b">
            <v>0</v>
          </cell>
        </row>
        <row r="7056">
          <cell r="A7056" t="str">
            <v>Data split-16;Reg-63</v>
          </cell>
          <cell r="B7056">
            <v>-3.1</v>
          </cell>
          <cell r="C7056">
            <v>0</v>
          </cell>
          <cell r="D7056">
            <v>1.9</v>
          </cell>
          <cell r="E7056">
            <v>0</v>
          </cell>
          <cell r="F7056">
            <v>0.16</v>
          </cell>
          <cell r="G7056">
            <v>-0.12</v>
          </cell>
          <cell r="H7056">
            <v>0</v>
          </cell>
          <cell r="I7056">
            <v>0</v>
          </cell>
          <cell r="J7056">
            <v>0</v>
          </cell>
          <cell r="K7056">
            <v>0</v>
          </cell>
          <cell r="L7056">
            <v>0</v>
          </cell>
          <cell r="M7056">
            <v>0</v>
          </cell>
          <cell r="N7056">
            <v>0</v>
          </cell>
          <cell r="O7056">
            <v>1.2E-2</v>
          </cell>
          <cell r="P7056">
            <v>0</v>
          </cell>
          <cell r="Q7056">
            <v>0</v>
          </cell>
          <cell r="R7056">
            <v>0</v>
          </cell>
          <cell r="S7056">
            <v>0</v>
          </cell>
          <cell r="T7056">
            <v>0</v>
          </cell>
          <cell r="U7056" t="b">
            <v>0</v>
          </cell>
        </row>
        <row r="7057">
          <cell r="A7057" t="str">
            <v>Data split-16;Reg-64</v>
          </cell>
          <cell r="B7057">
            <v>-3.1</v>
          </cell>
          <cell r="C7057">
            <v>0</v>
          </cell>
          <cell r="D7057">
            <v>1.9</v>
          </cell>
          <cell r="E7057">
            <v>0</v>
          </cell>
          <cell r="F7057">
            <v>0.16</v>
          </cell>
          <cell r="G7057">
            <v>-0.17</v>
          </cell>
          <cell r="H7057">
            <v>0</v>
          </cell>
          <cell r="I7057">
            <v>0</v>
          </cell>
          <cell r="J7057">
            <v>0</v>
          </cell>
          <cell r="K7057">
            <v>0</v>
          </cell>
          <cell r="L7057">
            <v>0</v>
          </cell>
          <cell r="M7057">
            <v>0</v>
          </cell>
          <cell r="N7057">
            <v>0</v>
          </cell>
          <cell r="O7057">
            <v>0</v>
          </cell>
          <cell r="P7057">
            <v>3.5000000000000001E-3</v>
          </cell>
          <cell r="Q7057">
            <v>0</v>
          </cell>
          <cell r="R7057">
            <v>0</v>
          </cell>
          <cell r="S7057">
            <v>0</v>
          </cell>
          <cell r="T7057">
            <v>0</v>
          </cell>
          <cell r="U7057" t="b">
            <v>0</v>
          </cell>
        </row>
        <row r="7058">
          <cell r="A7058" t="str">
            <v>Data split-16;Reg-65</v>
          </cell>
          <cell r="B7058">
            <v>-3.2</v>
          </cell>
          <cell r="C7058">
            <v>0</v>
          </cell>
          <cell r="D7058">
            <v>1.5</v>
          </cell>
          <cell r="E7058">
            <v>0</v>
          </cell>
          <cell r="F7058">
            <v>0.17</v>
          </cell>
          <cell r="G7058">
            <v>0</v>
          </cell>
          <cell r="H7058">
            <v>1.2</v>
          </cell>
          <cell r="I7058">
            <v>0</v>
          </cell>
          <cell r="J7058">
            <v>0</v>
          </cell>
          <cell r="K7058">
            <v>0</v>
          </cell>
          <cell r="L7058">
            <v>0</v>
          </cell>
          <cell r="M7058">
            <v>0</v>
          </cell>
          <cell r="N7058">
            <v>0</v>
          </cell>
          <cell r="O7058">
            <v>-3.4000000000000002E-2</v>
          </cell>
          <cell r="P7058">
            <v>0</v>
          </cell>
          <cell r="Q7058">
            <v>0</v>
          </cell>
          <cell r="R7058">
            <v>0</v>
          </cell>
          <cell r="S7058">
            <v>0</v>
          </cell>
          <cell r="T7058">
            <v>0</v>
          </cell>
          <cell r="U7058" t="b">
            <v>1</v>
          </cell>
        </row>
        <row r="7059">
          <cell r="A7059" t="str">
            <v>Data split-16;Reg-66</v>
          </cell>
          <cell r="B7059">
            <v>-3.4</v>
          </cell>
          <cell r="C7059">
            <v>0</v>
          </cell>
          <cell r="D7059">
            <v>1.5</v>
          </cell>
          <cell r="E7059">
            <v>0</v>
          </cell>
          <cell r="F7059">
            <v>0.17</v>
          </cell>
          <cell r="G7059">
            <v>0</v>
          </cell>
          <cell r="H7059">
            <v>1.4</v>
          </cell>
          <cell r="I7059">
            <v>0</v>
          </cell>
          <cell r="J7059">
            <v>0</v>
          </cell>
          <cell r="K7059">
            <v>0</v>
          </cell>
          <cell r="L7059">
            <v>0</v>
          </cell>
          <cell r="M7059">
            <v>0</v>
          </cell>
          <cell r="N7059">
            <v>0</v>
          </cell>
          <cell r="O7059">
            <v>0</v>
          </cell>
          <cell r="P7059">
            <v>-8.6E-3</v>
          </cell>
          <cell r="Q7059">
            <v>0</v>
          </cell>
          <cell r="R7059">
            <v>0</v>
          </cell>
          <cell r="S7059">
            <v>0</v>
          </cell>
          <cell r="T7059">
            <v>0</v>
          </cell>
          <cell r="U7059" t="b">
            <v>1</v>
          </cell>
        </row>
        <row r="7060">
          <cell r="A7060" t="str">
            <v>Data split-16;Reg-67</v>
          </cell>
          <cell r="B7060">
            <v>-3.8</v>
          </cell>
          <cell r="C7060">
            <v>2.2999999999999998</v>
          </cell>
          <cell r="D7060">
            <v>0</v>
          </cell>
          <cell r="E7060">
            <v>0</v>
          </cell>
          <cell r="F7060">
            <v>0</v>
          </cell>
          <cell r="G7060">
            <v>-0.28999999999999998</v>
          </cell>
          <cell r="H7060">
            <v>0</v>
          </cell>
          <cell r="I7060">
            <v>0</v>
          </cell>
          <cell r="J7060">
            <v>0</v>
          </cell>
          <cell r="K7060">
            <v>0</v>
          </cell>
          <cell r="L7060">
            <v>0</v>
          </cell>
          <cell r="M7060">
            <v>0</v>
          </cell>
          <cell r="N7060">
            <v>0</v>
          </cell>
          <cell r="O7060">
            <v>0</v>
          </cell>
          <cell r="P7060">
            <v>0</v>
          </cell>
          <cell r="Q7060">
            <v>0</v>
          </cell>
          <cell r="R7060">
            <v>0</v>
          </cell>
          <cell r="S7060">
            <v>0</v>
          </cell>
          <cell r="T7060">
            <v>0</v>
          </cell>
          <cell r="U7060" t="b">
            <v>0</v>
          </cell>
        </row>
        <row r="7061">
          <cell r="A7061" t="str">
            <v>Data split-16;Reg-68</v>
          </cell>
          <cell r="B7061">
            <v>-3</v>
          </cell>
          <cell r="C7061">
            <v>1.9</v>
          </cell>
          <cell r="D7061">
            <v>0</v>
          </cell>
          <cell r="E7061">
            <v>0</v>
          </cell>
          <cell r="F7061">
            <v>0.16</v>
          </cell>
          <cell r="G7061">
            <v>-1.4999999999999999E-2</v>
          </cell>
          <cell r="H7061">
            <v>0</v>
          </cell>
          <cell r="I7061">
            <v>0</v>
          </cell>
          <cell r="J7061">
            <v>0</v>
          </cell>
          <cell r="K7061">
            <v>0</v>
          </cell>
          <cell r="L7061">
            <v>0</v>
          </cell>
          <cell r="M7061">
            <v>0</v>
          </cell>
          <cell r="N7061">
            <v>0</v>
          </cell>
          <cell r="O7061">
            <v>0</v>
          </cell>
          <cell r="P7061">
            <v>0</v>
          </cell>
          <cell r="Q7061">
            <v>0</v>
          </cell>
          <cell r="R7061">
            <v>0</v>
          </cell>
          <cell r="S7061">
            <v>0</v>
          </cell>
          <cell r="T7061">
            <v>0</v>
          </cell>
          <cell r="U7061" t="b">
            <v>0</v>
          </cell>
        </row>
        <row r="7062">
          <cell r="A7062" t="str">
            <v>Data split-16;Reg-69</v>
          </cell>
          <cell r="B7062">
            <v>-8.4</v>
          </cell>
          <cell r="C7062">
            <v>1.9</v>
          </cell>
          <cell r="D7062">
            <v>0</v>
          </cell>
          <cell r="E7062">
            <v>0</v>
          </cell>
          <cell r="F7062">
            <v>0</v>
          </cell>
          <cell r="G7062">
            <v>-0.69</v>
          </cell>
          <cell r="H7062">
            <v>0</v>
          </cell>
          <cell r="I7062">
            <v>0</v>
          </cell>
          <cell r="J7062">
            <v>55.5</v>
          </cell>
          <cell r="K7062">
            <v>0</v>
          </cell>
          <cell r="L7062">
            <v>0</v>
          </cell>
          <cell r="M7062">
            <v>0</v>
          </cell>
          <cell r="N7062">
            <v>0</v>
          </cell>
          <cell r="O7062">
            <v>0</v>
          </cell>
          <cell r="P7062">
            <v>0</v>
          </cell>
          <cell r="Q7062">
            <v>0</v>
          </cell>
          <cell r="R7062">
            <v>0</v>
          </cell>
          <cell r="S7062">
            <v>0</v>
          </cell>
          <cell r="T7062">
            <v>0</v>
          </cell>
          <cell r="U7062" t="b">
            <v>0</v>
          </cell>
        </row>
        <row r="7063">
          <cell r="A7063" t="str">
            <v>Data split-16;Reg-70</v>
          </cell>
          <cell r="B7063">
            <v>-8.4</v>
          </cell>
          <cell r="C7063">
            <v>1.9</v>
          </cell>
          <cell r="D7063">
            <v>0</v>
          </cell>
          <cell r="E7063">
            <v>0</v>
          </cell>
          <cell r="F7063">
            <v>0</v>
          </cell>
          <cell r="G7063">
            <v>-0.71</v>
          </cell>
          <cell r="H7063">
            <v>0</v>
          </cell>
          <cell r="I7063">
            <v>0</v>
          </cell>
          <cell r="J7063">
            <v>55.5</v>
          </cell>
          <cell r="K7063">
            <v>0</v>
          </cell>
          <cell r="L7063">
            <v>0</v>
          </cell>
          <cell r="M7063">
            <v>0</v>
          </cell>
          <cell r="N7063">
            <v>0</v>
          </cell>
          <cell r="O7063">
            <v>0</v>
          </cell>
          <cell r="P7063">
            <v>0</v>
          </cell>
          <cell r="Q7063">
            <v>0</v>
          </cell>
          <cell r="R7063">
            <v>0</v>
          </cell>
          <cell r="S7063">
            <v>2.3E-3</v>
          </cell>
          <cell r="T7063">
            <v>0</v>
          </cell>
          <cell r="U7063" t="b">
            <v>0</v>
          </cell>
        </row>
        <row r="7064">
          <cell r="A7064" t="str">
            <v>Data split-16;Reg-71</v>
          </cell>
          <cell r="B7064">
            <v>-3.2</v>
          </cell>
          <cell r="C7064">
            <v>1.3</v>
          </cell>
          <cell r="D7064">
            <v>0</v>
          </cell>
          <cell r="E7064">
            <v>0</v>
          </cell>
          <cell r="F7064">
            <v>0.16</v>
          </cell>
          <cell r="G7064">
            <v>0</v>
          </cell>
          <cell r="H7064">
            <v>2.1</v>
          </cell>
          <cell r="I7064">
            <v>0</v>
          </cell>
          <cell r="J7064">
            <v>0</v>
          </cell>
          <cell r="K7064">
            <v>0</v>
          </cell>
          <cell r="L7064">
            <v>0</v>
          </cell>
          <cell r="M7064">
            <v>0</v>
          </cell>
          <cell r="N7064">
            <v>0</v>
          </cell>
          <cell r="O7064">
            <v>0</v>
          </cell>
          <cell r="P7064">
            <v>0</v>
          </cell>
          <cell r="Q7064">
            <v>0</v>
          </cell>
          <cell r="R7064">
            <v>0</v>
          </cell>
          <cell r="S7064">
            <v>-7.0999999999999994E-2</v>
          </cell>
          <cell r="T7064">
            <v>0</v>
          </cell>
          <cell r="U7064" t="b">
            <v>1</v>
          </cell>
        </row>
        <row r="7065">
          <cell r="A7065" t="str">
            <v>Data split-16;Reg-72</v>
          </cell>
          <cell r="B7065">
            <v>-4.3</v>
          </cell>
          <cell r="C7065">
            <v>2</v>
          </cell>
          <cell r="D7065">
            <v>0</v>
          </cell>
          <cell r="E7065">
            <v>0.24</v>
          </cell>
          <cell r="F7065">
            <v>0</v>
          </cell>
          <cell r="G7065">
            <v>0</v>
          </cell>
          <cell r="H7065">
            <v>0</v>
          </cell>
          <cell r="I7065">
            <v>0</v>
          </cell>
          <cell r="J7065">
            <v>0</v>
          </cell>
          <cell r="K7065">
            <v>0</v>
          </cell>
          <cell r="L7065">
            <v>0</v>
          </cell>
          <cell r="M7065">
            <v>0</v>
          </cell>
          <cell r="N7065">
            <v>0</v>
          </cell>
          <cell r="O7065">
            <v>0</v>
          </cell>
          <cell r="P7065">
            <v>0</v>
          </cell>
          <cell r="Q7065">
            <v>0</v>
          </cell>
          <cell r="R7065">
            <v>0</v>
          </cell>
          <cell r="S7065">
            <v>0</v>
          </cell>
          <cell r="T7065">
            <v>0</v>
          </cell>
          <cell r="U7065" t="b">
            <v>1</v>
          </cell>
        </row>
        <row r="7066">
          <cell r="A7066" t="str">
            <v>Data split-16;Reg-73</v>
          </cell>
          <cell r="B7066">
            <v>-3</v>
          </cell>
          <cell r="C7066">
            <v>1.9</v>
          </cell>
          <cell r="D7066">
            <v>0</v>
          </cell>
          <cell r="E7066">
            <v>0</v>
          </cell>
          <cell r="F7066">
            <v>0.16</v>
          </cell>
          <cell r="G7066">
            <v>0</v>
          </cell>
          <cell r="H7066">
            <v>0</v>
          </cell>
          <cell r="I7066">
            <v>0</v>
          </cell>
          <cell r="J7066">
            <v>0</v>
          </cell>
          <cell r="K7066">
            <v>0</v>
          </cell>
          <cell r="L7066">
            <v>0</v>
          </cell>
          <cell r="M7066">
            <v>0</v>
          </cell>
          <cell r="N7066">
            <v>0</v>
          </cell>
          <cell r="O7066">
            <v>0</v>
          </cell>
          <cell r="P7066">
            <v>0</v>
          </cell>
          <cell r="Q7066">
            <v>0</v>
          </cell>
          <cell r="R7066">
            <v>0</v>
          </cell>
          <cell r="S7066">
            <v>0</v>
          </cell>
          <cell r="T7066">
            <v>0</v>
          </cell>
          <cell r="U7066" t="b">
            <v>1</v>
          </cell>
        </row>
        <row r="7067">
          <cell r="A7067" t="str">
            <v>Data split-16;Reg-74</v>
          </cell>
          <cell r="B7067">
            <v>-4.3</v>
          </cell>
          <cell r="C7067">
            <v>0</v>
          </cell>
          <cell r="D7067">
            <v>2</v>
          </cell>
          <cell r="E7067">
            <v>0.24</v>
          </cell>
          <cell r="F7067">
            <v>0</v>
          </cell>
          <cell r="G7067">
            <v>0</v>
          </cell>
          <cell r="H7067">
            <v>0</v>
          </cell>
          <cell r="I7067">
            <v>0</v>
          </cell>
          <cell r="J7067">
            <v>0</v>
          </cell>
          <cell r="K7067">
            <v>0</v>
          </cell>
          <cell r="L7067">
            <v>0</v>
          </cell>
          <cell r="M7067">
            <v>0</v>
          </cell>
          <cell r="N7067">
            <v>0</v>
          </cell>
          <cell r="O7067">
            <v>0</v>
          </cell>
          <cell r="P7067">
            <v>0</v>
          </cell>
          <cell r="Q7067">
            <v>0</v>
          </cell>
          <cell r="R7067">
            <v>0</v>
          </cell>
          <cell r="S7067">
            <v>0</v>
          </cell>
          <cell r="T7067">
            <v>0</v>
          </cell>
          <cell r="U7067" t="b">
            <v>1</v>
          </cell>
        </row>
        <row r="7068">
          <cell r="A7068" t="str">
            <v>Data split-16;Reg-75</v>
          </cell>
          <cell r="B7068">
            <v>-3</v>
          </cell>
          <cell r="C7068">
            <v>0</v>
          </cell>
          <cell r="D7068">
            <v>1.9</v>
          </cell>
          <cell r="E7068">
            <v>0</v>
          </cell>
          <cell r="F7068">
            <v>0.16</v>
          </cell>
          <cell r="G7068">
            <v>0</v>
          </cell>
          <cell r="H7068">
            <v>0</v>
          </cell>
          <cell r="I7068">
            <v>0</v>
          </cell>
          <cell r="J7068">
            <v>0</v>
          </cell>
          <cell r="K7068">
            <v>0</v>
          </cell>
          <cell r="L7068">
            <v>0</v>
          </cell>
          <cell r="M7068">
            <v>0</v>
          </cell>
          <cell r="N7068">
            <v>0</v>
          </cell>
          <cell r="O7068">
            <v>0</v>
          </cell>
          <cell r="P7068">
            <v>0</v>
          </cell>
          <cell r="Q7068">
            <v>0</v>
          </cell>
          <cell r="R7068">
            <v>0</v>
          </cell>
          <cell r="S7068">
            <v>0</v>
          </cell>
          <cell r="T7068">
            <v>0</v>
          </cell>
          <cell r="U7068" t="b">
            <v>1</v>
          </cell>
        </row>
        <row r="7069">
          <cell r="A7069" t="str">
            <v>Data split-16;Reg-76</v>
          </cell>
          <cell r="B7069">
            <v>-3.8</v>
          </cell>
          <cell r="C7069">
            <v>2.2999999999999998</v>
          </cell>
          <cell r="D7069">
            <v>0</v>
          </cell>
          <cell r="E7069">
            <v>0</v>
          </cell>
          <cell r="F7069">
            <v>0</v>
          </cell>
          <cell r="G7069">
            <v>-0.28999999999999998</v>
          </cell>
          <cell r="H7069">
            <v>0</v>
          </cell>
          <cell r="I7069">
            <v>0</v>
          </cell>
          <cell r="J7069">
            <v>0</v>
          </cell>
          <cell r="K7069">
            <v>0</v>
          </cell>
          <cell r="L7069">
            <v>0</v>
          </cell>
          <cell r="M7069">
            <v>0</v>
          </cell>
          <cell r="N7069">
            <v>0</v>
          </cell>
          <cell r="O7069">
            <v>0</v>
          </cell>
          <cell r="P7069">
            <v>0</v>
          </cell>
          <cell r="Q7069">
            <v>0</v>
          </cell>
          <cell r="R7069">
            <v>0</v>
          </cell>
          <cell r="S7069">
            <v>0</v>
          </cell>
          <cell r="T7069">
            <v>0</v>
          </cell>
          <cell r="U7069" t="b">
            <v>0</v>
          </cell>
        </row>
        <row r="7070">
          <cell r="A7070" t="str">
            <v>Data split-16;Reg-77</v>
          </cell>
          <cell r="B7070">
            <v>-4.4000000000000004</v>
          </cell>
          <cell r="C7070">
            <v>1.9</v>
          </cell>
          <cell r="D7070">
            <v>0</v>
          </cell>
          <cell r="E7070">
            <v>0</v>
          </cell>
          <cell r="F7070">
            <v>0</v>
          </cell>
          <cell r="G7070">
            <v>0</v>
          </cell>
          <cell r="H7070">
            <v>0.53</v>
          </cell>
          <cell r="I7070">
            <v>0</v>
          </cell>
          <cell r="J7070">
            <v>0</v>
          </cell>
          <cell r="K7070">
            <v>0</v>
          </cell>
          <cell r="L7070">
            <v>0</v>
          </cell>
          <cell r="M7070">
            <v>0</v>
          </cell>
          <cell r="N7070">
            <v>0</v>
          </cell>
          <cell r="O7070">
            <v>0</v>
          </cell>
          <cell r="P7070">
            <v>0</v>
          </cell>
          <cell r="Q7070">
            <v>0</v>
          </cell>
          <cell r="R7070">
            <v>0</v>
          </cell>
          <cell r="S7070">
            <v>0</v>
          </cell>
          <cell r="T7070">
            <v>0</v>
          </cell>
          <cell r="U7070" t="b">
            <v>1</v>
          </cell>
        </row>
        <row r="7071">
          <cell r="A7071" t="str">
            <v>Data split-16;Reg-78</v>
          </cell>
          <cell r="B7071">
            <v>-3.8</v>
          </cell>
          <cell r="C7071">
            <v>0</v>
          </cell>
          <cell r="D7071">
            <v>2.2999999999999998</v>
          </cell>
          <cell r="E7071">
            <v>0</v>
          </cell>
          <cell r="F7071">
            <v>0</v>
          </cell>
          <cell r="G7071">
            <v>-0.28999999999999998</v>
          </cell>
          <cell r="H7071">
            <v>0</v>
          </cell>
          <cell r="I7071">
            <v>0</v>
          </cell>
          <cell r="J7071">
            <v>0</v>
          </cell>
          <cell r="K7071">
            <v>0</v>
          </cell>
          <cell r="L7071">
            <v>0</v>
          </cell>
          <cell r="M7071">
            <v>0</v>
          </cell>
          <cell r="N7071">
            <v>0</v>
          </cell>
          <cell r="O7071">
            <v>0</v>
          </cell>
          <cell r="P7071">
            <v>0</v>
          </cell>
          <cell r="Q7071">
            <v>0</v>
          </cell>
          <cell r="R7071">
            <v>0</v>
          </cell>
          <cell r="S7071">
            <v>0</v>
          </cell>
          <cell r="T7071">
            <v>0</v>
          </cell>
          <cell r="U7071" t="b">
            <v>0</v>
          </cell>
        </row>
        <row r="7072">
          <cell r="A7072" t="str">
            <v>Data split-16;Reg-79</v>
          </cell>
          <cell r="B7072">
            <v>-4.4000000000000004</v>
          </cell>
          <cell r="C7072">
            <v>0</v>
          </cell>
          <cell r="D7072">
            <v>1.9</v>
          </cell>
          <cell r="E7072">
            <v>0</v>
          </cell>
          <cell r="F7072">
            <v>0</v>
          </cell>
          <cell r="G7072">
            <v>0</v>
          </cell>
          <cell r="H7072">
            <v>0.54</v>
          </cell>
          <cell r="I7072">
            <v>0</v>
          </cell>
          <cell r="J7072">
            <v>0</v>
          </cell>
          <cell r="K7072">
            <v>0</v>
          </cell>
          <cell r="L7072">
            <v>0</v>
          </cell>
          <cell r="M7072">
            <v>0</v>
          </cell>
          <cell r="N7072">
            <v>0</v>
          </cell>
          <cell r="O7072">
            <v>0</v>
          </cell>
          <cell r="P7072">
            <v>0</v>
          </cell>
          <cell r="Q7072">
            <v>0</v>
          </cell>
          <cell r="R7072">
            <v>0</v>
          </cell>
          <cell r="S7072">
            <v>0</v>
          </cell>
          <cell r="T7072">
            <v>0</v>
          </cell>
          <cell r="U7072" t="b">
            <v>1</v>
          </cell>
        </row>
        <row r="7073">
          <cell r="A7073" t="str">
            <v>Data split-16;Reg-80</v>
          </cell>
          <cell r="B7073">
            <v>-4.8</v>
          </cell>
          <cell r="C7073">
            <v>1.3</v>
          </cell>
          <cell r="D7073">
            <v>0</v>
          </cell>
          <cell r="E7073">
            <v>0</v>
          </cell>
          <cell r="F7073">
            <v>0</v>
          </cell>
          <cell r="G7073">
            <v>0</v>
          </cell>
          <cell r="H7073">
            <v>0</v>
          </cell>
          <cell r="I7073">
            <v>4.8</v>
          </cell>
          <cell r="J7073">
            <v>0</v>
          </cell>
          <cell r="K7073">
            <v>0</v>
          </cell>
          <cell r="L7073">
            <v>0</v>
          </cell>
          <cell r="M7073">
            <v>0</v>
          </cell>
          <cell r="N7073">
            <v>0</v>
          </cell>
          <cell r="O7073">
            <v>0</v>
          </cell>
          <cell r="P7073">
            <v>0</v>
          </cell>
          <cell r="Q7073">
            <v>0</v>
          </cell>
          <cell r="R7073">
            <v>0</v>
          </cell>
          <cell r="S7073">
            <v>0</v>
          </cell>
          <cell r="T7073">
            <v>0</v>
          </cell>
          <cell r="U7073" t="b">
            <v>0</v>
          </cell>
        </row>
        <row r="7074">
          <cell r="A7074" t="str">
            <v>Data split-16;Reg-81</v>
          </cell>
          <cell r="B7074">
            <v>-8.4</v>
          </cell>
          <cell r="C7074">
            <v>1.5</v>
          </cell>
          <cell r="D7074">
            <v>0</v>
          </cell>
          <cell r="E7074">
            <v>0</v>
          </cell>
          <cell r="F7074">
            <v>0</v>
          </cell>
          <cell r="G7074">
            <v>0</v>
          </cell>
          <cell r="H7074">
            <v>0</v>
          </cell>
          <cell r="I7074">
            <v>0</v>
          </cell>
          <cell r="J7074">
            <v>48.8</v>
          </cell>
          <cell r="K7074">
            <v>0</v>
          </cell>
          <cell r="L7074">
            <v>0</v>
          </cell>
          <cell r="M7074">
            <v>0</v>
          </cell>
          <cell r="N7074">
            <v>0</v>
          </cell>
          <cell r="O7074">
            <v>0</v>
          </cell>
          <cell r="P7074">
            <v>0</v>
          </cell>
          <cell r="Q7074">
            <v>0</v>
          </cell>
          <cell r="R7074">
            <v>0</v>
          </cell>
          <cell r="S7074">
            <v>0</v>
          </cell>
          <cell r="T7074">
            <v>0</v>
          </cell>
          <cell r="U7074" t="b">
            <v>0</v>
          </cell>
        </row>
        <row r="7075">
          <cell r="A7075" t="str">
            <v>Data split-16;Reg-82</v>
          </cell>
          <cell r="B7075">
            <v>-4.8</v>
          </cell>
          <cell r="C7075">
            <v>0</v>
          </cell>
          <cell r="D7075">
            <v>1.3</v>
          </cell>
          <cell r="E7075">
            <v>0</v>
          </cell>
          <cell r="F7075">
            <v>0</v>
          </cell>
          <cell r="G7075">
            <v>0</v>
          </cell>
          <cell r="H7075">
            <v>0</v>
          </cell>
          <cell r="I7075">
            <v>4.8</v>
          </cell>
          <cell r="J7075">
            <v>0</v>
          </cell>
          <cell r="K7075">
            <v>0</v>
          </cell>
          <cell r="L7075">
            <v>0</v>
          </cell>
          <cell r="M7075">
            <v>0</v>
          </cell>
          <cell r="N7075">
            <v>0</v>
          </cell>
          <cell r="O7075">
            <v>0</v>
          </cell>
          <cell r="P7075">
            <v>0</v>
          </cell>
          <cell r="Q7075">
            <v>0</v>
          </cell>
          <cell r="R7075">
            <v>0</v>
          </cell>
          <cell r="S7075">
            <v>0</v>
          </cell>
          <cell r="T7075">
            <v>0</v>
          </cell>
          <cell r="U7075" t="b">
            <v>0</v>
          </cell>
        </row>
        <row r="7076">
          <cell r="A7076" t="str">
            <v>Data split-16;Reg-83</v>
          </cell>
          <cell r="B7076">
            <v>-8.4</v>
          </cell>
          <cell r="C7076">
            <v>0</v>
          </cell>
          <cell r="D7076">
            <v>1.5</v>
          </cell>
          <cell r="E7076">
            <v>0</v>
          </cell>
          <cell r="F7076">
            <v>0</v>
          </cell>
          <cell r="G7076">
            <v>0</v>
          </cell>
          <cell r="H7076">
            <v>0</v>
          </cell>
          <cell r="I7076">
            <v>0</v>
          </cell>
          <cell r="J7076">
            <v>48.9</v>
          </cell>
          <cell r="K7076">
            <v>0</v>
          </cell>
          <cell r="L7076">
            <v>0</v>
          </cell>
          <cell r="M7076">
            <v>0</v>
          </cell>
          <cell r="N7076">
            <v>0</v>
          </cell>
          <cell r="O7076">
            <v>0</v>
          </cell>
          <cell r="P7076">
            <v>0</v>
          </cell>
          <cell r="Q7076">
            <v>0</v>
          </cell>
          <cell r="R7076">
            <v>0</v>
          </cell>
          <cell r="S7076">
            <v>0</v>
          </cell>
          <cell r="T7076">
            <v>0</v>
          </cell>
          <cell r="U7076" t="b">
            <v>0</v>
          </cell>
        </row>
        <row r="7077">
          <cell r="A7077" t="str">
            <v>Data split-16;Reg-84</v>
          </cell>
          <cell r="B7077">
            <v>-4.4000000000000004</v>
          </cell>
          <cell r="C7077">
            <v>1.5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H7077">
            <v>0</v>
          </cell>
          <cell r="I7077">
            <v>0</v>
          </cell>
          <cell r="J7077">
            <v>0</v>
          </cell>
          <cell r="K7077">
            <v>3.3</v>
          </cell>
          <cell r="L7077">
            <v>0</v>
          </cell>
          <cell r="M7077">
            <v>0</v>
          </cell>
          <cell r="N7077">
            <v>0</v>
          </cell>
          <cell r="O7077">
            <v>0</v>
          </cell>
          <cell r="P7077">
            <v>0</v>
          </cell>
          <cell r="Q7077">
            <v>0</v>
          </cell>
          <cell r="R7077">
            <v>0</v>
          </cell>
          <cell r="S7077">
            <v>0</v>
          </cell>
          <cell r="T7077">
            <v>0</v>
          </cell>
          <cell r="U7077" t="b">
            <v>0</v>
          </cell>
        </row>
        <row r="7078">
          <cell r="A7078" t="str">
            <v>Data split-16;Reg-85</v>
          </cell>
          <cell r="B7078">
            <v>-4.2</v>
          </cell>
          <cell r="C7078">
            <v>2.1</v>
          </cell>
          <cell r="D7078">
            <v>0</v>
          </cell>
          <cell r="E7078">
            <v>0</v>
          </cell>
          <cell r="F7078">
            <v>0</v>
          </cell>
          <cell r="G7078">
            <v>0</v>
          </cell>
          <cell r="H7078">
            <v>0</v>
          </cell>
          <cell r="I7078">
            <v>0</v>
          </cell>
          <cell r="J7078">
            <v>0</v>
          </cell>
          <cell r="K7078">
            <v>0</v>
          </cell>
          <cell r="L7078">
            <v>2.2000000000000002</v>
          </cell>
          <cell r="M7078">
            <v>0</v>
          </cell>
          <cell r="N7078">
            <v>0</v>
          </cell>
          <cell r="O7078">
            <v>0</v>
          </cell>
          <cell r="P7078">
            <v>0</v>
          </cell>
          <cell r="Q7078">
            <v>0</v>
          </cell>
          <cell r="R7078">
            <v>0</v>
          </cell>
          <cell r="S7078">
            <v>0</v>
          </cell>
          <cell r="T7078">
            <v>0</v>
          </cell>
          <cell r="U7078" t="b">
            <v>0</v>
          </cell>
        </row>
        <row r="7079">
          <cell r="A7079" t="str">
            <v>Data split-16;Reg-86</v>
          </cell>
          <cell r="B7079">
            <v>-4.4000000000000004</v>
          </cell>
          <cell r="C7079">
            <v>0</v>
          </cell>
          <cell r="D7079">
            <v>1.5</v>
          </cell>
          <cell r="E7079">
            <v>0</v>
          </cell>
          <cell r="F7079">
            <v>0</v>
          </cell>
          <cell r="G7079">
            <v>0</v>
          </cell>
          <cell r="H7079">
            <v>0</v>
          </cell>
          <cell r="I7079">
            <v>0</v>
          </cell>
          <cell r="J7079">
            <v>0</v>
          </cell>
          <cell r="K7079">
            <v>3.3</v>
          </cell>
          <cell r="L7079">
            <v>0</v>
          </cell>
          <cell r="M7079">
            <v>0</v>
          </cell>
          <cell r="N7079">
            <v>0</v>
          </cell>
          <cell r="O7079">
            <v>0</v>
          </cell>
          <cell r="P7079">
            <v>0</v>
          </cell>
          <cell r="Q7079">
            <v>0</v>
          </cell>
          <cell r="R7079">
            <v>0</v>
          </cell>
          <cell r="S7079">
            <v>0</v>
          </cell>
          <cell r="T7079">
            <v>0</v>
          </cell>
          <cell r="U7079" t="b">
            <v>0</v>
          </cell>
        </row>
        <row r="7080">
          <cell r="A7080" t="str">
            <v>Data split-16;Reg-87</v>
          </cell>
          <cell r="B7080">
            <v>-4.2</v>
          </cell>
          <cell r="C7080">
            <v>0</v>
          </cell>
          <cell r="D7080">
            <v>2.1</v>
          </cell>
          <cell r="E7080">
            <v>0</v>
          </cell>
          <cell r="F7080">
            <v>0</v>
          </cell>
          <cell r="G7080">
            <v>0</v>
          </cell>
          <cell r="H7080">
            <v>0</v>
          </cell>
          <cell r="I7080">
            <v>0</v>
          </cell>
          <cell r="J7080">
            <v>0</v>
          </cell>
          <cell r="K7080">
            <v>0</v>
          </cell>
          <cell r="L7080">
            <v>2.2999999999999998</v>
          </cell>
          <cell r="M7080">
            <v>0</v>
          </cell>
          <cell r="N7080">
            <v>0</v>
          </cell>
          <cell r="O7080">
            <v>0</v>
          </cell>
          <cell r="P7080">
            <v>0</v>
          </cell>
          <cell r="Q7080">
            <v>0</v>
          </cell>
          <cell r="R7080">
            <v>0</v>
          </cell>
          <cell r="S7080">
            <v>0</v>
          </cell>
          <cell r="T7080">
            <v>0</v>
          </cell>
          <cell r="U7080" t="b">
            <v>0</v>
          </cell>
        </row>
        <row r="7081">
          <cell r="A7081" t="str">
            <v>Data split-16;Reg-88</v>
          </cell>
          <cell r="B7081">
            <v>-4.0999999999999996</v>
          </cell>
          <cell r="C7081">
            <v>2.1</v>
          </cell>
          <cell r="D7081">
            <v>0</v>
          </cell>
          <cell r="E7081">
            <v>0</v>
          </cell>
          <cell r="F7081">
            <v>0</v>
          </cell>
          <cell r="G7081">
            <v>0</v>
          </cell>
          <cell r="H7081">
            <v>0</v>
          </cell>
          <cell r="I7081">
            <v>0</v>
          </cell>
          <cell r="J7081">
            <v>0</v>
          </cell>
          <cell r="K7081">
            <v>0</v>
          </cell>
          <cell r="L7081">
            <v>0</v>
          </cell>
          <cell r="M7081">
            <v>9.5999999999999992E-3</v>
          </cell>
          <cell r="N7081">
            <v>0</v>
          </cell>
          <cell r="O7081">
            <v>0</v>
          </cell>
          <cell r="P7081">
            <v>0</v>
          </cell>
          <cell r="Q7081">
            <v>0</v>
          </cell>
          <cell r="R7081">
            <v>0</v>
          </cell>
          <cell r="S7081">
            <v>0</v>
          </cell>
          <cell r="T7081">
            <v>0</v>
          </cell>
          <cell r="U7081" t="b">
            <v>0</v>
          </cell>
        </row>
        <row r="7082">
          <cell r="A7082" t="str">
            <v>Data split-16;Reg-89</v>
          </cell>
          <cell r="B7082">
            <v>-4.0999999999999996</v>
          </cell>
          <cell r="C7082">
            <v>2.1</v>
          </cell>
          <cell r="D7082">
            <v>0</v>
          </cell>
          <cell r="E7082">
            <v>0</v>
          </cell>
          <cell r="F7082">
            <v>0</v>
          </cell>
          <cell r="G7082">
            <v>0</v>
          </cell>
          <cell r="H7082">
            <v>0</v>
          </cell>
          <cell r="I7082">
            <v>0</v>
          </cell>
          <cell r="J7082">
            <v>0</v>
          </cell>
          <cell r="K7082">
            <v>0</v>
          </cell>
          <cell r="L7082">
            <v>0</v>
          </cell>
          <cell r="M7082">
            <v>0</v>
          </cell>
          <cell r="N7082">
            <v>2.3E-3</v>
          </cell>
          <cell r="O7082">
            <v>0</v>
          </cell>
          <cell r="P7082">
            <v>0</v>
          </cell>
          <cell r="Q7082">
            <v>0</v>
          </cell>
          <cell r="R7082">
            <v>0</v>
          </cell>
          <cell r="S7082">
            <v>0</v>
          </cell>
          <cell r="T7082">
            <v>0</v>
          </cell>
          <cell r="U7082" t="b">
            <v>0</v>
          </cell>
        </row>
        <row r="7083">
          <cell r="A7083" t="str">
            <v>Data split-16;Reg-90</v>
          </cell>
          <cell r="B7083">
            <v>-4.0999999999999996</v>
          </cell>
          <cell r="C7083">
            <v>0</v>
          </cell>
          <cell r="D7083">
            <v>2.1</v>
          </cell>
          <cell r="E7083">
            <v>0</v>
          </cell>
          <cell r="F7083">
            <v>0</v>
          </cell>
          <cell r="G7083">
            <v>0</v>
          </cell>
          <cell r="H7083">
            <v>0</v>
          </cell>
          <cell r="I7083">
            <v>0</v>
          </cell>
          <cell r="J7083">
            <v>0</v>
          </cell>
          <cell r="K7083">
            <v>0</v>
          </cell>
          <cell r="L7083">
            <v>0</v>
          </cell>
          <cell r="M7083">
            <v>9.7999999999999997E-3</v>
          </cell>
          <cell r="N7083">
            <v>0</v>
          </cell>
          <cell r="O7083">
            <v>0</v>
          </cell>
          <cell r="P7083">
            <v>0</v>
          </cell>
          <cell r="Q7083">
            <v>0</v>
          </cell>
          <cell r="R7083">
            <v>0</v>
          </cell>
          <cell r="S7083">
            <v>0</v>
          </cell>
          <cell r="T7083">
            <v>0</v>
          </cell>
          <cell r="U7083" t="b">
            <v>0</v>
          </cell>
        </row>
        <row r="7084">
          <cell r="A7084" t="str">
            <v>Data split-16;Reg-91</v>
          </cell>
          <cell r="B7084">
            <v>-4.0999999999999996</v>
          </cell>
          <cell r="C7084">
            <v>0</v>
          </cell>
          <cell r="D7084">
            <v>2.1</v>
          </cell>
          <cell r="E7084">
            <v>0</v>
          </cell>
          <cell r="F7084">
            <v>0</v>
          </cell>
          <cell r="G7084">
            <v>0</v>
          </cell>
          <cell r="H7084">
            <v>0</v>
          </cell>
          <cell r="I7084">
            <v>0</v>
          </cell>
          <cell r="J7084">
            <v>0</v>
          </cell>
          <cell r="K7084">
            <v>0</v>
          </cell>
          <cell r="L7084">
            <v>0</v>
          </cell>
          <cell r="M7084">
            <v>0</v>
          </cell>
          <cell r="N7084">
            <v>2.3E-3</v>
          </cell>
          <cell r="O7084">
            <v>0</v>
          </cell>
          <cell r="P7084">
            <v>0</v>
          </cell>
          <cell r="Q7084">
            <v>0</v>
          </cell>
          <cell r="R7084">
            <v>0</v>
          </cell>
          <cell r="S7084">
            <v>0</v>
          </cell>
          <cell r="T7084">
            <v>0</v>
          </cell>
          <cell r="U7084" t="b">
            <v>0</v>
          </cell>
        </row>
        <row r="7085">
          <cell r="A7085" t="str">
            <v>Data split-16;Reg-92</v>
          </cell>
          <cell r="B7085">
            <v>-4.0999999999999996</v>
          </cell>
          <cell r="C7085">
            <v>2.1</v>
          </cell>
          <cell r="D7085">
            <v>0</v>
          </cell>
          <cell r="E7085">
            <v>0</v>
          </cell>
          <cell r="F7085">
            <v>0</v>
          </cell>
          <cell r="G7085">
            <v>0</v>
          </cell>
          <cell r="H7085">
            <v>0</v>
          </cell>
          <cell r="I7085">
            <v>0</v>
          </cell>
          <cell r="J7085">
            <v>0</v>
          </cell>
          <cell r="K7085">
            <v>0</v>
          </cell>
          <cell r="L7085">
            <v>0</v>
          </cell>
          <cell r="M7085">
            <v>0</v>
          </cell>
          <cell r="N7085">
            <v>0</v>
          </cell>
          <cell r="O7085">
            <v>-5.4000000000000001E-4</v>
          </cell>
          <cell r="P7085">
            <v>0</v>
          </cell>
          <cell r="Q7085">
            <v>0</v>
          </cell>
          <cell r="R7085">
            <v>0</v>
          </cell>
          <cell r="S7085">
            <v>0</v>
          </cell>
          <cell r="T7085">
            <v>0</v>
          </cell>
          <cell r="U7085" t="b">
            <v>1</v>
          </cell>
        </row>
        <row r="7086">
          <cell r="A7086" t="str">
            <v>Data split-16;Reg-93</v>
          </cell>
          <cell r="B7086">
            <v>-4.0999999999999996</v>
          </cell>
          <cell r="C7086">
            <v>2.1</v>
          </cell>
          <cell r="D7086">
            <v>0</v>
          </cell>
          <cell r="E7086">
            <v>0</v>
          </cell>
          <cell r="F7086">
            <v>0</v>
          </cell>
          <cell r="G7086">
            <v>0</v>
          </cell>
          <cell r="H7086">
            <v>0</v>
          </cell>
          <cell r="I7086">
            <v>0</v>
          </cell>
          <cell r="J7086">
            <v>0</v>
          </cell>
          <cell r="K7086">
            <v>0</v>
          </cell>
          <cell r="L7086">
            <v>0</v>
          </cell>
          <cell r="M7086">
            <v>0</v>
          </cell>
          <cell r="N7086">
            <v>0</v>
          </cell>
          <cell r="O7086">
            <v>0</v>
          </cell>
          <cell r="P7086">
            <v>9.3999999999999997E-4</v>
          </cell>
          <cell r="Q7086">
            <v>0</v>
          </cell>
          <cell r="R7086">
            <v>0</v>
          </cell>
          <cell r="S7086">
            <v>0</v>
          </cell>
          <cell r="T7086">
            <v>0</v>
          </cell>
          <cell r="U7086" t="b">
            <v>0</v>
          </cell>
        </row>
        <row r="7087">
          <cell r="A7087" t="str">
            <v>Data split-16;Reg-94</v>
          </cell>
          <cell r="B7087">
            <v>-4</v>
          </cell>
          <cell r="C7087">
            <v>0</v>
          </cell>
          <cell r="D7087">
            <v>2.1</v>
          </cell>
          <cell r="E7087">
            <v>0</v>
          </cell>
          <cell r="F7087">
            <v>0</v>
          </cell>
          <cell r="G7087">
            <v>0</v>
          </cell>
          <cell r="H7087">
            <v>0</v>
          </cell>
          <cell r="I7087">
            <v>0</v>
          </cell>
          <cell r="J7087">
            <v>0</v>
          </cell>
          <cell r="K7087">
            <v>0</v>
          </cell>
          <cell r="L7087">
            <v>0</v>
          </cell>
          <cell r="M7087">
            <v>0</v>
          </cell>
          <cell r="N7087">
            <v>0</v>
          </cell>
          <cell r="O7087">
            <v>-4.8000000000000001E-4</v>
          </cell>
          <cell r="P7087">
            <v>0</v>
          </cell>
          <cell r="Q7087">
            <v>0</v>
          </cell>
          <cell r="R7087">
            <v>0</v>
          </cell>
          <cell r="S7087">
            <v>0</v>
          </cell>
          <cell r="T7087">
            <v>0</v>
          </cell>
          <cell r="U7087" t="b">
            <v>1</v>
          </cell>
        </row>
        <row r="7088">
          <cell r="A7088" t="str">
            <v>Data split-16;Reg-95</v>
          </cell>
          <cell r="B7088">
            <v>-4.0999999999999996</v>
          </cell>
          <cell r="C7088">
            <v>0</v>
          </cell>
          <cell r="D7088">
            <v>2.1</v>
          </cell>
          <cell r="E7088">
            <v>0</v>
          </cell>
          <cell r="F7088">
            <v>0</v>
          </cell>
          <cell r="G7088">
            <v>0</v>
          </cell>
          <cell r="H7088">
            <v>0</v>
          </cell>
          <cell r="I7088">
            <v>0</v>
          </cell>
          <cell r="J7088">
            <v>0</v>
          </cell>
          <cell r="K7088">
            <v>0</v>
          </cell>
          <cell r="L7088">
            <v>0</v>
          </cell>
          <cell r="M7088">
            <v>0</v>
          </cell>
          <cell r="N7088">
            <v>0</v>
          </cell>
          <cell r="O7088">
            <v>0</v>
          </cell>
          <cell r="P7088">
            <v>9.5E-4</v>
          </cell>
          <cell r="Q7088">
            <v>0</v>
          </cell>
          <cell r="R7088">
            <v>0</v>
          </cell>
          <cell r="S7088">
            <v>0</v>
          </cell>
          <cell r="T7088">
            <v>0</v>
          </cell>
          <cell r="U7088" t="b">
            <v>0</v>
          </cell>
        </row>
        <row r="7089">
          <cell r="A7089" t="str">
            <v>Data split-16;Reg-96</v>
          </cell>
          <cell r="B7089">
            <v>-3.7</v>
          </cell>
          <cell r="C7089">
            <v>2</v>
          </cell>
          <cell r="D7089">
            <v>0</v>
          </cell>
          <cell r="E7089">
            <v>-1.5</v>
          </cell>
          <cell r="F7089">
            <v>0</v>
          </cell>
          <cell r="G7089">
            <v>0</v>
          </cell>
          <cell r="H7089">
            <v>0</v>
          </cell>
          <cell r="I7089">
            <v>6.1</v>
          </cell>
          <cell r="J7089">
            <v>0</v>
          </cell>
          <cell r="K7089">
            <v>0</v>
          </cell>
          <cell r="L7089">
            <v>0</v>
          </cell>
          <cell r="M7089">
            <v>0</v>
          </cell>
          <cell r="N7089">
            <v>0</v>
          </cell>
          <cell r="O7089">
            <v>0</v>
          </cell>
          <cell r="P7089">
            <v>0</v>
          </cell>
          <cell r="Q7089">
            <v>0</v>
          </cell>
          <cell r="R7089">
            <v>0</v>
          </cell>
          <cell r="S7089">
            <v>0</v>
          </cell>
          <cell r="T7089">
            <v>0</v>
          </cell>
          <cell r="U7089" t="b">
            <v>0</v>
          </cell>
        </row>
        <row r="7090">
          <cell r="A7090" t="str">
            <v>Data split-16;Reg-97</v>
          </cell>
          <cell r="B7090">
            <v>-8.1999999999999993</v>
          </cell>
          <cell r="C7090">
            <v>1.9</v>
          </cell>
          <cell r="D7090">
            <v>0</v>
          </cell>
          <cell r="E7090">
            <v>-0.83</v>
          </cell>
          <cell r="F7090">
            <v>0</v>
          </cell>
          <cell r="G7090">
            <v>0</v>
          </cell>
          <cell r="H7090">
            <v>0</v>
          </cell>
          <cell r="I7090">
            <v>0</v>
          </cell>
          <cell r="J7090">
            <v>54.4</v>
          </cell>
          <cell r="K7090">
            <v>0</v>
          </cell>
          <cell r="L7090">
            <v>0</v>
          </cell>
          <cell r="M7090">
            <v>0</v>
          </cell>
          <cell r="N7090">
            <v>0</v>
          </cell>
          <cell r="O7090">
            <v>0</v>
          </cell>
          <cell r="P7090">
            <v>0</v>
          </cell>
          <cell r="Q7090">
            <v>0</v>
          </cell>
          <cell r="R7090">
            <v>0</v>
          </cell>
          <cell r="S7090">
            <v>0</v>
          </cell>
          <cell r="T7090">
            <v>0</v>
          </cell>
          <cell r="U7090" t="b">
            <v>0</v>
          </cell>
        </row>
        <row r="7091">
          <cell r="A7091" t="str">
            <v>Data split-16;Reg-98</v>
          </cell>
          <cell r="B7091">
            <v>-3.7</v>
          </cell>
          <cell r="C7091">
            <v>0.97</v>
          </cell>
          <cell r="D7091">
            <v>0</v>
          </cell>
          <cell r="E7091">
            <v>0</v>
          </cell>
          <cell r="F7091">
            <v>0.18</v>
          </cell>
          <cell r="G7091">
            <v>0</v>
          </cell>
          <cell r="H7091">
            <v>0</v>
          </cell>
          <cell r="I7091">
            <v>5.0999999999999996</v>
          </cell>
          <cell r="J7091">
            <v>0</v>
          </cell>
          <cell r="K7091">
            <v>0</v>
          </cell>
          <cell r="L7091">
            <v>0</v>
          </cell>
          <cell r="M7091">
            <v>0</v>
          </cell>
          <cell r="N7091">
            <v>0</v>
          </cell>
          <cell r="O7091">
            <v>0</v>
          </cell>
          <cell r="P7091">
            <v>0</v>
          </cell>
          <cell r="Q7091">
            <v>0</v>
          </cell>
          <cell r="R7091">
            <v>0</v>
          </cell>
          <cell r="S7091">
            <v>0</v>
          </cell>
          <cell r="T7091">
            <v>0</v>
          </cell>
          <cell r="U7091" t="b">
            <v>0</v>
          </cell>
        </row>
        <row r="7092">
          <cell r="A7092" t="str">
            <v>Data split-16;Reg-99</v>
          </cell>
          <cell r="B7092">
            <v>-7.7</v>
          </cell>
          <cell r="C7092">
            <v>1.1000000000000001</v>
          </cell>
          <cell r="D7092">
            <v>0</v>
          </cell>
          <cell r="E7092">
            <v>0</v>
          </cell>
          <cell r="F7092">
            <v>0.19</v>
          </cell>
          <cell r="G7092">
            <v>0</v>
          </cell>
          <cell r="H7092">
            <v>0</v>
          </cell>
          <cell r="I7092">
            <v>0</v>
          </cell>
          <cell r="J7092">
            <v>55.5</v>
          </cell>
          <cell r="K7092">
            <v>0</v>
          </cell>
          <cell r="L7092">
            <v>0</v>
          </cell>
          <cell r="M7092">
            <v>0</v>
          </cell>
          <cell r="N7092">
            <v>0</v>
          </cell>
          <cell r="O7092">
            <v>0</v>
          </cell>
          <cell r="P7092">
            <v>0</v>
          </cell>
          <cell r="Q7092">
            <v>0</v>
          </cell>
          <cell r="R7092">
            <v>0</v>
          </cell>
          <cell r="S7092">
            <v>0</v>
          </cell>
          <cell r="T7092">
            <v>0</v>
          </cell>
          <cell r="U7092" t="b">
            <v>0</v>
          </cell>
        </row>
        <row r="7093">
          <cell r="A7093" t="str">
            <v>Data split-16;Reg-100</v>
          </cell>
          <cell r="B7093">
            <v>-3.7</v>
          </cell>
          <cell r="C7093">
            <v>0</v>
          </cell>
          <cell r="D7093">
            <v>2</v>
          </cell>
          <cell r="E7093">
            <v>-1.5</v>
          </cell>
          <cell r="F7093">
            <v>0</v>
          </cell>
          <cell r="G7093">
            <v>0</v>
          </cell>
          <cell r="H7093">
            <v>0</v>
          </cell>
          <cell r="I7093">
            <v>6.1</v>
          </cell>
          <cell r="J7093">
            <v>0</v>
          </cell>
          <cell r="K7093">
            <v>0</v>
          </cell>
          <cell r="L7093">
            <v>0</v>
          </cell>
          <cell r="M7093">
            <v>0</v>
          </cell>
          <cell r="N7093">
            <v>0</v>
          </cell>
          <cell r="O7093">
            <v>0</v>
          </cell>
          <cell r="P7093">
            <v>0</v>
          </cell>
          <cell r="Q7093">
            <v>0</v>
          </cell>
          <cell r="R7093">
            <v>0</v>
          </cell>
          <cell r="S7093">
            <v>0</v>
          </cell>
          <cell r="T7093">
            <v>0</v>
          </cell>
          <cell r="U7093" t="b">
            <v>0</v>
          </cell>
        </row>
        <row r="7094">
          <cell r="A7094" t="str">
            <v>Data split-16;Reg-101</v>
          </cell>
          <cell r="B7094">
            <v>-8.1999999999999993</v>
          </cell>
          <cell r="C7094">
            <v>0</v>
          </cell>
          <cell r="D7094">
            <v>1.9</v>
          </cell>
          <cell r="E7094">
            <v>-0.82</v>
          </cell>
          <cell r="F7094">
            <v>0</v>
          </cell>
          <cell r="G7094">
            <v>0</v>
          </cell>
          <cell r="H7094">
            <v>0</v>
          </cell>
          <cell r="I7094">
            <v>0</v>
          </cell>
          <cell r="J7094">
            <v>54.4</v>
          </cell>
          <cell r="K7094">
            <v>0</v>
          </cell>
          <cell r="L7094">
            <v>0</v>
          </cell>
          <cell r="M7094">
            <v>0</v>
          </cell>
          <cell r="N7094">
            <v>0</v>
          </cell>
          <cell r="O7094">
            <v>0</v>
          </cell>
          <cell r="P7094">
            <v>0</v>
          </cell>
          <cell r="Q7094">
            <v>0</v>
          </cell>
          <cell r="R7094">
            <v>0</v>
          </cell>
          <cell r="S7094">
            <v>0</v>
          </cell>
          <cell r="T7094">
            <v>0</v>
          </cell>
          <cell r="U7094" t="b">
            <v>0</v>
          </cell>
        </row>
        <row r="7095">
          <cell r="A7095" t="str">
            <v>Data split-16;Reg-102</v>
          </cell>
          <cell r="B7095">
            <v>-3.7</v>
          </cell>
          <cell r="C7095">
            <v>0</v>
          </cell>
          <cell r="D7095">
            <v>0.97</v>
          </cell>
          <cell r="E7095">
            <v>0</v>
          </cell>
          <cell r="F7095">
            <v>0.18</v>
          </cell>
          <cell r="G7095">
            <v>0</v>
          </cell>
          <cell r="H7095">
            <v>0</v>
          </cell>
          <cell r="I7095">
            <v>5.0999999999999996</v>
          </cell>
          <cell r="J7095">
            <v>0</v>
          </cell>
          <cell r="K7095">
            <v>0</v>
          </cell>
          <cell r="L7095">
            <v>0</v>
          </cell>
          <cell r="M7095">
            <v>0</v>
          </cell>
          <cell r="N7095">
            <v>0</v>
          </cell>
          <cell r="O7095">
            <v>0</v>
          </cell>
          <cell r="P7095">
            <v>0</v>
          </cell>
          <cell r="Q7095">
            <v>0</v>
          </cell>
          <cell r="R7095">
            <v>0</v>
          </cell>
          <cell r="S7095">
            <v>0</v>
          </cell>
          <cell r="T7095">
            <v>0</v>
          </cell>
          <cell r="U7095" t="b">
            <v>0</v>
          </cell>
        </row>
        <row r="7096">
          <cell r="A7096" t="str">
            <v>Data split-16;Reg-103</v>
          </cell>
          <cell r="B7096">
            <v>-7.7</v>
          </cell>
          <cell r="C7096">
            <v>0</v>
          </cell>
          <cell r="D7096">
            <v>1.1000000000000001</v>
          </cell>
          <cell r="E7096">
            <v>0</v>
          </cell>
          <cell r="F7096">
            <v>0.19</v>
          </cell>
          <cell r="G7096">
            <v>0</v>
          </cell>
          <cell r="H7096">
            <v>0</v>
          </cell>
          <cell r="I7096">
            <v>0</v>
          </cell>
          <cell r="J7096">
            <v>55.5</v>
          </cell>
          <cell r="K7096">
            <v>0</v>
          </cell>
          <cell r="L7096">
            <v>0</v>
          </cell>
          <cell r="M7096">
            <v>0</v>
          </cell>
          <cell r="N7096">
            <v>0</v>
          </cell>
          <cell r="O7096">
            <v>0</v>
          </cell>
          <cell r="P7096">
            <v>0</v>
          </cell>
          <cell r="Q7096">
            <v>0</v>
          </cell>
          <cell r="R7096">
            <v>0</v>
          </cell>
          <cell r="S7096">
            <v>0</v>
          </cell>
          <cell r="T7096">
            <v>0</v>
          </cell>
          <cell r="U7096" t="b">
            <v>0</v>
          </cell>
        </row>
        <row r="7097">
          <cell r="A7097" t="str">
            <v>Data split-16;Reg-104</v>
          </cell>
          <cell r="B7097">
            <v>-4.5999999999999996</v>
          </cell>
          <cell r="C7097">
            <v>1.4</v>
          </cell>
          <cell r="D7097">
            <v>0</v>
          </cell>
          <cell r="E7097">
            <v>0.2</v>
          </cell>
          <cell r="F7097">
            <v>0</v>
          </cell>
          <cell r="G7097">
            <v>0</v>
          </cell>
          <cell r="H7097">
            <v>0</v>
          </cell>
          <cell r="I7097">
            <v>0</v>
          </cell>
          <cell r="J7097">
            <v>0</v>
          </cell>
          <cell r="K7097">
            <v>3.3</v>
          </cell>
          <cell r="L7097">
            <v>0</v>
          </cell>
          <cell r="M7097">
            <v>0</v>
          </cell>
          <cell r="N7097">
            <v>0</v>
          </cell>
          <cell r="O7097">
            <v>0</v>
          </cell>
          <cell r="P7097">
            <v>0</v>
          </cell>
          <cell r="Q7097">
            <v>0</v>
          </cell>
          <cell r="R7097">
            <v>0</v>
          </cell>
          <cell r="S7097">
            <v>0</v>
          </cell>
          <cell r="T7097">
            <v>0</v>
          </cell>
          <cell r="U7097" t="b">
            <v>0</v>
          </cell>
        </row>
        <row r="7098">
          <cell r="A7098" t="str">
            <v>Data split-16;Reg-105</v>
          </cell>
          <cell r="B7098">
            <v>-4.5999999999999996</v>
          </cell>
          <cell r="C7098">
            <v>1.9</v>
          </cell>
          <cell r="D7098">
            <v>0</v>
          </cell>
          <cell r="E7098">
            <v>0.36</v>
          </cell>
          <cell r="F7098">
            <v>0</v>
          </cell>
          <cell r="G7098">
            <v>0</v>
          </cell>
          <cell r="H7098">
            <v>0</v>
          </cell>
          <cell r="I7098">
            <v>0</v>
          </cell>
          <cell r="J7098">
            <v>0</v>
          </cell>
          <cell r="K7098">
            <v>0</v>
          </cell>
          <cell r="L7098">
            <v>3.2</v>
          </cell>
          <cell r="M7098">
            <v>0</v>
          </cell>
          <cell r="N7098">
            <v>0</v>
          </cell>
          <cell r="O7098">
            <v>0</v>
          </cell>
          <cell r="P7098">
            <v>0</v>
          </cell>
          <cell r="Q7098">
            <v>0</v>
          </cell>
          <cell r="R7098">
            <v>0</v>
          </cell>
          <cell r="S7098">
            <v>0</v>
          </cell>
          <cell r="T7098">
            <v>0</v>
          </cell>
          <cell r="U7098" t="b">
            <v>0</v>
          </cell>
        </row>
        <row r="7099">
          <cell r="A7099" t="str">
            <v>Data split-16;Reg-106</v>
          </cell>
          <cell r="B7099">
            <v>-3.1</v>
          </cell>
          <cell r="C7099">
            <v>0.9</v>
          </cell>
          <cell r="D7099">
            <v>0</v>
          </cell>
          <cell r="E7099">
            <v>0</v>
          </cell>
          <cell r="F7099">
            <v>0.22</v>
          </cell>
          <cell r="G7099">
            <v>0</v>
          </cell>
          <cell r="H7099">
            <v>0</v>
          </cell>
          <cell r="I7099">
            <v>0</v>
          </cell>
          <cell r="J7099">
            <v>0</v>
          </cell>
          <cell r="K7099">
            <v>4.4000000000000004</v>
          </cell>
          <cell r="L7099">
            <v>0</v>
          </cell>
          <cell r="M7099">
            <v>0</v>
          </cell>
          <cell r="N7099">
            <v>0</v>
          </cell>
          <cell r="O7099">
            <v>0</v>
          </cell>
          <cell r="P7099">
            <v>0</v>
          </cell>
          <cell r="Q7099">
            <v>0</v>
          </cell>
          <cell r="R7099">
            <v>0</v>
          </cell>
          <cell r="S7099">
            <v>0</v>
          </cell>
          <cell r="T7099">
            <v>0</v>
          </cell>
          <cell r="U7099" t="b">
            <v>0</v>
          </cell>
        </row>
        <row r="7100">
          <cell r="A7100" t="str">
            <v>Data split-16;Reg-107</v>
          </cell>
          <cell r="B7100">
            <v>-3.5</v>
          </cell>
          <cell r="C7100">
            <v>1.7</v>
          </cell>
          <cell r="D7100">
            <v>0</v>
          </cell>
          <cell r="E7100">
            <v>0</v>
          </cell>
          <cell r="F7100">
            <v>0.18</v>
          </cell>
          <cell r="G7100">
            <v>0</v>
          </cell>
          <cell r="H7100">
            <v>0</v>
          </cell>
          <cell r="I7100">
            <v>0</v>
          </cell>
          <cell r="J7100">
            <v>0</v>
          </cell>
          <cell r="K7100">
            <v>0</v>
          </cell>
          <cell r="L7100">
            <v>6.7</v>
          </cell>
          <cell r="M7100">
            <v>0</v>
          </cell>
          <cell r="N7100">
            <v>0</v>
          </cell>
          <cell r="O7100">
            <v>0</v>
          </cell>
          <cell r="P7100">
            <v>0</v>
          </cell>
          <cell r="Q7100">
            <v>0</v>
          </cell>
          <cell r="R7100">
            <v>0</v>
          </cell>
          <cell r="S7100">
            <v>0</v>
          </cell>
          <cell r="T7100">
            <v>0</v>
          </cell>
          <cell r="U7100" t="b">
            <v>0</v>
          </cell>
        </row>
        <row r="7101">
          <cell r="A7101" t="str">
            <v>Data split-16;Reg-108</v>
          </cell>
          <cell r="B7101">
            <v>-4.5999999999999996</v>
          </cell>
          <cell r="C7101">
            <v>0</v>
          </cell>
          <cell r="D7101">
            <v>1.4</v>
          </cell>
          <cell r="E7101">
            <v>0.2</v>
          </cell>
          <cell r="F7101">
            <v>0</v>
          </cell>
          <cell r="G7101">
            <v>0</v>
          </cell>
          <cell r="H7101">
            <v>0</v>
          </cell>
          <cell r="I7101">
            <v>0</v>
          </cell>
          <cell r="J7101">
            <v>0</v>
          </cell>
          <cell r="K7101">
            <v>3.3</v>
          </cell>
          <cell r="L7101">
            <v>0</v>
          </cell>
          <cell r="M7101">
            <v>0</v>
          </cell>
          <cell r="N7101">
            <v>0</v>
          </cell>
          <cell r="O7101">
            <v>0</v>
          </cell>
          <cell r="P7101">
            <v>0</v>
          </cell>
          <cell r="Q7101">
            <v>0</v>
          </cell>
          <cell r="R7101">
            <v>0</v>
          </cell>
          <cell r="S7101">
            <v>0</v>
          </cell>
          <cell r="T7101">
            <v>0</v>
          </cell>
          <cell r="U7101" t="b">
            <v>0</v>
          </cell>
        </row>
        <row r="7102">
          <cell r="A7102" t="str">
            <v>Data split-16;Reg-109</v>
          </cell>
          <cell r="B7102">
            <v>-4.5999999999999996</v>
          </cell>
          <cell r="C7102">
            <v>0</v>
          </cell>
          <cell r="D7102">
            <v>1.9</v>
          </cell>
          <cell r="E7102">
            <v>0.36</v>
          </cell>
          <cell r="F7102">
            <v>0</v>
          </cell>
          <cell r="G7102">
            <v>0</v>
          </cell>
          <cell r="H7102">
            <v>0</v>
          </cell>
          <cell r="I7102">
            <v>0</v>
          </cell>
          <cell r="J7102">
            <v>0</v>
          </cell>
          <cell r="K7102">
            <v>0</v>
          </cell>
          <cell r="L7102">
            <v>3.2</v>
          </cell>
          <cell r="M7102">
            <v>0</v>
          </cell>
          <cell r="N7102">
            <v>0</v>
          </cell>
          <cell r="O7102">
            <v>0</v>
          </cell>
          <cell r="P7102">
            <v>0</v>
          </cell>
          <cell r="Q7102">
            <v>0</v>
          </cell>
          <cell r="R7102">
            <v>0</v>
          </cell>
          <cell r="S7102">
            <v>0</v>
          </cell>
          <cell r="T7102">
            <v>0</v>
          </cell>
          <cell r="U7102" t="b">
            <v>0</v>
          </cell>
        </row>
        <row r="7103">
          <cell r="A7103" t="str">
            <v>Data split-16;Reg-110</v>
          </cell>
          <cell r="B7103">
            <v>-3.1</v>
          </cell>
          <cell r="C7103">
            <v>0</v>
          </cell>
          <cell r="D7103">
            <v>0.9</v>
          </cell>
          <cell r="E7103">
            <v>0</v>
          </cell>
          <cell r="F7103">
            <v>0.22</v>
          </cell>
          <cell r="G7103">
            <v>0</v>
          </cell>
          <cell r="H7103">
            <v>0</v>
          </cell>
          <cell r="I7103">
            <v>0</v>
          </cell>
          <cell r="J7103">
            <v>0</v>
          </cell>
          <cell r="K7103">
            <v>4.4000000000000004</v>
          </cell>
          <cell r="L7103">
            <v>0</v>
          </cell>
          <cell r="M7103">
            <v>0</v>
          </cell>
          <cell r="N7103">
            <v>0</v>
          </cell>
          <cell r="O7103">
            <v>0</v>
          </cell>
          <cell r="P7103">
            <v>0</v>
          </cell>
          <cell r="Q7103">
            <v>0</v>
          </cell>
          <cell r="R7103">
            <v>0</v>
          </cell>
          <cell r="S7103">
            <v>0</v>
          </cell>
          <cell r="T7103">
            <v>0</v>
          </cell>
          <cell r="U7103" t="b">
            <v>0</v>
          </cell>
        </row>
        <row r="7104">
          <cell r="A7104" t="str">
            <v>Data split-16;Reg-111</v>
          </cell>
          <cell r="B7104">
            <v>-3.5</v>
          </cell>
          <cell r="C7104">
            <v>0</v>
          </cell>
          <cell r="D7104">
            <v>1.7</v>
          </cell>
          <cell r="E7104">
            <v>0</v>
          </cell>
          <cell r="F7104">
            <v>0.18</v>
          </cell>
          <cell r="G7104">
            <v>0</v>
          </cell>
          <cell r="H7104">
            <v>0</v>
          </cell>
          <cell r="I7104">
            <v>0</v>
          </cell>
          <cell r="J7104">
            <v>0</v>
          </cell>
          <cell r="K7104">
            <v>0</v>
          </cell>
          <cell r="L7104">
            <v>6.7</v>
          </cell>
          <cell r="M7104">
            <v>0</v>
          </cell>
          <cell r="N7104">
            <v>0</v>
          </cell>
          <cell r="O7104">
            <v>0</v>
          </cell>
          <cell r="P7104">
            <v>0</v>
          </cell>
          <cell r="Q7104">
            <v>0</v>
          </cell>
          <cell r="R7104">
            <v>0</v>
          </cell>
          <cell r="S7104">
            <v>0</v>
          </cell>
          <cell r="T7104">
            <v>0</v>
          </cell>
          <cell r="U7104" t="b">
            <v>0</v>
          </cell>
        </row>
        <row r="7105">
          <cell r="A7105" t="str">
            <v>Data split-16;Reg-112</v>
          </cell>
          <cell r="B7105">
            <v>-4.0999999999999996</v>
          </cell>
          <cell r="C7105">
            <v>1.8</v>
          </cell>
          <cell r="D7105">
            <v>0</v>
          </cell>
          <cell r="E7105">
            <v>0</v>
          </cell>
          <cell r="F7105">
            <v>0</v>
          </cell>
          <cell r="G7105">
            <v>-1.1000000000000001</v>
          </cell>
          <cell r="H7105">
            <v>0</v>
          </cell>
          <cell r="I7105">
            <v>6.4</v>
          </cell>
          <cell r="J7105">
            <v>0</v>
          </cell>
          <cell r="K7105">
            <v>0</v>
          </cell>
          <cell r="L7105">
            <v>0</v>
          </cell>
          <cell r="M7105">
            <v>0</v>
          </cell>
          <cell r="N7105">
            <v>0</v>
          </cell>
          <cell r="O7105">
            <v>0</v>
          </cell>
          <cell r="P7105">
            <v>0</v>
          </cell>
          <cell r="Q7105">
            <v>0</v>
          </cell>
          <cell r="R7105">
            <v>0</v>
          </cell>
          <cell r="S7105">
            <v>0</v>
          </cell>
          <cell r="T7105">
            <v>0</v>
          </cell>
          <cell r="U7105" t="b">
            <v>0</v>
          </cell>
        </row>
        <row r="7106">
          <cell r="A7106" t="str">
            <v>Data split-16;Reg-113</v>
          </cell>
          <cell r="B7106">
            <v>-8.4</v>
          </cell>
          <cell r="C7106">
            <v>1.9</v>
          </cell>
          <cell r="D7106">
            <v>0</v>
          </cell>
          <cell r="E7106">
            <v>0</v>
          </cell>
          <cell r="F7106">
            <v>0</v>
          </cell>
          <cell r="G7106">
            <v>-0.69</v>
          </cell>
          <cell r="H7106">
            <v>0</v>
          </cell>
          <cell r="I7106">
            <v>0</v>
          </cell>
          <cell r="J7106">
            <v>55.5</v>
          </cell>
          <cell r="K7106">
            <v>0</v>
          </cell>
          <cell r="L7106">
            <v>0</v>
          </cell>
          <cell r="M7106">
            <v>0</v>
          </cell>
          <cell r="N7106">
            <v>0</v>
          </cell>
          <cell r="O7106">
            <v>0</v>
          </cell>
          <cell r="P7106">
            <v>0</v>
          </cell>
          <cell r="Q7106">
            <v>0</v>
          </cell>
          <cell r="R7106">
            <v>0</v>
          </cell>
          <cell r="S7106">
            <v>0</v>
          </cell>
          <cell r="T7106">
            <v>0</v>
          </cell>
          <cell r="U7106" t="b">
            <v>0</v>
          </cell>
        </row>
        <row r="7107">
          <cell r="A7107" t="str">
            <v>Data split-16;Reg-114</v>
          </cell>
          <cell r="B7107">
            <v>-4.3</v>
          </cell>
          <cell r="C7107">
            <v>1.6</v>
          </cell>
          <cell r="D7107">
            <v>0</v>
          </cell>
          <cell r="E7107">
            <v>0</v>
          </cell>
          <cell r="F7107">
            <v>0</v>
          </cell>
          <cell r="G7107">
            <v>0</v>
          </cell>
          <cell r="H7107">
            <v>-1.1000000000000001</v>
          </cell>
          <cell r="I7107">
            <v>5.7</v>
          </cell>
          <cell r="J7107">
            <v>0</v>
          </cell>
          <cell r="K7107">
            <v>0</v>
          </cell>
          <cell r="L7107">
            <v>0</v>
          </cell>
          <cell r="M7107">
            <v>0</v>
          </cell>
          <cell r="N7107">
            <v>0</v>
          </cell>
          <cell r="O7107">
            <v>0</v>
          </cell>
          <cell r="P7107">
            <v>0</v>
          </cell>
          <cell r="Q7107">
            <v>0</v>
          </cell>
          <cell r="R7107">
            <v>0</v>
          </cell>
          <cell r="S7107">
            <v>0</v>
          </cell>
          <cell r="T7107">
            <v>0</v>
          </cell>
          <cell r="U7107" t="b">
            <v>0</v>
          </cell>
        </row>
        <row r="7108">
          <cell r="A7108" t="str">
            <v>Data split-16;Reg-115</v>
          </cell>
          <cell r="B7108">
            <v>-8.5</v>
          </cell>
          <cell r="C7108">
            <v>1.7</v>
          </cell>
          <cell r="D7108">
            <v>0</v>
          </cell>
          <cell r="E7108">
            <v>0</v>
          </cell>
          <cell r="F7108">
            <v>0</v>
          </cell>
          <cell r="G7108">
            <v>0</v>
          </cell>
          <cell r="H7108">
            <v>-0.56999999999999995</v>
          </cell>
          <cell r="I7108">
            <v>0</v>
          </cell>
          <cell r="J7108">
            <v>53.4</v>
          </cell>
          <cell r="K7108">
            <v>0</v>
          </cell>
          <cell r="L7108">
            <v>0</v>
          </cell>
          <cell r="M7108">
            <v>0</v>
          </cell>
          <cell r="N7108">
            <v>0</v>
          </cell>
          <cell r="O7108">
            <v>0</v>
          </cell>
          <cell r="P7108">
            <v>0</v>
          </cell>
          <cell r="Q7108">
            <v>0</v>
          </cell>
          <cell r="R7108">
            <v>0</v>
          </cell>
          <cell r="S7108">
            <v>0</v>
          </cell>
          <cell r="T7108">
            <v>0</v>
          </cell>
          <cell r="U7108" t="b">
            <v>0</v>
          </cell>
        </row>
        <row r="7109">
          <cell r="A7109" t="str">
            <v>Data split-16;Reg-116</v>
          </cell>
          <cell r="B7109">
            <v>-4.0999999999999996</v>
          </cell>
          <cell r="C7109">
            <v>0</v>
          </cell>
          <cell r="D7109">
            <v>1.8</v>
          </cell>
          <cell r="E7109">
            <v>0</v>
          </cell>
          <cell r="F7109">
            <v>0</v>
          </cell>
          <cell r="G7109">
            <v>-1.1000000000000001</v>
          </cell>
          <cell r="H7109">
            <v>0</v>
          </cell>
          <cell r="I7109">
            <v>6.4</v>
          </cell>
          <cell r="J7109">
            <v>0</v>
          </cell>
          <cell r="K7109">
            <v>0</v>
          </cell>
          <cell r="L7109">
            <v>0</v>
          </cell>
          <cell r="M7109">
            <v>0</v>
          </cell>
          <cell r="N7109">
            <v>0</v>
          </cell>
          <cell r="O7109">
            <v>0</v>
          </cell>
          <cell r="P7109">
            <v>0</v>
          </cell>
          <cell r="Q7109">
            <v>0</v>
          </cell>
          <cell r="R7109">
            <v>0</v>
          </cell>
          <cell r="S7109">
            <v>0</v>
          </cell>
          <cell r="T7109">
            <v>0</v>
          </cell>
          <cell r="U7109" t="b">
            <v>0</v>
          </cell>
        </row>
        <row r="7110">
          <cell r="A7110" t="str">
            <v>Data split-16;Reg-117</v>
          </cell>
          <cell r="B7110">
            <v>-8.4</v>
          </cell>
          <cell r="C7110">
            <v>0</v>
          </cell>
          <cell r="D7110">
            <v>1.9</v>
          </cell>
          <cell r="E7110">
            <v>0</v>
          </cell>
          <cell r="F7110">
            <v>0</v>
          </cell>
          <cell r="G7110">
            <v>-0.69</v>
          </cell>
          <cell r="H7110">
            <v>0</v>
          </cell>
          <cell r="I7110">
            <v>0</v>
          </cell>
          <cell r="J7110">
            <v>55.5</v>
          </cell>
          <cell r="K7110">
            <v>0</v>
          </cell>
          <cell r="L7110">
            <v>0</v>
          </cell>
          <cell r="M7110">
            <v>0</v>
          </cell>
          <cell r="N7110">
            <v>0</v>
          </cell>
          <cell r="O7110">
            <v>0</v>
          </cell>
          <cell r="P7110">
            <v>0</v>
          </cell>
          <cell r="Q7110">
            <v>0</v>
          </cell>
          <cell r="R7110">
            <v>0</v>
          </cell>
          <cell r="S7110">
            <v>0</v>
          </cell>
          <cell r="T7110">
            <v>0</v>
          </cell>
          <cell r="U7110" t="b">
            <v>0</v>
          </cell>
        </row>
        <row r="7111">
          <cell r="A7111" t="str">
            <v>Data split-16;Reg-118</v>
          </cell>
          <cell r="B7111">
            <v>-4.3</v>
          </cell>
          <cell r="C7111">
            <v>0</v>
          </cell>
          <cell r="D7111">
            <v>1.6</v>
          </cell>
          <cell r="E7111">
            <v>0</v>
          </cell>
          <cell r="F7111">
            <v>0</v>
          </cell>
          <cell r="G7111">
            <v>0</v>
          </cell>
          <cell r="H7111">
            <v>-1.1000000000000001</v>
          </cell>
          <cell r="I7111">
            <v>5.8</v>
          </cell>
          <cell r="J7111">
            <v>0</v>
          </cell>
          <cell r="K7111">
            <v>0</v>
          </cell>
          <cell r="L7111">
            <v>0</v>
          </cell>
          <cell r="M7111">
            <v>0</v>
          </cell>
          <cell r="N7111">
            <v>0</v>
          </cell>
          <cell r="O7111">
            <v>0</v>
          </cell>
          <cell r="P7111">
            <v>0</v>
          </cell>
          <cell r="Q7111">
            <v>0</v>
          </cell>
          <cell r="R7111">
            <v>0</v>
          </cell>
          <cell r="S7111">
            <v>0</v>
          </cell>
          <cell r="T7111">
            <v>0</v>
          </cell>
          <cell r="U7111" t="b">
            <v>0</v>
          </cell>
        </row>
        <row r="7112">
          <cell r="A7112" t="str">
            <v>Data split-16;Reg-119</v>
          </cell>
          <cell r="B7112">
            <v>-8.5</v>
          </cell>
          <cell r="C7112">
            <v>0</v>
          </cell>
          <cell r="D7112">
            <v>1.7</v>
          </cell>
          <cell r="E7112">
            <v>0</v>
          </cell>
          <cell r="F7112">
            <v>0</v>
          </cell>
          <cell r="G7112">
            <v>0</v>
          </cell>
          <cell r="H7112">
            <v>-0.56000000000000005</v>
          </cell>
          <cell r="I7112">
            <v>0</v>
          </cell>
          <cell r="J7112">
            <v>53.4</v>
          </cell>
          <cell r="K7112">
            <v>0</v>
          </cell>
          <cell r="L7112">
            <v>0</v>
          </cell>
          <cell r="M7112">
            <v>0</v>
          </cell>
          <cell r="N7112">
            <v>0</v>
          </cell>
          <cell r="O7112">
            <v>0</v>
          </cell>
          <cell r="P7112">
            <v>0</v>
          </cell>
          <cell r="Q7112">
            <v>0</v>
          </cell>
          <cell r="R7112">
            <v>0</v>
          </cell>
          <cell r="S7112">
            <v>0</v>
          </cell>
          <cell r="T7112">
            <v>0</v>
          </cell>
          <cell r="U7112" t="b">
            <v>0</v>
          </cell>
        </row>
        <row r="7113">
          <cell r="A7113" t="str">
            <v>Data split-16;Reg-120</v>
          </cell>
          <cell r="B7113">
            <v>-4.2</v>
          </cell>
          <cell r="C7113">
            <v>1.6</v>
          </cell>
          <cell r="D7113">
            <v>0</v>
          </cell>
          <cell r="E7113">
            <v>0</v>
          </cell>
          <cell r="F7113">
            <v>0</v>
          </cell>
          <cell r="G7113">
            <v>-0.25</v>
          </cell>
          <cell r="H7113">
            <v>0</v>
          </cell>
          <cell r="I7113">
            <v>0</v>
          </cell>
          <cell r="J7113">
            <v>0</v>
          </cell>
          <cell r="K7113">
            <v>3.3</v>
          </cell>
          <cell r="L7113">
            <v>0</v>
          </cell>
          <cell r="M7113">
            <v>0</v>
          </cell>
          <cell r="N7113">
            <v>0</v>
          </cell>
          <cell r="O7113">
            <v>0</v>
          </cell>
          <cell r="P7113">
            <v>0</v>
          </cell>
          <cell r="Q7113">
            <v>0</v>
          </cell>
          <cell r="R7113">
            <v>0</v>
          </cell>
          <cell r="S7113">
            <v>0</v>
          </cell>
          <cell r="T7113">
            <v>0</v>
          </cell>
          <cell r="U7113" t="b">
            <v>0</v>
          </cell>
        </row>
        <row r="7114">
          <cell r="A7114" t="str">
            <v>Data split-16;Reg-121</v>
          </cell>
          <cell r="B7114">
            <v>-3.9</v>
          </cell>
          <cell r="C7114">
            <v>2.2999999999999998</v>
          </cell>
          <cell r="D7114">
            <v>0</v>
          </cell>
          <cell r="E7114">
            <v>0</v>
          </cell>
          <cell r="F7114">
            <v>0</v>
          </cell>
          <cell r="G7114">
            <v>-0.28000000000000003</v>
          </cell>
          <cell r="H7114">
            <v>0</v>
          </cell>
          <cell r="I7114">
            <v>0</v>
          </cell>
          <cell r="J7114">
            <v>0</v>
          </cell>
          <cell r="K7114">
            <v>0</v>
          </cell>
          <cell r="L7114">
            <v>0.38</v>
          </cell>
          <cell r="M7114">
            <v>0</v>
          </cell>
          <cell r="N7114">
            <v>0</v>
          </cell>
          <cell r="O7114">
            <v>0</v>
          </cell>
          <cell r="P7114">
            <v>0</v>
          </cell>
          <cell r="Q7114">
            <v>0</v>
          </cell>
          <cell r="R7114">
            <v>0</v>
          </cell>
          <cell r="S7114">
            <v>0</v>
          </cell>
          <cell r="T7114">
            <v>0</v>
          </cell>
          <cell r="U7114" t="b">
            <v>0</v>
          </cell>
        </row>
        <row r="7115">
          <cell r="A7115" t="str">
            <v>Data split-16;Reg-122</v>
          </cell>
          <cell r="B7115">
            <v>-4.7</v>
          </cell>
          <cell r="C7115">
            <v>1.3</v>
          </cell>
          <cell r="D7115">
            <v>0</v>
          </cell>
          <cell r="E7115">
            <v>0</v>
          </cell>
          <cell r="F7115">
            <v>0</v>
          </cell>
          <cell r="G7115">
            <v>0</v>
          </cell>
          <cell r="H7115">
            <v>0.48</v>
          </cell>
          <cell r="I7115">
            <v>0</v>
          </cell>
          <cell r="J7115">
            <v>0</v>
          </cell>
          <cell r="K7115">
            <v>3.3</v>
          </cell>
          <cell r="L7115">
            <v>0</v>
          </cell>
          <cell r="M7115">
            <v>0</v>
          </cell>
          <cell r="N7115">
            <v>0</v>
          </cell>
          <cell r="O7115">
            <v>0</v>
          </cell>
          <cell r="P7115">
            <v>0</v>
          </cell>
          <cell r="Q7115">
            <v>0</v>
          </cell>
          <cell r="R7115">
            <v>0</v>
          </cell>
          <cell r="S7115">
            <v>0</v>
          </cell>
          <cell r="T7115">
            <v>0</v>
          </cell>
          <cell r="U7115" t="b">
            <v>0</v>
          </cell>
        </row>
        <row r="7116">
          <cell r="A7116" t="str">
            <v>Data split-16;Reg-123</v>
          </cell>
          <cell r="B7116">
            <v>-4.8</v>
          </cell>
          <cell r="C7116">
            <v>1.7</v>
          </cell>
          <cell r="D7116">
            <v>0</v>
          </cell>
          <cell r="E7116">
            <v>0</v>
          </cell>
          <cell r="F7116">
            <v>0</v>
          </cell>
          <cell r="G7116">
            <v>0</v>
          </cell>
          <cell r="H7116">
            <v>0.68</v>
          </cell>
          <cell r="I7116">
            <v>0</v>
          </cell>
          <cell r="J7116">
            <v>0</v>
          </cell>
          <cell r="K7116">
            <v>0</v>
          </cell>
          <cell r="L7116">
            <v>4.3</v>
          </cell>
          <cell r="M7116">
            <v>0</v>
          </cell>
          <cell r="N7116">
            <v>0</v>
          </cell>
          <cell r="O7116">
            <v>0</v>
          </cell>
          <cell r="P7116">
            <v>0</v>
          </cell>
          <cell r="Q7116">
            <v>0</v>
          </cell>
          <cell r="R7116">
            <v>0</v>
          </cell>
          <cell r="S7116">
            <v>0</v>
          </cell>
          <cell r="T7116">
            <v>0</v>
          </cell>
          <cell r="U7116" t="b">
            <v>0</v>
          </cell>
        </row>
        <row r="7117">
          <cell r="A7117" t="str">
            <v>Data split-16;Reg-124</v>
          </cell>
          <cell r="B7117">
            <v>-4.2</v>
          </cell>
          <cell r="C7117">
            <v>0</v>
          </cell>
          <cell r="D7117">
            <v>1.6</v>
          </cell>
          <cell r="E7117">
            <v>0</v>
          </cell>
          <cell r="F7117">
            <v>0</v>
          </cell>
          <cell r="G7117">
            <v>-0.25</v>
          </cell>
          <cell r="H7117">
            <v>0</v>
          </cell>
          <cell r="I7117">
            <v>0</v>
          </cell>
          <cell r="J7117">
            <v>0</v>
          </cell>
          <cell r="K7117">
            <v>3.3</v>
          </cell>
          <cell r="L7117">
            <v>0</v>
          </cell>
          <cell r="M7117">
            <v>0</v>
          </cell>
          <cell r="N7117">
            <v>0</v>
          </cell>
          <cell r="O7117">
            <v>0</v>
          </cell>
          <cell r="P7117">
            <v>0</v>
          </cell>
          <cell r="Q7117">
            <v>0</v>
          </cell>
          <cell r="R7117">
            <v>0</v>
          </cell>
          <cell r="S7117">
            <v>0</v>
          </cell>
          <cell r="T7117">
            <v>0</v>
          </cell>
          <cell r="U7117" t="b">
            <v>0</v>
          </cell>
        </row>
        <row r="7118">
          <cell r="A7118" t="str">
            <v>Data split-16;Reg-125</v>
          </cell>
          <cell r="B7118">
            <v>-3.9</v>
          </cell>
          <cell r="C7118">
            <v>0</v>
          </cell>
          <cell r="D7118">
            <v>2.2999999999999998</v>
          </cell>
          <cell r="E7118">
            <v>0</v>
          </cell>
          <cell r="F7118">
            <v>0</v>
          </cell>
          <cell r="G7118">
            <v>-0.28000000000000003</v>
          </cell>
          <cell r="H7118">
            <v>0</v>
          </cell>
          <cell r="I7118">
            <v>0</v>
          </cell>
          <cell r="J7118">
            <v>0</v>
          </cell>
          <cell r="K7118">
            <v>0</v>
          </cell>
          <cell r="L7118">
            <v>0.43</v>
          </cell>
          <cell r="M7118">
            <v>0</v>
          </cell>
          <cell r="N7118">
            <v>0</v>
          </cell>
          <cell r="O7118">
            <v>0</v>
          </cell>
          <cell r="P7118">
            <v>0</v>
          </cell>
          <cell r="Q7118">
            <v>0</v>
          </cell>
          <cell r="R7118">
            <v>0</v>
          </cell>
          <cell r="S7118">
            <v>0</v>
          </cell>
          <cell r="T7118">
            <v>0</v>
          </cell>
          <cell r="U7118" t="b">
            <v>0</v>
          </cell>
        </row>
        <row r="7119">
          <cell r="A7119" t="str">
            <v>Data split-16;Reg-126</v>
          </cell>
          <cell r="B7119">
            <v>-4.7</v>
          </cell>
          <cell r="C7119">
            <v>0</v>
          </cell>
          <cell r="D7119">
            <v>1.3</v>
          </cell>
          <cell r="E7119">
            <v>0</v>
          </cell>
          <cell r="F7119">
            <v>0</v>
          </cell>
          <cell r="G7119">
            <v>0</v>
          </cell>
          <cell r="H7119">
            <v>0.48</v>
          </cell>
          <cell r="I7119">
            <v>0</v>
          </cell>
          <cell r="J7119">
            <v>0</v>
          </cell>
          <cell r="K7119">
            <v>3.3</v>
          </cell>
          <cell r="L7119">
            <v>0</v>
          </cell>
          <cell r="M7119">
            <v>0</v>
          </cell>
          <cell r="N7119">
            <v>0</v>
          </cell>
          <cell r="O7119">
            <v>0</v>
          </cell>
          <cell r="P7119">
            <v>0</v>
          </cell>
          <cell r="Q7119">
            <v>0</v>
          </cell>
          <cell r="R7119">
            <v>0</v>
          </cell>
          <cell r="S7119">
            <v>0</v>
          </cell>
          <cell r="T7119">
            <v>0</v>
          </cell>
          <cell r="U7119" t="b">
            <v>0</v>
          </cell>
        </row>
        <row r="7120">
          <cell r="A7120" t="str">
            <v>Data split-16;Reg-127</v>
          </cell>
          <cell r="B7120">
            <v>-4.8</v>
          </cell>
          <cell r="C7120">
            <v>0</v>
          </cell>
          <cell r="D7120">
            <v>1.7</v>
          </cell>
          <cell r="E7120">
            <v>0</v>
          </cell>
          <cell r="F7120">
            <v>0</v>
          </cell>
          <cell r="G7120">
            <v>0</v>
          </cell>
          <cell r="H7120">
            <v>0.69</v>
          </cell>
          <cell r="I7120">
            <v>0</v>
          </cell>
          <cell r="J7120">
            <v>0</v>
          </cell>
          <cell r="K7120">
            <v>0</v>
          </cell>
          <cell r="L7120">
            <v>4.3</v>
          </cell>
          <cell r="M7120">
            <v>0</v>
          </cell>
          <cell r="N7120">
            <v>0</v>
          </cell>
          <cell r="O7120">
            <v>0</v>
          </cell>
          <cell r="P7120">
            <v>0</v>
          </cell>
          <cell r="Q7120">
            <v>0</v>
          </cell>
          <cell r="R7120">
            <v>0</v>
          </cell>
          <cell r="S7120">
            <v>0</v>
          </cell>
          <cell r="T7120">
            <v>0</v>
          </cell>
          <cell r="U7120" t="b">
            <v>0</v>
          </cell>
        </row>
        <row r="7121">
          <cell r="A7121" t="str">
            <v>Data split-17;Reg-1</v>
          </cell>
          <cell r="B7121">
            <v>0.13</v>
          </cell>
          <cell r="C7121">
            <v>1.6</v>
          </cell>
          <cell r="D7121">
            <v>0</v>
          </cell>
          <cell r="E7121">
            <v>0</v>
          </cell>
          <cell r="F7121">
            <v>0.17</v>
          </cell>
          <cell r="G7121">
            <v>0</v>
          </cell>
          <cell r="H7121">
            <v>0</v>
          </cell>
          <cell r="I7121">
            <v>0</v>
          </cell>
          <cell r="J7121">
            <v>0</v>
          </cell>
          <cell r="K7121">
            <v>0</v>
          </cell>
          <cell r="L7121">
            <v>4.5</v>
          </cell>
          <cell r="M7121">
            <v>0</v>
          </cell>
          <cell r="N7121">
            <v>0</v>
          </cell>
          <cell r="O7121">
            <v>0</v>
          </cell>
          <cell r="P7121">
            <v>0</v>
          </cell>
          <cell r="Q7121">
            <v>0</v>
          </cell>
          <cell r="R7121">
            <v>0</v>
          </cell>
          <cell r="S7121">
            <v>0</v>
          </cell>
          <cell r="T7121">
            <v>0</v>
          </cell>
          <cell r="U7121" t="b">
            <v>0</v>
          </cell>
        </row>
        <row r="7122">
          <cell r="A7122" t="str">
            <v>Data split-17;Reg-2</v>
          </cell>
          <cell r="B7122">
            <v>0.4</v>
          </cell>
          <cell r="C7122">
            <v>1.7</v>
          </cell>
          <cell r="D7122">
            <v>0</v>
          </cell>
          <cell r="E7122">
            <v>0</v>
          </cell>
          <cell r="F7122">
            <v>0.16</v>
          </cell>
          <cell r="G7122">
            <v>8.8999999999999996E-2</v>
          </cell>
          <cell r="H7122">
            <v>0</v>
          </cell>
          <cell r="I7122">
            <v>0</v>
          </cell>
          <cell r="J7122">
            <v>0</v>
          </cell>
          <cell r="K7122">
            <v>0</v>
          </cell>
          <cell r="L7122">
            <v>0</v>
          </cell>
          <cell r="M7122">
            <v>-1.2999999999999999E-3</v>
          </cell>
          <cell r="N7122">
            <v>0</v>
          </cell>
          <cell r="O7122">
            <v>0</v>
          </cell>
          <cell r="P7122">
            <v>0</v>
          </cell>
          <cell r="Q7122">
            <v>0</v>
          </cell>
          <cell r="R7122">
            <v>0</v>
          </cell>
          <cell r="S7122">
            <v>0</v>
          </cell>
          <cell r="T7122">
            <v>0</v>
          </cell>
          <cell r="U7122" t="b">
            <v>0</v>
          </cell>
        </row>
        <row r="7123">
          <cell r="A7123" t="str">
            <v>Data split-17;Reg-3</v>
          </cell>
          <cell r="B7123">
            <v>0.46</v>
          </cell>
          <cell r="C7123">
            <v>1.6</v>
          </cell>
          <cell r="D7123">
            <v>0</v>
          </cell>
          <cell r="E7123">
            <v>0</v>
          </cell>
          <cell r="F7123">
            <v>0.16</v>
          </cell>
          <cell r="G7123">
            <v>-8.1000000000000003E-2</v>
          </cell>
          <cell r="H7123">
            <v>0</v>
          </cell>
          <cell r="I7123">
            <v>0</v>
          </cell>
          <cell r="J7123">
            <v>0</v>
          </cell>
          <cell r="K7123">
            <v>0</v>
          </cell>
          <cell r="L7123">
            <v>0</v>
          </cell>
          <cell r="M7123">
            <v>0</v>
          </cell>
          <cell r="N7123">
            <v>4.1999999999999997E-3</v>
          </cell>
          <cell r="O7123">
            <v>0</v>
          </cell>
          <cell r="P7123">
            <v>0</v>
          </cell>
          <cell r="Q7123">
            <v>0</v>
          </cell>
          <cell r="R7123">
            <v>0</v>
          </cell>
          <cell r="S7123">
            <v>0</v>
          </cell>
          <cell r="T7123">
            <v>0</v>
          </cell>
          <cell r="U7123" t="b">
            <v>0</v>
          </cell>
        </row>
        <row r="7124">
          <cell r="A7124" t="str">
            <v>Data split-17;Reg-4</v>
          </cell>
          <cell r="B7124">
            <v>0.23</v>
          </cell>
          <cell r="C7124">
            <v>1.4</v>
          </cell>
          <cell r="D7124">
            <v>0</v>
          </cell>
          <cell r="E7124">
            <v>0</v>
          </cell>
          <cell r="F7124">
            <v>0.16</v>
          </cell>
          <cell r="G7124">
            <v>0</v>
          </cell>
          <cell r="H7124">
            <v>1.1000000000000001</v>
          </cell>
          <cell r="I7124">
            <v>0</v>
          </cell>
          <cell r="J7124">
            <v>0</v>
          </cell>
          <cell r="K7124">
            <v>0</v>
          </cell>
          <cell r="L7124">
            <v>0</v>
          </cell>
          <cell r="M7124">
            <v>-3.5000000000000003E-2</v>
          </cell>
          <cell r="N7124">
            <v>0</v>
          </cell>
          <cell r="O7124">
            <v>0</v>
          </cell>
          <cell r="P7124">
            <v>0</v>
          </cell>
          <cell r="Q7124">
            <v>0</v>
          </cell>
          <cell r="R7124">
            <v>0</v>
          </cell>
          <cell r="S7124">
            <v>0</v>
          </cell>
          <cell r="T7124">
            <v>0</v>
          </cell>
          <cell r="U7124" t="b">
            <v>0</v>
          </cell>
        </row>
        <row r="7125">
          <cell r="A7125" t="str">
            <v>Data split-17;Reg-5</v>
          </cell>
          <cell r="B7125">
            <v>3.0000000000000001E-3</v>
          </cell>
          <cell r="C7125">
            <v>0</v>
          </cell>
          <cell r="D7125">
            <v>1.5</v>
          </cell>
          <cell r="E7125">
            <v>0</v>
          </cell>
          <cell r="F7125">
            <v>0.16</v>
          </cell>
          <cell r="G7125">
            <v>0</v>
          </cell>
          <cell r="H7125">
            <v>0.88</v>
          </cell>
          <cell r="I7125">
            <v>0</v>
          </cell>
          <cell r="J7125">
            <v>0</v>
          </cell>
          <cell r="K7125">
            <v>0</v>
          </cell>
          <cell r="L7125">
            <v>0</v>
          </cell>
          <cell r="M7125">
            <v>-3.1E-2</v>
          </cell>
          <cell r="N7125">
            <v>0</v>
          </cell>
          <cell r="O7125">
            <v>0</v>
          </cell>
          <cell r="P7125">
            <v>0</v>
          </cell>
          <cell r="Q7125">
            <v>0</v>
          </cell>
          <cell r="R7125">
            <v>0</v>
          </cell>
          <cell r="S7125">
            <v>0</v>
          </cell>
          <cell r="T7125">
            <v>0</v>
          </cell>
          <cell r="U7125" t="b">
            <v>0</v>
          </cell>
        </row>
        <row r="7126">
          <cell r="A7126" t="str">
            <v>Data split-17;Reg-6</v>
          </cell>
          <cell r="B7126">
            <v>-5.2999999999999999E-2</v>
          </cell>
          <cell r="C7126">
            <v>2.1</v>
          </cell>
          <cell r="D7126">
            <v>0</v>
          </cell>
          <cell r="E7126">
            <v>-0.21</v>
          </cell>
          <cell r="F7126">
            <v>0</v>
          </cell>
          <cell r="G7126">
            <v>0</v>
          </cell>
          <cell r="H7126">
            <v>0</v>
          </cell>
          <cell r="I7126">
            <v>0</v>
          </cell>
          <cell r="J7126">
            <v>0</v>
          </cell>
          <cell r="K7126">
            <v>0</v>
          </cell>
          <cell r="L7126">
            <v>0.76</v>
          </cell>
          <cell r="M7126">
            <v>-6.1999999999999999E-6</v>
          </cell>
          <cell r="N7126">
            <v>0</v>
          </cell>
          <cell r="O7126">
            <v>0</v>
          </cell>
          <cell r="P7126">
            <v>0</v>
          </cell>
          <cell r="Q7126">
            <v>0</v>
          </cell>
          <cell r="R7126">
            <v>0</v>
          </cell>
          <cell r="S7126">
            <v>0</v>
          </cell>
          <cell r="T7126">
            <v>0</v>
          </cell>
          <cell r="U7126" t="b">
            <v>0</v>
          </cell>
        </row>
        <row r="7127">
          <cell r="A7127" t="str">
            <v>Data split-17;Reg-7</v>
          </cell>
          <cell r="B7127">
            <v>0.34</v>
          </cell>
          <cell r="C7127">
            <v>1.7</v>
          </cell>
          <cell r="D7127">
            <v>0</v>
          </cell>
          <cell r="E7127">
            <v>0</v>
          </cell>
          <cell r="F7127">
            <v>0.17</v>
          </cell>
          <cell r="G7127">
            <v>0</v>
          </cell>
          <cell r="H7127">
            <v>0</v>
          </cell>
          <cell r="I7127">
            <v>0</v>
          </cell>
          <cell r="J7127">
            <v>0</v>
          </cell>
          <cell r="K7127">
            <v>0</v>
          </cell>
          <cell r="L7127">
            <v>3.9</v>
          </cell>
          <cell r="M7127">
            <v>0</v>
          </cell>
          <cell r="N7127">
            <v>0</v>
          </cell>
          <cell r="O7127">
            <v>0</v>
          </cell>
          <cell r="P7127">
            <v>0</v>
          </cell>
          <cell r="Q7127">
            <v>0</v>
          </cell>
          <cell r="R7127">
            <v>0</v>
          </cell>
          <cell r="S7127">
            <v>-1.6E-2</v>
          </cell>
          <cell r="T7127">
            <v>0</v>
          </cell>
          <cell r="U7127" t="b">
            <v>0</v>
          </cell>
        </row>
        <row r="7128">
          <cell r="A7128" t="str">
            <v>Data split-17;Reg-8</v>
          </cell>
          <cell r="B7128">
            <v>0.28000000000000003</v>
          </cell>
          <cell r="C7128">
            <v>2.1</v>
          </cell>
          <cell r="D7128">
            <v>0</v>
          </cell>
          <cell r="E7128">
            <v>0</v>
          </cell>
          <cell r="F7128">
            <v>0</v>
          </cell>
          <cell r="G7128">
            <v>-2.7E-2</v>
          </cell>
          <cell r="H7128">
            <v>0</v>
          </cell>
          <cell r="I7128">
            <v>0</v>
          </cell>
          <cell r="J7128">
            <v>0</v>
          </cell>
          <cell r="K7128">
            <v>0</v>
          </cell>
          <cell r="L7128">
            <v>-0.32</v>
          </cell>
          <cell r="M7128">
            <v>0</v>
          </cell>
          <cell r="N7128">
            <v>0</v>
          </cell>
          <cell r="O7128">
            <v>0</v>
          </cell>
          <cell r="P7128">
            <v>0</v>
          </cell>
          <cell r="Q7128">
            <v>0</v>
          </cell>
          <cell r="R7128">
            <v>0</v>
          </cell>
          <cell r="S7128">
            <v>-2.9000000000000001E-2</v>
          </cell>
          <cell r="T7128">
            <v>0</v>
          </cell>
          <cell r="U7128" t="b">
            <v>0</v>
          </cell>
        </row>
        <row r="7129">
          <cell r="A7129" t="str">
            <v>Data split-17;Reg-9</v>
          </cell>
          <cell r="B7129">
            <v>-0.39</v>
          </cell>
          <cell r="C7129">
            <v>0</v>
          </cell>
          <cell r="D7129">
            <v>1.7</v>
          </cell>
          <cell r="E7129">
            <v>0</v>
          </cell>
          <cell r="F7129">
            <v>0</v>
          </cell>
          <cell r="G7129">
            <v>0</v>
          </cell>
          <cell r="H7129">
            <v>1.6</v>
          </cell>
          <cell r="I7129">
            <v>0</v>
          </cell>
          <cell r="J7129">
            <v>0</v>
          </cell>
          <cell r="K7129">
            <v>0</v>
          </cell>
          <cell r="L7129">
            <v>0.51</v>
          </cell>
          <cell r="M7129">
            <v>0</v>
          </cell>
          <cell r="N7129">
            <v>0</v>
          </cell>
          <cell r="O7129">
            <v>0</v>
          </cell>
          <cell r="P7129">
            <v>0</v>
          </cell>
          <cell r="Q7129">
            <v>0</v>
          </cell>
          <cell r="R7129">
            <v>0</v>
          </cell>
          <cell r="S7129">
            <v>-7.8E-2</v>
          </cell>
          <cell r="T7129">
            <v>0</v>
          </cell>
          <cell r="U7129" t="b">
            <v>0</v>
          </cell>
        </row>
        <row r="7130">
          <cell r="A7130" t="str">
            <v>Data split-17;Reg-10</v>
          </cell>
          <cell r="B7130">
            <v>-0.39</v>
          </cell>
          <cell r="C7130">
            <v>0</v>
          </cell>
          <cell r="D7130">
            <v>1.7</v>
          </cell>
          <cell r="E7130">
            <v>0</v>
          </cell>
          <cell r="F7130">
            <v>0</v>
          </cell>
          <cell r="G7130">
            <v>0</v>
          </cell>
          <cell r="H7130">
            <v>1.6</v>
          </cell>
          <cell r="I7130">
            <v>0</v>
          </cell>
          <cell r="J7130">
            <v>0</v>
          </cell>
          <cell r="K7130">
            <v>0</v>
          </cell>
          <cell r="L7130">
            <v>0.51</v>
          </cell>
          <cell r="M7130">
            <v>0</v>
          </cell>
          <cell r="N7130">
            <v>0</v>
          </cell>
          <cell r="O7130">
            <v>0</v>
          </cell>
          <cell r="P7130">
            <v>0</v>
          </cell>
          <cell r="Q7130">
            <v>0</v>
          </cell>
          <cell r="R7130">
            <v>0</v>
          </cell>
          <cell r="S7130">
            <v>-7.8E-2</v>
          </cell>
          <cell r="T7130">
            <v>0</v>
          </cell>
          <cell r="U7130" t="b">
            <v>0</v>
          </cell>
        </row>
        <row r="7131">
          <cell r="A7131" t="str">
            <v>Data split-17;Reg-11</v>
          </cell>
          <cell r="B7131">
            <v>0.12</v>
          </cell>
          <cell r="C7131">
            <v>2.1</v>
          </cell>
          <cell r="D7131">
            <v>0</v>
          </cell>
          <cell r="E7131">
            <v>-3.7999999999999999E-2</v>
          </cell>
          <cell r="F7131">
            <v>0</v>
          </cell>
          <cell r="G7131">
            <v>-0.2</v>
          </cell>
          <cell r="H7131">
            <v>0</v>
          </cell>
          <cell r="I7131">
            <v>0</v>
          </cell>
          <cell r="J7131">
            <v>0</v>
          </cell>
          <cell r="K7131">
            <v>0</v>
          </cell>
          <cell r="L7131">
            <v>0</v>
          </cell>
          <cell r="M7131">
            <v>0</v>
          </cell>
          <cell r="N7131">
            <v>0</v>
          </cell>
          <cell r="O7131">
            <v>0</v>
          </cell>
          <cell r="P7131">
            <v>0</v>
          </cell>
          <cell r="Q7131">
            <v>0</v>
          </cell>
          <cell r="R7131">
            <v>0</v>
          </cell>
          <cell r="S7131">
            <v>0</v>
          </cell>
          <cell r="T7131">
            <v>0</v>
          </cell>
          <cell r="U7131" t="b">
            <v>0</v>
          </cell>
        </row>
        <row r="7132">
          <cell r="A7132" t="str">
            <v>Data split-17;Reg-12</v>
          </cell>
          <cell r="B7132">
            <v>-0.33</v>
          </cell>
          <cell r="C7132">
            <v>2</v>
          </cell>
          <cell r="D7132">
            <v>0</v>
          </cell>
          <cell r="E7132">
            <v>-0.96</v>
          </cell>
          <cell r="F7132">
            <v>0</v>
          </cell>
          <cell r="G7132">
            <v>0</v>
          </cell>
          <cell r="H7132">
            <v>1.2</v>
          </cell>
          <cell r="I7132">
            <v>0</v>
          </cell>
          <cell r="J7132">
            <v>0</v>
          </cell>
          <cell r="K7132">
            <v>0</v>
          </cell>
          <cell r="L7132">
            <v>0</v>
          </cell>
          <cell r="M7132">
            <v>0</v>
          </cell>
          <cell r="N7132">
            <v>0</v>
          </cell>
          <cell r="O7132">
            <v>0</v>
          </cell>
          <cell r="P7132">
            <v>0</v>
          </cell>
          <cell r="Q7132">
            <v>0</v>
          </cell>
          <cell r="R7132">
            <v>0</v>
          </cell>
          <cell r="S7132">
            <v>0</v>
          </cell>
          <cell r="T7132">
            <v>0</v>
          </cell>
          <cell r="U7132" t="b">
            <v>0</v>
          </cell>
        </row>
        <row r="7133">
          <cell r="A7133" t="str">
            <v>Data split-17;Reg-13</v>
          </cell>
          <cell r="B7133">
            <v>0.39</v>
          </cell>
          <cell r="C7133">
            <v>1.7</v>
          </cell>
          <cell r="D7133">
            <v>0</v>
          </cell>
          <cell r="E7133">
            <v>0</v>
          </cell>
          <cell r="F7133">
            <v>0.16</v>
          </cell>
          <cell r="G7133">
            <v>7.9000000000000001E-2</v>
          </cell>
          <cell r="H7133">
            <v>0</v>
          </cell>
          <cell r="I7133">
            <v>0</v>
          </cell>
          <cell r="J7133">
            <v>0</v>
          </cell>
          <cell r="K7133">
            <v>0</v>
          </cell>
          <cell r="L7133">
            <v>0</v>
          </cell>
          <cell r="M7133">
            <v>0</v>
          </cell>
          <cell r="N7133">
            <v>0</v>
          </cell>
          <cell r="O7133">
            <v>0</v>
          </cell>
          <cell r="P7133">
            <v>0</v>
          </cell>
          <cell r="Q7133">
            <v>0</v>
          </cell>
          <cell r="R7133">
            <v>0</v>
          </cell>
          <cell r="S7133">
            <v>0</v>
          </cell>
          <cell r="T7133">
            <v>0</v>
          </cell>
          <cell r="U7133" t="b">
            <v>0</v>
          </cell>
        </row>
        <row r="7134">
          <cell r="A7134" t="str">
            <v>Data split-17;Reg-14</v>
          </cell>
          <cell r="B7134">
            <v>0.26</v>
          </cell>
          <cell r="C7134">
            <v>1.5</v>
          </cell>
          <cell r="D7134">
            <v>0</v>
          </cell>
          <cell r="E7134">
            <v>0</v>
          </cell>
          <cell r="F7134">
            <v>0.16</v>
          </cell>
          <cell r="G7134">
            <v>0</v>
          </cell>
          <cell r="H7134">
            <v>0.4</v>
          </cell>
          <cell r="I7134">
            <v>0</v>
          </cell>
          <cell r="J7134">
            <v>0</v>
          </cell>
          <cell r="K7134">
            <v>0</v>
          </cell>
          <cell r="L7134">
            <v>0</v>
          </cell>
          <cell r="M7134">
            <v>0</v>
          </cell>
          <cell r="N7134">
            <v>0</v>
          </cell>
          <cell r="O7134">
            <v>0</v>
          </cell>
          <cell r="P7134">
            <v>0</v>
          </cell>
          <cell r="Q7134">
            <v>0</v>
          </cell>
          <cell r="R7134">
            <v>0</v>
          </cell>
          <cell r="S7134">
            <v>0</v>
          </cell>
          <cell r="T7134">
            <v>0</v>
          </cell>
          <cell r="U7134" t="b">
            <v>0</v>
          </cell>
        </row>
        <row r="7135">
          <cell r="A7135" t="str">
            <v>Data split-17;Reg-15</v>
          </cell>
          <cell r="B7135">
            <v>1.4E-2</v>
          </cell>
          <cell r="C7135">
            <v>2.1</v>
          </cell>
          <cell r="D7135">
            <v>0</v>
          </cell>
          <cell r="E7135">
            <v>-0.2</v>
          </cell>
          <cell r="F7135">
            <v>0</v>
          </cell>
          <cell r="G7135">
            <v>0</v>
          </cell>
          <cell r="H7135">
            <v>0</v>
          </cell>
          <cell r="I7135">
            <v>0</v>
          </cell>
          <cell r="J7135">
            <v>0</v>
          </cell>
          <cell r="K7135">
            <v>0</v>
          </cell>
          <cell r="L7135">
            <v>0</v>
          </cell>
          <cell r="M7135">
            <v>-1.1000000000000001E-3</v>
          </cell>
          <cell r="N7135">
            <v>0</v>
          </cell>
          <cell r="O7135">
            <v>0</v>
          </cell>
          <cell r="P7135">
            <v>0</v>
          </cell>
          <cell r="Q7135">
            <v>0</v>
          </cell>
          <cell r="R7135">
            <v>0</v>
          </cell>
          <cell r="S7135">
            <v>0</v>
          </cell>
          <cell r="T7135">
            <v>0</v>
          </cell>
          <cell r="U7135" t="b">
            <v>0</v>
          </cell>
        </row>
        <row r="7136">
          <cell r="A7136" t="str">
            <v>Data split-17;Reg-16</v>
          </cell>
          <cell r="B7136">
            <v>2.4E-2</v>
          </cell>
          <cell r="C7136">
            <v>2.1</v>
          </cell>
          <cell r="D7136">
            <v>0</v>
          </cell>
          <cell r="E7136">
            <v>-0.41</v>
          </cell>
          <cell r="F7136">
            <v>0</v>
          </cell>
          <cell r="G7136">
            <v>0</v>
          </cell>
          <cell r="H7136">
            <v>0</v>
          </cell>
          <cell r="I7136">
            <v>0</v>
          </cell>
          <cell r="J7136">
            <v>0</v>
          </cell>
          <cell r="K7136">
            <v>0</v>
          </cell>
          <cell r="L7136">
            <v>0</v>
          </cell>
          <cell r="M7136">
            <v>0</v>
          </cell>
          <cell r="N7136">
            <v>4.1000000000000003E-3</v>
          </cell>
          <cell r="O7136">
            <v>0</v>
          </cell>
          <cell r="P7136">
            <v>0</v>
          </cell>
          <cell r="Q7136">
            <v>0</v>
          </cell>
          <cell r="R7136">
            <v>0</v>
          </cell>
          <cell r="S7136">
            <v>0</v>
          </cell>
          <cell r="T7136">
            <v>0</v>
          </cell>
          <cell r="U7136" t="b">
            <v>0</v>
          </cell>
        </row>
        <row r="7137">
          <cell r="A7137" t="str">
            <v>Data split-17;Reg-17</v>
          </cell>
          <cell r="B7137">
            <v>0.43</v>
          </cell>
          <cell r="C7137">
            <v>1.7</v>
          </cell>
          <cell r="D7137">
            <v>0</v>
          </cell>
          <cell r="E7137">
            <v>0</v>
          </cell>
          <cell r="F7137">
            <v>0.16</v>
          </cell>
          <cell r="G7137">
            <v>0</v>
          </cell>
          <cell r="H7137">
            <v>0</v>
          </cell>
          <cell r="I7137">
            <v>0</v>
          </cell>
          <cell r="J7137">
            <v>0</v>
          </cell>
          <cell r="K7137">
            <v>0</v>
          </cell>
          <cell r="L7137">
            <v>0</v>
          </cell>
          <cell r="M7137">
            <v>2.8E-3</v>
          </cell>
          <cell r="N7137">
            <v>0</v>
          </cell>
          <cell r="O7137">
            <v>0</v>
          </cell>
          <cell r="P7137">
            <v>0</v>
          </cell>
          <cell r="Q7137">
            <v>0</v>
          </cell>
          <cell r="R7137">
            <v>0</v>
          </cell>
          <cell r="S7137">
            <v>0</v>
          </cell>
          <cell r="T7137">
            <v>0</v>
          </cell>
          <cell r="U7137" t="b">
            <v>0</v>
          </cell>
        </row>
        <row r="7138">
          <cell r="A7138" t="str">
            <v>Data split-17;Reg-18</v>
          </cell>
          <cell r="B7138">
            <v>0.41</v>
          </cell>
          <cell r="C7138">
            <v>1.6</v>
          </cell>
          <cell r="D7138">
            <v>0</v>
          </cell>
          <cell r="E7138">
            <v>0</v>
          </cell>
          <cell r="F7138">
            <v>0.16</v>
          </cell>
          <cell r="G7138">
            <v>0</v>
          </cell>
          <cell r="H7138">
            <v>0</v>
          </cell>
          <cell r="I7138">
            <v>0</v>
          </cell>
          <cell r="J7138">
            <v>0</v>
          </cell>
          <cell r="K7138">
            <v>0</v>
          </cell>
          <cell r="L7138">
            <v>0</v>
          </cell>
          <cell r="M7138">
            <v>0</v>
          </cell>
          <cell r="N7138">
            <v>3.2000000000000002E-3</v>
          </cell>
          <cell r="O7138">
            <v>0</v>
          </cell>
          <cell r="P7138">
            <v>0</v>
          </cell>
          <cell r="Q7138">
            <v>0</v>
          </cell>
          <cell r="R7138">
            <v>0</v>
          </cell>
          <cell r="S7138">
            <v>0</v>
          </cell>
          <cell r="T7138">
            <v>0</v>
          </cell>
          <cell r="U7138" t="b">
            <v>0</v>
          </cell>
        </row>
        <row r="7139">
          <cell r="A7139" t="str">
            <v>Data split-17;Reg-19</v>
          </cell>
          <cell r="B7139">
            <v>0.18</v>
          </cell>
          <cell r="C7139">
            <v>2.1</v>
          </cell>
          <cell r="D7139">
            <v>0</v>
          </cell>
          <cell r="E7139">
            <v>0</v>
          </cell>
          <cell r="F7139">
            <v>0</v>
          </cell>
          <cell r="G7139">
            <v>-0.13</v>
          </cell>
          <cell r="H7139">
            <v>0</v>
          </cell>
          <cell r="I7139">
            <v>0</v>
          </cell>
          <cell r="J7139">
            <v>0</v>
          </cell>
          <cell r="K7139">
            <v>0</v>
          </cell>
          <cell r="L7139">
            <v>0</v>
          </cell>
          <cell r="M7139">
            <v>0</v>
          </cell>
          <cell r="N7139">
            <v>0</v>
          </cell>
          <cell r="O7139">
            <v>-1.2E-2</v>
          </cell>
          <cell r="P7139">
            <v>0</v>
          </cell>
          <cell r="Q7139">
            <v>0</v>
          </cell>
          <cell r="R7139">
            <v>0</v>
          </cell>
          <cell r="S7139">
            <v>0</v>
          </cell>
          <cell r="T7139">
            <v>0</v>
          </cell>
          <cell r="U7139" t="b">
            <v>0</v>
          </cell>
        </row>
        <row r="7140">
          <cell r="A7140" t="str">
            <v>Data split-17;Reg-20</v>
          </cell>
          <cell r="B7140">
            <v>0.16</v>
          </cell>
          <cell r="C7140">
            <v>2.1</v>
          </cell>
          <cell r="D7140">
            <v>0</v>
          </cell>
          <cell r="E7140">
            <v>0</v>
          </cell>
          <cell r="F7140">
            <v>0</v>
          </cell>
          <cell r="G7140">
            <v>-0.38</v>
          </cell>
          <cell r="H7140">
            <v>0</v>
          </cell>
          <cell r="I7140">
            <v>0</v>
          </cell>
          <cell r="J7140">
            <v>0</v>
          </cell>
          <cell r="K7140">
            <v>0</v>
          </cell>
          <cell r="L7140">
            <v>0</v>
          </cell>
          <cell r="M7140">
            <v>0</v>
          </cell>
          <cell r="N7140">
            <v>0</v>
          </cell>
          <cell r="O7140">
            <v>0</v>
          </cell>
          <cell r="P7140">
            <v>4.3E-3</v>
          </cell>
          <cell r="Q7140">
            <v>0</v>
          </cell>
          <cell r="R7140">
            <v>0</v>
          </cell>
          <cell r="S7140">
            <v>0</v>
          </cell>
          <cell r="T7140">
            <v>0</v>
          </cell>
          <cell r="U7140" t="b">
            <v>0</v>
          </cell>
        </row>
        <row r="7141">
          <cell r="A7141" t="str">
            <v>Data split-17;Reg-21</v>
          </cell>
          <cell r="B7141">
            <v>-3.1E-2</v>
          </cell>
          <cell r="C7141">
            <v>1.8</v>
          </cell>
          <cell r="D7141">
            <v>0</v>
          </cell>
          <cell r="E7141">
            <v>0</v>
          </cell>
          <cell r="F7141">
            <v>0</v>
          </cell>
          <cell r="G7141">
            <v>0</v>
          </cell>
          <cell r="H7141">
            <v>0.82</v>
          </cell>
          <cell r="I7141">
            <v>0</v>
          </cell>
          <cell r="J7141">
            <v>0</v>
          </cell>
          <cell r="K7141">
            <v>0</v>
          </cell>
          <cell r="L7141">
            <v>0</v>
          </cell>
          <cell r="M7141">
            <v>0</v>
          </cell>
          <cell r="N7141">
            <v>0</v>
          </cell>
          <cell r="O7141">
            <v>-0.04</v>
          </cell>
          <cell r="P7141">
            <v>0</v>
          </cell>
          <cell r="Q7141">
            <v>0</v>
          </cell>
          <cell r="R7141">
            <v>0</v>
          </cell>
          <cell r="S7141">
            <v>0</v>
          </cell>
          <cell r="T7141">
            <v>0</v>
          </cell>
          <cell r="U7141" t="b">
            <v>1</v>
          </cell>
        </row>
        <row r="7142">
          <cell r="A7142" t="str">
            <v>Data split-17;Reg-22</v>
          </cell>
          <cell r="B7142">
            <v>-0.23</v>
          </cell>
          <cell r="C7142">
            <v>1.8</v>
          </cell>
          <cell r="D7142">
            <v>0</v>
          </cell>
          <cell r="E7142">
            <v>0</v>
          </cell>
          <cell r="F7142">
            <v>0</v>
          </cell>
          <cell r="G7142">
            <v>0</v>
          </cell>
          <cell r="H7142">
            <v>0.43</v>
          </cell>
          <cell r="I7142">
            <v>0</v>
          </cell>
          <cell r="J7142">
            <v>0</v>
          </cell>
          <cell r="K7142">
            <v>0</v>
          </cell>
          <cell r="L7142">
            <v>0</v>
          </cell>
          <cell r="M7142">
            <v>0</v>
          </cell>
          <cell r="N7142">
            <v>0</v>
          </cell>
          <cell r="O7142">
            <v>0</v>
          </cell>
          <cell r="P7142">
            <v>-2.5999999999999999E-3</v>
          </cell>
          <cell r="Q7142">
            <v>0</v>
          </cell>
          <cell r="R7142">
            <v>0</v>
          </cell>
          <cell r="S7142">
            <v>0</v>
          </cell>
          <cell r="T7142">
            <v>0</v>
          </cell>
          <cell r="U7142" t="b">
            <v>1</v>
          </cell>
        </row>
        <row r="7143">
          <cell r="A7143" t="str">
            <v>Data split-17;Reg-23</v>
          </cell>
          <cell r="B7143">
            <v>-0.21</v>
          </cell>
          <cell r="C7143">
            <v>0</v>
          </cell>
          <cell r="D7143">
            <v>2.2999999999999998</v>
          </cell>
          <cell r="E7143">
            <v>-0.19</v>
          </cell>
          <cell r="F7143">
            <v>0</v>
          </cell>
          <cell r="G7143">
            <v>-0.23</v>
          </cell>
          <cell r="H7143">
            <v>0</v>
          </cell>
          <cell r="I7143">
            <v>0</v>
          </cell>
          <cell r="J7143">
            <v>0</v>
          </cell>
          <cell r="K7143">
            <v>0</v>
          </cell>
          <cell r="L7143">
            <v>0</v>
          </cell>
          <cell r="M7143">
            <v>0</v>
          </cell>
          <cell r="N7143">
            <v>0</v>
          </cell>
          <cell r="O7143">
            <v>0</v>
          </cell>
          <cell r="P7143">
            <v>0</v>
          </cell>
          <cell r="Q7143">
            <v>0</v>
          </cell>
          <cell r="R7143">
            <v>0</v>
          </cell>
          <cell r="S7143">
            <v>0</v>
          </cell>
          <cell r="T7143">
            <v>0</v>
          </cell>
          <cell r="U7143" t="b">
            <v>0</v>
          </cell>
        </row>
        <row r="7144">
          <cell r="A7144" t="str">
            <v>Data split-17;Reg-24</v>
          </cell>
          <cell r="B7144">
            <v>-0.66</v>
          </cell>
          <cell r="C7144">
            <v>0</v>
          </cell>
          <cell r="D7144">
            <v>2.1</v>
          </cell>
          <cell r="E7144">
            <v>-1.1000000000000001</v>
          </cell>
          <cell r="F7144">
            <v>0</v>
          </cell>
          <cell r="G7144">
            <v>0</v>
          </cell>
          <cell r="H7144">
            <v>1.3</v>
          </cell>
          <cell r="I7144">
            <v>0</v>
          </cell>
          <cell r="J7144">
            <v>0</v>
          </cell>
          <cell r="K7144">
            <v>0</v>
          </cell>
          <cell r="L7144">
            <v>0</v>
          </cell>
          <cell r="M7144">
            <v>0</v>
          </cell>
          <cell r="N7144">
            <v>0</v>
          </cell>
          <cell r="O7144">
            <v>0</v>
          </cell>
          <cell r="P7144">
            <v>0</v>
          </cell>
          <cell r="Q7144">
            <v>0</v>
          </cell>
          <cell r="R7144">
            <v>0</v>
          </cell>
          <cell r="S7144">
            <v>0</v>
          </cell>
          <cell r="T7144">
            <v>0</v>
          </cell>
          <cell r="U7144" t="b">
            <v>0</v>
          </cell>
        </row>
        <row r="7145">
          <cell r="A7145" t="str">
            <v>Data split-17;Reg-25</v>
          </cell>
          <cell r="B7145">
            <v>0.12</v>
          </cell>
          <cell r="C7145">
            <v>0</v>
          </cell>
          <cell r="D7145">
            <v>1.8</v>
          </cell>
          <cell r="E7145">
            <v>0</v>
          </cell>
          <cell r="F7145">
            <v>0.16</v>
          </cell>
          <cell r="G7145">
            <v>-7.1000000000000004E-3</v>
          </cell>
          <cell r="H7145">
            <v>0</v>
          </cell>
          <cell r="I7145">
            <v>0</v>
          </cell>
          <cell r="J7145">
            <v>0</v>
          </cell>
          <cell r="K7145">
            <v>0</v>
          </cell>
          <cell r="L7145">
            <v>0</v>
          </cell>
          <cell r="M7145">
            <v>0</v>
          </cell>
          <cell r="N7145">
            <v>0</v>
          </cell>
          <cell r="O7145">
            <v>0</v>
          </cell>
          <cell r="P7145">
            <v>0</v>
          </cell>
          <cell r="Q7145">
            <v>0</v>
          </cell>
          <cell r="R7145">
            <v>0</v>
          </cell>
          <cell r="S7145">
            <v>0</v>
          </cell>
          <cell r="T7145">
            <v>0</v>
          </cell>
          <cell r="U7145" t="b">
            <v>0</v>
          </cell>
        </row>
        <row r="7146">
          <cell r="A7146" t="str">
            <v>Data split-17;Reg-26</v>
          </cell>
          <cell r="B7146">
            <v>9.1999999999999998E-3</v>
          </cell>
          <cell r="C7146">
            <v>0</v>
          </cell>
          <cell r="D7146">
            <v>1.6</v>
          </cell>
          <cell r="E7146">
            <v>0</v>
          </cell>
          <cell r="F7146">
            <v>0.16</v>
          </cell>
          <cell r="G7146">
            <v>0</v>
          </cell>
          <cell r="H7146">
            <v>0.27</v>
          </cell>
          <cell r="I7146">
            <v>0</v>
          </cell>
          <cell r="J7146">
            <v>0</v>
          </cell>
          <cell r="K7146">
            <v>0</v>
          </cell>
          <cell r="L7146">
            <v>0</v>
          </cell>
          <cell r="M7146">
            <v>0</v>
          </cell>
          <cell r="N7146">
            <v>0</v>
          </cell>
          <cell r="O7146">
            <v>0</v>
          </cell>
          <cell r="P7146">
            <v>0</v>
          </cell>
          <cell r="Q7146">
            <v>0</v>
          </cell>
          <cell r="R7146">
            <v>0</v>
          </cell>
          <cell r="S7146">
            <v>0</v>
          </cell>
          <cell r="T7146">
            <v>0</v>
          </cell>
          <cell r="U7146" t="b">
            <v>0</v>
          </cell>
        </row>
        <row r="7147">
          <cell r="A7147" t="str">
            <v>Data split-17;Reg-27</v>
          </cell>
          <cell r="B7147">
            <v>-0.34</v>
          </cell>
          <cell r="C7147">
            <v>0</v>
          </cell>
          <cell r="D7147">
            <v>2.2000000000000002</v>
          </cell>
          <cell r="E7147">
            <v>-0.4</v>
          </cell>
          <cell r="F7147">
            <v>0</v>
          </cell>
          <cell r="G7147">
            <v>0</v>
          </cell>
          <cell r="H7147">
            <v>0</v>
          </cell>
          <cell r="I7147">
            <v>0</v>
          </cell>
          <cell r="J7147">
            <v>0</v>
          </cell>
          <cell r="K7147">
            <v>0</v>
          </cell>
          <cell r="L7147">
            <v>0</v>
          </cell>
          <cell r="M7147">
            <v>1.5E-3</v>
          </cell>
          <cell r="N7147">
            <v>0</v>
          </cell>
          <cell r="O7147">
            <v>0</v>
          </cell>
          <cell r="P7147">
            <v>0</v>
          </cell>
          <cell r="Q7147">
            <v>0</v>
          </cell>
          <cell r="R7147">
            <v>0</v>
          </cell>
          <cell r="S7147">
            <v>0</v>
          </cell>
          <cell r="T7147">
            <v>0</v>
          </cell>
          <cell r="U7147" t="b">
            <v>0</v>
          </cell>
        </row>
        <row r="7148">
          <cell r="A7148" t="str">
            <v>Data split-17;Reg-28</v>
          </cell>
          <cell r="B7148">
            <v>-0.32</v>
          </cell>
          <cell r="C7148">
            <v>0</v>
          </cell>
          <cell r="D7148">
            <v>2.2000000000000002</v>
          </cell>
          <cell r="E7148">
            <v>-0.61</v>
          </cell>
          <cell r="F7148">
            <v>0</v>
          </cell>
          <cell r="G7148">
            <v>0</v>
          </cell>
          <cell r="H7148">
            <v>0</v>
          </cell>
          <cell r="I7148">
            <v>0</v>
          </cell>
          <cell r="J7148">
            <v>0</v>
          </cell>
          <cell r="K7148">
            <v>0</v>
          </cell>
          <cell r="L7148">
            <v>0</v>
          </cell>
          <cell r="M7148">
            <v>0</v>
          </cell>
          <cell r="N7148">
            <v>4.4000000000000003E-3</v>
          </cell>
          <cell r="O7148">
            <v>0</v>
          </cell>
          <cell r="P7148">
            <v>0</v>
          </cell>
          <cell r="Q7148">
            <v>0</v>
          </cell>
          <cell r="R7148">
            <v>0</v>
          </cell>
          <cell r="S7148">
            <v>0</v>
          </cell>
          <cell r="T7148">
            <v>0</v>
          </cell>
          <cell r="U7148" t="b">
            <v>0</v>
          </cell>
        </row>
        <row r="7149">
          <cell r="A7149" t="str">
            <v>Data split-17;Reg-29</v>
          </cell>
          <cell r="B7149">
            <v>0.13</v>
          </cell>
          <cell r="C7149">
            <v>0</v>
          </cell>
          <cell r="D7149">
            <v>1.8</v>
          </cell>
          <cell r="E7149">
            <v>0</v>
          </cell>
          <cell r="F7149">
            <v>0.16</v>
          </cell>
          <cell r="G7149">
            <v>0</v>
          </cell>
          <cell r="H7149">
            <v>0</v>
          </cell>
          <cell r="I7149">
            <v>0</v>
          </cell>
          <cell r="J7149">
            <v>0</v>
          </cell>
          <cell r="K7149">
            <v>0</v>
          </cell>
          <cell r="L7149">
            <v>0</v>
          </cell>
          <cell r="M7149">
            <v>-6.8999999999999997E-4</v>
          </cell>
          <cell r="N7149">
            <v>0</v>
          </cell>
          <cell r="O7149">
            <v>0</v>
          </cell>
          <cell r="P7149">
            <v>0</v>
          </cell>
          <cell r="Q7149">
            <v>0</v>
          </cell>
          <cell r="R7149">
            <v>0</v>
          </cell>
          <cell r="S7149">
            <v>0</v>
          </cell>
          <cell r="T7149">
            <v>0</v>
          </cell>
          <cell r="U7149" t="b">
            <v>0</v>
          </cell>
        </row>
        <row r="7150">
          <cell r="A7150" t="str">
            <v>Data split-17;Reg-30</v>
          </cell>
          <cell r="B7150">
            <v>0.1</v>
          </cell>
          <cell r="C7150">
            <v>0</v>
          </cell>
          <cell r="D7150">
            <v>1.7</v>
          </cell>
          <cell r="E7150">
            <v>0</v>
          </cell>
          <cell r="F7150">
            <v>0.16</v>
          </cell>
          <cell r="G7150">
            <v>0</v>
          </cell>
          <cell r="H7150">
            <v>0</v>
          </cell>
          <cell r="I7150">
            <v>0</v>
          </cell>
          <cell r="J7150">
            <v>0</v>
          </cell>
          <cell r="K7150">
            <v>0</v>
          </cell>
          <cell r="L7150">
            <v>0</v>
          </cell>
          <cell r="M7150">
            <v>0</v>
          </cell>
          <cell r="N7150">
            <v>2.3E-3</v>
          </cell>
          <cell r="O7150">
            <v>0</v>
          </cell>
          <cell r="P7150">
            <v>0</v>
          </cell>
          <cell r="Q7150">
            <v>0</v>
          </cell>
          <cell r="R7150">
            <v>0</v>
          </cell>
          <cell r="S7150">
            <v>0</v>
          </cell>
          <cell r="T7150">
            <v>0</v>
          </cell>
          <cell r="U7150" t="b">
            <v>0</v>
          </cell>
        </row>
        <row r="7151">
          <cell r="A7151" t="str">
            <v>Data split-17;Reg-31</v>
          </cell>
          <cell r="B7151">
            <v>-0.16</v>
          </cell>
          <cell r="C7151">
            <v>0</v>
          </cell>
          <cell r="D7151">
            <v>2.2000000000000002</v>
          </cell>
          <cell r="E7151">
            <v>0</v>
          </cell>
          <cell r="F7151">
            <v>0</v>
          </cell>
          <cell r="G7151">
            <v>-0.25</v>
          </cell>
          <cell r="H7151">
            <v>0</v>
          </cell>
          <cell r="I7151">
            <v>0</v>
          </cell>
          <cell r="J7151">
            <v>0</v>
          </cell>
          <cell r="K7151">
            <v>0</v>
          </cell>
          <cell r="L7151">
            <v>0</v>
          </cell>
          <cell r="M7151">
            <v>0</v>
          </cell>
          <cell r="N7151">
            <v>0</v>
          </cell>
          <cell r="O7151">
            <v>-8.3000000000000001E-3</v>
          </cell>
          <cell r="P7151">
            <v>0</v>
          </cell>
          <cell r="Q7151">
            <v>0</v>
          </cell>
          <cell r="R7151">
            <v>0</v>
          </cell>
          <cell r="S7151">
            <v>0</v>
          </cell>
          <cell r="T7151">
            <v>0</v>
          </cell>
          <cell r="U7151" t="b">
            <v>0</v>
          </cell>
        </row>
        <row r="7152">
          <cell r="A7152" t="str">
            <v>Data split-17;Reg-32</v>
          </cell>
          <cell r="B7152">
            <v>-0.16</v>
          </cell>
          <cell r="C7152">
            <v>0</v>
          </cell>
          <cell r="D7152">
            <v>2.2000000000000002</v>
          </cell>
          <cell r="E7152">
            <v>0</v>
          </cell>
          <cell r="F7152">
            <v>0</v>
          </cell>
          <cell r="G7152">
            <v>-0.51</v>
          </cell>
          <cell r="H7152">
            <v>0</v>
          </cell>
          <cell r="I7152">
            <v>0</v>
          </cell>
          <cell r="J7152">
            <v>0</v>
          </cell>
          <cell r="K7152">
            <v>0</v>
          </cell>
          <cell r="L7152">
            <v>0</v>
          </cell>
          <cell r="M7152">
            <v>0</v>
          </cell>
          <cell r="N7152">
            <v>0</v>
          </cell>
          <cell r="O7152">
            <v>0</v>
          </cell>
          <cell r="P7152">
            <v>5.1999999999999998E-3</v>
          </cell>
          <cell r="Q7152">
            <v>0</v>
          </cell>
          <cell r="R7152">
            <v>0</v>
          </cell>
          <cell r="S7152">
            <v>0</v>
          </cell>
          <cell r="T7152">
            <v>0</v>
          </cell>
          <cell r="U7152" t="b">
            <v>0</v>
          </cell>
        </row>
        <row r="7153">
          <cell r="A7153" t="str">
            <v>Data split-17;Reg-33</v>
          </cell>
          <cell r="B7153">
            <v>-0.32</v>
          </cell>
          <cell r="C7153">
            <v>0</v>
          </cell>
          <cell r="D7153">
            <v>1.9</v>
          </cell>
          <cell r="E7153">
            <v>0</v>
          </cell>
          <cell r="F7153">
            <v>0</v>
          </cell>
          <cell r="G7153">
            <v>0</v>
          </cell>
          <cell r="H7153">
            <v>0.62</v>
          </cell>
          <cell r="I7153">
            <v>0</v>
          </cell>
          <cell r="J7153">
            <v>0</v>
          </cell>
          <cell r="K7153">
            <v>0</v>
          </cell>
          <cell r="L7153">
            <v>0</v>
          </cell>
          <cell r="M7153">
            <v>0</v>
          </cell>
          <cell r="N7153">
            <v>0</v>
          </cell>
          <cell r="O7153">
            <v>-3.6999999999999998E-2</v>
          </cell>
          <cell r="P7153">
            <v>0</v>
          </cell>
          <cell r="Q7153">
            <v>0</v>
          </cell>
          <cell r="R7153">
            <v>0</v>
          </cell>
          <cell r="S7153">
            <v>0</v>
          </cell>
          <cell r="T7153">
            <v>0</v>
          </cell>
          <cell r="U7153" t="b">
            <v>1</v>
          </cell>
        </row>
        <row r="7154">
          <cell r="A7154" t="str">
            <v>Data split-17;Reg-34</v>
          </cell>
          <cell r="B7154">
            <v>-0.5</v>
          </cell>
          <cell r="C7154">
            <v>0</v>
          </cell>
          <cell r="D7154">
            <v>1.9</v>
          </cell>
          <cell r="E7154">
            <v>0</v>
          </cell>
          <cell r="F7154">
            <v>0</v>
          </cell>
          <cell r="G7154">
            <v>0</v>
          </cell>
          <cell r="H7154">
            <v>0.21</v>
          </cell>
          <cell r="I7154">
            <v>0</v>
          </cell>
          <cell r="J7154">
            <v>0</v>
          </cell>
          <cell r="K7154">
            <v>0</v>
          </cell>
          <cell r="L7154">
            <v>0</v>
          </cell>
          <cell r="M7154">
            <v>0</v>
          </cell>
          <cell r="N7154">
            <v>0</v>
          </cell>
          <cell r="O7154">
            <v>0</v>
          </cell>
          <cell r="P7154">
            <v>-1.6999999999999999E-3</v>
          </cell>
          <cell r="Q7154">
            <v>0</v>
          </cell>
          <cell r="R7154">
            <v>0</v>
          </cell>
          <cell r="S7154">
            <v>0</v>
          </cell>
          <cell r="T7154">
            <v>0</v>
          </cell>
          <cell r="U7154" t="b">
            <v>1</v>
          </cell>
        </row>
        <row r="7155">
          <cell r="A7155" t="str">
            <v>Data split-17;Reg-35</v>
          </cell>
          <cell r="B7155">
            <v>0.11</v>
          </cell>
          <cell r="C7155">
            <v>2.1</v>
          </cell>
          <cell r="D7155">
            <v>0</v>
          </cell>
          <cell r="E7155">
            <v>-7.0000000000000007E-2</v>
          </cell>
          <cell r="F7155">
            <v>0</v>
          </cell>
          <cell r="G7155">
            <v>-0.22</v>
          </cell>
          <cell r="H7155">
            <v>0</v>
          </cell>
          <cell r="I7155">
            <v>0</v>
          </cell>
          <cell r="J7155">
            <v>0</v>
          </cell>
          <cell r="K7155">
            <v>0</v>
          </cell>
          <cell r="L7155">
            <v>0</v>
          </cell>
          <cell r="M7155">
            <v>5.4000000000000003E-3</v>
          </cell>
          <cell r="N7155">
            <v>0</v>
          </cell>
          <cell r="O7155">
            <v>0</v>
          </cell>
          <cell r="P7155">
            <v>0</v>
          </cell>
          <cell r="Q7155">
            <v>0</v>
          </cell>
          <cell r="R7155">
            <v>0</v>
          </cell>
          <cell r="S7155">
            <v>0</v>
          </cell>
          <cell r="T7155">
            <v>0</v>
          </cell>
          <cell r="U7155" t="b">
            <v>0</v>
          </cell>
        </row>
        <row r="7156">
          <cell r="A7156" t="str">
            <v>Data split-17;Reg-36</v>
          </cell>
          <cell r="B7156">
            <v>0.25</v>
          </cell>
          <cell r="C7156">
            <v>2.1</v>
          </cell>
          <cell r="D7156">
            <v>0</v>
          </cell>
          <cell r="E7156">
            <v>-0.23</v>
          </cell>
          <cell r="F7156">
            <v>0</v>
          </cell>
          <cell r="G7156">
            <v>-0.39</v>
          </cell>
          <cell r="H7156">
            <v>0</v>
          </cell>
          <cell r="I7156">
            <v>0</v>
          </cell>
          <cell r="J7156">
            <v>0</v>
          </cell>
          <cell r="K7156">
            <v>0</v>
          </cell>
          <cell r="L7156">
            <v>0</v>
          </cell>
          <cell r="M7156">
            <v>0</v>
          </cell>
          <cell r="N7156">
            <v>7.3000000000000001E-3</v>
          </cell>
          <cell r="O7156">
            <v>0</v>
          </cell>
          <cell r="P7156">
            <v>0</v>
          </cell>
          <cell r="Q7156">
            <v>0</v>
          </cell>
          <cell r="R7156">
            <v>0</v>
          </cell>
          <cell r="S7156">
            <v>0</v>
          </cell>
          <cell r="T7156">
            <v>0</v>
          </cell>
          <cell r="U7156" t="b">
            <v>0</v>
          </cell>
        </row>
        <row r="7157">
          <cell r="A7157" t="str">
            <v>Data split-17;Reg-37</v>
          </cell>
          <cell r="B7157">
            <v>-0.39</v>
          </cell>
          <cell r="C7157">
            <v>1.8</v>
          </cell>
          <cell r="D7157">
            <v>0</v>
          </cell>
          <cell r="E7157">
            <v>-1.2</v>
          </cell>
          <cell r="F7157">
            <v>0</v>
          </cell>
          <cell r="G7157">
            <v>0</v>
          </cell>
          <cell r="H7157">
            <v>2.8</v>
          </cell>
          <cell r="I7157">
            <v>0</v>
          </cell>
          <cell r="J7157">
            <v>0</v>
          </cell>
          <cell r="K7157">
            <v>0</v>
          </cell>
          <cell r="L7157">
            <v>0</v>
          </cell>
          <cell r="M7157">
            <v>-6.5000000000000002E-2</v>
          </cell>
          <cell r="N7157">
            <v>0</v>
          </cell>
          <cell r="O7157">
            <v>0</v>
          </cell>
          <cell r="P7157">
            <v>0</v>
          </cell>
          <cell r="Q7157">
            <v>0</v>
          </cell>
          <cell r="R7157">
            <v>0</v>
          </cell>
          <cell r="S7157">
            <v>0</v>
          </cell>
          <cell r="T7157">
            <v>0</v>
          </cell>
          <cell r="U7157" t="b">
            <v>0</v>
          </cell>
        </row>
        <row r="7158">
          <cell r="A7158" t="str">
            <v>Data split-17;Reg-38</v>
          </cell>
          <cell r="B7158">
            <v>-0.64</v>
          </cell>
          <cell r="C7158">
            <v>1.9</v>
          </cell>
          <cell r="D7158">
            <v>0</v>
          </cell>
          <cell r="E7158">
            <v>-1.1000000000000001</v>
          </cell>
          <cell r="F7158">
            <v>0</v>
          </cell>
          <cell r="G7158">
            <v>0</v>
          </cell>
          <cell r="H7158">
            <v>2.2999999999999998</v>
          </cell>
          <cell r="I7158">
            <v>0</v>
          </cell>
          <cell r="J7158">
            <v>0</v>
          </cell>
          <cell r="K7158">
            <v>0</v>
          </cell>
          <cell r="L7158">
            <v>0</v>
          </cell>
          <cell r="M7158">
            <v>0</v>
          </cell>
          <cell r="N7158">
            <v>-9.4999999999999998E-3</v>
          </cell>
          <cell r="O7158">
            <v>0</v>
          </cell>
          <cell r="P7158">
            <v>0</v>
          </cell>
          <cell r="Q7158">
            <v>0</v>
          </cell>
          <cell r="R7158">
            <v>0</v>
          </cell>
          <cell r="S7158">
            <v>0</v>
          </cell>
          <cell r="T7158">
            <v>0</v>
          </cell>
          <cell r="U7158" t="b">
            <v>0</v>
          </cell>
        </row>
        <row r="7159">
          <cell r="A7159" t="str">
            <v>Data split-17;Reg-39</v>
          </cell>
          <cell r="B7159">
            <v>0.4</v>
          </cell>
          <cell r="C7159">
            <v>1.7</v>
          </cell>
          <cell r="D7159">
            <v>0</v>
          </cell>
          <cell r="E7159">
            <v>0</v>
          </cell>
          <cell r="F7159">
            <v>0.16</v>
          </cell>
          <cell r="G7159">
            <v>8.8999999999999996E-2</v>
          </cell>
          <cell r="H7159">
            <v>0</v>
          </cell>
          <cell r="I7159">
            <v>0</v>
          </cell>
          <cell r="J7159">
            <v>0</v>
          </cell>
          <cell r="K7159">
            <v>0</v>
          </cell>
          <cell r="L7159">
            <v>0</v>
          </cell>
          <cell r="M7159">
            <v>-1.2999999999999999E-3</v>
          </cell>
          <cell r="N7159">
            <v>0</v>
          </cell>
          <cell r="O7159">
            <v>0</v>
          </cell>
          <cell r="P7159">
            <v>0</v>
          </cell>
          <cell r="Q7159">
            <v>0</v>
          </cell>
          <cell r="R7159">
            <v>0</v>
          </cell>
          <cell r="S7159">
            <v>0</v>
          </cell>
          <cell r="T7159">
            <v>0</v>
          </cell>
          <cell r="U7159" t="b">
            <v>0</v>
          </cell>
        </row>
        <row r="7160">
          <cell r="A7160" t="str">
            <v>Data split-17;Reg-40</v>
          </cell>
          <cell r="B7160">
            <v>0.46</v>
          </cell>
          <cell r="C7160">
            <v>1.6</v>
          </cell>
          <cell r="D7160">
            <v>0</v>
          </cell>
          <cell r="E7160">
            <v>0</v>
          </cell>
          <cell r="F7160">
            <v>0.16</v>
          </cell>
          <cell r="G7160">
            <v>-8.1000000000000003E-2</v>
          </cell>
          <cell r="H7160">
            <v>0</v>
          </cell>
          <cell r="I7160">
            <v>0</v>
          </cell>
          <cell r="J7160">
            <v>0</v>
          </cell>
          <cell r="K7160">
            <v>0</v>
          </cell>
          <cell r="L7160">
            <v>0</v>
          </cell>
          <cell r="M7160">
            <v>0</v>
          </cell>
          <cell r="N7160">
            <v>4.1999999999999997E-3</v>
          </cell>
          <cell r="O7160">
            <v>0</v>
          </cell>
          <cell r="P7160">
            <v>0</v>
          </cell>
          <cell r="Q7160">
            <v>0</v>
          </cell>
          <cell r="R7160">
            <v>0</v>
          </cell>
          <cell r="S7160">
            <v>0</v>
          </cell>
          <cell r="T7160">
            <v>0</v>
          </cell>
          <cell r="U7160" t="b">
            <v>0</v>
          </cell>
        </row>
        <row r="7161">
          <cell r="A7161" t="str">
            <v>Data split-17;Reg-41</v>
          </cell>
          <cell r="B7161">
            <v>0.23</v>
          </cell>
          <cell r="C7161">
            <v>1.4</v>
          </cell>
          <cell r="D7161">
            <v>0</v>
          </cell>
          <cell r="E7161">
            <v>0</v>
          </cell>
          <cell r="F7161">
            <v>0.16</v>
          </cell>
          <cell r="G7161">
            <v>0</v>
          </cell>
          <cell r="H7161">
            <v>1.1000000000000001</v>
          </cell>
          <cell r="I7161">
            <v>0</v>
          </cell>
          <cell r="J7161">
            <v>0</v>
          </cell>
          <cell r="K7161">
            <v>0</v>
          </cell>
          <cell r="L7161">
            <v>0</v>
          </cell>
          <cell r="M7161">
            <v>-3.5000000000000003E-2</v>
          </cell>
          <cell r="N7161">
            <v>0</v>
          </cell>
          <cell r="O7161">
            <v>0</v>
          </cell>
          <cell r="P7161">
            <v>0</v>
          </cell>
          <cell r="Q7161">
            <v>0</v>
          </cell>
          <cell r="R7161">
            <v>0</v>
          </cell>
          <cell r="S7161">
            <v>0</v>
          </cell>
          <cell r="T7161">
            <v>0</v>
          </cell>
          <cell r="U7161" t="b">
            <v>0</v>
          </cell>
        </row>
        <row r="7162">
          <cell r="A7162" t="str">
            <v>Data split-17;Reg-42</v>
          </cell>
          <cell r="B7162">
            <v>0.23</v>
          </cell>
          <cell r="C7162">
            <v>1.5</v>
          </cell>
          <cell r="D7162">
            <v>0</v>
          </cell>
          <cell r="E7162">
            <v>0</v>
          </cell>
          <cell r="F7162">
            <v>0.16</v>
          </cell>
          <cell r="G7162">
            <v>0</v>
          </cell>
          <cell r="H7162">
            <v>0.46</v>
          </cell>
          <cell r="I7162">
            <v>0</v>
          </cell>
          <cell r="J7162">
            <v>0</v>
          </cell>
          <cell r="K7162">
            <v>0</v>
          </cell>
          <cell r="L7162">
            <v>0</v>
          </cell>
          <cell r="M7162">
            <v>0</v>
          </cell>
          <cell r="N7162">
            <v>-6.4000000000000005E-4</v>
          </cell>
          <cell r="O7162">
            <v>0</v>
          </cell>
          <cell r="P7162">
            <v>0</v>
          </cell>
          <cell r="Q7162">
            <v>0</v>
          </cell>
          <cell r="R7162">
            <v>0</v>
          </cell>
          <cell r="S7162">
            <v>0</v>
          </cell>
          <cell r="T7162">
            <v>0</v>
          </cell>
          <cell r="U7162" t="b">
            <v>0</v>
          </cell>
        </row>
        <row r="7163">
          <cell r="A7163" t="str">
            <v>Data split-17;Reg-43</v>
          </cell>
          <cell r="B7163">
            <v>0.18</v>
          </cell>
          <cell r="C7163">
            <v>2.1</v>
          </cell>
          <cell r="D7163">
            <v>0</v>
          </cell>
          <cell r="E7163">
            <v>-6.1000000000000004E-3</v>
          </cell>
          <cell r="F7163">
            <v>0</v>
          </cell>
          <cell r="G7163">
            <v>-0.13</v>
          </cell>
          <cell r="H7163">
            <v>0</v>
          </cell>
          <cell r="I7163">
            <v>0</v>
          </cell>
          <cell r="J7163">
            <v>0</v>
          </cell>
          <cell r="K7163">
            <v>0</v>
          </cell>
          <cell r="L7163">
            <v>0</v>
          </cell>
          <cell r="M7163">
            <v>0</v>
          </cell>
          <cell r="N7163">
            <v>0</v>
          </cell>
          <cell r="O7163">
            <v>-1.2E-2</v>
          </cell>
          <cell r="P7163">
            <v>0</v>
          </cell>
          <cell r="Q7163">
            <v>0</v>
          </cell>
          <cell r="R7163">
            <v>0</v>
          </cell>
          <cell r="S7163">
            <v>0</v>
          </cell>
          <cell r="T7163">
            <v>0</v>
          </cell>
          <cell r="U7163" t="b">
            <v>0</v>
          </cell>
        </row>
        <row r="7164">
          <cell r="A7164" t="str">
            <v>Data split-17;Reg-44</v>
          </cell>
          <cell r="B7164">
            <v>0.16</v>
          </cell>
          <cell r="C7164">
            <v>2.1</v>
          </cell>
          <cell r="D7164">
            <v>0</v>
          </cell>
          <cell r="E7164">
            <v>-9.6000000000000002E-2</v>
          </cell>
          <cell r="F7164">
            <v>0</v>
          </cell>
          <cell r="G7164">
            <v>-0.35</v>
          </cell>
          <cell r="H7164">
            <v>0</v>
          </cell>
          <cell r="I7164">
            <v>0</v>
          </cell>
          <cell r="J7164">
            <v>0</v>
          </cell>
          <cell r="K7164">
            <v>0</v>
          </cell>
          <cell r="L7164">
            <v>0</v>
          </cell>
          <cell r="M7164">
            <v>0</v>
          </cell>
          <cell r="N7164">
            <v>0</v>
          </cell>
          <cell r="O7164">
            <v>0</v>
          </cell>
          <cell r="P7164">
            <v>4.4999999999999997E-3</v>
          </cell>
          <cell r="Q7164">
            <v>0</v>
          </cell>
          <cell r="R7164">
            <v>0</v>
          </cell>
          <cell r="S7164">
            <v>0</v>
          </cell>
          <cell r="T7164">
            <v>0</v>
          </cell>
          <cell r="U7164" t="b">
            <v>0</v>
          </cell>
        </row>
        <row r="7165">
          <cell r="A7165" t="str">
            <v>Data split-17;Reg-45</v>
          </cell>
          <cell r="B7165">
            <v>-0.15</v>
          </cell>
          <cell r="C7165">
            <v>1.9</v>
          </cell>
          <cell r="D7165">
            <v>0</v>
          </cell>
          <cell r="E7165">
            <v>-1.1000000000000001</v>
          </cell>
          <cell r="F7165">
            <v>0</v>
          </cell>
          <cell r="G7165">
            <v>0</v>
          </cell>
          <cell r="H7165">
            <v>2</v>
          </cell>
          <cell r="I7165">
            <v>0</v>
          </cell>
          <cell r="J7165">
            <v>0</v>
          </cell>
          <cell r="K7165">
            <v>0</v>
          </cell>
          <cell r="L7165">
            <v>0</v>
          </cell>
          <cell r="M7165">
            <v>0</v>
          </cell>
          <cell r="N7165">
            <v>0</v>
          </cell>
          <cell r="O7165">
            <v>-4.4999999999999998E-2</v>
          </cell>
          <cell r="P7165">
            <v>0</v>
          </cell>
          <cell r="Q7165">
            <v>0</v>
          </cell>
          <cell r="R7165">
            <v>0</v>
          </cell>
          <cell r="S7165">
            <v>0</v>
          </cell>
          <cell r="T7165">
            <v>0</v>
          </cell>
          <cell r="U7165" t="b">
            <v>0</v>
          </cell>
        </row>
        <row r="7166">
          <cell r="A7166" t="str">
            <v>Data split-17;Reg-46</v>
          </cell>
          <cell r="B7166">
            <v>-0.38</v>
          </cell>
          <cell r="C7166">
            <v>2</v>
          </cell>
          <cell r="D7166">
            <v>0</v>
          </cell>
          <cell r="E7166">
            <v>-1</v>
          </cell>
          <cell r="F7166">
            <v>0</v>
          </cell>
          <cell r="G7166">
            <v>0</v>
          </cell>
          <cell r="H7166">
            <v>1.6</v>
          </cell>
          <cell r="I7166">
            <v>0</v>
          </cell>
          <cell r="J7166">
            <v>0</v>
          </cell>
          <cell r="K7166">
            <v>0</v>
          </cell>
          <cell r="L7166">
            <v>0</v>
          </cell>
          <cell r="M7166">
            <v>0</v>
          </cell>
          <cell r="N7166">
            <v>0</v>
          </cell>
          <cell r="O7166">
            <v>0</v>
          </cell>
          <cell r="P7166">
            <v>-3.7000000000000002E-3</v>
          </cell>
          <cell r="Q7166">
            <v>0</v>
          </cell>
          <cell r="R7166">
            <v>0</v>
          </cell>
          <cell r="S7166">
            <v>0</v>
          </cell>
          <cell r="T7166">
            <v>0</v>
          </cell>
          <cell r="U7166" t="b">
            <v>0</v>
          </cell>
        </row>
        <row r="7167">
          <cell r="A7167" t="str">
            <v>Data split-17;Reg-47</v>
          </cell>
          <cell r="B7167">
            <v>0.53</v>
          </cell>
          <cell r="C7167">
            <v>1.7</v>
          </cell>
          <cell r="D7167">
            <v>0</v>
          </cell>
          <cell r="E7167">
            <v>0</v>
          </cell>
          <cell r="F7167">
            <v>0.17</v>
          </cell>
          <cell r="G7167">
            <v>0.27</v>
          </cell>
          <cell r="H7167">
            <v>0</v>
          </cell>
          <cell r="I7167">
            <v>0</v>
          </cell>
          <cell r="J7167">
            <v>0</v>
          </cell>
          <cell r="K7167">
            <v>0</v>
          </cell>
          <cell r="L7167">
            <v>0</v>
          </cell>
          <cell r="M7167">
            <v>0</v>
          </cell>
          <cell r="N7167">
            <v>0</v>
          </cell>
          <cell r="O7167">
            <v>-2.5999999999999999E-2</v>
          </cell>
          <cell r="P7167">
            <v>0</v>
          </cell>
          <cell r="Q7167">
            <v>0</v>
          </cell>
          <cell r="R7167">
            <v>0</v>
          </cell>
          <cell r="S7167">
            <v>0</v>
          </cell>
          <cell r="T7167">
            <v>0</v>
          </cell>
          <cell r="U7167" t="b">
            <v>0</v>
          </cell>
        </row>
        <row r="7168">
          <cell r="A7168" t="str">
            <v>Data split-17;Reg-48</v>
          </cell>
          <cell r="B7168">
            <v>0.39</v>
          </cell>
          <cell r="C7168">
            <v>1.7</v>
          </cell>
          <cell r="D7168">
            <v>0</v>
          </cell>
          <cell r="E7168">
            <v>0</v>
          </cell>
          <cell r="F7168">
            <v>0.16</v>
          </cell>
          <cell r="G7168">
            <v>0.11</v>
          </cell>
          <cell r="H7168">
            <v>0</v>
          </cell>
          <cell r="I7168">
            <v>0</v>
          </cell>
          <cell r="J7168">
            <v>0</v>
          </cell>
          <cell r="K7168">
            <v>0</v>
          </cell>
          <cell r="L7168">
            <v>0</v>
          </cell>
          <cell r="M7168">
            <v>0</v>
          </cell>
          <cell r="N7168">
            <v>0</v>
          </cell>
          <cell r="O7168">
            <v>0</v>
          </cell>
          <cell r="P7168">
            <v>-7.2000000000000005E-4</v>
          </cell>
          <cell r="Q7168">
            <v>0</v>
          </cell>
          <cell r="R7168">
            <v>0</v>
          </cell>
          <cell r="S7168">
            <v>0</v>
          </cell>
          <cell r="T7168">
            <v>0</v>
          </cell>
          <cell r="U7168" t="b">
            <v>0</v>
          </cell>
        </row>
        <row r="7169">
          <cell r="A7169" t="str">
            <v>Data split-17;Reg-49</v>
          </cell>
          <cell r="B7169">
            <v>0.42</v>
          </cell>
          <cell r="C7169">
            <v>1.5</v>
          </cell>
          <cell r="D7169">
            <v>0</v>
          </cell>
          <cell r="E7169">
            <v>0</v>
          </cell>
          <cell r="F7169">
            <v>0.16</v>
          </cell>
          <cell r="G7169">
            <v>0</v>
          </cell>
          <cell r="H7169">
            <v>0.99</v>
          </cell>
          <cell r="I7169">
            <v>0</v>
          </cell>
          <cell r="J7169">
            <v>0</v>
          </cell>
          <cell r="K7169">
            <v>0</v>
          </cell>
          <cell r="L7169">
            <v>0</v>
          </cell>
          <cell r="M7169">
            <v>0</v>
          </cell>
          <cell r="N7169">
            <v>0</v>
          </cell>
          <cell r="O7169">
            <v>-0.04</v>
          </cell>
          <cell r="P7169">
            <v>0</v>
          </cell>
          <cell r="Q7169">
            <v>0</v>
          </cell>
          <cell r="R7169">
            <v>0</v>
          </cell>
          <cell r="S7169">
            <v>0</v>
          </cell>
          <cell r="T7169">
            <v>0</v>
          </cell>
          <cell r="U7169" t="b">
            <v>0</v>
          </cell>
        </row>
        <row r="7170">
          <cell r="A7170" t="str">
            <v>Data split-17;Reg-50</v>
          </cell>
          <cell r="B7170">
            <v>0.21</v>
          </cell>
          <cell r="C7170">
            <v>1.5</v>
          </cell>
          <cell r="D7170">
            <v>0</v>
          </cell>
          <cell r="E7170">
            <v>0</v>
          </cell>
          <cell r="F7170">
            <v>0.16</v>
          </cell>
          <cell r="G7170">
            <v>0</v>
          </cell>
          <cell r="H7170">
            <v>0.7</v>
          </cell>
          <cell r="I7170">
            <v>0</v>
          </cell>
          <cell r="J7170">
            <v>0</v>
          </cell>
          <cell r="K7170">
            <v>0</v>
          </cell>
          <cell r="L7170">
            <v>0</v>
          </cell>
          <cell r="M7170">
            <v>0</v>
          </cell>
          <cell r="N7170">
            <v>0</v>
          </cell>
          <cell r="O7170">
            <v>0</v>
          </cell>
          <cell r="P7170">
            <v>-3.8999999999999998E-3</v>
          </cell>
          <cell r="Q7170">
            <v>0</v>
          </cell>
          <cell r="R7170">
            <v>0</v>
          </cell>
          <cell r="S7170">
            <v>0</v>
          </cell>
          <cell r="T7170">
            <v>0</v>
          </cell>
          <cell r="U7170" t="b">
            <v>0</v>
          </cell>
        </row>
        <row r="7171">
          <cell r="A7171" t="str">
            <v>Data split-17;Reg-51</v>
          </cell>
          <cell r="B7171">
            <v>-0.24</v>
          </cell>
          <cell r="C7171">
            <v>0</v>
          </cell>
          <cell r="D7171">
            <v>2.2999999999999998</v>
          </cell>
          <cell r="E7171">
            <v>-0.25</v>
          </cell>
          <cell r="F7171">
            <v>0</v>
          </cell>
          <cell r="G7171">
            <v>-0.27</v>
          </cell>
          <cell r="H7171">
            <v>0</v>
          </cell>
          <cell r="I7171">
            <v>0</v>
          </cell>
          <cell r="J7171">
            <v>0</v>
          </cell>
          <cell r="K7171">
            <v>0</v>
          </cell>
          <cell r="L7171">
            <v>0</v>
          </cell>
          <cell r="M7171">
            <v>0</v>
          </cell>
          <cell r="N7171">
            <v>0</v>
          </cell>
          <cell r="O7171">
            <v>9.4999999999999998E-3</v>
          </cell>
          <cell r="P7171">
            <v>0</v>
          </cell>
          <cell r="Q7171">
            <v>0</v>
          </cell>
          <cell r="R7171">
            <v>0</v>
          </cell>
          <cell r="S7171">
            <v>0</v>
          </cell>
          <cell r="T7171">
            <v>0</v>
          </cell>
          <cell r="U7171" t="b">
            <v>0</v>
          </cell>
        </row>
        <row r="7172">
          <cell r="A7172" t="str">
            <v>Data split-17;Reg-52</v>
          </cell>
          <cell r="B7172">
            <v>-6.6000000000000003E-2</v>
          </cell>
          <cell r="C7172">
            <v>0</v>
          </cell>
          <cell r="D7172">
            <v>2.2999999999999998</v>
          </cell>
          <cell r="E7172">
            <v>-0.41</v>
          </cell>
          <cell r="F7172">
            <v>0</v>
          </cell>
          <cell r="G7172">
            <v>-0.44</v>
          </cell>
          <cell r="H7172">
            <v>0</v>
          </cell>
          <cell r="I7172">
            <v>0</v>
          </cell>
          <cell r="J7172">
            <v>0</v>
          </cell>
          <cell r="K7172">
            <v>0</v>
          </cell>
          <cell r="L7172">
            <v>0</v>
          </cell>
          <cell r="M7172">
            <v>0</v>
          </cell>
          <cell r="N7172">
            <v>8.0000000000000002E-3</v>
          </cell>
          <cell r="O7172">
            <v>0</v>
          </cell>
          <cell r="P7172">
            <v>0</v>
          </cell>
          <cell r="Q7172">
            <v>0</v>
          </cell>
          <cell r="R7172">
            <v>0</v>
          </cell>
          <cell r="S7172">
            <v>0</v>
          </cell>
          <cell r="T7172">
            <v>0</v>
          </cell>
          <cell r="U7172" t="b">
            <v>0</v>
          </cell>
        </row>
        <row r="7173">
          <cell r="A7173" t="str">
            <v>Data split-17;Reg-53</v>
          </cell>
          <cell r="B7173">
            <v>-0.69</v>
          </cell>
          <cell r="C7173">
            <v>0</v>
          </cell>
          <cell r="D7173">
            <v>1.9</v>
          </cell>
          <cell r="E7173">
            <v>-1.4</v>
          </cell>
          <cell r="F7173">
            <v>0</v>
          </cell>
          <cell r="G7173">
            <v>0</v>
          </cell>
          <cell r="H7173">
            <v>2.7</v>
          </cell>
          <cell r="I7173">
            <v>0</v>
          </cell>
          <cell r="J7173">
            <v>0</v>
          </cell>
          <cell r="K7173">
            <v>0</v>
          </cell>
          <cell r="L7173">
            <v>0</v>
          </cell>
          <cell r="M7173">
            <v>-0.06</v>
          </cell>
          <cell r="N7173">
            <v>0</v>
          </cell>
          <cell r="O7173">
            <v>0</v>
          </cell>
          <cell r="P7173">
            <v>0</v>
          </cell>
          <cell r="Q7173">
            <v>0</v>
          </cell>
          <cell r="R7173">
            <v>0</v>
          </cell>
          <cell r="S7173">
            <v>0</v>
          </cell>
          <cell r="T7173">
            <v>0</v>
          </cell>
          <cell r="U7173" t="b">
            <v>0</v>
          </cell>
        </row>
        <row r="7174">
          <cell r="A7174" t="str">
            <v>Data split-17;Reg-54</v>
          </cell>
          <cell r="B7174">
            <v>-0.94</v>
          </cell>
          <cell r="C7174">
            <v>0</v>
          </cell>
          <cell r="D7174">
            <v>2</v>
          </cell>
          <cell r="E7174">
            <v>-1.3</v>
          </cell>
          <cell r="F7174">
            <v>0</v>
          </cell>
          <cell r="G7174">
            <v>0</v>
          </cell>
          <cell r="H7174">
            <v>2.2000000000000002</v>
          </cell>
          <cell r="I7174">
            <v>0</v>
          </cell>
          <cell r="J7174">
            <v>0</v>
          </cell>
          <cell r="K7174">
            <v>0</v>
          </cell>
          <cell r="L7174">
            <v>0</v>
          </cell>
          <cell r="M7174">
            <v>0</v>
          </cell>
          <cell r="N7174">
            <v>-8.8000000000000005E-3</v>
          </cell>
          <cell r="O7174">
            <v>0</v>
          </cell>
          <cell r="P7174">
            <v>0</v>
          </cell>
          <cell r="Q7174">
            <v>0</v>
          </cell>
          <cell r="R7174">
            <v>0</v>
          </cell>
          <cell r="S7174">
            <v>0</v>
          </cell>
          <cell r="T7174">
            <v>0</v>
          </cell>
          <cell r="U7174" t="b">
            <v>0</v>
          </cell>
        </row>
        <row r="7175">
          <cell r="A7175" t="str">
            <v>Data split-17;Reg-55</v>
          </cell>
          <cell r="B7175">
            <v>0.13</v>
          </cell>
          <cell r="C7175">
            <v>0</v>
          </cell>
          <cell r="D7175">
            <v>1.8</v>
          </cell>
          <cell r="E7175">
            <v>0</v>
          </cell>
          <cell r="F7175">
            <v>0.16</v>
          </cell>
          <cell r="G7175">
            <v>-2.5999999999999999E-3</v>
          </cell>
          <cell r="H7175">
            <v>0</v>
          </cell>
          <cell r="I7175">
            <v>0</v>
          </cell>
          <cell r="J7175">
            <v>0</v>
          </cell>
          <cell r="K7175">
            <v>0</v>
          </cell>
          <cell r="L7175">
            <v>0</v>
          </cell>
          <cell r="M7175">
            <v>-5.6999999999999998E-4</v>
          </cell>
          <cell r="N7175">
            <v>0</v>
          </cell>
          <cell r="O7175">
            <v>0</v>
          </cell>
          <cell r="P7175">
            <v>0</v>
          </cell>
          <cell r="Q7175">
            <v>0</v>
          </cell>
          <cell r="R7175">
            <v>0</v>
          </cell>
          <cell r="S7175">
            <v>0</v>
          </cell>
          <cell r="T7175">
            <v>0</v>
          </cell>
          <cell r="U7175" t="b">
            <v>0</v>
          </cell>
        </row>
        <row r="7176">
          <cell r="A7176" t="str">
            <v>Data split-17;Reg-56</v>
          </cell>
          <cell r="B7176">
            <v>0.2</v>
          </cell>
          <cell r="C7176">
            <v>0</v>
          </cell>
          <cell r="D7176">
            <v>1.7</v>
          </cell>
          <cell r="E7176">
            <v>0</v>
          </cell>
          <cell r="F7176">
            <v>0.16</v>
          </cell>
          <cell r="G7176">
            <v>-0.17</v>
          </cell>
          <cell r="H7176">
            <v>0</v>
          </cell>
          <cell r="I7176">
            <v>0</v>
          </cell>
          <cell r="J7176">
            <v>0</v>
          </cell>
          <cell r="K7176">
            <v>0</v>
          </cell>
          <cell r="L7176">
            <v>0</v>
          </cell>
          <cell r="M7176">
            <v>0</v>
          </cell>
          <cell r="N7176">
            <v>4.1999999999999997E-3</v>
          </cell>
          <cell r="O7176">
            <v>0</v>
          </cell>
          <cell r="P7176">
            <v>0</v>
          </cell>
          <cell r="Q7176">
            <v>0</v>
          </cell>
          <cell r="R7176">
            <v>0</v>
          </cell>
          <cell r="S7176">
            <v>0</v>
          </cell>
          <cell r="T7176">
            <v>0</v>
          </cell>
          <cell r="U7176" t="b">
            <v>0</v>
          </cell>
        </row>
        <row r="7177">
          <cell r="A7177" t="str">
            <v>Data split-17;Reg-57</v>
          </cell>
          <cell r="B7177">
            <v>3.0000000000000001E-3</v>
          </cell>
          <cell r="C7177">
            <v>0</v>
          </cell>
          <cell r="D7177">
            <v>1.5</v>
          </cell>
          <cell r="E7177">
            <v>0</v>
          </cell>
          <cell r="F7177">
            <v>0.16</v>
          </cell>
          <cell r="G7177">
            <v>0</v>
          </cell>
          <cell r="H7177">
            <v>0.88</v>
          </cell>
          <cell r="I7177">
            <v>0</v>
          </cell>
          <cell r="J7177">
            <v>0</v>
          </cell>
          <cell r="K7177">
            <v>0</v>
          </cell>
          <cell r="L7177">
            <v>0</v>
          </cell>
          <cell r="M7177">
            <v>-3.1E-2</v>
          </cell>
          <cell r="N7177">
            <v>0</v>
          </cell>
          <cell r="O7177">
            <v>0</v>
          </cell>
          <cell r="P7177">
            <v>0</v>
          </cell>
          <cell r="Q7177">
            <v>0</v>
          </cell>
          <cell r="R7177">
            <v>0</v>
          </cell>
          <cell r="S7177">
            <v>0</v>
          </cell>
          <cell r="T7177">
            <v>0</v>
          </cell>
          <cell r="U7177" t="b">
            <v>0</v>
          </cell>
        </row>
        <row r="7178">
          <cell r="A7178" t="str">
            <v>Data split-17;Reg-58</v>
          </cell>
          <cell r="B7178">
            <v>1.7999999999999999E-2</v>
          </cell>
          <cell r="C7178">
            <v>0</v>
          </cell>
          <cell r="D7178">
            <v>1.6</v>
          </cell>
          <cell r="E7178">
            <v>0</v>
          </cell>
          <cell r="F7178">
            <v>0.16</v>
          </cell>
          <cell r="G7178">
            <v>0</v>
          </cell>
          <cell r="H7178">
            <v>0.24</v>
          </cell>
          <cell r="I7178">
            <v>0</v>
          </cell>
          <cell r="J7178">
            <v>0</v>
          </cell>
          <cell r="K7178">
            <v>0</v>
          </cell>
          <cell r="L7178">
            <v>0</v>
          </cell>
          <cell r="M7178">
            <v>0</v>
          </cell>
          <cell r="N7178">
            <v>2.9E-4</v>
          </cell>
          <cell r="O7178">
            <v>0</v>
          </cell>
          <cell r="P7178">
            <v>0</v>
          </cell>
          <cell r="Q7178">
            <v>0</v>
          </cell>
          <cell r="R7178">
            <v>0</v>
          </cell>
          <cell r="S7178">
            <v>0</v>
          </cell>
          <cell r="T7178">
            <v>0</v>
          </cell>
          <cell r="U7178" t="b">
            <v>0</v>
          </cell>
        </row>
        <row r="7179">
          <cell r="A7179" t="str">
            <v>Data split-17;Reg-59</v>
          </cell>
          <cell r="B7179">
            <v>-0.17</v>
          </cell>
          <cell r="C7179">
            <v>0</v>
          </cell>
          <cell r="D7179">
            <v>2.2000000000000002</v>
          </cell>
          <cell r="E7179">
            <v>-0.17</v>
          </cell>
          <cell r="F7179">
            <v>0</v>
          </cell>
          <cell r="G7179">
            <v>-0.19</v>
          </cell>
          <cell r="H7179">
            <v>0</v>
          </cell>
          <cell r="I7179">
            <v>0</v>
          </cell>
          <cell r="J7179">
            <v>0</v>
          </cell>
          <cell r="K7179">
            <v>0</v>
          </cell>
          <cell r="L7179">
            <v>0</v>
          </cell>
          <cell r="M7179">
            <v>0</v>
          </cell>
          <cell r="N7179">
            <v>0</v>
          </cell>
          <cell r="O7179">
            <v>-6.7999999999999996E-3</v>
          </cell>
          <cell r="P7179">
            <v>0</v>
          </cell>
          <cell r="Q7179">
            <v>0</v>
          </cell>
          <cell r="R7179">
            <v>0</v>
          </cell>
          <cell r="S7179">
            <v>0</v>
          </cell>
          <cell r="T7179">
            <v>0</v>
          </cell>
          <cell r="U7179" t="b">
            <v>0</v>
          </cell>
        </row>
        <row r="7180">
          <cell r="A7180" t="str">
            <v>Data split-17;Reg-60</v>
          </cell>
          <cell r="B7180">
            <v>-0.17</v>
          </cell>
          <cell r="C7180">
            <v>0</v>
          </cell>
          <cell r="D7180">
            <v>2.2999999999999998</v>
          </cell>
          <cell r="E7180">
            <v>-0.28000000000000003</v>
          </cell>
          <cell r="F7180">
            <v>0</v>
          </cell>
          <cell r="G7180">
            <v>-0.42</v>
          </cell>
          <cell r="H7180">
            <v>0</v>
          </cell>
          <cell r="I7180">
            <v>0</v>
          </cell>
          <cell r="J7180">
            <v>0</v>
          </cell>
          <cell r="K7180">
            <v>0</v>
          </cell>
          <cell r="L7180">
            <v>0</v>
          </cell>
          <cell r="M7180">
            <v>0</v>
          </cell>
          <cell r="N7180">
            <v>0</v>
          </cell>
          <cell r="O7180">
            <v>0</v>
          </cell>
          <cell r="P7180">
            <v>5.7999999999999996E-3</v>
          </cell>
          <cell r="Q7180">
            <v>0</v>
          </cell>
          <cell r="R7180">
            <v>0</v>
          </cell>
          <cell r="S7180">
            <v>0</v>
          </cell>
          <cell r="T7180">
            <v>0</v>
          </cell>
          <cell r="U7180" t="b">
            <v>0</v>
          </cell>
        </row>
        <row r="7181">
          <cell r="A7181" t="str">
            <v>Data split-17;Reg-61</v>
          </cell>
          <cell r="B7181">
            <v>-0.48</v>
          </cell>
          <cell r="C7181">
            <v>0</v>
          </cell>
          <cell r="D7181">
            <v>2</v>
          </cell>
          <cell r="E7181">
            <v>-1.2</v>
          </cell>
          <cell r="F7181">
            <v>0</v>
          </cell>
          <cell r="G7181">
            <v>0</v>
          </cell>
          <cell r="H7181">
            <v>2</v>
          </cell>
          <cell r="I7181">
            <v>0</v>
          </cell>
          <cell r="J7181">
            <v>0</v>
          </cell>
          <cell r="K7181">
            <v>0</v>
          </cell>
          <cell r="L7181">
            <v>0</v>
          </cell>
          <cell r="M7181">
            <v>0</v>
          </cell>
          <cell r="N7181">
            <v>0</v>
          </cell>
          <cell r="O7181">
            <v>-4.2000000000000003E-2</v>
          </cell>
          <cell r="P7181">
            <v>0</v>
          </cell>
          <cell r="Q7181">
            <v>0</v>
          </cell>
          <cell r="R7181">
            <v>0</v>
          </cell>
          <cell r="S7181">
            <v>0</v>
          </cell>
          <cell r="T7181">
            <v>0</v>
          </cell>
          <cell r="U7181" t="b">
            <v>0</v>
          </cell>
        </row>
        <row r="7182">
          <cell r="A7182" t="str">
            <v>Data split-17;Reg-62</v>
          </cell>
          <cell r="B7182">
            <v>-0.7</v>
          </cell>
          <cell r="C7182">
            <v>0</v>
          </cell>
          <cell r="D7182">
            <v>2.1</v>
          </cell>
          <cell r="E7182">
            <v>-1.2</v>
          </cell>
          <cell r="F7182">
            <v>0</v>
          </cell>
          <cell r="G7182">
            <v>0</v>
          </cell>
          <cell r="H7182">
            <v>1.5</v>
          </cell>
          <cell r="I7182">
            <v>0</v>
          </cell>
          <cell r="J7182">
            <v>0</v>
          </cell>
          <cell r="K7182">
            <v>0</v>
          </cell>
          <cell r="L7182">
            <v>0</v>
          </cell>
          <cell r="M7182">
            <v>0</v>
          </cell>
          <cell r="N7182">
            <v>0</v>
          </cell>
          <cell r="O7182">
            <v>0</v>
          </cell>
          <cell r="P7182">
            <v>-2.8E-3</v>
          </cell>
          <cell r="Q7182">
            <v>0</v>
          </cell>
          <cell r="R7182">
            <v>0</v>
          </cell>
          <cell r="S7182">
            <v>0</v>
          </cell>
          <cell r="T7182">
            <v>0</v>
          </cell>
          <cell r="U7182" t="b">
            <v>0</v>
          </cell>
        </row>
        <row r="7183">
          <cell r="A7183" t="str">
            <v>Data split-17;Reg-63</v>
          </cell>
          <cell r="B7183">
            <v>0.25</v>
          </cell>
          <cell r="C7183">
            <v>0</v>
          </cell>
          <cell r="D7183">
            <v>1.8</v>
          </cell>
          <cell r="E7183">
            <v>0</v>
          </cell>
          <cell r="F7183">
            <v>0.16</v>
          </cell>
          <cell r="G7183">
            <v>0.16</v>
          </cell>
          <cell r="H7183">
            <v>0</v>
          </cell>
          <cell r="I7183">
            <v>0</v>
          </cell>
          <cell r="J7183">
            <v>0</v>
          </cell>
          <cell r="K7183">
            <v>0</v>
          </cell>
          <cell r="L7183">
            <v>0</v>
          </cell>
          <cell r="M7183">
            <v>0</v>
          </cell>
          <cell r="N7183">
            <v>0</v>
          </cell>
          <cell r="O7183">
            <v>-2.1999999999999999E-2</v>
          </cell>
          <cell r="P7183">
            <v>0</v>
          </cell>
          <cell r="Q7183">
            <v>0</v>
          </cell>
          <cell r="R7183">
            <v>0</v>
          </cell>
          <cell r="S7183">
            <v>0</v>
          </cell>
          <cell r="T7183">
            <v>0</v>
          </cell>
          <cell r="U7183" t="b">
            <v>0</v>
          </cell>
        </row>
        <row r="7184">
          <cell r="A7184" t="str">
            <v>Data split-17;Reg-64</v>
          </cell>
          <cell r="B7184">
            <v>0.13</v>
          </cell>
          <cell r="C7184">
            <v>0</v>
          </cell>
          <cell r="D7184">
            <v>1.8</v>
          </cell>
          <cell r="E7184">
            <v>0</v>
          </cell>
          <cell r="F7184">
            <v>0.16</v>
          </cell>
          <cell r="G7184">
            <v>-1.7000000000000001E-2</v>
          </cell>
          <cell r="H7184">
            <v>0</v>
          </cell>
          <cell r="I7184">
            <v>0</v>
          </cell>
          <cell r="J7184">
            <v>0</v>
          </cell>
          <cell r="K7184">
            <v>0</v>
          </cell>
          <cell r="L7184">
            <v>0</v>
          </cell>
          <cell r="M7184">
            <v>0</v>
          </cell>
          <cell r="N7184">
            <v>0</v>
          </cell>
          <cell r="O7184">
            <v>0</v>
          </cell>
          <cell r="P7184">
            <v>2.4000000000000001E-4</v>
          </cell>
          <cell r="Q7184">
            <v>0</v>
          </cell>
          <cell r="R7184">
            <v>0</v>
          </cell>
          <cell r="S7184">
            <v>0</v>
          </cell>
          <cell r="T7184">
            <v>0</v>
          </cell>
          <cell r="U7184" t="b">
            <v>0</v>
          </cell>
        </row>
        <row r="7185">
          <cell r="A7185" t="str">
            <v>Data split-17;Reg-65</v>
          </cell>
          <cell r="B7185">
            <v>0.18</v>
          </cell>
          <cell r="C7185">
            <v>0</v>
          </cell>
          <cell r="D7185">
            <v>1.5</v>
          </cell>
          <cell r="E7185">
            <v>0</v>
          </cell>
          <cell r="F7185">
            <v>0.16</v>
          </cell>
          <cell r="G7185">
            <v>0</v>
          </cell>
          <cell r="H7185">
            <v>0.82</v>
          </cell>
          <cell r="I7185">
            <v>0</v>
          </cell>
          <cell r="J7185">
            <v>0</v>
          </cell>
          <cell r="K7185">
            <v>0</v>
          </cell>
          <cell r="L7185">
            <v>0</v>
          </cell>
          <cell r="M7185">
            <v>0</v>
          </cell>
          <cell r="N7185">
            <v>0</v>
          </cell>
          <cell r="O7185">
            <v>-3.6999999999999998E-2</v>
          </cell>
          <cell r="P7185">
            <v>0</v>
          </cell>
          <cell r="Q7185">
            <v>0</v>
          </cell>
          <cell r="R7185">
            <v>0</v>
          </cell>
          <cell r="S7185">
            <v>0</v>
          </cell>
          <cell r="T7185">
            <v>0</v>
          </cell>
          <cell r="U7185" t="b">
            <v>0</v>
          </cell>
        </row>
        <row r="7186">
          <cell r="A7186" t="str">
            <v>Data split-17;Reg-66</v>
          </cell>
          <cell r="B7186">
            <v>-1.9E-2</v>
          </cell>
          <cell r="C7186">
            <v>0</v>
          </cell>
          <cell r="D7186">
            <v>1.6</v>
          </cell>
          <cell r="E7186">
            <v>0</v>
          </cell>
          <cell r="F7186">
            <v>0.16</v>
          </cell>
          <cell r="G7186">
            <v>0</v>
          </cell>
          <cell r="H7186">
            <v>0.51</v>
          </cell>
          <cell r="I7186">
            <v>0</v>
          </cell>
          <cell r="J7186">
            <v>0</v>
          </cell>
          <cell r="K7186">
            <v>0</v>
          </cell>
          <cell r="L7186">
            <v>0</v>
          </cell>
          <cell r="M7186">
            <v>0</v>
          </cell>
          <cell r="N7186">
            <v>0</v>
          </cell>
          <cell r="O7186">
            <v>0</v>
          </cell>
          <cell r="P7186">
            <v>-3.0000000000000001E-3</v>
          </cell>
          <cell r="Q7186">
            <v>0</v>
          </cell>
          <cell r="R7186">
            <v>0</v>
          </cell>
          <cell r="S7186">
            <v>0</v>
          </cell>
          <cell r="T7186">
            <v>0</v>
          </cell>
          <cell r="U7186" t="b">
            <v>1</v>
          </cell>
        </row>
        <row r="7187">
          <cell r="A7187" t="str">
            <v>Data split-17;Reg-67</v>
          </cell>
          <cell r="B7187">
            <v>0.12</v>
          </cell>
          <cell r="C7187">
            <v>2.1</v>
          </cell>
          <cell r="D7187">
            <v>0</v>
          </cell>
          <cell r="E7187">
            <v>0</v>
          </cell>
          <cell r="F7187">
            <v>0</v>
          </cell>
          <cell r="G7187">
            <v>-0.21</v>
          </cell>
          <cell r="H7187">
            <v>0</v>
          </cell>
          <cell r="I7187">
            <v>0</v>
          </cell>
          <cell r="J7187">
            <v>0</v>
          </cell>
          <cell r="K7187">
            <v>0</v>
          </cell>
          <cell r="L7187">
            <v>0</v>
          </cell>
          <cell r="M7187">
            <v>0</v>
          </cell>
          <cell r="N7187">
            <v>0</v>
          </cell>
          <cell r="O7187">
            <v>0</v>
          </cell>
          <cell r="P7187">
            <v>0</v>
          </cell>
          <cell r="Q7187">
            <v>0</v>
          </cell>
          <cell r="R7187">
            <v>0</v>
          </cell>
          <cell r="S7187">
            <v>0</v>
          </cell>
          <cell r="T7187">
            <v>0</v>
          </cell>
          <cell r="U7187" t="b">
            <v>0</v>
          </cell>
        </row>
        <row r="7188">
          <cell r="A7188" t="str">
            <v>Data split-17;Reg-68</v>
          </cell>
          <cell r="B7188">
            <v>0.39</v>
          </cell>
          <cell r="C7188">
            <v>1.7</v>
          </cell>
          <cell r="D7188">
            <v>0</v>
          </cell>
          <cell r="E7188">
            <v>0</v>
          </cell>
          <cell r="F7188">
            <v>0.16</v>
          </cell>
          <cell r="G7188">
            <v>7.9000000000000001E-2</v>
          </cell>
          <cell r="H7188">
            <v>0</v>
          </cell>
          <cell r="I7188">
            <v>0</v>
          </cell>
          <cell r="J7188">
            <v>0</v>
          </cell>
          <cell r="K7188">
            <v>0</v>
          </cell>
          <cell r="L7188">
            <v>0</v>
          </cell>
          <cell r="M7188">
            <v>0</v>
          </cell>
          <cell r="N7188">
            <v>0</v>
          </cell>
          <cell r="O7188">
            <v>0</v>
          </cell>
          <cell r="P7188">
            <v>0</v>
          </cell>
          <cell r="Q7188">
            <v>0</v>
          </cell>
          <cell r="R7188">
            <v>0</v>
          </cell>
          <cell r="S7188">
            <v>0</v>
          </cell>
          <cell r="T7188">
            <v>0</v>
          </cell>
          <cell r="U7188" t="b">
            <v>0</v>
          </cell>
        </row>
        <row r="7189">
          <cell r="A7189" t="str">
            <v>Data split-17;Reg-69</v>
          </cell>
          <cell r="B7189">
            <v>-5.4</v>
          </cell>
          <cell r="C7189">
            <v>2.1</v>
          </cell>
          <cell r="D7189">
            <v>0</v>
          </cell>
          <cell r="E7189">
            <v>0</v>
          </cell>
          <cell r="F7189">
            <v>0</v>
          </cell>
          <cell r="G7189">
            <v>-0.84</v>
          </cell>
          <cell r="H7189">
            <v>0</v>
          </cell>
          <cell r="I7189">
            <v>0</v>
          </cell>
          <cell r="J7189">
            <v>41</v>
          </cell>
          <cell r="K7189">
            <v>0</v>
          </cell>
          <cell r="L7189">
            <v>0</v>
          </cell>
          <cell r="M7189">
            <v>0</v>
          </cell>
          <cell r="N7189">
            <v>0</v>
          </cell>
          <cell r="O7189">
            <v>0</v>
          </cell>
          <cell r="P7189">
            <v>0</v>
          </cell>
          <cell r="Q7189">
            <v>0</v>
          </cell>
          <cell r="R7189">
            <v>0</v>
          </cell>
          <cell r="S7189">
            <v>0</v>
          </cell>
          <cell r="T7189">
            <v>0</v>
          </cell>
          <cell r="U7189" t="b">
            <v>0</v>
          </cell>
        </row>
        <row r="7190">
          <cell r="A7190" t="str">
            <v>Data split-17;Reg-70</v>
          </cell>
          <cell r="B7190">
            <v>-5.4</v>
          </cell>
          <cell r="C7190">
            <v>2.1</v>
          </cell>
          <cell r="D7190">
            <v>0</v>
          </cell>
          <cell r="E7190">
            <v>0</v>
          </cell>
          <cell r="F7190">
            <v>0</v>
          </cell>
          <cell r="G7190">
            <v>-0.88</v>
          </cell>
          <cell r="H7190">
            <v>0</v>
          </cell>
          <cell r="I7190">
            <v>0</v>
          </cell>
          <cell r="J7190">
            <v>41.3</v>
          </cell>
          <cell r="K7190">
            <v>0</v>
          </cell>
          <cell r="L7190">
            <v>0</v>
          </cell>
          <cell r="M7190">
            <v>0</v>
          </cell>
          <cell r="N7190">
            <v>0</v>
          </cell>
          <cell r="O7190">
            <v>0</v>
          </cell>
          <cell r="P7190">
            <v>0</v>
          </cell>
          <cell r="Q7190">
            <v>0</v>
          </cell>
          <cell r="R7190">
            <v>0</v>
          </cell>
          <cell r="S7190">
            <v>4.5999999999999999E-3</v>
          </cell>
          <cell r="T7190">
            <v>0</v>
          </cell>
          <cell r="U7190" t="b">
            <v>0</v>
          </cell>
        </row>
        <row r="7191">
          <cell r="A7191" t="str">
            <v>Data split-17;Reg-71</v>
          </cell>
          <cell r="B7191">
            <v>0.13</v>
          </cell>
          <cell r="C7191">
            <v>1.4</v>
          </cell>
          <cell r="D7191">
            <v>0</v>
          </cell>
          <cell r="E7191">
            <v>0</v>
          </cell>
          <cell r="F7191">
            <v>0.16</v>
          </cell>
          <cell r="G7191">
            <v>0</v>
          </cell>
          <cell r="H7191">
            <v>1.6</v>
          </cell>
          <cell r="I7191">
            <v>0</v>
          </cell>
          <cell r="J7191">
            <v>0</v>
          </cell>
          <cell r="K7191">
            <v>0</v>
          </cell>
          <cell r="L7191">
            <v>0</v>
          </cell>
          <cell r="M7191">
            <v>0</v>
          </cell>
          <cell r="N7191">
            <v>0</v>
          </cell>
          <cell r="O7191">
            <v>0</v>
          </cell>
          <cell r="P7191">
            <v>0</v>
          </cell>
          <cell r="Q7191">
            <v>0</v>
          </cell>
          <cell r="R7191">
            <v>0</v>
          </cell>
          <cell r="S7191">
            <v>-7.1999999999999995E-2</v>
          </cell>
          <cell r="T7191">
            <v>0</v>
          </cell>
          <cell r="U7191" t="b">
            <v>0</v>
          </cell>
        </row>
        <row r="7192">
          <cell r="A7192" t="str">
            <v>Data split-17;Reg-72</v>
          </cell>
          <cell r="B7192">
            <v>8.6E-3</v>
          </cell>
          <cell r="C7192">
            <v>2.1</v>
          </cell>
          <cell r="D7192">
            <v>0</v>
          </cell>
          <cell r="E7192">
            <v>-0.21</v>
          </cell>
          <cell r="F7192">
            <v>0</v>
          </cell>
          <cell r="G7192">
            <v>0</v>
          </cell>
          <cell r="H7192">
            <v>0</v>
          </cell>
          <cell r="I7192">
            <v>0</v>
          </cell>
          <cell r="J7192">
            <v>0</v>
          </cell>
          <cell r="K7192">
            <v>0</v>
          </cell>
          <cell r="L7192">
            <v>0</v>
          </cell>
          <cell r="M7192">
            <v>0</v>
          </cell>
          <cell r="N7192">
            <v>0</v>
          </cell>
          <cell r="O7192">
            <v>0</v>
          </cell>
          <cell r="P7192">
            <v>0</v>
          </cell>
          <cell r="Q7192">
            <v>0</v>
          </cell>
          <cell r="R7192">
            <v>0</v>
          </cell>
          <cell r="S7192">
            <v>0</v>
          </cell>
          <cell r="T7192">
            <v>0</v>
          </cell>
          <cell r="U7192" t="b">
            <v>0</v>
          </cell>
        </row>
        <row r="7193">
          <cell r="A7193" t="str">
            <v>Data split-17;Reg-73</v>
          </cell>
          <cell r="B7193">
            <v>0.46</v>
          </cell>
          <cell r="C7193">
            <v>1.7</v>
          </cell>
          <cell r="D7193">
            <v>0</v>
          </cell>
          <cell r="E7193">
            <v>0</v>
          </cell>
          <cell r="F7193">
            <v>0.16</v>
          </cell>
          <cell r="G7193">
            <v>0</v>
          </cell>
          <cell r="H7193">
            <v>0</v>
          </cell>
          <cell r="I7193">
            <v>0</v>
          </cell>
          <cell r="J7193">
            <v>0</v>
          </cell>
          <cell r="K7193">
            <v>0</v>
          </cell>
          <cell r="L7193">
            <v>0</v>
          </cell>
          <cell r="M7193">
            <v>0</v>
          </cell>
          <cell r="N7193">
            <v>0</v>
          </cell>
          <cell r="O7193">
            <v>0</v>
          </cell>
          <cell r="P7193">
            <v>0</v>
          </cell>
          <cell r="Q7193">
            <v>0</v>
          </cell>
          <cell r="R7193">
            <v>0</v>
          </cell>
          <cell r="S7193">
            <v>0</v>
          </cell>
          <cell r="T7193">
            <v>0</v>
          </cell>
          <cell r="U7193" t="b">
            <v>0</v>
          </cell>
        </row>
        <row r="7194">
          <cell r="A7194" t="str">
            <v>Data split-17;Reg-74</v>
          </cell>
          <cell r="B7194">
            <v>-0.33</v>
          </cell>
          <cell r="C7194">
            <v>0</v>
          </cell>
          <cell r="D7194">
            <v>2.2000000000000002</v>
          </cell>
          <cell r="E7194">
            <v>-0.39</v>
          </cell>
          <cell r="F7194">
            <v>0</v>
          </cell>
          <cell r="G7194">
            <v>0</v>
          </cell>
          <cell r="H7194">
            <v>0</v>
          </cell>
          <cell r="I7194">
            <v>0</v>
          </cell>
          <cell r="J7194">
            <v>0</v>
          </cell>
          <cell r="K7194">
            <v>0</v>
          </cell>
          <cell r="L7194">
            <v>0</v>
          </cell>
          <cell r="M7194">
            <v>0</v>
          </cell>
          <cell r="N7194">
            <v>0</v>
          </cell>
          <cell r="O7194">
            <v>0</v>
          </cell>
          <cell r="P7194">
            <v>0</v>
          </cell>
          <cell r="Q7194">
            <v>0</v>
          </cell>
          <cell r="R7194">
            <v>0</v>
          </cell>
          <cell r="S7194">
            <v>0</v>
          </cell>
          <cell r="T7194">
            <v>0</v>
          </cell>
          <cell r="U7194" t="b">
            <v>0</v>
          </cell>
        </row>
        <row r="7195">
          <cell r="A7195" t="str">
            <v>Data split-17;Reg-75</v>
          </cell>
          <cell r="B7195">
            <v>0.12</v>
          </cell>
          <cell r="C7195">
            <v>0</v>
          </cell>
          <cell r="D7195">
            <v>1.8</v>
          </cell>
          <cell r="E7195">
            <v>0</v>
          </cell>
          <cell r="F7195">
            <v>0.16</v>
          </cell>
          <cell r="G7195">
            <v>0</v>
          </cell>
          <cell r="H7195">
            <v>0</v>
          </cell>
          <cell r="I7195">
            <v>0</v>
          </cell>
          <cell r="J7195">
            <v>0</v>
          </cell>
          <cell r="K7195">
            <v>0</v>
          </cell>
          <cell r="L7195">
            <v>0</v>
          </cell>
          <cell r="M7195">
            <v>0</v>
          </cell>
          <cell r="N7195">
            <v>0</v>
          </cell>
          <cell r="O7195">
            <v>0</v>
          </cell>
          <cell r="P7195">
            <v>0</v>
          </cell>
          <cell r="Q7195">
            <v>0</v>
          </cell>
          <cell r="R7195">
            <v>0</v>
          </cell>
          <cell r="S7195">
            <v>0</v>
          </cell>
          <cell r="T7195">
            <v>0</v>
          </cell>
          <cell r="U7195" t="b">
            <v>0</v>
          </cell>
        </row>
        <row r="7196">
          <cell r="A7196" t="str">
            <v>Data split-17;Reg-76</v>
          </cell>
          <cell r="B7196">
            <v>0.12</v>
          </cell>
          <cell r="C7196">
            <v>2.1</v>
          </cell>
          <cell r="D7196">
            <v>0</v>
          </cell>
          <cell r="E7196">
            <v>0</v>
          </cell>
          <cell r="F7196">
            <v>0</v>
          </cell>
          <cell r="G7196">
            <v>-0.21</v>
          </cell>
          <cell r="H7196">
            <v>0</v>
          </cell>
          <cell r="I7196">
            <v>0</v>
          </cell>
          <cell r="J7196">
            <v>0</v>
          </cell>
          <cell r="K7196">
            <v>0</v>
          </cell>
          <cell r="L7196">
            <v>0</v>
          </cell>
          <cell r="M7196">
            <v>0</v>
          </cell>
          <cell r="N7196">
            <v>0</v>
          </cell>
          <cell r="O7196">
            <v>0</v>
          </cell>
          <cell r="P7196">
            <v>0</v>
          </cell>
          <cell r="Q7196">
            <v>0</v>
          </cell>
          <cell r="R7196">
            <v>0</v>
          </cell>
          <cell r="S7196">
            <v>0</v>
          </cell>
          <cell r="T7196">
            <v>0</v>
          </cell>
          <cell r="U7196" t="b">
            <v>0</v>
          </cell>
        </row>
        <row r="7197">
          <cell r="A7197" t="str">
            <v>Data split-17;Reg-77</v>
          </cell>
          <cell r="B7197">
            <v>-0.2</v>
          </cell>
          <cell r="C7197">
            <v>1.9</v>
          </cell>
          <cell r="D7197">
            <v>0</v>
          </cell>
          <cell r="E7197">
            <v>0</v>
          </cell>
          <cell r="F7197">
            <v>0</v>
          </cell>
          <cell r="G7197">
            <v>0</v>
          </cell>
          <cell r="H7197">
            <v>0.23</v>
          </cell>
          <cell r="I7197">
            <v>0</v>
          </cell>
          <cell r="J7197">
            <v>0</v>
          </cell>
          <cell r="K7197">
            <v>0</v>
          </cell>
          <cell r="L7197">
            <v>0</v>
          </cell>
          <cell r="M7197">
            <v>0</v>
          </cell>
          <cell r="N7197">
            <v>0</v>
          </cell>
          <cell r="O7197">
            <v>0</v>
          </cell>
          <cell r="P7197">
            <v>0</v>
          </cell>
          <cell r="Q7197">
            <v>0</v>
          </cell>
          <cell r="R7197">
            <v>0</v>
          </cell>
          <cell r="S7197">
            <v>0</v>
          </cell>
          <cell r="T7197">
            <v>0</v>
          </cell>
          <cell r="U7197" t="b">
            <v>1</v>
          </cell>
        </row>
        <row r="7198">
          <cell r="A7198" t="str">
            <v>Data split-17;Reg-78</v>
          </cell>
          <cell r="B7198">
            <v>-0.2</v>
          </cell>
          <cell r="C7198">
            <v>0</v>
          </cell>
          <cell r="D7198">
            <v>2.2000000000000002</v>
          </cell>
          <cell r="E7198">
            <v>0</v>
          </cell>
          <cell r="F7198">
            <v>0</v>
          </cell>
          <cell r="G7198">
            <v>-0.31</v>
          </cell>
          <cell r="H7198">
            <v>0</v>
          </cell>
          <cell r="I7198">
            <v>0</v>
          </cell>
          <cell r="J7198">
            <v>0</v>
          </cell>
          <cell r="K7198">
            <v>0</v>
          </cell>
          <cell r="L7198">
            <v>0</v>
          </cell>
          <cell r="M7198">
            <v>0</v>
          </cell>
          <cell r="N7198">
            <v>0</v>
          </cell>
          <cell r="O7198">
            <v>0</v>
          </cell>
          <cell r="P7198">
            <v>0</v>
          </cell>
          <cell r="Q7198">
            <v>0</v>
          </cell>
          <cell r="R7198">
            <v>0</v>
          </cell>
          <cell r="S7198">
            <v>0</v>
          </cell>
          <cell r="T7198">
            <v>0</v>
          </cell>
          <cell r="U7198" t="b">
            <v>0</v>
          </cell>
        </row>
        <row r="7199">
          <cell r="A7199" t="str">
            <v>Data split-17;Reg-79</v>
          </cell>
          <cell r="B7199">
            <v>-0.48</v>
          </cell>
          <cell r="C7199">
            <v>0</v>
          </cell>
          <cell r="D7199">
            <v>2</v>
          </cell>
          <cell r="E7199">
            <v>0</v>
          </cell>
          <cell r="F7199">
            <v>0</v>
          </cell>
          <cell r="G7199">
            <v>0</v>
          </cell>
          <cell r="H7199">
            <v>7.6999999999999999E-2</v>
          </cell>
          <cell r="I7199">
            <v>0</v>
          </cell>
          <cell r="J7199">
            <v>0</v>
          </cell>
          <cell r="K7199">
            <v>0</v>
          </cell>
          <cell r="L7199">
            <v>0</v>
          </cell>
          <cell r="M7199">
            <v>0</v>
          </cell>
          <cell r="N7199">
            <v>0</v>
          </cell>
          <cell r="O7199">
            <v>0</v>
          </cell>
          <cell r="P7199">
            <v>0</v>
          </cell>
          <cell r="Q7199">
            <v>0</v>
          </cell>
          <cell r="R7199">
            <v>0</v>
          </cell>
          <cell r="S7199">
            <v>0</v>
          </cell>
          <cell r="T7199">
            <v>0</v>
          </cell>
          <cell r="U7199" t="b">
            <v>1</v>
          </cell>
        </row>
        <row r="7200">
          <cell r="A7200" t="str">
            <v>Data split-17;Reg-80</v>
          </cell>
          <cell r="B7200">
            <v>-2.6</v>
          </cell>
          <cell r="C7200">
            <v>1.3</v>
          </cell>
          <cell r="D7200">
            <v>0</v>
          </cell>
          <cell r="E7200">
            <v>0</v>
          </cell>
          <cell r="F7200">
            <v>0</v>
          </cell>
          <cell r="G7200">
            <v>0</v>
          </cell>
          <cell r="H7200">
            <v>0</v>
          </cell>
          <cell r="I7200">
            <v>4.2</v>
          </cell>
          <cell r="J7200">
            <v>0</v>
          </cell>
          <cell r="K7200">
            <v>0</v>
          </cell>
          <cell r="L7200">
            <v>0</v>
          </cell>
          <cell r="M7200">
            <v>0</v>
          </cell>
          <cell r="N7200">
            <v>0</v>
          </cell>
          <cell r="O7200">
            <v>0</v>
          </cell>
          <cell r="P7200">
            <v>0</v>
          </cell>
          <cell r="Q7200">
            <v>0</v>
          </cell>
          <cell r="R7200">
            <v>0</v>
          </cell>
          <cell r="S7200">
            <v>0</v>
          </cell>
          <cell r="T7200">
            <v>0</v>
          </cell>
          <cell r="U7200" t="b">
            <v>0</v>
          </cell>
        </row>
        <row r="7201">
          <cell r="A7201" t="str">
            <v>Data split-17;Reg-81</v>
          </cell>
          <cell r="B7201">
            <v>-4.8</v>
          </cell>
          <cell r="C7201">
            <v>1.6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H7201">
            <v>0</v>
          </cell>
          <cell r="I7201">
            <v>0</v>
          </cell>
          <cell r="J7201">
            <v>32.200000000000003</v>
          </cell>
          <cell r="K7201">
            <v>0</v>
          </cell>
          <cell r="L7201">
            <v>0</v>
          </cell>
          <cell r="M7201">
            <v>0</v>
          </cell>
          <cell r="N7201">
            <v>0</v>
          </cell>
          <cell r="O7201">
            <v>0</v>
          </cell>
          <cell r="P7201">
            <v>0</v>
          </cell>
          <cell r="Q7201">
            <v>0</v>
          </cell>
          <cell r="R7201">
            <v>0</v>
          </cell>
          <cell r="S7201">
            <v>0</v>
          </cell>
          <cell r="T7201">
            <v>0</v>
          </cell>
          <cell r="U7201" t="b">
            <v>0</v>
          </cell>
        </row>
        <row r="7202">
          <cell r="A7202" t="str">
            <v>Data split-17;Reg-82</v>
          </cell>
          <cell r="B7202">
            <v>-2.7</v>
          </cell>
          <cell r="C7202">
            <v>0</v>
          </cell>
          <cell r="D7202">
            <v>1.4</v>
          </cell>
          <cell r="E7202">
            <v>0</v>
          </cell>
          <cell r="F7202">
            <v>0</v>
          </cell>
          <cell r="G7202">
            <v>0</v>
          </cell>
          <cell r="H7202">
            <v>0</v>
          </cell>
          <cell r="I7202">
            <v>4</v>
          </cell>
          <cell r="J7202">
            <v>0</v>
          </cell>
          <cell r="K7202">
            <v>0</v>
          </cell>
          <cell r="L7202">
            <v>0</v>
          </cell>
          <cell r="M7202">
            <v>0</v>
          </cell>
          <cell r="N7202">
            <v>0</v>
          </cell>
          <cell r="O7202">
            <v>0</v>
          </cell>
          <cell r="P7202">
            <v>0</v>
          </cell>
          <cell r="Q7202">
            <v>0</v>
          </cell>
          <cell r="R7202">
            <v>0</v>
          </cell>
          <cell r="S7202">
            <v>0</v>
          </cell>
          <cell r="T7202">
            <v>0</v>
          </cell>
          <cell r="U7202" t="b">
            <v>0</v>
          </cell>
        </row>
        <row r="7203">
          <cell r="A7203" t="str">
            <v>Data split-17;Reg-83</v>
          </cell>
          <cell r="B7203">
            <v>-4.7</v>
          </cell>
          <cell r="C7203">
            <v>0</v>
          </cell>
          <cell r="D7203">
            <v>1.7</v>
          </cell>
          <cell r="E7203">
            <v>0</v>
          </cell>
          <cell r="F7203">
            <v>0</v>
          </cell>
          <cell r="G7203">
            <v>0</v>
          </cell>
          <cell r="H7203">
            <v>0</v>
          </cell>
          <cell r="I7203">
            <v>0</v>
          </cell>
          <cell r="J7203">
            <v>29.6</v>
          </cell>
          <cell r="K7203">
            <v>0</v>
          </cell>
          <cell r="L7203">
            <v>0</v>
          </cell>
          <cell r="M7203">
            <v>0</v>
          </cell>
          <cell r="N7203">
            <v>0</v>
          </cell>
          <cell r="O7203">
            <v>0</v>
          </cell>
          <cell r="P7203">
            <v>0</v>
          </cell>
          <cell r="Q7203">
            <v>0</v>
          </cell>
          <cell r="R7203">
            <v>0</v>
          </cell>
          <cell r="S7203">
            <v>0</v>
          </cell>
          <cell r="T7203">
            <v>0</v>
          </cell>
          <cell r="U7203" t="b">
            <v>0</v>
          </cell>
        </row>
        <row r="7204">
          <cell r="A7204" t="str">
            <v>Data split-17;Reg-84</v>
          </cell>
          <cell r="B7204">
            <v>-0.14000000000000001</v>
          </cell>
          <cell r="C7204">
            <v>1.6</v>
          </cell>
          <cell r="D7204">
            <v>0</v>
          </cell>
          <cell r="E7204">
            <v>0</v>
          </cell>
          <cell r="F7204">
            <v>0</v>
          </cell>
          <cell r="G7204">
            <v>0</v>
          </cell>
          <cell r="H7204">
            <v>0</v>
          </cell>
          <cell r="I7204">
            <v>0</v>
          </cell>
          <cell r="J7204">
            <v>0</v>
          </cell>
          <cell r="K7204">
            <v>1.5</v>
          </cell>
          <cell r="L7204">
            <v>0</v>
          </cell>
          <cell r="M7204">
            <v>0</v>
          </cell>
          <cell r="N7204">
            <v>0</v>
          </cell>
          <cell r="O7204">
            <v>0</v>
          </cell>
          <cell r="P7204">
            <v>0</v>
          </cell>
          <cell r="Q7204">
            <v>0</v>
          </cell>
          <cell r="R7204">
            <v>0</v>
          </cell>
          <cell r="S7204">
            <v>0</v>
          </cell>
          <cell r="T7204">
            <v>0</v>
          </cell>
          <cell r="U7204" t="b">
            <v>0</v>
          </cell>
        </row>
        <row r="7205">
          <cell r="A7205" t="str">
            <v>Data split-17;Reg-85</v>
          </cell>
          <cell r="B7205">
            <v>-0.14000000000000001</v>
          </cell>
          <cell r="C7205">
            <v>2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H7205">
            <v>0</v>
          </cell>
          <cell r="I7205">
            <v>0</v>
          </cell>
          <cell r="J7205">
            <v>0</v>
          </cell>
          <cell r="K7205">
            <v>0</v>
          </cell>
          <cell r="L7205">
            <v>0.75</v>
          </cell>
          <cell r="M7205">
            <v>0</v>
          </cell>
          <cell r="N7205">
            <v>0</v>
          </cell>
          <cell r="O7205">
            <v>0</v>
          </cell>
          <cell r="P7205">
            <v>0</v>
          </cell>
          <cell r="Q7205">
            <v>0</v>
          </cell>
          <cell r="R7205">
            <v>0</v>
          </cell>
          <cell r="S7205">
            <v>0</v>
          </cell>
          <cell r="T7205">
            <v>0</v>
          </cell>
          <cell r="U7205" t="b">
            <v>0</v>
          </cell>
        </row>
        <row r="7206">
          <cell r="A7206" t="str">
            <v>Data split-17;Reg-86</v>
          </cell>
          <cell r="B7206">
            <v>-0.44</v>
          </cell>
          <cell r="C7206">
            <v>0</v>
          </cell>
          <cell r="D7206">
            <v>1.7</v>
          </cell>
          <cell r="E7206">
            <v>0</v>
          </cell>
          <cell r="F7206">
            <v>0</v>
          </cell>
          <cell r="G7206">
            <v>0</v>
          </cell>
          <cell r="H7206">
            <v>0</v>
          </cell>
          <cell r="I7206">
            <v>0</v>
          </cell>
          <cell r="J7206">
            <v>0</v>
          </cell>
          <cell r="K7206">
            <v>1.4</v>
          </cell>
          <cell r="L7206">
            <v>0</v>
          </cell>
          <cell r="M7206">
            <v>0</v>
          </cell>
          <cell r="N7206">
            <v>0</v>
          </cell>
          <cell r="O7206">
            <v>0</v>
          </cell>
          <cell r="P7206">
            <v>0</v>
          </cell>
          <cell r="Q7206">
            <v>0</v>
          </cell>
          <cell r="R7206">
            <v>0</v>
          </cell>
          <cell r="S7206">
            <v>0</v>
          </cell>
          <cell r="T7206">
            <v>0</v>
          </cell>
          <cell r="U7206" t="b">
            <v>0</v>
          </cell>
        </row>
        <row r="7207">
          <cell r="A7207" t="str">
            <v>Data split-17;Reg-87</v>
          </cell>
          <cell r="B7207">
            <v>-0.45</v>
          </cell>
          <cell r="C7207">
            <v>0</v>
          </cell>
          <cell r="D7207">
            <v>2</v>
          </cell>
          <cell r="E7207">
            <v>0</v>
          </cell>
          <cell r="F7207">
            <v>0</v>
          </cell>
          <cell r="G7207">
            <v>0</v>
          </cell>
          <cell r="H7207">
            <v>0</v>
          </cell>
          <cell r="I7207">
            <v>0</v>
          </cell>
          <cell r="J7207">
            <v>0</v>
          </cell>
          <cell r="K7207">
            <v>0</v>
          </cell>
          <cell r="L7207">
            <v>0.05</v>
          </cell>
          <cell r="M7207">
            <v>0</v>
          </cell>
          <cell r="N7207">
            <v>0</v>
          </cell>
          <cell r="O7207">
            <v>0</v>
          </cell>
          <cell r="P7207">
            <v>0</v>
          </cell>
          <cell r="Q7207">
            <v>0</v>
          </cell>
          <cell r="R7207">
            <v>0</v>
          </cell>
          <cell r="S7207">
            <v>0</v>
          </cell>
          <cell r="T7207">
            <v>0</v>
          </cell>
          <cell r="U7207" t="b">
            <v>0</v>
          </cell>
        </row>
        <row r="7208">
          <cell r="A7208" t="str">
            <v>Data split-17;Reg-88</v>
          </cell>
          <cell r="B7208">
            <v>-5.5999999999999999E-3</v>
          </cell>
          <cell r="C7208">
            <v>2</v>
          </cell>
          <cell r="D7208">
            <v>0</v>
          </cell>
          <cell r="E7208">
            <v>0</v>
          </cell>
          <cell r="F7208">
            <v>0</v>
          </cell>
          <cell r="G7208">
            <v>0</v>
          </cell>
          <cell r="H7208">
            <v>0</v>
          </cell>
          <cell r="I7208">
            <v>0</v>
          </cell>
          <cell r="J7208">
            <v>0</v>
          </cell>
          <cell r="K7208">
            <v>0</v>
          </cell>
          <cell r="L7208">
            <v>0</v>
          </cell>
          <cell r="M7208">
            <v>-7.4999999999999997E-3</v>
          </cell>
          <cell r="N7208">
            <v>0</v>
          </cell>
          <cell r="O7208">
            <v>0</v>
          </cell>
          <cell r="P7208">
            <v>0</v>
          </cell>
          <cell r="Q7208">
            <v>0</v>
          </cell>
          <cell r="R7208">
            <v>0</v>
          </cell>
          <cell r="S7208">
            <v>0</v>
          </cell>
          <cell r="T7208">
            <v>0</v>
          </cell>
          <cell r="U7208" t="b">
            <v>1</v>
          </cell>
        </row>
        <row r="7209">
          <cell r="A7209" t="str">
            <v>Data split-17;Reg-89</v>
          </cell>
          <cell r="B7209">
            <v>-9.4E-2</v>
          </cell>
          <cell r="C7209">
            <v>1.9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H7209">
            <v>0</v>
          </cell>
          <cell r="I7209">
            <v>0</v>
          </cell>
          <cell r="J7209">
            <v>0</v>
          </cell>
          <cell r="K7209">
            <v>0</v>
          </cell>
          <cell r="L7209">
            <v>0</v>
          </cell>
          <cell r="M7209">
            <v>0</v>
          </cell>
          <cell r="N7209">
            <v>8.9999999999999998E-4</v>
          </cell>
          <cell r="O7209">
            <v>0</v>
          </cell>
          <cell r="P7209">
            <v>0</v>
          </cell>
          <cell r="Q7209">
            <v>0</v>
          </cell>
          <cell r="R7209">
            <v>0</v>
          </cell>
          <cell r="S7209">
            <v>0</v>
          </cell>
          <cell r="T7209">
            <v>0</v>
          </cell>
          <cell r="U7209" t="b">
            <v>0</v>
          </cell>
        </row>
        <row r="7210">
          <cell r="A7210" t="str">
            <v>Data split-17;Reg-90</v>
          </cell>
          <cell r="B7210">
            <v>-0.35</v>
          </cell>
          <cell r="C7210">
            <v>0</v>
          </cell>
          <cell r="D7210">
            <v>2.1</v>
          </cell>
          <cell r="E7210">
            <v>0</v>
          </cell>
          <cell r="F7210">
            <v>0</v>
          </cell>
          <cell r="G7210">
            <v>0</v>
          </cell>
          <cell r="H7210">
            <v>0</v>
          </cell>
          <cell r="I7210">
            <v>0</v>
          </cell>
          <cell r="J7210">
            <v>0</v>
          </cell>
          <cell r="K7210">
            <v>0</v>
          </cell>
          <cell r="L7210">
            <v>0</v>
          </cell>
          <cell r="M7210">
            <v>-1.0999999999999999E-2</v>
          </cell>
          <cell r="N7210">
            <v>0</v>
          </cell>
          <cell r="O7210">
            <v>0</v>
          </cell>
          <cell r="P7210">
            <v>0</v>
          </cell>
          <cell r="Q7210">
            <v>0</v>
          </cell>
          <cell r="R7210">
            <v>0</v>
          </cell>
          <cell r="S7210">
            <v>0</v>
          </cell>
          <cell r="T7210">
            <v>0</v>
          </cell>
          <cell r="U7210" t="b">
            <v>1</v>
          </cell>
        </row>
        <row r="7211">
          <cell r="A7211" t="str">
            <v>Data split-17;Reg-91</v>
          </cell>
          <cell r="B7211">
            <v>-0.45</v>
          </cell>
          <cell r="C7211">
            <v>0</v>
          </cell>
          <cell r="D7211">
            <v>2</v>
          </cell>
          <cell r="E7211">
            <v>0</v>
          </cell>
          <cell r="F7211">
            <v>0</v>
          </cell>
          <cell r="G7211">
            <v>0</v>
          </cell>
          <cell r="H7211">
            <v>0</v>
          </cell>
          <cell r="I7211">
            <v>0</v>
          </cell>
          <cell r="J7211">
            <v>0</v>
          </cell>
          <cell r="K7211">
            <v>0</v>
          </cell>
          <cell r="L7211">
            <v>0</v>
          </cell>
          <cell r="M7211">
            <v>0</v>
          </cell>
          <cell r="N7211">
            <v>-1.4999999999999999E-4</v>
          </cell>
          <cell r="O7211">
            <v>0</v>
          </cell>
          <cell r="P7211">
            <v>0</v>
          </cell>
          <cell r="Q7211">
            <v>0</v>
          </cell>
          <cell r="R7211">
            <v>0</v>
          </cell>
          <cell r="S7211">
            <v>0</v>
          </cell>
          <cell r="T7211">
            <v>0</v>
          </cell>
          <cell r="U7211" t="b">
            <v>1</v>
          </cell>
        </row>
        <row r="7212">
          <cell r="A7212" t="str">
            <v>Data split-17;Reg-92</v>
          </cell>
          <cell r="B7212">
            <v>0.13</v>
          </cell>
          <cell r="C7212">
            <v>2</v>
          </cell>
          <cell r="D7212">
            <v>0</v>
          </cell>
          <cell r="E7212">
            <v>0</v>
          </cell>
          <cell r="F7212">
            <v>0</v>
          </cell>
          <cell r="G7212">
            <v>0</v>
          </cell>
          <cell r="H7212">
            <v>0</v>
          </cell>
          <cell r="I7212">
            <v>0</v>
          </cell>
          <cell r="J7212">
            <v>0</v>
          </cell>
          <cell r="K7212">
            <v>0</v>
          </cell>
          <cell r="L7212">
            <v>0</v>
          </cell>
          <cell r="M7212">
            <v>0</v>
          </cell>
          <cell r="N7212">
            <v>0</v>
          </cell>
          <cell r="O7212">
            <v>-1.7999999999999999E-2</v>
          </cell>
          <cell r="P7212">
            <v>0</v>
          </cell>
          <cell r="Q7212">
            <v>0</v>
          </cell>
          <cell r="R7212">
            <v>0</v>
          </cell>
          <cell r="S7212">
            <v>0</v>
          </cell>
          <cell r="T7212">
            <v>0</v>
          </cell>
          <cell r="U7212" t="b">
            <v>0</v>
          </cell>
        </row>
        <row r="7213">
          <cell r="A7213" t="str">
            <v>Data split-17;Reg-93</v>
          </cell>
          <cell r="B7213">
            <v>-8.1000000000000003E-2</v>
          </cell>
          <cell r="C7213">
            <v>2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H7213">
            <v>0</v>
          </cell>
          <cell r="I7213">
            <v>0</v>
          </cell>
          <cell r="J7213">
            <v>0</v>
          </cell>
          <cell r="K7213">
            <v>0</v>
          </cell>
          <cell r="L7213">
            <v>0</v>
          </cell>
          <cell r="M7213">
            <v>0</v>
          </cell>
          <cell r="N7213">
            <v>0</v>
          </cell>
          <cell r="O7213">
            <v>0</v>
          </cell>
          <cell r="P7213">
            <v>7.7999999999999999E-5</v>
          </cell>
          <cell r="Q7213">
            <v>0</v>
          </cell>
          <cell r="R7213">
            <v>0</v>
          </cell>
          <cell r="S7213">
            <v>0</v>
          </cell>
          <cell r="T7213">
            <v>0</v>
          </cell>
          <cell r="U7213" t="b">
            <v>0</v>
          </cell>
        </row>
        <row r="7214">
          <cell r="A7214" t="str">
            <v>Data split-17;Reg-94</v>
          </cell>
          <cell r="B7214">
            <v>-0.23</v>
          </cell>
          <cell r="C7214">
            <v>0</v>
          </cell>
          <cell r="D7214">
            <v>2.1</v>
          </cell>
          <cell r="E7214">
            <v>0</v>
          </cell>
          <cell r="F7214">
            <v>0</v>
          </cell>
          <cell r="G7214">
            <v>0</v>
          </cell>
          <cell r="H7214">
            <v>0</v>
          </cell>
          <cell r="I7214">
            <v>0</v>
          </cell>
          <cell r="J7214">
            <v>0</v>
          </cell>
          <cell r="K7214">
            <v>0</v>
          </cell>
          <cell r="L7214">
            <v>0</v>
          </cell>
          <cell r="M7214">
            <v>0</v>
          </cell>
          <cell r="N7214">
            <v>0</v>
          </cell>
          <cell r="O7214">
            <v>-0.02</v>
          </cell>
          <cell r="P7214">
            <v>0</v>
          </cell>
          <cell r="Q7214">
            <v>0</v>
          </cell>
          <cell r="R7214">
            <v>0</v>
          </cell>
          <cell r="S7214">
            <v>0</v>
          </cell>
          <cell r="T7214">
            <v>0</v>
          </cell>
          <cell r="U7214" t="b">
            <v>1</v>
          </cell>
        </row>
        <row r="7215">
          <cell r="A7215" t="str">
            <v>Data split-17;Reg-95</v>
          </cell>
          <cell r="B7215">
            <v>-0.44</v>
          </cell>
          <cell r="C7215">
            <v>0</v>
          </cell>
          <cell r="D7215">
            <v>2</v>
          </cell>
          <cell r="E7215">
            <v>0</v>
          </cell>
          <cell r="F7215">
            <v>0</v>
          </cell>
          <cell r="G7215">
            <v>0</v>
          </cell>
          <cell r="H7215">
            <v>0</v>
          </cell>
          <cell r="I7215">
            <v>0</v>
          </cell>
          <cell r="J7215">
            <v>0</v>
          </cell>
          <cell r="K7215">
            <v>0</v>
          </cell>
          <cell r="L7215">
            <v>0</v>
          </cell>
          <cell r="M7215">
            <v>0</v>
          </cell>
          <cell r="N7215">
            <v>0</v>
          </cell>
          <cell r="O7215">
            <v>0</v>
          </cell>
          <cell r="P7215">
            <v>-3.8999999999999999E-4</v>
          </cell>
          <cell r="Q7215">
            <v>0</v>
          </cell>
          <cell r="R7215">
            <v>0</v>
          </cell>
          <cell r="S7215">
            <v>0</v>
          </cell>
          <cell r="T7215">
            <v>0</v>
          </cell>
          <cell r="U7215" t="b">
            <v>1</v>
          </cell>
        </row>
        <row r="7216">
          <cell r="A7216" t="str">
            <v>Data split-17;Reg-96</v>
          </cell>
          <cell r="B7216">
            <v>-2.8</v>
          </cell>
          <cell r="C7216">
            <v>2</v>
          </cell>
          <cell r="D7216">
            <v>0</v>
          </cell>
          <cell r="E7216">
            <v>-1.5</v>
          </cell>
          <cell r="F7216">
            <v>0</v>
          </cell>
          <cell r="G7216">
            <v>0</v>
          </cell>
          <cell r="H7216">
            <v>0</v>
          </cell>
          <cell r="I7216">
            <v>5.6</v>
          </cell>
          <cell r="J7216">
            <v>0</v>
          </cell>
          <cell r="K7216">
            <v>0</v>
          </cell>
          <cell r="L7216">
            <v>0</v>
          </cell>
          <cell r="M7216">
            <v>0</v>
          </cell>
          <cell r="N7216">
            <v>0</v>
          </cell>
          <cell r="O7216">
            <v>0</v>
          </cell>
          <cell r="P7216">
            <v>0</v>
          </cell>
          <cell r="Q7216">
            <v>0</v>
          </cell>
          <cell r="R7216">
            <v>0</v>
          </cell>
          <cell r="S7216">
            <v>0</v>
          </cell>
          <cell r="T7216">
            <v>0</v>
          </cell>
          <cell r="U7216" t="b">
            <v>0</v>
          </cell>
        </row>
        <row r="7217">
          <cell r="A7217" t="str">
            <v>Data split-17;Reg-97</v>
          </cell>
          <cell r="B7217">
            <v>-5.8</v>
          </cell>
          <cell r="C7217">
            <v>2.2999999999999998</v>
          </cell>
          <cell r="D7217">
            <v>0</v>
          </cell>
          <cell r="E7217">
            <v>-1.2</v>
          </cell>
          <cell r="F7217">
            <v>0</v>
          </cell>
          <cell r="G7217">
            <v>0</v>
          </cell>
          <cell r="H7217">
            <v>0</v>
          </cell>
          <cell r="I7217">
            <v>0</v>
          </cell>
          <cell r="J7217">
            <v>42.1</v>
          </cell>
          <cell r="K7217">
            <v>0</v>
          </cell>
          <cell r="L7217">
            <v>0</v>
          </cell>
          <cell r="M7217">
            <v>0</v>
          </cell>
          <cell r="N7217">
            <v>0</v>
          </cell>
          <cell r="O7217">
            <v>0</v>
          </cell>
          <cell r="P7217">
            <v>0</v>
          </cell>
          <cell r="Q7217">
            <v>0</v>
          </cell>
          <cell r="R7217">
            <v>0</v>
          </cell>
          <cell r="S7217">
            <v>0</v>
          </cell>
          <cell r="T7217">
            <v>0</v>
          </cell>
          <cell r="U7217" t="b">
            <v>0</v>
          </cell>
        </row>
        <row r="7218">
          <cell r="A7218" t="str">
            <v>Data split-17;Reg-98</v>
          </cell>
          <cell r="B7218">
            <v>-2.2000000000000002</v>
          </cell>
          <cell r="C7218">
            <v>1</v>
          </cell>
          <cell r="D7218">
            <v>0</v>
          </cell>
          <cell r="E7218">
            <v>0</v>
          </cell>
          <cell r="F7218">
            <v>0.18</v>
          </cell>
          <cell r="G7218">
            <v>0</v>
          </cell>
          <cell r="H7218">
            <v>0</v>
          </cell>
          <cell r="I7218">
            <v>4.4000000000000004</v>
          </cell>
          <cell r="J7218">
            <v>0</v>
          </cell>
          <cell r="K7218">
            <v>0</v>
          </cell>
          <cell r="L7218">
            <v>0</v>
          </cell>
          <cell r="M7218">
            <v>0</v>
          </cell>
          <cell r="N7218">
            <v>0</v>
          </cell>
          <cell r="O7218">
            <v>0</v>
          </cell>
          <cell r="P7218">
            <v>0</v>
          </cell>
          <cell r="Q7218">
            <v>0</v>
          </cell>
          <cell r="R7218">
            <v>0</v>
          </cell>
          <cell r="S7218">
            <v>0</v>
          </cell>
          <cell r="T7218">
            <v>0</v>
          </cell>
          <cell r="U7218" t="b">
            <v>0</v>
          </cell>
        </row>
        <row r="7219">
          <cell r="A7219" t="str">
            <v>Data split-17;Reg-99</v>
          </cell>
          <cell r="B7219">
            <v>-4.8</v>
          </cell>
          <cell r="C7219">
            <v>1.3</v>
          </cell>
          <cell r="D7219">
            <v>0</v>
          </cell>
          <cell r="E7219">
            <v>0</v>
          </cell>
          <cell r="F7219">
            <v>0.18</v>
          </cell>
          <cell r="G7219">
            <v>0</v>
          </cell>
          <cell r="H7219">
            <v>0</v>
          </cell>
          <cell r="I7219">
            <v>0</v>
          </cell>
          <cell r="J7219">
            <v>36</v>
          </cell>
          <cell r="K7219">
            <v>0</v>
          </cell>
          <cell r="L7219">
            <v>0</v>
          </cell>
          <cell r="M7219">
            <v>0</v>
          </cell>
          <cell r="N7219">
            <v>0</v>
          </cell>
          <cell r="O7219">
            <v>0</v>
          </cell>
          <cell r="P7219">
            <v>0</v>
          </cell>
          <cell r="Q7219">
            <v>0</v>
          </cell>
          <cell r="R7219">
            <v>0</v>
          </cell>
          <cell r="S7219">
            <v>0</v>
          </cell>
          <cell r="T7219">
            <v>0</v>
          </cell>
          <cell r="U7219" t="b">
            <v>0</v>
          </cell>
        </row>
        <row r="7220">
          <cell r="A7220" t="str">
            <v>Data split-17;Reg-100</v>
          </cell>
          <cell r="B7220">
            <v>-3</v>
          </cell>
          <cell r="C7220">
            <v>0</v>
          </cell>
          <cell r="D7220">
            <v>2.1</v>
          </cell>
          <cell r="E7220">
            <v>-1.6</v>
          </cell>
          <cell r="F7220">
            <v>0</v>
          </cell>
          <cell r="G7220">
            <v>0</v>
          </cell>
          <cell r="H7220">
            <v>0</v>
          </cell>
          <cell r="I7220">
            <v>5.3</v>
          </cell>
          <cell r="J7220">
            <v>0</v>
          </cell>
          <cell r="K7220">
            <v>0</v>
          </cell>
          <cell r="L7220">
            <v>0</v>
          </cell>
          <cell r="M7220">
            <v>0</v>
          </cell>
          <cell r="N7220">
            <v>0</v>
          </cell>
          <cell r="O7220">
            <v>0</v>
          </cell>
          <cell r="P7220">
            <v>0</v>
          </cell>
          <cell r="Q7220">
            <v>0</v>
          </cell>
          <cell r="R7220">
            <v>0</v>
          </cell>
          <cell r="S7220">
            <v>0</v>
          </cell>
          <cell r="T7220">
            <v>0</v>
          </cell>
          <cell r="U7220" t="b">
            <v>0</v>
          </cell>
        </row>
        <row r="7221">
          <cell r="A7221" t="str">
            <v>Data split-17;Reg-101</v>
          </cell>
          <cell r="B7221">
            <v>-5.6</v>
          </cell>
          <cell r="C7221">
            <v>0</v>
          </cell>
          <cell r="D7221">
            <v>2.2999999999999998</v>
          </cell>
          <cell r="E7221">
            <v>-1.2</v>
          </cell>
          <cell r="F7221">
            <v>0</v>
          </cell>
          <cell r="G7221">
            <v>0</v>
          </cell>
          <cell r="H7221">
            <v>0</v>
          </cell>
          <cell r="I7221">
            <v>0</v>
          </cell>
          <cell r="J7221">
            <v>38.4</v>
          </cell>
          <cell r="K7221">
            <v>0</v>
          </cell>
          <cell r="L7221">
            <v>0</v>
          </cell>
          <cell r="M7221">
            <v>0</v>
          </cell>
          <cell r="N7221">
            <v>0</v>
          </cell>
          <cell r="O7221">
            <v>0</v>
          </cell>
          <cell r="P7221">
            <v>0</v>
          </cell>
          <cell r="Q7221">
            <v>0</v>
          </cell>
          <cell r="R7221">
            <v>0</v>
          </cell>
          <cell r="S7221">
            <v>0</v>
          </cell>
          <cell r="T7221">
            <v>0</v>
          </cell>
          <cell r="U7221" t="b">
            <v>0</v>
          </cell>
        </row>
        <row r="7222">
          <cell r="A7222" t="str">
            <v>Data split-17;Reg-102</v>
          </cell>
          <cell r="B7222">
            <v>-2.2999999999999998</v>
          </cell>
          <cell r="C7222">
            <v>0</v>
          </cell>
          <cell r="D7222">
            <v>1.1000000000000001</v>
          </cell>
          <cell r="E7222">
            <v>0</v>
          </cell>
          <cell r="F7222">
            <v>0.18</v>
          </cell>
          <cell r="G7222">
            <v>0</v>
          </cell>
          <cell r="H7222">
            <v>0</v>
          </cell>
          <cell r="I7222">
            <v>4.3</v>
          </cell>
          <cell r="J7222">
            <v>0</v>
          </cell>
          <cell r="K7222">
            <v>0</v>
          </cell>
          <cell r="L7222">
            <v>0</v>
          </cell>
          <cell r="M7222">
            <v>0</v>
          </cell>
          <cell r="N7222">
            <v>0</v>
          </cell>
          <cell r="O7222">
            <v>0</v>
          </cell>
          <cell r="P7222">
            <v>0</v>
          </cell>
          <cell r="Q7222">
            <v>0</v>
          </cell>
          <cell r="R7222">
            <v>0</v>
          </cell>
          <cell r="S7222">
            <v>0</v>
          </cell>
          <cell r="T7222">
            <v>0</v>
          </cell>
          <cell r="U7222" t="b">
            <v>0</v>
          </cell>
        </row>
        <row r="7223">
          <cell r="A7223" t="str">
            <v>Data split-17;Reg-103</v>
          </cell>
          <cell r="B7223">
            <v>-4.7</v>
          </cell>
          <cell r="C7223">
            <v>0</v>
          </cell>
          <cell r="D7223">
            <v>1.4</v>
          </cell>
          <cell r="E7223">
            <v>0</v>
          </cell>
          <cell r="F7223">
            <v>0.18</v>
          </cell>
          <cell r="G7223">
            <v>0</v>
          </cell>
          <cell r="H7223">
            <v>0</v>
          </cell>
          <cell r="I7223">
            <v>0</v>
          </cell>
          <cell r="J7223">
            <v>34</v>
          </cell>
          <cell r="K7223">
            <v>0</v>
          </cell>
          <cell r="L7223">
            <v>0</v>
          </cell>
          <cell r="M7223">
            <v>0</v>
          </cell>
          <cell r="N7223">
            <v>0</v>
          </cell>
          <cell r="O7223">
            <v>0</v>
          </cell>
          <cell r="P7223">
            <v>0</v>
          </cell>
          <cell r="Q7223">
            <v>0</v>
          </cell>
          <cell r="R7223">
            <v>0</v>
          </cell>
          <cell r="S7223">
            <v>0</v>
          </cell>
          <cell r="T7223">
            <v>0</v>
          </cell>
          <cell r="U7223" t="b">
            <v>0</v>
          </cell>
        </row>
        <row r="7224">
          <cell r="A7224" t="str">
            <v>Data split-17;Reg-104</v>
          </cell>
          <cell r="B7224">
            <v>7.5999999999999998E-2</v>
          </cell>
          <cell r="C7224">
            <v>1.9</v>
          </cell>
          <cell r="D7224">
            <v>0</v>
          </cell>
          <cell r="E7224">
            <v>-0.53</v>
          </cell>
          <cell r="F7224">
            <v>0</v>
          </cell>
          <cell r="G7224">
            <v>0</v>
          </cell>
          <cell r="H7224">
            <v>0</v>
          </cell>
          <cell r="I7224">
            <v>0</v>
          </cell>
          <cell r="J7224">
            <v>0</v>
          </cell>
          <cell r="K7224">
            <v>1.7</v>
          </cell>
          <cell r="L7224">
            <v>0</v>
          </cell>
          <cell r="M7224">
            <v>0</v>
          </cell>
          <cell r="N7224">
            <v>0</v>
          </cell>
          <cell r="O7224">
            <v>0</v>
          </cell>
          <cell r="P7224">
            <v>0</v>
          </cell>
          <cell r="Q7224">
            <v>0</v>
          </cell>
          <cell r="R7224">
            <v>0</v>
          </cell>
          <cell r="S7224">
            <v>0</v>
          </cell>
          <cell r="T7224">
            <v>0</v>
          </cell>
          <cell r="U7224" t="b">
            <v>0</v>
          </cell>
        </row>
        <row r="7225">
          <cell r="A7225" t="str">
            <v>Data split-17;Reg-105</v>
          </cell>
          <cell r="B7225">
            <v>-5.2999999999999999E-2</v>
          </cell>
          <cell r="C7225">
            <v>2.1</v>
          </cell>
          <cell r="D7225">
            <v>0</v>
          </cell>
          <cell r="E7225">
            <v>-0.21</v>
          </cell>
          <cell r="F7225">
            <v>0</v>
          </cell>
          <cell r="G7225">
            <v>0</v>
          </cell>
          <cell r="H7225">
            <v>0</v>
          </cell>
          <cell r="I7225">
            <v>0</v>
          </cell>
          <cell r="J7225">
            <v>0</v>
          </cell>
          <cell r="K7225">
            <v>0</v>
          </cell>
          <cell r="L7225">
            <v>0.76</v>
          </cell>
          <cell r="M7225">
            <v>0</v>
          </cell>
          <cell r="N7225">
            <v>0</v>
          </cell>
          <cell r="O7225">
            <v>0</v>
          </cell>
          <cell r="P7225">
            <v>0</v>
          </cell>
          <cell r="Q7225">
            <v>0</v>
          </cell>
          <cell r="R7225">
            <v>0</v>
          </cell>
          <cell r="S7225">
            <v>0</v>
          </cell>
          <cell r="T7225">
            <v>0</v>
          </cell>
          <cell r="U7225" t="b">
            <v>0</v>
          </cell>
        </row>
        <row r="7226">
          <cell r="A7226" t="str">
            <v>Data split-17;Reg-106</v>
          </cell>
          <cell r="B7226">
            <v>0.48</v>
          </cell>
          <cell r="C7226">
            <v>1.2</v>
          </cell>
          <cell r="D7226">
            <v>0</v>
          </cell>
          <cell r="E7226">
            <v>0</v>
          </cell>
          <cell r="F7226">
            <v>0.19</v>
          </cell>
          <cell r="G7226">
            <v>0</v>
          </cell>
          <cell r="H7226">
            <v>0</v>
          </cell>
          <cell r="I7226">
            <v>0</v>
          </cell>
          <cell r="J7226">
            <v>0</v>
          </cell>
          <cell r="K7226">
            <v>2</v>
          </cell>
          <cell r="L7226">
            <v>0</v>
          </cell>
          <cell r="M7226">
            <v>0</v>
          </cell>
          <cell r="N7226">
            <v>0</v>
          </cell>
          <cell r="O7226">
            <v>0</v>
          </cell>
          <cell r="P7226">
            <v>0</v>
          </cell>
          <cell r="Q7226">
            <v>0</v>
          </cell>
          <cell r="R7226">
            <v>0</v>
          </cell>
          <cell r="S7226">
            <v>0</v>
          </cell>
          <cell r="T7226">
            <v>0</v>
          </cell>
          <cell r="U7226" t="b">
            <v>0</v>
          </cell>
        </row>
        <row r="7227">
          <cell r="A7227" t="str">
            <v>Data split-17;Reg-107</v>
          </cell>
          <cell r="B7227">
            <v>0.13</v>
          </cell>
          <cell r="C7227">
            <v>1.6</v>
          </cell>
          <cell r="D7227">
            <v>0</v>
          </cell>
          <cell r="E7227">
            <v>0</v>
          </cell>
          <cell r="F7227">
            <v>0.17</v>
          </cell>
          <cell r="G7227">
            <v>0</v>
          </cell>
          <cell r="H7227">
            <v>0</v>
          </cell>
          <cell r="I7227">
            <v>0</v>
          </cell>
          <cell r="J7227">
            <v>0</v>
          </cell>
          <cell r="K7227">
            <v>0</v>
          </cell>
          <cell r="L7227">
            <v>4.5</v>
          </cell>
          <cell r="M7227">
            <v>0</v>
          </cell>
          <cell r="N7227">
            <v>0</v>
          </cell>
          <cell r="O7227">
            <v>0</v>
          </cell>
          <cell r="P7227">
            <v>0</v>
          </cell>
          <cell r="Q7227">
            <v>0</v>
          </cell>
          <cell r="R7227">
            <v>0</v>
          </cell>
          <cell r="S7227">
            <v>0</v>
          </cell>
          <cell r="T7227">
            <v>0</v>
          </cell>
          <cell r="U7227" t="b">
            <v>0</v>
          </cell>
        </row>
        <row r="7228">
          <cell r="A7228" t="str">
            <v>Data split-17;Reg-108</v>
          </cell>
          <cell r="B7228">
            <v>-0.24</v>
          </cell>
          <cell r="C7228">
            <v>0</v>
          </cell>
          <cell r="D7228">
            <v>2</v>
          </cell>
          <cell r="E7228">
            <v>-0.67</v>
          </cell>
          <cell r="F7228">
            <v>0</v>
          </cell>
          <cell r="G7228">
            <v>0</v>
          </cell>
          <cell r="H7228">
            <v>0</v>
          </cell>
          <cell r="I7228">
            <v>0</v>
          </cell>
          <cell r="J7228">
            <v>0</v>
          </cell>
          <cell r="K7228">
            <v>1.6</v>
          </cell>
          <cell r="L7228">
            <v>0</v>
          </cell>
          <cell r="M7228">
            <v>0</v>
          </cell>
          <cell r="N7228">
            <v>0</v>
          </cell>
          <cell r="O7228">
            <v>0</v>
          </cell>
          <cell r="P7228">
            <v>0</v>
          </cell>
          <cell r="Q7228">
            <v>0</v>
          </cell>
          <cell r="R7228">
            <v>0</v>
          </cell>
          <cell r="S7228">
            <v>0</v>
          </cell>
          <cell r="T7228">
            <v>0</v>
          </cell>
          <cell r="U7228" t="b">
            <v>0</v>
          </cell>
        </row>
        <row r="7229">
          <cell r="A7229" t="str">
            <v>Data split-17;Reg-109</v>
          </cell>
          <cell r="B7229">
            <v>-0.33</v>
          </cell>
          <cell r="C7229">
            <v>0</v>
          </cell>
          <cell r="D7229">
            <v>2.2000000000000002</v>
          </cell>
          <cell r="E7229">
            <v>-0.39</v>
          </cell>
          <cell r="F7229">
            <v>0</v>
          </cell>
          <cell r="G7229">
            <v>0</v>
          </cell>
          <cell r="H7229">
            <v>0</v>
          </cell>
          <cell r="I7229">
            <v>0</v>
          </cell>
          <cell r="J7229">
            <v>0</v>
          </cell>
          <cell r="K7229">
            <v>0</v>
          </cell>
          <cell r="L7229">
            <v>-1.2999999999999999E-2</v>
          </cell>
          <cell r="M7229">
            <v>0</v>
          </cell>
          <cell r="N7229">
            <v>0</v>
          </cell>
          <cell r="O7229">
            <v>0</v>
          </cell>
          <cell r="P7229">
            <v>0</v>
          </cell>
          <cell r="Q7229">
            <v>0</v>
          </cell>
          <cell r="R7229">
            <v>0</v>
          </cell>
          <cell r="S7229">
            <v>0</v>
          </cell>
          <cell r="T7229">
            <v>0</v>
          </cell>
          <cell r="U7229" t="b">
            <v>0</v>
          </cell>
        </row>
        <row r="7230">
          <cell r="A7230" t="str">
            <v>Data split-17;Reg-110</v>
          </cell>
          <cell r="B7230">
            <v>0.25</v>
          </cell>
          <cell r="C7230">
            <v>0</v>
          </cell>
          <cell r="D7230">
            <v>1.3</v>
          </cell>
          <cell r="E7230">
            <v>0</v>
          </cell>
          <cell r="F7230">
            <v>0.19</v>
          </cell>
          <cell r="G7230">
            <v>0</v>
          </cell>
          <cell r="H7230">
            <v>0</v>
          </cell>
          <cell r="I7230">
            <v>0</v>
          </cell>
          <cell r="J7230">
            <v>0</v>
          </cell>
          <cell r="K7230">
            <v>1.9</v>
          </cell>
          <cell r="L7230">
            <v>0</v>
          </cell>
          <cell r="M7230">
            <v>0</v>
          </cell>
          <cell r="N7230">
            <v>0</v>
          </cell>
          <cell r="O7230">
            <v>0</v>
          </cell>
          <cell r="P7230">
            <v>0</v>
          </cell>
          <cell r="Q7230">
            <v>0</v>
          </cell>
          <cell r="R7230">
            <v>0</v>
          </cell>
          <cell r="S7230">
            <v>0</v>
          </cell>
          <cell r="T7230">
            <v>0</v>
          </cell>
          <cell r="U7230" t="b">
            <v>0</v>
          </cell>
        </row>
        <row r="7231">
          <cell r="A7231" t="str">
            <v>Data split-17;Reg-111</v>
          </cell>
          <cell r="B7231">
            <v>-0.14000000000000001</v>
          </cell>
          <cell r="C7231">
            <v>0</v>
          </cell>
          <cell r="D7231">
            <v>1.7</v>
          </cell>
          <cell r="E7231">
            <v>0</v>
          </cell>
          <cell r="F7231">
            <v>0.17</v>
          </cell>
          <cell r="G7231">
            <v>0</v>
          </cell>
          <cell r="H7231">
            <v>0</v>
          </cell>
          <cell r="I7231">
            <v>0</v>
          </cell>
          <cell r="J7231">
            <v>0</v>
          </cell>
          <cell r="K7231">
            <v>0</v>
          </cell>
          <cell r="L7231">
            <v>3.9</v>
          </cell>
          <cell r="M7231">
            <v>0</v>
          </cell>
          <cell r="N7231">
            <v>0</v>
          </cell>
          <cell r="O7231">
            <v>0</v>
          </cell>
          <cell r="P7231">
            <v>0</v>
          </cell>
          <cell r="Q7231">
            <v>0</v>
          </cell>
          <cell r="R7231">
            <v>0</v>
          </cell>
          <cell r="S7231">
            <v>0</v>
          </cell>
          <cell r="T7231">
            <v>0</v>
          </cell>
          <cell r="U7231" t="b">
            <v>0</v>
          </cell>
        </row>
        <row r="7232">
          <cell r="A7232" t="str">
            <v>Data split-17;Reg-112</v>
          </cell>
          <cell r="B7232">
            <v>-2.5</v>
          </cell>
          <cell r="C7232">
            <v>1.9</v>
          </cell>
          <cell r="D7232">
            <v>0</v>
          </cell>
          <cell r="E7232">
            <v>0</v>
          </cell>
          <cell r="F7232">
            <v>0</v>
          </cell>
          <cell r="G7232">
            <v>-1.3</v>
          </cell>
          <cell r="H7232">
            <v>0</v>
          </cell>
          <cell r="I7232">
            <v>5.9</v>
          </cell>
          <cell r="J7232">
            <v>0</v>
          </cell>
          <cell r="K7232">
            <v>0</v>
          </cell>
          <cell r="L7232">
            <v>0</v>
          </cell>
          <cell r="M7232">
            <v>0</v>
          </cell>
          <cell r="N7232">
            <v>0</v>
          </cell>
          <cell r="O7232">
            <v>0</v>
          </cell>
          <cell r="P7232">
            <v>0</v>
          </cell>
          <cell r="Q7232">
            <v>0</v>
          </cell>
          <cell r="R7232">
            <v>0</v>
          </cell>
          <cell r="S7232">
            <v>0</v>
          </cell>
          <cell r="T7232">
            <v>0</v>
          </cell>
          <cell r="U7232" t="b">
            <v>0</v>
          </cell>
        </row>
        <row r="7233">
          <cell r="A7233" t="str">
            <v>Data split-17;Reg-113</v>
          </cell>
          <cell r="B7233">
            <v>-5.4</v>
          </cell>
          <cell r="C7233">
            <v>2.1</v>
          </cell>
          <cell r="D7233">
            <v>0</v>
          </cell>
          <cell r="E7233">
            <v>0</v>
          </cell>
          <cell r="F7233">
            <v>0</v>
          </cell>
          <cell r="G7233">
            <v>-0.84</v>
          </cell>
          <cell r="H7233">
            <v>0</v>
          </cell>
          <cell r="I7233">
            <v>0</v>
          </cell>
          <cell r="J7233">
            <v>41</v>
          </cell>
          <cell r="K7233">
            <v>0</v>
          </cell>
          <cell r="L7233">
            <v>0</v>
          </cell>
          <cell r="M7233">
            <v>0</v>
          </cell>
          <cell r="N7233">
            <v>0</v>
          </cell>
          <cell r="O7233">
            <v>0</v>
          </cell>
          <cell r="P7233">
            <v>0</v>
          </cell>
          <cell r="Q7233">
            <v>0</v>
          </cell>
          <cell r="R7233">
            <v>0</v>
          </cell>
          <cell r="S7233">
            <v>0</v>
          </cell>
          <cell r="T7233">
            <v>0</v>
          </cell>
          <cell r="U7233" t="b">
            <v>0</v>
          </cell>
        </row>
        <row r="7234">
          <cell r="A7234" t="str">
            <v>Data split-17;Reg-114</v>
          </cell>
          <cell r="B7234">
            <v>-2.5</v>
          </cell>
          <cell r="C7234">
            <v>1.8</v>
          </cell>
          <cell r="D7234">
            <v>0</v>
          </cell>
          <cell r="E7234">
            <v>0</v>
          </cell>
          <cell r="F7234">
            <v>0</v>
          </cell>
          <cell r="G7234">
            <v>0</v>
          </cell>
          <cell r="H7234">
            <v>-1.2</v>
          </cell>
          <cell r="I7234">
            <v>5</v>
          </cell>
          <cell r="J7234">
            <v>0</v>
          </cell>
          <cell r="K7234">
            <v>0</v>
          </cell>
          <cell r="L7234">
            <v>0</v>
          </cell>
          <cell r="M7234">
            <v>0</v>
          </cell>
          <cell r="N7234">
            <v>0</v>
          </cell>
          <cell r="O7234">
            <v>0</v>
          </cell>
          <cell r="P7234">
            <v>0</v>
          </cell>
          <cell r="Q7234">
            <v>0</v>
          </cell>
          <cell r="R7234">
            <v>0</v>
          </cell>
          <cell r="S7234">
            <v>0</v>
          </cell>
          <cell r="T7234">
            <v>0</v>
          </cell>
          <cell r="U7234" t="b">
            <v>0</v>
          </cell>
        </row>
        <row r="7235">
          <cell r="A7235" t="str">
            <v>Data split-17;Reg-115</v>
          </cell>
          <cell r="B7235">
            <v>-4.9000000000000004</v>
          </cell>
          <cell r="C7235">
            <v>1.9</v>
          </cell>
          <cell r="D7235">
            <v>0</v>
          </cell>
          <cell r="E7235">
            <v>0</v>
          </cell>
          <cell r="F7235">
            <v>0</v>
          </cell>
          <cell r="G7235">
            <v>0</v>
          </cell>
          <cell r="H7235">
            <v>-0.54</v>
          </cell>
          <cell r="I7235">
            <v>0</v>
          </cell>
          <cell r="J7235">
            <v>34.6</v>
          </cell>
          <cell r="K7235">
            <v>0</v>
          </cell>
          <cell r="L7235">
            <v>0</v>
          </cell>
          <cell r="M7235">
            <v>0</v>
          </cell>
          <cell r="N7235">
            <v>0</v>
          </cell>
          <cell r="O7235">
            <v>0</v>
          </cell>
          <cell r="P7235">
            <v>0</v>
          </cell>
          <cell r="Q7235">
            <v>0</v>
          </cell>
          <cell r="R7235">
            <v>0</v>
          </cell>
          <cell r="S7235">
            <v>0</v>
          </cell>
          <cell r="T7235">
            <v>0</v>
          </cell>
          <cell r="U7235" t="b">
            <v>0</v>
          </cell>
        </row>
        <row r="7236">
          <cell r="A7236" t="str">
            <v>Data split-17;Reg-116</v>
          </cell>
          <cell r="B7236">
            <v>-2.6</v>
          </cell>
          <cell r="C7236">
            <v>0</v>
          </cell>
          <cell r="D7236">
            <v>1.9</v>
          </cell>
          <cell r="E7236">
            <v>0</v>
          </cell>
          <cell r="F7236">
            <v>0</v>
          </cell>
          <cell r="G7236">
            <v>-1.3</v>
          </cell>
          <cell r="H7236">
            <v>0</v>
          </cell>
          <cell r="I7236">
            <v>5.7</v>
          </cell>
          <cell r="J7236">
            <v>0</v>
          </cell>
          <cell r="K7236">
            <v>0</v>
          </cell>
          <cell r="L7236">
            <v>0</v>
          </cell>
          <cell r="M7236">
            <v>0</v>
          </cell>
          <cell r="N7236">
            <v>0</v>
          </cell>
          <cell r="O7236">
            <v>0</v>
          </cell>
          <cell r="P7236">
            <v>0</v>
          </cell>
          <cell r="Q7236">
            <v>0</v>
          </cell>
          <cell r="R7236">
            <v>0</v>
          </cell>
          <cell r="S7236">
            <v>0</v>
          </cell>
          <cell r="T7236">
            <v>0</v>
          </cell>
          <cell r="U7236" t="b">
            <v>0</v>
          </cell>
        </row>
        <row r="7237">
          <cell r="A7237" t="str">
            <v>Data split-17;Reg-117</v>
          </cell>
          <cell r="B7237">
            <v>-5.0999999999999996</v>
          </cell>
          <cell r="C7237">
            <v>0</v>
          </cell>
          <cell r="D7237">
            <v>2.1</v>
          </cell>
          <cell r="E7237">
            <v>0</v>
          </cell>
          <cell r="F7237">
            <v>0</v>
          </cell>
          <cell r="G7237">
            <v>-0.83</v>
          </cell>
          <cell r="H7237">
            <v>0</v>
          </cell>
          <cell r="I7237">
            <v>0</v>
          </cell>
          <cell r="J7237">
            <v>37.5</v>
          </cell>
          <cell r="K7237">
            <v>0</v>
          </cell>
          <cell r="L7237">
            <v>0</v>
          </cell>
          <cell r="M7237">
            <v>0</v>
          </cell>
          <cell r="N7237">
            <v>0</v>
          </cell>
          <cell r="O7237">
            <v>0</v>
          </cell>
          <cell r="P7237">
            <v>0</v>
          </cell>
          <cell r="Q7237">
            <v>0</v>
          </cell>
          <cell r="R7237">
            <v>0</v>
          </cell>
          <cell r="S7237">
            <v>0</v>
          </cell>
          <cell r="T7237">
            <v>0</v>
          </cell>
          <cell r="U7237" t="b">
            <v>0</v>
          </cell>
        </row>
        <row r="7238">
          <cell r="A7238" t="str">
            <v>Data split-17;Reg-118</v>
          </cell>
          <cell r="B7238">
            <v>-2.6</v>
          </cell>
          <cell r="C7238">
            <v>0</v>
          </cell>
          <cell r="D7238">
            <v>1.8</v>
          </cell>
          <cell r="E7238">
            <v>0</v>
          </cell>
          <cell r="F7238">
            <v>0</v>
          </cell>
          <cell r="G7238">
            <v>0</v>
          </cell>
          <cell r="H7238">
            <v>-1.2</v>
          </cell>
          <cell r="I7238">
            <v>4.7</v>
          </cell>
          <cell r="J7238">
            <v>0</v>
          </cell>
          <cell r="K7238">
            <v>0</v>
          </cell>
          <cell r="L7238">
            <v>0</v>
          </cell>
          <cell r="M7238">
            <v>0</v>
          </cell>
          <cell r="N7238">
            <v>0</v>
          </cell>
          <cell r="O7238">
            <v>0</v>
          </cell>
          <cell r="P7238">
            <v>0</v>
          </cell>
          <cell r="Q7238">
            <v>0</v>
          </cell>
          <cell r="R7238">
            <v>0</v>
          </cell>
          <cell r="S7238">
            <v>0</v>
          </cell>
          <cell r="T7238">
            <v>0</v>
          </cell>
          <cell r="U7238" t="b">
            <v>0</v>
          </cell>
        </row>
        <row r="7239">
          <cell r="A7239" t="str">
            <v>Data split-17;Reg-119</v>
          </cell>
          <cell r="B7239">
            <v>-4.7</v>
          </cell>
          <cell r="C7239">
            <v>0</v>
          </cell>
          <cell r="D7239">
            <v>1.9</v>
          </cell>
          <cell r="E7239">
            <v>0</v>
          </cell>
          <cell r="F7239">
            <v>0</v>
          </cell>
          <cell r="G7239">
            <v>0</v>
          </cell>
          <cell r="H7239">
            <v>-0.51</v>
          </cell>
          <cell r="I7239">
            <v>0</v>
          </cell>
          <cell r="J7239">
            <v>31.5</v>
          </cell>
          <cell r="K7239">
            <v>0</v>
          </cell>
          <cell r="L7239">
            <v>0</v>
          </cell>
          <cell r="M7239">
            <v>0</v>
          </cell>
          <cell r="N7239">
            <v>0</v>
          </cell>
          <cell r="O7239">
            <v>0</v>
          </cell>
          <cell r="P7239">
            <v>0</v>
          </cell>
          <cell r="Q7239">
            <v>0</v>
          </cell>
          <cell r="R7239">
            <v>0</v>
          </cell>
          <cell r="S7239">
            <v>0</v>
          </cell>
          <cell r="T7239">
            <v>0</v>
          </cell>
          <cell r="U7239" t="b">
            <v>0</v>
          </cell>
        </row>
        <row r="7240">
          <cell r="A7240" t="str">
            <v>Data split-17;Reg-120</v>
          </cell>
          <cell r="B7240">
            <v>8.8999999999999996E-2</v>
          </cell>
          <cell r="C7240">
            <v>1.8</v>
          </cell>
          <cell r="D7240">
            <v>0</v>
          </cell>
          <cell r="E7240">
            <v>0</v>
          </cell>
          <cell r="F7240">
            <v>0</v>
          </cell>
          <cell r="G7240">
            <v>-0.24</v>
          </cell>
          <cell r="H7240">
            <v>0</v>
          </cell>
          <cell r="I7240">
            <v>0</v>
          </cell>
          <cell r="J7240">
            <v>0</v>
          </cell>
          <cell r="K7240">
            <v>1.5</v>
          </cell>
          <cell r="L7240">
            <v>0</v>
          </cell>
          <cell r="M7240">
            <v>0</v>
          </cell>
          <cell r="N7240">
            <v>0</v>
          </cell>
          <cell r="O7240">
            <v>0</v>
          </cell>
          <cell r="P7240">
            <v>0</v>
          </cell>
          <cell r="Q7240">
            <v>0</v>
          </cell>
          <cell r="R7240">
            <v>0</v>
          </cell>
          <cell r="S7240">
            <v>0</v>
          </cell>
          <cell r="T7240">
            <v>0</v>
          </cell>
          <cell r="U7240" t="b">
            <v>0</v>
          </cell>
        </row>
        <row r="7241">
          <cell r="A7241" t="str">
            <v>Data split-17;Reg-121</v>
          </cell>
          <cell r="B7241">
            <v>0.12</v>
          </cell>
          <cell r="C7241">
            <v>2.1</v>
          </cell>
          <cell r="D7241">
            <v>0</v>
          </cell>
          <cell r="E7241">
            <v>0</v>
          </cell>
          <cell r="F7241">
            <v>0</v>
          </cell>
          <cell r="G7241">
            <v>-0.21</v>
          </cell>
          <cell r="H7241">
            <v>0</v>
          </cell>
          <cell r="I7241">
            <v>0</v>
          </cell>
          <cell r="J7241">
            <v>0</v>
          </cell>
          <cell r="K7241">
            <v>0</v>
          </cell>
          <cell r="L7241">
            <v>0.05</v>
          </cell>
          <cell r="M7241">
            <v>0</v>
          </cell>
          <cell r="N7241">
            <v>0</v>
          </cell>
          <cell r="O7241">
            <v>0</v>
          </cell>
          <cell r="P7241">
            <v>0</v>
          </cell>
          <cell r="Q7241">
            <v>0</v>
          </cell>
          <cell r="R7241">
            <v>0</v>
          </cell>
          <cell r="S7241">
            <v>0</v>
          </cell>
          <cell r="T7241">
            <v>0</v>
          </cell>
          <cell r="U7241" t="b">
            <v>0</v>
          </cell>
        </row>
        <row r="7242">
          <cell r="A7242" t="str">
            <v>Data split-17;Reg-122</v>
          </cell>
          <cell r="B7242">
            <v>-0.23</v>
          </cell>
          <cell r="C7242">
            <v>1.6</v>
          </cell>
          <cell r="D7242">
            <v>0</v>
          </cell>
          <cell r="E7242">
            <v>0</v>
          </cell>
          <cell r="F7242">
            <v>0</v>
          </cell>
          <cell r="G7242">
            <v>0</v>
          </cell>
          <cell r="H7242">
            <v>0.18</v>
          </cell>
          <cell r="I7242">
            <v>0</v>
          </cell>
          <cell r="J7242">
            <v>0</v>
          </cell>
          <cell r="K7242">
            <v>1.4</v>
          </cell>
          <cell r="L7242">
            <v>0</v>
          </cell>
          <cell r="M7242">
            <v>0</v>
          </cell>
          <cell r="N7242">
            <v>0</v>
          </cell>
          <cell r="O7242">
            <v>0</v>
          </cell>
          <cell r="P7242">
            <v>0</v>
          </cell>
          <cell r="Q7242">
            <v>0</v>
          </cell>
          <cell r="R7242">
            <v>0</v>
          </cell>
          <cell r="S7242">
            <v>0</v>
          </cell>
          <cell r="T7242">
            <v>0</v>
          </cell>
          <cell r="U7242" t="b">
            <v>0</v>
          </cell>
        </row>
        <row r="7243">
          <cell r="A7243" t="str">
            <v>Data split-17;Reg-123</v>
          </cell>
          <cell r="B7243">
            <v>-0.33</v>
          </cell>
          <cell r="C7243">
            <v>1.8</v>
          </cell>
          <cell r="D7243">
            <v>0</v>
          </cell>
          <cell r="E7243">
            <v>0</v>
          </cell>
          <cell r="F7243">
            <v>0</v>
          </cell>
          <cell r="G7243">
            <v>0</v>
          </cell>
          <cell r="H7243">
            <v>0.28000000000000003</v>
          </cell>
          <cell r="I7243">
            <v>0</v>
          </cell>
          <cell r="J7243">
            <v>0</v>
          </cell>
          <cell r="K7243">
            <v>0</v>
          </cell>
          <cell r="L7243">
            <v>1.3</v>
          </cell>
          <cell r="M7243">
            <v>0</v>
          </cell>
          <cell r="N7243">
            <v>0</v>
          </cell>
          <cell r="O7243">
            <v>0</v>
          </cell>
          <cell r="P7243">
            <v>0</v>
          </cell>
          <cell r="Q7243">
            <v>0</v>
          </cell>
          <cell r="R7243">
            <v>0</v>
          </cell>
          <cell r="S7243">
            <v>0</v>
          </cell>
          <cell r="T7243">
            <v>0</v>
          </cell>
          <cell r="U7243" t="b">
            <v>0</v>
          </cell>
        </row>
        <row r="7244">
          <cell r="A7244" t="str">
            <v>Data split-17;Reg-124</v>
          </cell>
          <cell r="B7244">
            <v>-0.18</v>
          </cell>
          <cell r="C7244">
            <v>0</v>
          </cell>
          <cell r="D7244">
            <v>1.9</v>
          </cell>
          <cell r="E7244">
            <v>0</v>
          </cell>
          <cell r="F7244">
            <v>0</v>
          </cell>
          <cell r="G7244">
            <v>-0.32</v>
          </cell>
          <cell r="H7244">
            <v>0</v>
          </cell>
          <cell r="I7244">
            <v>0</v>
          </cell>
          <cell r="J7244">
            <v>0</v>
          </cell>
          <cell r="K7244">
            <v>1.4</v>
          </cell>
          <cell r="L7244">
            <v>0</v>
          </cell>
          <cell r="M7244">
            <v>0</v>
          </cell>
          <cell r="N7244">
            <v>0</v>
          </cell>
          <cell r="O7244">
            <v>0</v>
          </cell>
          <cell r="P7244">
            <v>0</v>
          </cell>
          <cell r="Q7244">
            <v>0</v>
          </cell>
          <cell r="R7244">
            <v>0</v>
          </cell>
          <cell r="S7244">
            <v>0</v>
          </cell>
          <cell r="T7244">
            <v>0</v>
          </cell>
          <cell r="U7244" t="b">
            <v>0</v>
          </cell>
        </row>
        <row r="7245">
          <cell r="A7245" t="str">
            <v>Data split-17;Reg-125</v>
          </cell>
          <cell r="B7245">
            <v>-9.7000000000000003E-2</v>
          </cell>
          <cell r="C7245">
            <v>0</v>
          </cell>
          <cell r="D7245">
            <v>2.2000000000000002</v>
          </cell>
          <cell r="E7245">
            <v>0</v>
          </cell>
          <cell r="F7245">
            <v>0</v>
          </cell>
          <cell r="G7245">
            <v>-0.33</v>
          </cell>
          <cell r="H7245">
            <v>0</v>
          </cell>
          <cell r="I7245">
            <v>0</v>
          </cell>
          <cell r="J7245">
            <v>0</v>
          </cell>
          <cell r="K7245">
            <v>0</v>
          </cell>
          <cell r="L7245">
            <v>-1.1000000000000001</v>
          </cell>
          <cell r="M7245">
            <v>0</v>
          </cell>
          <cell r="N7245">
            <v>0</v>
          </cell>
          <cell r="O7245">
            <v>0</v>
          </cell>
          <cell r="P7245">
            <v>0</v>
          </cell>
          <cell r="Q7245">
            <v>0</v>
          </cell>
          <cell r="R7245">
            <v>0</v>
          </cell>
          <cell r="S7245">
            <v>0</v>
          </cell>
          <cell r="T7245">
            <v>0</v>
          </cell>
          <cell r="U7245" t="b">
            <v>0</v>
          </cell>
        </row>
        <row r="7246">
          <cell r="A7246" t="str">
            <v>Data split-17;Reg-126</v>
          </cell>
          <cell r="B7246">
            <v>-0.47</v>
          </cell>
          <cell r="C7246">
            <v>0</v>
          </cell>
          <cell r="D7246">
            <v>1.7</v>
          </cell>
          <cell r="E7246">
            <v>0</v>
          </cell>
          <cell r="F7246">
            <v>0</v>
          </cell>
          <cell r="G7246">
            <v>0</v>
          </cell>
          <cell r="H7246">
            <v>6.4000000000000001E-2</v>
          </cell>
          <cell r="I7246">
            <v>0</v>
          </cell>
          <cell r="J7246">
            <v>0</v>
          </cell>
          <cell r="K7246">
            <v>1.4</v>
          </cell>
          <cell r="L7246">
            <v>0</v>
          </cell>
          <cell r="M7246">
            <v>0</v>
          </cell>
          <cell r="N7246">
            <v>0</v>
          </cell>
          <cell r="O7246">
            <v>0</v>
          </cell>
          <cell r="P7246">
            <v>0</v>
          </cell>
          <cell r="Q7246">
            <v>0</v>
          </cell>
          <cell r="R7246">
            <v>0</v>
          </cell>
          <cell r="S7246">
            <v>0</v>
          </cell>
          <cell r="T7246">
            <v>0</v>
          </cell>
          <cell r="U7246" t="b">
            <v>0</v>
          </cell>
        </row>
        <row r="7247">
          <cell r="A7247" t="str">
            <v>Data split-17;Reg-127</v>
          </cell>
          <cell r="B7247">
            <v>-0.51</v>
          </cell>
          <cell r="C7247">
            <v>0</v>
          </cell>
          <cell r="D7247">
            <v>1.9</v>
          </cell>
          <cell r="E7247">
            <v>0</v>
          </cell>
          <cell r="F7247">
            <v>0</v>
          </cell>
          <cell r="G7247">
            <v>0</v>
          </cell>
          <cell r="H7247">
            <v>8.6999999999999994E-2</v>
          </cell>
          <cell r="I7247">
            <v>0</v>
          </cell>
          <cell r="J7247">
            <v>0</v>
          </cell>
          <cell r="K7247">
            <v>0</v>
          </cell>
          <cell r="L7247">
            <v>0.23</v>
          </cell>
          <cell r="M7247">
            <v>0</v>
          </cell>
          <cell r="N7247">
            <v>0</v>
          </cell>
          <cell r="O7247">
            <v>0</v>
          </cell>
          <cell r="P7247">
            <v>0</v>
          </cell>
          <cell r="Q7247">
            <v>0</v>
          </cell>
          <cell r="R7247">
            <v>0</v>
          </cell>
          <cell r="S7247">
            <v>0</v>
          </cell>
          <cell r="T7247">
            <v>0</v>
          </cell>
          <cell r="U7247" t="b">
            <v>0</v>
          </cell>
        </row>
        <row r="7248">
          <cell r="A7248" t="str">
            <v>Data split-18;Reg-1</v>
          </cell>
          <cell r="B7248">
            <v>-6.7</v>
          </cell>
          <cell r="C7248">
            <v>2.6</v>
          </cell>
          <cell r="D7248">
            <v>0</v>
          </cell>
          <cell r="E7248">
            <v>0</v>
          </cell>
          <cell r="F7248">
            <v>0.14000000000000001</v>
          </cell>
          <cell r="G7248">
            <v>0</v>
          </cell>
          <cell r="H7248">
            <v>0</v>
          </cell>
          <cell r="I7248">
            <v>0</v>
          </cell>
          <cell r="J7248">
            <v>0</v>
          </cell>
          <cell r="K7248">
            <v>0</v>
          </cell>
          <cell r="L7248">
            <v>-5.5</v>
          </cell>
          <cell r="M7248">
            <v>0</v>
          </cell>
          <cell r="N7248">
            <v>0</v>
          </cell>
          <cell r="O7248">
            <v>0</v>
          </cell>
          <cell r="P7248">
            <v>0</v>
          </cell>
          <cell r="Q7248">
            <v>0</v>
          </cell>
          <cell r="R7248">
            <v>0</v>
          </cell>
          <cell r="S7248">
            <v>0</v>
          </cell>
          <cell r="T7248">
            <v>0</v>
          </cell>
          <cell r="U7248" t="b">
            <v>1</v>
          </cell>
        </row>
        <row r="7249">
          <cell r="A7249" t="str">
            <v>Data split-18;Reg-2</v>
          </cell>
          <cell r="B7249">
            <v>-3</v>
          </cell>
          <cell r="C7249">
            <v>3.3</v>
          </cell>
          <cell r="D7249">
            <v>0</v>
          </cell>
          <cell r="E7249">
            <v>0</v>
          </cell>
          <cell r="F7249">
            <v>0.14000000000000001</v>
          </cell>
          <cell r="G7249">
            <v>-1</v>
          </cell>
          <cell r="H7249">
            <v>0</v>
          </cell>
          <cell r="I7249">
            <v>0</v>
          </cell>
          <cell r="J7249">
            <v>0</v>
          </cell>
          <cell r="K7249">
            <v>0</v>
          </cell>
          <cell r="L7249">
            <v>0</v>
          </cell>
          <cell r="M7249">
            <v>-6.4000000000000001E-2</v>
          </cell>
          <cell r="N7249">
            <v>0</v>
          </cell>
          <cell r="O7249">
            <v>0</v>
          </cell>
          <cell r="P7249">
            <v>0</v>
          </cell>
          <cell r="Q7249">
            <v>0</v>
          </cell>
          <cell r="R7249">
            <v>0</v>
          </cell>
          <cell r="S7249">
            <v>0</v>
          </cell>
          <cell r="T7249">
            <v>0</v>
          </cell>
          <cell r="U7249" t="b">
            <v>0</v>
          </cell>
        </row>
        <row r="7250">
          <cell r="A7250" t="str">
            <v>Data split-18;Reg-3</v>
          </cell>
          <cell r="B7250">
            <v>-3.1</v>
          </cell>
          <cell r="C7250">
            <v>3.3</v>
          </cell>
          <cell r="D7250">
            <v>0</v>
          </cell>
          <cell r="E7250">
            <v>0</v>
          </cell>
          <cell r="F7250">
            <v>0.14000000000000001</v>
          </cell>
          <cell r="G7250">
            <v>-1.1000000000000001</v>
          </cell>
          <cell r="H7250">
            <v>0</v>
          </cell>
          <cell r="I7250">
            <v>0</v>
          </cell>
          <cell r="J7250">
            <v>0</v>
          </cell>
          <cell r="K7250">
            <v>0</v>
          </cell>
          <cell r="L7250">
            <v>0</v>
          </cell>
          <cell r="M7250">
            <v>0</v>
          </cell>
          <cell r="N7250">
            <v>-1.0999999999999999E-2</v>
          </cell>
          <cell r="O7250">
            <v>0</v>
          </cell>
          <cell r="P7250">
            <v>0</v>
          </cell>
          <cell r="Q7250">
            <v>0</v>
          </cell>
          <cell r="R7250">
            <v>0</v>
          </cell>
          <cell r="S7250">
            <v>0</v>
          </cell>
          <cell r="T7250">
            <v>0</v>
          </cell>
          <cell r="U7250" t="b">
            <v>0</v>
          </cell>
        </row>
        <row r="7251">
          <cell r="A7251" t="str">
            <v>Data split-18;Reg-4</v>
          </cell>
          <cell r="B7251">
            <v>-2.6</v>
          </cell>
          <cell r="C7251">
            <v>3.4</v>
          </cell>
          <cell r="D7251">
            <v>0</v>
          </cell>
          <cell r="E7251">
            <v>0</v>
          </cell>
          <cell r="F7251">
            <v>0.18</v>
          </cell>
          <cell r="G7251">
            <v>0</v>
          </cell>
          <cell r="H7251">
            <v>-2.2999999999999998</v>
          </cell>
          <cell r="I7251">
            <v>0</v>
          </cell>
          <cell r="J7251">
            <v>0</v>
          </cell>
          <cell r="K7251">
            <v>0</v>
          </cell>
          <cell r="L7251">
            <v>0</v>
          </cell>
          <cell r="M7251">
            <v>-1.9E-2</v>
          </cell>
          <cell r="N7251">
            <v>0</v>
          </cell>
          <cell r="O7251">
            <v>0</v>
          </cell>
          <cell r="P7251">
            <v>0</v>
          </cell>
          <cell r="Q7251">
            <v>0</v>
          </cell>
          <cell r="R7251">
            <v>0</v>
          </cell>
          <cell r="S7251">
            <v>0</v>
          </cell>
          <cell r="T7251">
            <v>0</v>
          </cell>
          <cell r="U7251" t="b">
            <v>0</v>
          </cell>
        </row>
        <row r="7252">
          <cell r="A7252" t="str">
            <v>Data split-18;Reg-5</v>
          </cell>
          <cell r="B7252">
            <v>-3.1</v>
          </cell>
          <cell r="C7252">
            <v>0</v>
          </cell>
          <cell r="D7252">
            <v>3.4</v>
          </cell>
          <cell r="E7252">
            <v>0</v>
          </cell>
          <cell r="F7252">
            <v>0.17</v>
          </cell>
          <cell r="G7252">
            <v>0</v>
          </cell>
          <cell r="H7252">
            <v>-2.4</v>
          </cell>
          <cell r="I7252">
            <v>0</v>
          </cell>
          <cell r="J7252">
            <v>0</v>
          </cell>
          <cell r="K7252">
            <v>0</v>
          </cell>
          <cell r="L7252">
            <v>0</v>
          </cell>
          <cell r="M7252">
            <v>-2.1999999999999999E-2</v>
          </cell>
          <cell r="N7252">
            <v>0</v>
          </cell>
          <cell r="O7252">
            <v>0</v>
          </cell>
          <cell r="P7252">
            <v>0</v>
          </cell>
          <cell r="Q7252">
            <v>0</v>
          </cell>
          <cell r="R7252">
            <v>0</v>
          </cell>
          <cell r="S7252">
            <v>0</v>
          </cell>
          <cell r="T7252">
            <v>0</v>
          </cell>
          <cell r="U7252" t="b">
            <v>0</v>
          </cell>
        </row>
        <row r="7253">
          <cell r="A7253" t="str">
            <v>Data split-18;Reg-6</v>
          </cell>
          <cell r="B7253">
            <v>-4.2</v>
          </cell>
          <cell r="C7253">
            <v>3.5</v>
          </cell>
          <cell r="D7253">
            <v>0</v>
          </cell>
          <cell r="E7253">
            <v>-2.7</v>
          </cell>
          <cell r="F7253">
            <v>0</v>
          </cell>
          <cell r="G7253">
            <v>0</v>
          </cell>
          <cell r="H7253">
            <v>0</v>
          </cell>
          <cell r="I7253">
            <v>0</v>
          </cell>
          <cell r="J7253">
            <v>0</v>
          </cell>
          <cell r="K7253">
            <v>0</v>
          </cell>
          <cell r="L7253">
            <v>29.4</v>
          </cell>
          <cell r="M7253">
            <v>-2.9000000000000001E-2</v>
          </cell>
          <cell r="N7253">
            <v>0</v>
          </cell>
          <cell r="O7253">
            <v>0</v>
          </cell>
          <cell r="P7253">
            <v>0</v>
          </cell>
          <cell r="Q7253">
            <v>0</v>
          </cell>
          <cell r="R7253">
            <v>0</v>
          </cell>
          <cell r="S7253">
            <v>0</v>
          </cell>
          <cell r="T7253">
            <v>0</v>
          </cell>
          <cell r="U7253" t="b">
            <v>0</v>
          </cell>
        </row>
        <row r="7254">
          <cell r="A7254" t="str">
            <v>Data split-18;Reg-7</v>
          </cell>
          <cell r="B7254">
            <v>-5.3</v>
          </cell>
          <cell r="C7254">
            <v>3.1</v>
          </cell>
          <cell r="D7254">
            <v>0</v>
          </cell>
          <cell r="E7254">
            <v>0</v>
          </cell>
          <cell r="F7254">
            <v>0.17</v>
          </cell>
          <cell r="G7254">
            <v>0</v>
          </cell>
          <cell r="H7254">
            <v>0</v>
          </cell>
          <cell r="I7254">
            <v>0</v>
          </cell>
          <cell r="J7254">
            <v>0</v>
          </cell>
          <cell r="K7254">
            <v>0</v>
          </cell>
          <cell r="L7254">
            <v>12.5</v>
          </cell>
          <cell r="M7254">
            <v>0</v>
          </cell>
          <cell r="N7254">
            <v>0</v>
          </cell>
          <cell r="O7254">
            <v>0</v>
          </cell>
          <cell r="P7254">
            <v>0</v>
          </cell>
          <cell r="Q7254">
            <v>0</v>
          </cell>
          <cell r="R7254">
            <v>0</v>
          </cell>
          <cell r="S7254">
            <v>-0.19</v>
          </cell>
          <cell r="T7254">
            <v>0</v>
          </cell>
          <cell r="U7254" t="b">
            <v>0</v>
          </cell>
        </row>
        <row r="7255">
          <cell r="A7255" t="str">
            <v>Data split-18;Reg-8</v>
          </cell>
          <cell r="B7255">
            <v>-4</v>
          </cell>
          <cell r="C7255">
            <v>3.5</v>
          </cell>
          <cell r="D7255">
            <v>0</v>
          </cell>
          <cell r="E7255">
            <v>0</v>
          </cell>
          <cell r="F7255">
            <v>0</v>
          </cell>
          <cell r="G7255">
            <v>-1</v>
          </cell>
          <cell r="H7255">
            <v>0</v>
          </cell>
          <cell r="I7255">
            <v>0</v>
          </cell>
          <cell r="J7255">
            <v>0</v>
          </cell>
          <cell r="K7255">
            <v>0</v>
          </cell>
          <cell r="L7255">
            <v>17.8</v>
          </cell>
          <cell r="M7255">
            <v>0</v>
          </cell>
          <cell r="N7255">
            <v>0</v>
          </cell>
          <cell r="O7255">
            <v>0</v>
          </cell>
          <cell r="P7255">
            <v>0</v>
          </cell>
          <cell r="Q7255">
            <v>0</v>
          </cell>
          <cell r="R7255">
            <v>0</v>
          </cell>
          <cell r="S7255">
            <v>-0.13</v>
          </cell>
          <cell r="T7255">
            <v>0</v>
          </cell>
          <cell r="U7255" t="b">
            <v>0</v>
          </cell>
        </row>
        <row r="7256">
          <cell r="A7256" t="str">
            <v>Data split-18;Reg-9</v>
          </cell>
          <cell r="B7256">
            <v>-5.3</v>
          </cell>
          <cell r="C7256">
            <v>0</v>
          </cell>
          <cell r="D7256">
            <v>3.4</v>
          </cell>
          <cell r="E7256">
            <v>0</v>
          </cell>
          <cell r="F7256">
            <v>0</v>
          </cell>
          <cell r="G7256">
            <v>0</v>
          </cell>
          <cell r="H7256">
            <v>-0.81</v>
          </cell>
          <cell r="I7256">
            <v>0</v>
          </cell>
          <cell r="J7256">
            <v>0</v>
          </cell>
          <cell r="K7256">
            <v>0</v>
          </cell>
          <cell r="L7256">
            <v>13.2</v>
          </cell>
          <cell r="M7256">
            <v>0</v>
          </cell>
          <cell r="N7256">
            <v>0</v>
          </cell>
          <cell r="O7256">
            <v>0</v>
          </cell>
          <cell r="P7256">
            <v>0</v>
          </cell>
          <cell r="Q7256">
            <v>0</v>
          </cell>
          <cell r="R7256">
            <v>0</v>
          </cell>
          <cell r="S7256">
            <v>-0.14000000000000001</v>
          </cell>
          <cell r="T7256">
            <v>0</v>
          </cell>
          <cell r="U7256" t="b">
            <v>0</v>
          </cell>
        </row>
        <row r="7257">
          <cell r="A7257" t="str">
            <v>Data split-18;Reg-10</v>
          </cell>
          <cell r="B7257">
            <v>-5.3</v>
          </cell>
          <cell r="C7257">
            <v>0</v>
          </cell>
          <cell r="D7257">
            <v>3.4</v>
          </cell>
          <cell r="E7257">
            <v>0</v>
          </cell>
          <cell r="F7257">
            <v>0</v>
          </cell>
          <cell r="G7257">
            <v>0</v>
          </cell>
          <cell r="H7257">
            <v>-0.81</v>
          </cell>
          <cell r="I7257">
            <v>0</v>
          </cell>
          <cell r="J7257">
            <v>0</v>
          </cell>
          <cell r="K7257">
            <v>0</v>
          </cell>
          <cell r="L7257">
            <v>13.2</v>
          </cell>
          <cell r="M7257">
            <v>0</v>
          </cell>
          <cell r="N7257">
            <v>0</v>
          </cell>
          <cell r="O7257">
            <v>0</v>
          </cell>
          <cell r="P7257">
            <v>0</v>
          </cell>
          <cell r="Q7257">
            <v>0</v>
          </cell>
          <cell r="R7257">
            <v>0</v>
          </cell>
          <cell r="S7257">
            <v>-0.14000000000000001</v>
          </cell>
          <cell r="T7257">
            <v>0</v>
          </cell>
          <cell r="U7257" t="b">
            <v>0</v>
          </cell>
        </row>
        <row r="7258">
          <cell r="A7258" t="str">
            <v>Data split-18;Reg-11</v>
          </cell>
          <cell r="B7258">
            <v>-2.4</v>
          </cell>
          <cell r="C7258">
            <v>3.5</v>
          </cell>
          <cell r="D7258">
            <v>0</v>
          </cell>
          <cell r="E7258">
            <v>-0.73</v>
          </cell>
          <cell r="F7258">
            <v>0</v>
          </cell>
          <cell r="G7258">
            <v>-1.1000000000000001</v>
          </cell>
          <cell r="H7258">
            <v>0</v>
          </cell>
          <cell r="I7258">
            <v>0</v>
          </cell>
          <cell r="J7258">
            <v>0</v>
          </cell>
          <cell r="K7258">
            <v>0</v>
          </cell>
          <cell r="L7258">
            <v>0</v>
          </cell>
          <cell r="M7258">
            <v>0</v>
          </cell>
          <cell r="N7258">
            <v>0</v>
          </cell>
          <cell r="O7258">
            <v>0</v>
          </cell>
          <cell r="P7258">
            <v>0</v>
          </cell>
          <cell r="Q7258">
            <v>0</v>
          </cell>
          <cell r="R7258">
            <v>0</v>
          </cell>
          <cell r="S7258">
            <v>0</v>
          </cell>
          <cell r="T7258">
            <v>0</v>
          </cell>
          <cell r="U7258" t="b">
            <v>0</v>
          </cell>
        </row>
        <row r="7259">
          <cell r="A7259" t="str">
            <v>Data split-18;Reg-12</v>
          </cell>
          <cell r="B7259">
            <v>-2.8</v>
          </cell>
          <cell r="C7259">
            <v>3.5</v>
          </cell>
          <cell r="D7259">
            <v>0</v>
          </cell>
          <cell r="E7259">
            <v>-0.84</v>
          </cell>
          <cell r="F7259">
            <v>0</v>
          </cell>
          <cell r="G7259">
            <v>0</v>
          </cell>
          <cell r="H7259">
            <v>-1.4</v>
          </cell>
          <cell r="I7259">
            <v>0</v>
          </cell>
          <cell r="J7259">
            <v>0</v>
          </cell>
          <cell r="K7259">
            <v>0</v>
          </cell>
          <cell r="L7259">
            <v>0</v>
          </cell>
          <cell r="M7259">
            <v>0</v>
          </cell>
          <cell r="N7259">
            <v>0</v>
          </cell>
          <cell r="O7259">
            <v>0</v>
          </cell>
          <cell r="P7259">
            <v>0</v>
          </cell>
          <cell r="Q7259">
            <v>0</v>
          </cell>
          <cell r="R7259">
            <v>0</v>
          </cell>
          <cell r="S7259">
            <v>0</v>
          </cell>
          <cell r="T7259">
            <v>0</v>
          </cell>
          <cell r="U7259" t="b">
            <v>0</v>
          </cell>
        </row>
        <row r="7260">
          <cell r="A7260" t="str">
            <v>Data split-18;Reg-13</v>
          </cell>
          <cell r="B7260">
            <v>-2.6</v>
          </cell>
          <cell r="C7260">
            <v>3.3</v>
          </cell>
          <cell r="D7260">
            <v>0</v>
          </cell>
          <cell r="E7260">
            <v>0</v>
          </cell>
          <cell r="F7260">
            <v>0.13</v>
          </cell>
          <cell r="G7260">
            <v>-1.6</v>
          </cell>
          <cell r="H7260">
            <v>0</v>
          </cell>
          <cell r="I7260">
            <v>0</v>
          </cell>
          <cell r="J7260">
            <v>0</v>
          </cell>
          <cell r="K7260">
            <v>0</v>
          </cell>
          <cell r="L7260">
            <v>0</v>
          </cell>
          <cell r="M7260">
            <v>0</v>
          </cell>
          <cell r="N7260">
            <v>0</v>
          </cell>
          <cell r="O7260">
            <v>0</v>
          </cell>
          <cell r="P7260">
            <v>0</v>
          </cell>
          <cell r="Q7260">
            <v>0</v>
          </cell>
          <cell r="R7260">
            <v>0</v>
          </cell>
          <cell r="S7260">
            <v>0</v>
          </cell>
          <cell r="T7260">
            <v>0</v>
          </cell>
          <cell r="U7260" t="b">
            <v>0</v>
          </cell>
        </row>
        <row r="7261">
          <cell r="A7261" t="str">
            <v>Data split-18;Reg-14</v>
          </cell>
          <cell r="B7261">
            <v>-2.4</v>
          </cell>
          <cell r="C7261">
            <v>3.4</v>
          </cell>
          <cell r="D7261">
            <v>0</v>
          </cell>
          <cell r="E7261">
            <v>0</v>
          </cell>
          <cell r="F7261">
            <v>0.18</v>
          </cell>
          <cell r="G7261">
            <v>0</v>
          </cell>
          <cell r="H7261">
            <v>-2.7</v>
          </cell>
          <cell r="I7261">
            <v>0</v>
          </cell>
          <cell r="J7261">
            <v>0</v>
          </cell>
          <cell r="K7261">
            <v>0</v>
          </cell>
          <cell r="L7261">
            <v>0</v>
          </cell>
          <cell r="M7261">
            <v>0</v>
          </cell>
          <cell r="N7261">
            <v>0</v>
          </cell>
          <cell r="O7261">
            <v>0</v>
          </cell>
          <cell r="P7261">
            <v>0</v>
          </cell>
          <cell r="Q7261">
            <v>0</v>
          </cell>
          <cell r="R7261">
            <v>0</v>
          </cell>
          <cell r="S7261">
            <v>0</v>
          </cell>
          <cell r="T7261">
            <v>0</v>
          </cell>
          <cell r="U7261" t="b">
            <v>0</v>
          </cell>
        </row>
        <row r="7262">
          <cell r="A7262" t="str">
            <v>Data split-18;Reg-15</v>
          </cell>
          <cell r="B7262">
            <v>-3.7</v>
          </cell>
          <cell r="C7262">
            <v>3.4</v>
          </cell>
          <cell r="D7262">
            <v>0</v>
          </cell>
          <cell r="E7262">
            <v>-1.1000000000000001</v>
          </cell>
          <cell r="F7262">
            <v>0</v>
          </cell>
          <cell r="G7262">
            <v>0</v>
          </cell>
          <cell r="H7262">
            <v>0</v>
          </cell>
          <cell r="I7262">
            <v>0</v>
          </cell>
          <cell r="J7262">
            <v>0</v>
          </cell>
          <cell r="K7262">
            <v>0</v>
          </cell>
          <cell r="L7262">
            <v>0</v>
          </cell>
          <cell r="M7262">
            <v>-6.3E-2</v>
          </cell>
          <cell r="N7262">
            <v>0</v>
          </cell>
          <cell r="O7262">
            <v>0</v>
          </cell>
          <cell r="P7262">
            <v>0</v>
          </cell>
          <cell r="Q7262">
            <v>0</v>
          </cell>
          <cell r="R7262">
            <v>0</v>
          </cell>
          <cell r="S7262">
            <v>0</v>
          </cell>
          <cell r="T7262">
            <v>0</v>
          </cell>
          <cell r="U7262" t="b">
            <v>0</v>
          </cell>
        </row>
        <row r="7263">
          <cell r="A7263" t="str">
            <v>Data split-18;Reg-16</v>
          </cell>
          <cell r="B7263">
            <v>-3.8</v>
          </cell>
          <cell r="C7263">
            <v>3.4</v>
          </cell>
          <cell r="D7263">
            <v>0</v>
          </cell>
          <cell r="E7263">
            <v>-1.2</v>
          </cell>
          <cell r="F7263">
            <v>0</v>
          </cell>
          <cell r="G7263">
            <v>0</v>
          </cell>
          <cell r="H7263">
            <v>0</v>
          </cell>
          <cell r="I7263">
            <v>0</v>
          </cell>
          <cell r="J7263">
            <v>0</v>
          </cell>
          <cell r="K7263">
            <v>0</v>
          </cell>
          <cell r="L7263">
            <v>0</v>
          </cell>
          <cell r="M7263">
            <v>0</v>
          </cell>
          <cell r="N7263">
            <v>-0.01</v>
          </cell>
          <cell r="O7263">
            <v>0</v>
          </cell>
          <cell r="P7263">
            <v>0</v>
          </cell>
          <cell r="Q7263">
            <v>0</v>
          </cell>
          <cell r="R7263">
            <v>0</v>
          </cell>
          <cell r="S7263">
            <v>0</v>
          </cell>
          <cell r="T7263">
            <v>0</v>
          </cell>
          <cell r="U7263" t="b">
            <v>0</v>
          </cell>
        </row>
        <row r="7264">
          <cell r="A7264" t="str">
            <v>Data split-18;Reg-17</v>
          </cell>
          <cell r="B7264">
            <v>-4.8</v>
          </cell>
          <cell r="C7264">
            <v>3.1</v>
          </cell>
          <cell r="D7264">
            <v>0</v>
          </cell>
          <cell r="E7264">
            <v>0</v>
          </cell>
          <cell r="F7264">
            <v>0.16</v>
          </cell>
          <cell r="G7264">
            <v>0</v>
          </cell>
          <cell r="H7264">
            <v>0</v>
          </cell>
          <cell r="I7264">
            <v>0</v>
          </cell>
          <cell r="J7264">
            <v>0</v>
          </cell>
          <cell r="K7264">
            <v>0</v>
          </cell>
          <cell r="L7264">
            <v>0</v>
          </cell>
          <cell r="M7264">
            <v>-0.13</v>
          </cell>
          <cell r="N7264">
            <v>0</v>
          </cell>
          <cell r="O7264">
            <v>0</v>
          </cell>
          <cell r="P7264">
            <v>0</v>
          </cell>
          <cell r="Q7264">
            <v>0</v>
          </cell>
          <cell r="R7264">
            <v>0</v>
          </cell>
          <cell r="S7264">
            <v>0</v>
          </cell>
          <cell r="T7264">
            <v>0</v>
          </cell>
          <cell r="U7264" t="b">
            <v>1</v>
          </cell>
        </row>
        <row r="7265">
          <cell r="A7265" t="str">
            <v>Data split-18;Reg-18</v>
          </cell>
          <cell r="B7265">
            <v>-5.0999999999999996</v>
          </cell>
          <cell r="C7265">
            <v>3.1</v>
          </cell>
          <cell r="D7265">
            <v>0</v>
          </cell>
          <cell r="E7265">
            <v>0</v>
          </cell>
          <cell r="F7265">
            <v>0.16</v>
          </cell>
          <cell r="G7265">
            <v>0</v>
          </cell>
          <cell r="H7265">
            <v>0</v>
          </cell>
          <cell r="I7265">
            <v>0</v>
          </cell>
          <cell r="J7265">
            <v>0</v>
          </cell>
          <cell r="K7265">
            <v>0</v>
          </cell>
          <cell r="L7265">
            <v>0</v>
          </cell>
          <cell r="M7265">
            <v>0</v>
          </cell>
          <cell r="N7265">
            <v>-2.5999999999999999E-2</v>
          </cell>
          <cell r="O7265">
            <v>0</v>
          </cell>
          <cell r="P7265">
            <v>0</v>
          </cell>
          <cell r="Q7265">
            <v>0</v>
          </cell>
          <cell r="R7265">
            <v>0</v>
          </cell>
          <cell r="S7265">
            <v>0</v>
          </cell>
          <cell r="T7265">
            <v>0</v>
          </cell>
          <cell r="U7265" t="b">
            <v>1</v>
          </cell>
        </row>
        <row r="7266">
          <cell r="A7266" t="str">
            <v>Data split-18;Reg-19</v>
          </cell>
          <cell r="B7266">
            <v>-2.8</v>
          </cell>
          <cell r="C7266">
            <v>3.4</v>
          </cell>
          <cell r="D7266">
            <v>0</v>
          </cell>
          <cell r="E7266">
            <v>0</v>
          </cell>
          <cell r="F7266">
            <v>0</v>
          </cell>
          <cell r="G7266">
            <v>-0.98</v>
          </cell>
          <cell r="H7266">
            <v>0</v>
          </cell>
          <cell r="I7266">
            <v>0</v>
          </cell>
          <cell r="J7266">
            <v>0</v>
          </cell>
          <cell r="K7266">
            <v>0</v>
          </cell>
          <cell r="L7266">
            <v>0</v>
          </cell>
          <cell r="M7266">
            <v>0</v>
          </cell>
          <cell r="N7266">
            <v>0</v>
          </cell>
          <cell r="O7266">
            <v>-7.4999999999999997E-2</v>
          </cell>
          <cell r="P7266">
            <v>0</v>
          </cell>
          <cell r="Q7266">
            <v>0</v>
          </cell>
          <cell r="R7266">
            <v>0</v>
          </cell>
          <cell r="S7266">
            <v>0</v>
          </cell>
          <cell r="T7266">
            <v>0</v>
          </cell>
          <cell r="U7266" t="b">
            <v>0</v>
          </cell>
        </row>
        <row r="7267">
          <cell r="A7267" t="str">
            <v>Data split-18;Reg-20</v>
          </cell>
          <cell r="B7267">
            <v>-3</v>
          </cell>
          <cell r="C7267">
            <v>3.4</v>
          </cell>
          <cell r="D7267">
            <v>0</v>
          </cell>
          <cell r="E7267">
            <v>0</v>
          </cell>
          <cell r="F7267">
            <v>0</v>
          </cell>
          <cell r="G7267">
            <v>-1</v>
          </cell>
          <cell r="H7267">
            <v>0</v>
          </cell>
          <cell r="I7267">
            <v>0</v>
          </cell>
          <cell r="J7267">
            <v>0</v>
          </cell>
          <cell r="K7267">
            <v>0</v>
          </cell>
          <cell r="L7267">
            <v>0</v>
          </cell>
          <cell r="M7267">
            <v>0</v>
          </cell>
          <cell r="N7267">
            <v>0</v>
          </cell>
          <cell r="O7267">
            <v>0</v>
          </cell>
          <cell r="P7267">
            <v>-1.2999999999999999E-2</v>
          </cell>
          <cell r="Q7267">
            <v>0</v>
          </cell>
          <cell r="R7267">
            <v>0</v>
          </cell>
          <cell r="S7267">
            <v>0</v>
          </cell>
          <cell r="T7267">
            <v>0</v>
          </cell>
          <cell r="U7267" t="b">
            <v>0</v>
          </cell>
        </row>
        <row r="7268">
          <cell r="A7268" t="str">
            <v>Data split-18;Reg-21</v>
          </cell>
          <cell r="B7268">
            <v>-3.5</v>
          </cell>
          <cell r="C7268">
            <v>3.4</v>
          </cell>
          <cell r="D7268">
            <v>0</v>
          </cell>
          <cell r="E7268">
            <v>0</v>
          </cell>
          <cell r="F7268">
            <v>0</v>
          </cell>
          <cell r="G7268">
            <v>0</v>
          </cell>
          <cell r="H7268">
            <v>-1.2</v>
          </cell>
          <cell r="I7268">
            <v>0</v>
          </cell>
          <cell r="J7268">
            <v>0</v>
          </cell>
          <cell r="K7268">
            <v>0</v>
          </cell>
          <cell r="L7268">
            <v>0</v>
          </cell>
          <cell r="M7268">
            <v>0</v>
          </cell>
          <cell r="N7268">
            <v>0</v>
          </cell>
          <cell r="O7268">
            <v>-8.4000000000000005E-2</v>
          </cell>
          <cell r="P7268">
            <v>0</v>
          </cell>
          <cell r="Q7268">
            <v>0</v>
          </cell>
          <cell r="R7268">
            <v>0</v>
          </cell>
          <cell r="S7268">
            <v>0</v>
          </cell>
          <cell r="T7268">
            <v>0</v>
          </cell>
          <cell r="U7268" t="b">
            <v>0</v>
          </cell>
        </row>
        <row r="7269">
          <cell r="A7269" t="str">
            <v>Data split-18;Reg-22</v>
          </cell>
          <cell r="B7269">
            <v>-3.5</v>
          </cell>
          <cell r="C7269">
            <v>3.4</v>
          </cell>
          <cell r="D7269">
            <v>0</v>
          </cell>
          <cell r="E7269">
            <v>0</v>
          </cell>
          <cell r="F7269">
            <v>0</v>
          </cell>
          <cell r="G7269">
            <v>0</v>
          </cell>
          <cell r="H7269">
            <v>-1.3</v>
          </cell>
          <cell r="I7269">
            <v>0</v>
          </cell>
          <cell r="J7269">
            <v>0</v>
          </cell>
          <cell r="K7269">
            <v>0</v>
          </cell>
          <cell r="L7269">
            <v>0</v>
          </cell>
          <cell r="M7269">
            <v>0</v>
          </cell>
          <cell r="N7269">
            <v>0</v>
          </cell>
          <cell r="O7269">
            <v>0</v>
          </cell>
          <cell r="P7269">
            <v>-1.4999999999999999E-2</v>
          </cell>
          <cell r="Q7269">
            <v>0</v>
          </cell>
          <cell r="R7269">
            <v>0</v>
          </cell>
          <cell r="S7269">
            <v>0</v>
          </cell>
          <cell r="T7269">
            <v>0</v>
          </cell>
          <cell r="U7269" t="b">
            <v>0</v>
          </cell>
        </row>
        <row r="7270">
          <cell r="A7270" t="str">
            <v>Data split-18;Reg-23</v>
          </cell>
          <cell r="B7270">
            <v>-2.8</v>
          </cell>
          <cell r="C7270">
            <v>0</v>
          </cell>
          <cell r="D7270">
            <v>3.5</v>
          </cell>
          <cell r="E7270">
            <v>-0.8</v>
          </cell>
          <cell r="F7270">
            <v>0</v>
          </cell>
          <cell r="G7270">
            <v>-1.1000000000000001</v>
          </cell>
          <cell r="H7270">
            <v>0</v>
          </cell>
          <cell r="I7270">
            <v>0</v>
          </cell>
          <cell r="J7270">
            <v>0</v>
          </cell>
          <cell r="K7270">
            <v>0</v>
          </cell>
          <cell r="L7270">
            <v>0</v>
          </cell>
          <cell r="M7270">
            <v>0</v>
          </cell>
          <cell r="N7270">
            <v>0</v>
          </cell>
          <cell r="O7270">
            <v>0</v>
          </cell>
          <cell r="P7270">
            <v>0</v>
          </cell>
          <cell r="Q7270">
            <v>0</v>
          </cell>
          <cell r="R7270">
            <v>0</v>
          </cell>
          <cell r="S7270">
            <v>0</v>
          </cell>
          <cell r="T7270">
            <v>0</v>
          </cell>
          <cell r="U7270" t="b">
            <v>0</v>
          </cell>
        </row>
        <row r="7271">
          <cell r="A7271" t="str">
            <v>Data split-18;Reg-24</v>
          </cell>
          <cell r="B7271">
            <v>-3.3</v>
          </cell>
          <cell r="C7271">
            <v>0</v>
          </cell>
          <cell r="D7271">
            <v>3.5</v>
          </cell>
          <cell r="E7271">
            <v>-1</v>
          </cell>
          <cell r="F7271">
            <v>0</v>
          </cell>
          <cell r="G7271">
            <v>0</v>
          </cell>
          <cell r="H7271">
            <v>-1.3</v>
          </cell>
          <cell r="I7271">
            <v>0</v>
          </cell>
          <cell r="J7271">
            <v>0</v>
          </cell>
          <cell r="K7271">
            <v>0</v>
          </cell>
          <cell r="L7271">
            <v>0</v>
          </cell>
          <cell r="M7271">
            <v>0</v>
          </cell>
          <cell r="N7271">
            <v>0</v>
          </cell>
          <cell r="O7271">
            <v>0</v>
          </cell>
          <cell r="P7271">
            <v>0</v>
          </cell>
          <cell r="Q7271">
            <v>0</v>
          </cell>
          <cell r="R7271">
            <v>0</v>
          </cell>
          <cell r="S7271">
            <v>0</v>
          </cell>
          <cell r="T7271">
            <v>0</v>
          </cell>
          <cell r="U7271" t="b">
            <v>0</v>
          </cell>
        </row>
        <row r="7272">
          <cell r="A7272" t="str">
            <v>Data split-18;Reg-25</v>
          </cell>
          <cell r="B7272">
            <v>-2.9</v>
          </cell>
          <cell r="C7272">
            <v>0</v>
          </cell>
          <cell r="D7272">
            <v>3.3</v>
          </cell>
          <cell r="E7272">
            <v>0</v>
          </cell>
          <cell r="F7272">
            <v>0.12</v>
          </cell>
          <cell r="G7272">
            <v>-1.6</v>
          </cell>
          <cell r="H7272">
            <v>0</v>
          </cell>
          <cell r="I7272">
            <v>0</v>
          </cell>
          <cell r="J7272">
            <v>0</v>
          </cell>
          <cell r="K7272">
            <v>0</v>
          </cell>
          <cell r="L7272">
            <v>0</v>
          </cell>
          <cell r="M7272">
            <v>0</v>
          </cell>
          <cell r="N7272">
            <v>0</v>
          </cell>
          <cell r="O7272">
            <v>0</v>
          </cell>
          <cell r="P7272">
            <v>0</v>
          </cell>
          <cell r="Q7272">
            <v>0</v>
          </cell>
          <cell r="R7272">
            <v>0</v>
          </cell>
          <cell r="S7272">
            <v>0</v>
          </cell>
          <cell r="T7272">
            <v>0</v>
          </cell>
          <cell r="U7272" t="b">
            <v>0</v>
          </cell>
        </row>
        <row r="7273">
          <cell r="A7273" t="str">
            <v>Data split-18;Reg-26</v>
          </cell>
          <cell r="B7273">
            <v>-2.8</v>
          </cell>
          <cell r="C7273">
            <v>0</v>
          </cell>
          <cell r="D7273">
            <v>3.4</v>
          </cell>
          <cell r="E7273">
            <v>0</v>
          </cell>
          <cell r="F7273">
            <v>0.18</v>
          </cell>
          <cell r="G7273">
            <v>0</v>
          </cell>
          <cell r="H7273">
            <v>-2.8</v>
          </cell>
          <cell r="I7273">
            <v>0</v>
          </cell>
          <cell r="J7273">
            <v>0</v>
          </cell>
          <cell r="K7273">
            <v>0</v>
          </cell>
          <cell r="L7273">
            <v>0</v>
          </cell>
          <cell r="M7273">
            <v>0</v>
          </cell>
          <cell r="N7273">
            <v>0</v>
          </cell>
          <cell r="O7273">
            <v>0</v>
          </cell>
          <cell r="P7273">
            <v>0</v>
          </cell>
          <cell r="Q7273">
            <v>0</v>
          </cell>
          <cell r="R7273">
            <v>0</v>
          </cell>
          <cell r="S7273">
            <v>0</v>
          </cell>
          <cell r="T7273">
            <v>0</v>
          </cell>
          <cell r="U7273" t="b">
            <v>0</v>
          </cell>
        </row>
        <row r="7274">
          <cell r="A7274" t="str">
            <v>Data split-18;Reg-27</v>
          </cell>
          <cell r="B7274">
            <v>-4.0999999999999996</v>
          </cell>
          <cell r="C7274">
            <v>0</v>
          </cell>
          <cell r="D7274">
            <v>3.4</v>
          </cell>
          <cell r="E7274">
            <v>-1.2</v>
          </cell>
          <cell r="F7274">
            <v>0</v>
          </cell>
          <cell r="G7274">
            <v>0</v>
          </cell>
          <cell r="H7274">
            <v>0</v>
          </cell>
          <cell r="I7274">
            <v>0</v>
          </cell>
          <cell r="J7274">
            <v>0</v>
          </cell>
          <cell r="K7274">
            <v>0</v>
          </cell>
          <cell r="L7274">
            <v>0</v>
          </cell>
          <cell r="M7274">
            <v>-6.0999999999999999E-2</v>
          </cell>
          <cell r="N7274">
            <v>0</v>
          </cell>
          <cell r="O7274">
            <v>0</v>
          </cell>
          <cell r="P7274">
            <v>0</v>
          </cell>
          <cell r="Q7274">
            <v>0</v>
          </cell>
          <cell r="R7274">
            <v>0</v>
          </cell>
          <cell r="S7274">
            <v>0</v>
          </cell>
          <cell r="T7274">
            <v>0</v>
          </cell>
          <cell r="U7274" t="b">
            <v>0</v>
          </cell>
        </row>
        <row r="7275">
          <cell r="A7275" t="str">
            <v>Data split-18;Reg-28</v>
          </cell>
          <cell r="B7275">
            <v>-4.2</v>
          </cell>
          <cell r="C7275">
            <v>0</v>
          </cell>
          <cell r="D7275">
            <v>3.5</v>
          </cell>
          <cell r="E7275">
            <v>-1.3</v>
          </cell>
          <cell r="F7275">
            <v>0</v>
          </cell>
          <cell r="G7275">
            <v>0</v>
          </cell>
          <cell r="H7275">
            <v>0</v>
          </cell>
          <cell r="I7275">
            <v>0</v>
          </cell>
          <cell r="J7275">
            <v>0</v>
          </cell>
          <cell r="K7275">
            <v>0</v>
          </cell>
          <cell r="L7275">
            <v>0</v>
          </cell>
          <cell r="M7275">
            <v>0</v>
          </cell>
          <cell r="N7275">
            <v>-9.4999999999999998E-3</v>
          </cell>
          <cell r="O7275">
            <v>0</v>
          </cell>
          <cell r="P7275">
            <v>0</v>
          </cell>
          <cell r="Q7275">
            <v>0</v>
          </cell>
          <cell r="R7275">
            <v>0</v>
          </cell>
          <cell r="S7275">
            <v>0</v>
          </cell>
          <cell r="T7275">
            <v>0</v>
          </cell>
          <cell r="U7275" t="b">
            <v>0</v>
          </cell>
        </row>
        <row r="7276">
          <cell r="A7276" t="str">
            <v>Data split-18;Reg-29</v>
          </cell>
          <cell r="B7276">
            <v>-5.3</v>
          </cell>
          <cell r="C7276">
            <v>0</v>
          </cell>
          <cell r="D7276">
            <v>3.1</v>
          </cell>
          <cell r="E7276">
            <v>0</v>
          </cell>
          <cell r="F7276">
            <v>0.15</v>
          </cell>
          <cell r="G7276">
            <v>0</v>
          </cell>
          <cell r="H7276">
            <v>0</v>
          </cell>
          <cell r="I7276">
            <v>0</v>
          </cell>
          <cell r="J7276">
            <v>0</v>
          </cell>
          <cell r="K7276">
            <v>0</v>
          </cell>
          <cell r="L7276">
            <v>0</v>
          </cell>
          <cell r="M7276">
            <v>-0.14000000000000001</v>
          </cell>
          <cell r="N7276">
            <v>0</v>
          </cell>
          <cell r="O7276">
            <v>0</v>
          </cell>
          <cell r="P7276">
            <v>0</v>
          </cell>
          <cell r="Q7276">
            <v>0</v>
          </cell>
          <cell r="R7276">
            <v>0</v>
          </cell>
          <cell r="S7276">
            <v>0</v>
          </cell>
          <cell r="T7276">
            <v>0</v>
          </cell>
          <cell r="U7276" t="b">
            <v>1</v>
          </cell>
        </row>
        <row r="7277">
          <cell r="A7277" t="str">
            <v>Data split-18;Reg-30</v>
          </cell>
          <cell r="B7277">
            <v>-5.5</v>
          </cell>
          <cell r="C7277">
            <v>0</v>
          </cell>
          <cell r="D7277">
            <v>3.2</v>
          </cell>
          <cell r="E7277">
            <v>0</v>
          </cell>
          <cell r="F7277">
            <v>0.16</v>
          </cell>
          <cell r="G7277">
            <v>0</v>
          </cell>
          <cell r="H7277">
            <v>0</v>
          </cell>
          <cell r="I7277">
            <v>0</v>
          </cell>
          <cell r="J7277">
            <v>0</v>
          </cell>
          <cell r="K7277">
            <v>0</v>
          </cell>
          <cell r="L7277">
            <v>0</v>
          </cell>
          <cell r="M7277">
            <v>0</v>
          </cell>
          <cell r="N7277">
            <v>-2.7E-2</v>
          </cell>
          <cell r="O7277">
            <v>0</v>
          </cell>
          <cell r="P7277">
            <v>0</v>
          </cell>
          <cell r="Q7277">
            <v>0</v>
          </cell>
          <cell r="R7277">
            <v>0</v>
          </cell>
          <cell r="S7277">
            <v>0</v>
          </cell>
          <cell r="T7277">
            <v>0</v>
          </cell>
          <cell r="U7277" t="b">
            <v>1</v>
          </cell>
        </row>
        <row r="7278">
          <cell r="A7278" t="str">
            <v>Data split-18;Reg-31</v>
          </cell>
          <cell r="B7278">
            <v>-3.2</v>
          </cell>
          <cell r="C7278">
            <v>0</v>
          </cell>
          <cell r="D7278">
            <v>3.5</v>
          </cell>
          <cell r="E7278">
            <v>0</v>
          </cell>
          <cell r="F7278">
            <v>0</v>
          </cell>
          <cell r="G7278">
            <v>-1.1000000000000001</v>
          </cell>
          <cell r="H7278">
            <v>0</v>
          </cell>
          <cell r="I7278">
            <v>0</v>
          </cell>
          <cell r="J7278">
            <v>0</v>
          </cell>
          <cell r="K7278">
            <v>0</v>
          </cell>
          <cell r="L7278">
            <v>0</v>
          </cell>
          <cell r="M7278">
            <v>0</v>
          </cell>
          <cell r="N7278">
            <v>0</v>
          </cell>
          <cell r="O7278">
            <v>-7.0000000000000007E-2</v>
          </cell>
          <cell r="P7278">
            <v>0</v>
          </cell>
          <cell r="Q7278">
            <v>0</v>
          </cell>
          <cell r="R7278">
            <v>0</v>
          </cell>
          <cell r="S7278">
            <v>0</v>
          </cell>
          <cell r="T7278">
            <v>0</v>
          </cell>
          <cell r="U7278" t="b">
            <v>0</v>
          </cell>
        </row>
        <row r="7279">
          <cell r="A7279" t="str">
            <v>Data split-18;Reg-32</v>
          </cell>
          <cell r="B7279">
            <v>-3.3</v>
          </cell>
          <cell r="C7279">
            <v>0</v>
          </cell>
          <cell r="D7279">
            <v>3.5</v>
          </cell>
          <cell r="E7279">
            <v>0</v>
          </cell>
          <cell r="F7279">
            <v>0</v>
          </cell>
          <cell r="G7279">
            <v>-1.2</v>
          </cell>
          <cell r="H7279">
            <v>0</v>
          </cell>
          <cell r="I7279">
            <v>0</v>
          </cell>
          <cell r="J7279">
            <v>0</v>
          </cell>
          <cell r="K7279">
            <v>0</v>
          </cell>
          <cell r="L7279">
            <v>0</v>
          </cell>
          <cell r="M7279">
            <v>0</v>
          </cell>
          <cell r="N7279">
            <v>0</v>
          </cell>
          <cell r="O7279">
            <v>0</v>
          </cell>
          <cell r="P7279">
            <v>-1.0999999999999999E-2</v>
          </cell>
          <cell r="Q7279">
            <v>0</v>
          </cell>
          <cell r="R7279">
            <v>0</v>
          </cell>
          <cell r="S7279">
            <v>0</v>
          </cell>
          <cell r="T7279">
            <v>0</v>
          </cell>
          <cell r="U7279" t="b">
            <v>0</v>
          </cell>
        </row>
        <row r="7280">
          <cell r="A7280" t="str">
            <v>Data split-18;Reg-33</v>
          </cell>
          <cell r="B7280">
            <v>-3.8</v>
          </cell>
          <cell r="C7280">
            <v>0</v>
          </cell>
          <cell r="D7280">
            <v>3.4</v>
          </cell>
          <cell r="E7280">
            <v>0</v>
          </cell>
          <cell r="F7280">
            <v>0</v>
          </cell>
          <cell r="G7280">
            <v>0</v>
          </cell>
          <cell r="H7280">
            <v>-1.4</v>
          </cell>
          <cell r="I7280">
            <v>0</v>
          </cell>
          <cell r="J7280">
            <v>0</v>
          </cell>
          <cell r="K7280">
            <v>0</v>
          </cell>
          <cell r="L7280">
            <v>0</v>
          </cell>
          <cell r="M7280">
            <v>0</v>
          </cell>
          <cell r="N7280">
            <v>0</v>
          </cell>
          <cell r="O7280">
            <v>-7.6999999999999999E-2</v>
          </cell>
          <cell r="P7280">
            <v>0</v>
          </cell>
          <cell r="Q7280">
            <v>0</v>
          </cell>
          <cell r="R7280">
            <v>0</v>
          </cell>
          <cell r="S7280">
            <v>0</v>
          </cell>
          <cell r="T7280">
            <v>0</v>
          </cell>
          <cell r="U7280" t="b">
            <v>0</v>
          </cell>
        </row>
        <row r="7281">
          <cell r="A7281" t="str">
            <v>Data split-18;Reg-34</v>
          </cell>
          <cell r="B7281">
            <v>-3.8</v>
          </cell>
          <cell r="C7281">
            <v>0</v>
          </cell>
          <cell r="D7281">
            <v>3.5</v>
          </cell>
          <cell r="E7281">
            <v>0</v>
          </cell>
          <cell r="F7281">
            <v>0</v>
          </cell>
          <cell r="G7281">
            <v>0</v>
          </cell>
          <cell r="H7281">
            <v>-1.6</v>
          </cell>
          <cell r="I7281">
            <v>0</v>
          </cell>
          <cell r="J7281">
            <v>0</v>
          </cell>
          <cell r="K7281">
            <v>0</v>
          </cell>
          <cell r="L7281">
            <v>0</v>
          </cell>
          <cell r="M7281">
            <v>0</v>
          </cell>
          <cell r="N7281">
            <v>0</v>
          </cell>
          <cell r="O7281">
            <v>0</v>
          </cell>
          <cell r="P7281">
            <v>-1.2E-2</v>
          </cell>
          <cell r="Q7281">
            <v>0</v>
          </cell>
          <cell r="R7281">
            <v>0</v>
          </cell>
          <cell r="S7281">
            <v>0</v>
          </cell>
          <cell r="T7281">
            <v>0</v>
          </cell>
          <cell r="U7281" t="b">
            <v>0</v>
          </cell>
        </row>
        <row r="7282">
          <cell r="A7282" t="str">
            <v>Data split-18;Reg-35</v>
          </cell>
          <cell r="B7282">
            <v>-2.7</v>
          </cell>
          <cell r="C7282">
            <v>3.4</v>
          </cell>
          <cell r="D7282">
            <v>0</v>
          </cell>
          <cell r="E7282">
            <v>-0.42</v>
          </cell>
          <cell r="F7282">
            <v>0</v>
          </cell>
          <cell r="G7282">
            <v>-0.97</v>
          </cell>
          <cell r="H7282">
            <v>0</v>
          </cell>
          <cell r="I7282">
            <v>0</v>
          </cell>
          <cell r="J7282">
            <v>0</v>
          </cell>
          <cell r="K7282">
            <v>0</v>
          </cell>
          <cell r="L7282">
            <v>0</v>
          </cell>
          <cell r="M7282">
            <v>-3.7999999999999999E-2</v>
          </cell>
          <cell r="N7282">
            <v>0</v>
          </cell>
          <cell r="O7282">
            <v>0</v>
          </cell>
          <cell r="P7282">
            <v>0</v>
          </cell>
          <cell r="Q7282">
            <v>0</v>
          </cell>
          <cell r="R7282">
            <v>0</v>
          </cell>
          <cell r="S7282">
            <v>0</v>
          </cell>
          <cell r="T7282">
            <v>0</v>
          </cell>
          <cell r="U7282" t="b">
            <v>0</v>
          </cell>
        </row>
        <row r="7283">
          <cell r="A7283" t="str">
            <v>Data split-18;Reg-36</v>
          </cell>
          <cell r="B7283">
            <v>-2.5</v>
          </cell>
          <cell r="C7283">
            <v>3.5</v>
          </cell>
          <cell r="D7283">
            <v>0</v>
          </cell>
          <cell r="E7283">
            <v>-0.68</v>
          </cell>
          <cell r="F7283">
            <v>0</v>
          </cell>
          <cell r="G7283">
            <v>-1.1000000000000001</v>
          </cell>
          <cell r="H7283">
            <v>0</v>
          </cell>
          <cell r="I7283">
            <v>0</v>
          </cell>
          <cell r="J7283">
            <v>0</v>
          </cell>
          <cell r="K7283">
            <v>0</v>
          </cell>
          <cell r="L7283">
            <v>0</v>
          </cell>
          <cell r="M7283">
            <v>0</v>
          </cell>
          <cell r="N7283">
            <v>-1.4E-3</v>
          </cell>
          <cell r="O7283">
            <v>0</v>
          </cell>
          <cell r="P7283">
            <v>0</v>
          </cell>
          <cell r="Q7283">
            <v>0</v>
          </cell>
          <cell r="R7283">
            <v>0</v>
          </cell>
          <cell r="S7283">
            <v>0</v>
          </cell>
          <cell r="T7283">
            <v>0</v>
          </cell>
          <cell r="U7283" t="b">
            <v>0</v>
          </cell>
        </row>
        <row r="7284">
          <cell r="A7284" t="str">
            <v>Data split-18;Reg-37</v>
          </cell>
          <cell r="B7284">
            <v>-3.6</v>
          </cell>
          <cell r="C7284">
            <v>3.4</v>
          </cell>
          <cell r="D7284">
            <v>0</v>
          </cell>
          <cell r="E7284">
            <v>-0.95</v>
          </cell>
          <cell r="F7284">
            <v>0</v>
          </cell>
          <cell r="G7284">
            <v>0</v>
          </cell>
          <cell r="H7284">
            <v>-0.32</v>
          </cell>
          <cell r="I7284">
            <v>0</v>
          </cell>
          <cell r="J7284">
            <v>0</v>
          </cell>
          <cell r="K7284">
            <v>0</v>
          </cell>
          <cell r="L7284">
            <v>0</v>
          </cell>
          <cell r="M7284">
            <v>-5.3999999999999999E-2</v>
          </cell>
          <cell r="N7284">
            <v>0</v>
          </cell>
          <cell r="O7284">
            <v>0</v>
          </cell>
          <cell r="P7284">
            <v>0</v>
          </cell>
          <cell r="Q7284">
            <v>0</v>
          </cell>
          <cell r="R7284">
            <v>0</v>
          </cell>
          <cell r="S7284">
            <v>0</v>
          </cell>
          <cell r="T7284">
            <v>0</v>
          </cell>
          <cell r="U7284" t="b">
            <v>0</v>
          </cell>
        </row>
        <row r="7285">
          <cell r="A7285" t="str">
            <v>Data split-18;Reg-38</v>
          </cell>
          <cell r="B7285">
            <v>-3</v>
          </cell>
          <cell r="C7285">
            <v>3.5</v>
          </cell>
          <cell r="D7285">
            <v>0</v>
          </cell>
          <cell r="E7285">
            <v>-0.85</v>
          </cell>
          <cell r="F7285">
            <v>0</v>
          </cell>
          <cell r="G7285">
            <v>0</v>
          </cell>
          <cell r="H7285">
            <v>-1.3</v>
          </cell>
          <cell r="I7285">
            <v>0</v>
          </cell>
          <cell r="J7285">
            <v>0</v>
          </cell>
          <cell r="K7285">
            <v>0</v>
          </cell>
          <cell r="L7285">
            <v>0</v>
          </cell>
          <cell r="M7285">
            <v>0</v>
          </cell>
          <cell r="N7285">
            <v>-1.6000000000000001E-3</v>
          </cell>
          <cell r="O7285">
            <v>0</v>
          </cell>
          <cell r="P7285">
            <v>0</v>
          </cell>
          <cell r="Q7285">
            <v>0</v>
          </cell>
          <cell r="R7285">
            <v>0</v>
          </cell>
          <cell r="S7285">
            <v>0</v>
          </cell>
          <cell r="T7285">
            <v>0</v>
          </cell>
          <cell r="U7285" t="b">
            <v>0</v>
          </cell>
        </row>
        <row r="7286">
          <cell r="A7286" t="str">
            <v>Data split-18;Reg-39</v>
          </cell>
          <cell r="B7286">
            <v>-3</v>
          </cell>
          <cell r="C7286">
            <v>3.3</v>
          </cell>
          <cell r="D7286">
            <v>0</v>
          </cell>
          <cell r="E7286">
            <v>0</v>
          </cell>
          <cell r="F7286">
            <v>0.14000000000000001</v>
          </cell>
          <cell r="G7286">
            <v>-1</v>
          </cell>
          <cell r="H7286">
            <v>0</v>
          </cell>
          <cell r="I7286">
            <v>0</v>
          </cell>
          <cell r="J7286">
            <v>0</v>
          </cell>
          <cell r="K7286">
            <v>0</v>
          </cell>
          <cell r="L7286">
            <v>0</v>
          </cell>
          <cell r="M7286">
            <v>-6.4000000000000001E-2</v>
          </cell>
          <cell r="N7286">
            <v>0</v>
          </cell>
          <cell r="O7286">
            <v>0</v>
          </cell>
          <cell r="P7286">
            <v>0</v>
          </cell>
          <cell r="Q7286">
            <v>0</v>
          </cell>
          <cell r="R7286">
            <v>0</v>
          </cell>
          <cell r="S7286">
            <v>0</v>
          </cell>
          <cell r="T7286">
            <v>0</v>
          </cell>
          <cell r="U7286" t="b">
            <v>0</v>
          </cell>
        </row>
        <row r="7287">
          <cell r="A7287" t="str">
            <v>Data split-18;Reg-40</v>
          </cell>
          <cell r="B7287">
            <v>-3.1</v>
          </cell>
          <cell r="C7287">
            <v>3.3</v>
          </cell>
          <cell r="D7287">
            <v>0</v>
          </cell>
          <cell r="E7287">
            <v>0</v>
          </cell>
          <cell r="F7287">
            <v>0.14000000000000001</v>
          </cell>
          <cell r="G7287">
            <v>-1.1000000000000001</v>
          </cell>
          <cell r="H7287">
            <v>0</v>
          </cell>
          <cell r="I7287">
            <v>0</v>
          </cell>
          <cell r="J7287">
            <v>0</v>
          </cell>
          <cell r="K7287">
            <v>0</v>
          </cell>
          <cell r="L7287">
            <v>0</v>
          </cell>
          <cell r="M7287">
            <v>0</v>
          </cell>
          <cell r="N7287">
            <v>-1.0999999999999999E-2</v>
          </cell>
          <cell r="O7287">
            <v>0</v>
          </cell>
          <cell r="P7287">
            <v>0</v>
          </cell>
          <cell r="Q7287">
            <v>0</v>
          </cell>
          <cell r="R7287">
            <v>0</v>
          </cell>
          <cell r="S7287">
            <v>0</v>
          </cell>
          <cell r="T7287">
            <v>0</v>
          </cell>
          <cell r="U7287" t="b">
            <v>0</v>
          </cell>
        </row>
        <row r="7288">
          <cell r="A7288" t="str">
            <v>Data split-18;Reg-41</v>
          </cell>
          <cell r="B7288">
            <v>-2.6</v>
          </cell>
          <cell r="C7288">
            <v>3.4</v>
          </cell>
          <cell r="D7288">
            <v>0</v>
          </cell>
          <cell r="E7288">
            <v>0</v>
          </cell>
          <cell r="F7288">
            <v>0.18</v>
          </cell>
          <cell r="G7288">
            <v>0</v>
          </cell>
          <cell r="H7288">
            <v>-2.2999999999999998</v>
          </cell>
          <cell r="I7288">
            <v>0</v>
          </cell>
          <cell r="J7288">
            <v>0</v>
          </cell>
          <cell r="K7288">
            <v>0</v>
          </cell>
          <cell r="L7288">
            <v>0</v>
          </cell>
          <cell r="M7288">
            <v>-1.9E-2</v>
          </cell>
          <cell r="N7288">
            <v>0</v>
          </cell>
          <cell r="O7288">
            <v>0</v>
          </cell>
          <cell r="P7288">
            <v>0</v>
          </cell>
          <cell r="Q7288">
            <v>0</v>
          </cell>
          <cell r="R7288">
            <v>0</v>
          </cell>
          <cell r="S7288">
            <v>0</v>
          </cell>
          <cell r="T7288">
            <v>0</v>
          </cell>
          <cell r="U7288" t="b">
            <v>0</v>
          </cell>
        </row>
        <row r="7289">
          <cell r="A7289" t="str">
            <v>Data split-18;Reg-42</v>
          </cell>
          <cell r="B7289">
            <v>-1.7</v>
          </cell>
          <cell r="C7289">
            <v>3.4</v>
          </cell>
          <cell r="D7289">
            <v>0</v>
          </cell>
          <cell r="E7289">
            <v>0</v>
          </cell>
          <cell r="F7289">
            <v>0.19</v>
          </cell>
          <cell r="G7289">
            <v>0</v>
          </cell>
          <cell r="H7289">
            <v>-3.5</v>
          </cell>
          <cell r="I7289">
            <v>0</v>
          </cell>
          <cell r="J7289">
            <v>0</v>
          </cell>
          <cell r="K7289">
            <v>0</v>
          </cell>
          <cell r="L7289">
            <v>0</v>
          </cell>
          <cell r="M7289">
            <v>0</v>
          </cell>
          <cell r="N7289">
            <v>8.5000000000000006E-3</v>
          </cell>
          <cell r="O7289">
            <v>0</v>
          </cell>
          <cell r="P7289">
            <v>0</v>
          </cell>
          <cell r="Q7289">
            <v>0</v>
          </cell>
          <cell r="R7289">
            <v>0</v>
          </cell>
          <cell r="S7289">
            <v>0</v>
          </cell>
          <cell r="T7289">
            <v>0</v>
          </cell>
          <cell r="U7289" t="b">
            <v>0</v>
          </cell>
        </row>
        <row r="7290">
          <cell r="A7290" t="str">
            <v>Data split-18;Reg-43</v>
          </cell>
          <cell r="B7290">
            <v>-2.7</v>
          </cell>
          <cell r="C7290">
            <v>3.4</v>
          </cell>
          <cell r="D7290">
            <v>0</v>
          </cell>
          <cell r="E7290">
            <v>-0.2</v>
          </cell>
          <cell r="F7290">
            <v>0</v>
          </cell>
          <cell r="G7290">
            <v>-0.89</v>
          </cell>
          <cell r="H7290">
            <v>0</v>
          </cell>
          <cell r="I7290">
            <v>0</v>
          </cell>
          <cell r="J7290">
            <v>0</v>
          </cell>
          <cell r="K7290">
            <v>0</v>
          </cell>
          <cell r="L7290">
            <v>0</v>
          </cell>
          <cell r="M7290">
            <v>0</v>
          </cell>
          <cell r="N7290">
            <v>0</v>
          </cell>
          <cell r="O7290">
            <v>-7.0000000000000007E-2</v>
          </cell>
          <cell r="P7290">
            <v>0</v>
          </cell>
          <cell r="Q7290">
            <v>0</v>
          </cell>
          <cell r="R7290">
            <v>0</v>
          </cell>
          <cell r="S7290">
            <v>0</v>
          </cell>
          <cell r="T7290">
            <v>0</v>
          </cell>
          <cell r="U7290" t="b">
            <v>0</v>
          </cell>
        </row>
        <row r="7291">
          <cell r="A7291" t="str">
            <v>Data split-18;Reg-44</v>
          </cell>
          <cell r="B7291">
            <v>-2.8</v>
          </cell>
          <cell r="C7291">
            <v>3.5</v>
          </cell>
          <cell r="D7291">
            <v>0</v>
          </cell>
          <cell r="E7291">
            <v>-0.39</v>
          </cell>
          <cell r="F7291">
            <v>0</v>
          </cell>
          <cell r="G7291">
            <v>-0.89</v>
          </cell>
          <cell r="H7291">
            <v>0</v>
          </cell>
          <cell r="I7291">
            <v>0</v>
          </cell>
          <cell r="J7291">
            <v>0</v>
          </cell>
          <cell r="K7291">
            <v>0</v>
          </cell>
          <cell r="L7291">
            <v>0</v>
          </cell>
          <cell r="M7291">
            <v>0</v>
          </cell>
          <cell r="N7291">
            <v>0</v>
          </cell>
          <cell r="O7291">
            <v>0</v>
          </cell>
          <cell r="P7291">
            <v>-9.7999999999999997E-3</v>
          </cell>
          <cell r="Q7291">
            <v>0</v>
          </cell>
          <cell r="R7291">
            <v>0</v>
          </cell>
          <cell r="S7291">
            <v>0</v>
          </cell>
          <cell r="T7291">
            <v>0</v>
          </cell>
          <cell r="U7291" t="b">
            <v>0</v>
          </cell>
        </row>
        <row r="7292">
          <cell r="A7292" t="str">
            <v>Data split-18;Reg-45</v>
          </cell>
          <cell r="B7292">
            <v>-3.5</v>
          </cell>
          <cell r="C7292">
            <v>3.4</v>
          </cell>
          <cell r="D7292">
            <v>0</v>
          </cell>
          <cell r="E7292">
            <v>-0.9</v>
          </cell>
          <cell r="F7292">
            <v>0</v>
          </cell>
          <cell r="G7292">
            <v>0</v>
          </cell>
          <cell r="H7292">
            <v>4.2999999999999997E-2</v>
          </cell>
          <cell r="I7292">
            <v>0</v>
          </cell>
          <cell r="J7292">
            <v>0</v>
          </cell>
          <cell r="K7292">
            <v>0</v>
          </cell>
          <cell r="L7292">
            <v>0</v>
          </cell>
          <cell r="M7292">
            <v>0</v>
          </cell>
          <cell r="N7292">
            <v>0</v>
          </cell>
          <cell r="O7292">
            <v>-8.5999999999999993E-2</v>
          </cell>
          <cell r="P7292">
            <v>0</v>
          </cell>
          <cell r="Q7292">
            <v>0</v>
          </cell>
          <cell r="R7292">
            <v>0</v>
          </cell>
          <cell r="S7292">
            <v>0</v>
          </cell>
          <cell r="T7292">
            <v>0</v>
          </cell>
          <cell r="U7292" t="b">
            <v>0</v>
          </cell>
        </row>
        <row r="7293">
          <cell r="A7293" t="str">
            <v>Data split-18;Reg-46</v>
          </cell>
          <cell r="B7293">
            <v>-3.6</v>
          </cell>
          <cell r="C7293">
            <v>3.4</v>
          </cell>
          <cell r="D7293">
            <v>0</v>
          </cell>
          <cell r="E7293">
            <v>-0.85</v>
          </cell>
          <cell r="F7293">
            <v>0</v>
          </cell>
          <cell r="G7293">
            <v>0</v>
          </cell>
          <cell r="H7293">
            <v>-0.22</v>
          </cell>
          <cell r="I7293">
            <v>0</v>
          </cell>
          <cell r="J7293">
            <v>0</v>
          </cell>
          <cell r="K7293">
            <v>0</v>
          </cell>
          <cell r="L7293">
            <v>0</v>
          </cell>
          <cell r="M7293">
            <v>0</v>
          </cell>
          <cell r="N7293">
            <v>0</v>
          </cell>
          <cell r="O7293">
            <v>0</v>
          </cell>
          <cell r="P7293">
            <v>-1.4999999999999999E-2</v>
          </cell>
          <cell r="Q7293">
            <v>0</v>
          </cell>
          <cell r="R7293">
            <v>0</v>
          </cell>
          <cell r="S7293">
            <v>0</v>
          </cell>
          <cell r="T7293">
            <v>0</v>
          </cell>
          <cell r="U7293" t="b">
            <v>0</v>
          </cell>
        </row>
        <row r="7294">
          <cell r="A7294" t="str">
            <v>Data split-18;Reg-47</v>
          </cell>
          <cell r="B7294">
            <v>-2.8</v>
          </cell>
          <cell r="C7294">
            <v>3.3</v>
          </cell>
          <cell r="D7294">
            <v>0</v>
          </cell>
          <cell r="E7294">
            <v>0</v>
          </cell>
          <cell r="F7294">
            <v>0.15</v>
          </cell>
          <cell r="G7294">
            <v>-0.86</v>
          </cell>
          <cell r="H7294">
            <v>0</v>
          </cell>
          <cell r="I7294">
            <v>0</v>
          </cell>
          <cell r="J7294">
            <v>0</v>
          </cell>
          <cell r="K7294">
            <v>0</v>
          </cell>
          <cell r="L7294">
            <v>0</v>
          </cell>
          <cell r="M7294">
            <v>0</v>
          </cell>
          <cell r="N7294">
            <v>0</v>
          </cell>
          <cell r="O7294">
            <v>-8.6999999999999994E-2</v>
          </cell>
          <cell r="P7294">
            <v>0</v>
          </cell>
          <cell r="Q7294">
            <v>0</v>
          </cell>
          <cell r="R7294">
            <v>0</v>
          </cell>
          <cell r="S7294">
            <v>0</v>
          </cell>
          <cell r="T7294">
            <v>0</v>
          </cell>
          <cell r="U7294" t="b">
            <v>0</v>
          </cell>
        </row>
        <row r="7295">
          <cell r="A7295" t="str">
            <v>Data split-18;Reg-48</v>
          </cell>
          <cell r="B7295">
            <v>-3</v>
          </cell>
          <cell r="C7295">
            <v>3.3</v>
          </cell>
          <cell r="D7295">
            <v>0</v>
          </cell>
          <cell r="E7295">
            <v>0</v>
          </cell>
          <cell r="F7295">
            <v>0.16</v>
          </cell>
          <cell r="G7295">
            <v>-0.85</v>
          </cell>
          <cell r="H7295">
            <v>0</v>
          </cell>
          <cell r="I7295">
            <v>0</v>
          </cell>
          <cell r="J7295">
            <v>0</v>
          </cell>
          <cell r="K7295">
            <v>0</v>
          </cell>
          <cell r="L7295">
            <v>0</v>
          </cell>
          <cell r="M7295">
            <v>0</v>
          </cell>
          <cell r="N7295">
            <v>0</v>
          </cell>
          <cell r="O7295">
            <v>0</v>
          </cell>
          <cell r="P7295">
            <v>-1.7000000000000001E-2</v>
          </cell>
          <cell r="Q7295">
            <v>0</v>
          </cell>
          <cell r="R7295">
            <v>0</v>
          </cell>
          <cell r="S7295">
            <v>0</v>
          </cell>
          <cell r="T7295">
            <v>0</v>
          </cell>
          <cell r="U7295" t="b">
            <v>0</v>
          </cell>
        </row>
        <row r="7296">
          <cell r="A7296" t="str">
            <v>Data split-18;Reg-49</v>
          </cell>
          <cell r="B7296">
            <v>-3</v>
          </cell>
          <cell r="C7296">
            <v>3.3</v>
          </cell>
          <cell r="D7296">
            <v>0</v>
          </cell>
          <cell r="E7296">
            <v>0</v>
          </cell>
          <cell r="F7296">
            <v>0.18</v>
          </cell>
          <cell r="G7296">
            <v>0</v>
          </cell>
          <cell r="H7296">
            <v>-1.4</v>
          </cell>
          <cell r="I7296">
            <v>0</v>
          </cell>
          <cell r="J7296">
            <v>0</v>
          </cell>
          <cell r="K7296">
            <v>0</v>
          </cell>
          <cell r="L7296">
            <v>0</v>
          </cell>
          <cell r="M7296">
            <v>0</v>
          </cell>
          <cell r="N7296">
            <v>0</v>
          </cell>
          <cell r="O7296">
            <v>-8.1000000000000003E-2</v>
          </cell>
          <cell r="P7296">
            <v>0</v>
          </cell>
          <cell r="Q7296">
            <v>0</v>
          </cell>
          <cell r="R7296">
            <v>0</v>
          </cell>
          <cell r="S7296">
            <v>0</v>
          </cell>
          <cell r="T7296">
            <v>0</v>
          </cell>
          <cell r="U7296" t="b">
            <v>0</v>
          </cell>
        </row>
        <row r="7297">
          <cell r="A7297" t="str">
            <v>Data split-18;Reg-50</v>
          </cell>
          <cell r="B7297">
            <v>-3.1</v>
          </cell>
          <cell r="C7297">
            <v>3.3</v>
          </cell>
          <cell r="D7297">
            <v>0</v>
          </cell>
          <cell r="E7297">
            <v>0</v>
          </cell>
          <cell r="F7297">
            <v>0.18</v>
          </cell>
          <cell r="G7297">
            <v>0</v>
          </cell>
          <cell r="H7297">
            <v>-1.5</v>
          </cell>
          <cell r="I7297">
            <v>0</v>
          </cell>
          <cell r="J7297">
            <v>0</v>
          </cell>
          <cell r="K7297">
            <v>0</v>
          </cell>
          <cell r="L7297">
            <v>0</v>
          </cell>
          <cell r="M7297">
            <v>0</v>
          </cell>
          <cell r="N7297">
            <v>0</v>
          </cell>
          <cell r="O7297">
            <v>0</v>
          </cell>
          <cell r="P7297">
            <v>-1.4999999999999999E-2</v>
          </cell>
          <cell r="Q7297">
            <v>0</v>
          </cell>
          <cell r="R7297">
            <v>0</v>
          </cell>
          <cell r="S7297">
            <v>0</v>
          </cell>
          <cell r="T7297">
            <v>0</v>
          </cell>
          <cell r="U7297" t="b">
            <v>0</v>
          </cell>
        </row>
        <row r="7298">
          <cell r="A7298" t="str">
            <v>Data split-18;Reg-51</v>
          </cell>
          <cell r="B7298">
            <v>-3.1</v>
          </cell>
          <cell r="C7298">
            <v>0</v>
          </cell>
          <cell r="D7298">
            <v>3.5</v>
          </cell>
          <cell r="E7298">
            <v>-0.51</v>
          </cell>
          <cell r="F7298">
            <v>0</v>
          </cell>
          <cell r="G7298">
            <v>-0.99</v>
          </cell>
          <cell r="H7298">
            <v>0</v>
          </cell>
          <cell r="I7298">
            <v>0</v>
          </cell>
          <cell r="J7298">
            <v>0</v>
          </cell>
          <cell r="K7298">
            <v>0</v>
          </cell>
          <cell r="L7298">
            <v>0</v>
          </cell>
          <cell r="M7298">
            <v>0</v>
          </cell>
          <cell r="N7298">
            <v>0</v>
          </cell>
          <cell r="O7298">
            <v>-3.5000000000000003E-2</v>
          </cell>
          <cell r="P7298">
            <v>0</v>
          </cell>
          <cell r="Q7298">
            <v>0</v>
          </cell>
          <cell r="R7298">
            <v>0</v>
          </cell>
          <cell r="S7298">
            <v>0</v>
          </cell>
          <cell r="T7298">
            <v>0</v>
          </cell>
          <cell r="U7298" t="b">
            <v>0</v>
          </cell>
        </row>
        <row r="7299">
          <cell r="A7299" t="str">
            <v>Data split-18;Reg-52</v>
          </cell>
          <cell r="B7299">
            <v>-2.8</v>
          </cell>
          <cell r="C7299">
            <v>0</v>
          </cell>
          <cell r="D7299">
            <v>3.5</v>
          </cell>
          <cell r="E7299">
            <v>-0.79</v>
          </cell>
          <cell r="F7299">
            <v>0</v>
          </cell>
          <cell r="G7299">
            <v>-1.1000000000000001</v>
          </cell>
          <cell r="H7299">
            <v>0</v>
          </cell>
          <cell r="I7299">
            <v>0</v>
          </cell>
          <cell r="J7299">
            <v>0</v>
          </cell>
          <cell r="K7299">
            <v>0</v>
          </cell>
          <cell r="L7299">
            <v>0</v>
          </cell>
          <cell r="M7299">
            <v>0</v>
          </cell>
          <cell r="N7299">
            <v>-2.7999999999999998E-4</v>
          </cell>
          <cell r="O7299">
            <v>0</v>
          </cell>
          <cell r="P7299">
            <v>0</v>
          </cell>
          <cell r="Q7299">
            <v>0</v>
          </cell>
          <cell r="R7299">
            <v>0</v>
          </cell>
          <cell r="S7299">
            <v>0</v>
          </cell>
          <cell r="T7299">
            <v>0</v>
          </cell>
          <cell r="U7299" t="b">
            <v>0</v>
          </cell>
        </row>
        <row r="7300">
          <cell r="A7300" t="str">
            <v>Data split-18;Reg-53</v>
          </cell>
          <cell r="B7300">
            <v>-4</v>
          </cell>
          <cell r="C7300">
            <v>0</v>
          </cell>
          <cell r="D7300">
            <v>3.4</v>
          </cell>
          <cell r="E7300">
            <v>-1.1000000000000001</v>
          </cell>
          <cell r="F7300">
            <v>0</v>
          </cell>
          <cell r="G7300">
            <v>0</v>
          </cell>
          <cell r="H7300">
            <v>-0.11</v>
          </cell>
          <cell r="I7300">
            <v>0</v>
          </cell>
          <cell r="J7300">
            <v>0</v>
          </cell>
          <cell r="K7300">
            <v>0</v>
          </cell>
          <cell r="L7300">
            <v>0</v>
          </cell>
          <cell r="M7300">
            <v>-5.8000000000000003E-2</v>
          </cell>
          <cell r="N7300">
            <v>0</v>
          </cell>
          <cell r="O7300">
            <v>0</v>
          </cell>
          <cell r="P7300">
            <v>0</v>
          </cell>
          <cell r="Q7300">
            <v>0</v>
          </cell>
          <cell r="R7300">
            <v>0</v>
          </cell>
          <cell r="S7300">
            <v>0</v>
          </cell>
          <cell r="T7300">
            <v>0</v>
          </cell>
          <cell r="U7300" t="b">
            <v>0</v>
          </cell>
        </row>
        <row r="7301">
          <cell r="A7301" t="str">
            <v>Data split-18;Reg-54</v>
          </cell>
          <cell r="B7301">
            <v>-3.5</v>
          </cell>
          <cell r="C7301">
            <v>0</v>
          </cell>
          <cell r="D7301">
            <v>3.5</v>
          </cell>
          <cell r="E7301">
            <v>-1</v>
          </cell>
          <cell r="F7301">
            <v>0</v>
          </cell>
          <cell r="G7301">
            <v>0</v>
          </cell>
          <cell r="H7301">
            <v>-1</v>
          </cell>
          <cell r="I7301">
            <v>0</v>
          </cell>
          <cell r="J7301">
            <v>0</v>
          </cell>
          <cell r="K7301">
            <v>0</v>
          </cell>
          <cell r="L7301">
            <v>0</v>
          </cell>
          <cell r="M7301">
            <v>0</v>
          </cell>
          <cell r="N7301">
            <v>-2.3999999999999998E-3</v>
          </cell>
          <cell r="O7301">
            <v>0</v>
          </cell>
          <cell r="P7301">
            <v>0</v>
          </cell>
          <cell r="Q7301">
            <v>0</v>
          </cell>
          <cell r="R7301">
            <v>0</v>
          </cell>
          <cell r="S7301">
            <v>0</v>
          </cell>
          <cell r="T7301">
            <v>0</v>
          </cell>
          <cell r="U7301" t="b">
            <v>0</v>
          </cell>
        </row>
        <row r="7302">
          <cell r="A7302" t="str">
            <v>Data split-18;Reg-55</v>
          </cell>
          <cell r="B7302">
            <v>-3.4</v>
          </cell>
          <cell r="C7302">
            <v>0</v>
          </cell>
          <cell r="D7302">
            <v>3.3</v>
          </cell>
          <cell r="E7302">
            <v>0</v>
          </cell>
          <cell r="F7302">
            <v>0.14000000000000001</v>
          </cell>
          <cell r="G7302">
            <v>-1.1000000000000001</v>
          </cell>
          <cell r="H7302">
            <v>0</v>
          </cell>
          <cell r="I7302">
            <v>0</v>
          </cell>
          <cell r="J7302">
            <v>0</v>
          </cell>
          <cell r="K7302">
            <v>0</v>
          </cell>
          <cell r="L7302">
            <v>0</v>
          </cell>
          <cell r="M7302">
            <v>-6.4000000000000001E-2</v>
          </cell>
          <cell r="N7302">
            <v>0</v>
          </cell>
          <cell r="O7302">
            <v>0</v>
          </cell>
          <cell r="P7302">
            <v>0</v>
          </cell>
          <cell r="Q7302">
            <v>0</v>
          </cell>
          <cell r="R7302">
            <v>0</v>
          </cell>
          <cell r="S7302">
            <v>0</v>
          </cell>
          <cell r="T7302">
            <v>0</v>
          </cell>
          <cell r="U7302" t="b">
            <v>0</v>
          </cell>
        </row>
        <row r="7303">
          <cell r="A7303" t="str">
            <v>Data split-18;Reg-56</v>
          </cell>
          <cell r="B7303">
            <v>-3.5</v>
          </cell>
          <cell r="C7303">
            <v>0</v>
          </cell>
          <cell r="D7303">
            <v>3.4</v>
          </cell>
          <cell r="E7303">
            <v>0</v>
          </cell>
          <cell r="F7303">
            <v>0.14000000000000001</v>
          </cell>
          <cell r="G7303">
            <v>-1.1000000000000001</v>
          </cell>
          <cell r="H7303">
            <v>0</v>
          </cell>
          <cell r="I7303">
            <v>0</v>
          </cell>
          <cell r="J7303">
            <v>0</v>
          </cell>
          <cell r="K7303">
            <v>0</v>
          </cell>
          <cell r="L7303">
            <v>0</v>
          </cell>
          <cell r="M7303">
            <v>0</v>
          </cell>
          <cell r="N7303">
            <v>-1.0999999999999999E-2</v>
          </cell>
          <cell r="O7303">
            <v>0</v>
          </cell>
          <cell r="P7303">
            <v>0</v>
          </cell>
          <cell r="Q7303">
            <v>0</v>
          </cell>
          <cell r="R7303">
            <v>0</v>
          </cell>
          <cell r="S7303">
            <v>0</v>
          </cell>
          <cell r="T7303">
            <v>0</v>
          </cell>
          <cell r="U7303" t="b">
            <v>0</v>
          </cell>
        </row>
        <row r="7304">
          <cell r="A7304" t="str">
            <v>Data split-18;Reg-57</v>
          </cell>
          <cell r="B7304">
            <v>-3.1</v>
          </cell>
          <cell r="C7304">
            <v>0</v>
          </cell>
          <cell r="D7304">
            <v>3.4</v>
          </cell>
          <cell r="E7304">
            <v>0</v>
          </cell>
          <cell r="F7304">
            <v>0.17</v>
          </cell>
          <cell r="G7304">
            <v>0</v>
          </cell>
          <cell r="H7304">
            <v>-2.4</v>
          </cell>
          <cell r="I7304">
            <v>0</v>
          </cell>
          <cell r="J7304">
            <v>0</v>
          </cell>
          <cell r="K7304">
            <v>0</v>
          </cell>
          <cell r="L7304">
            <v>0</v>
          </cell>
          <cell r="M7304">
            <v>-2.1999999999999999E-2</v>
          </cell>
          <cell r="N7304">
            <v>0</v>
          </cell>
          <cell r="O7304">
            <v>0</v>
          </cell>
          <cell r="P7304">
            <v>0</v>
          </cell>
          <cell r="Q7304">
            <v>0</v>
          </cell>
          <cell r="R7304">
            <v>0</v>
          </cell>
          <cell r="S7304">
            <v>0</v>
          </cell>
          <cell r="T7304">
            <v>0</v>
          </cell>
          <cell r="U7304" t="b">
            <v>0</v>
          </cell>
        </row>
        <row r="7305">
          <cell r="A7305" t="str">
            <v>Data split-18;Reg-58</v>
          </cell>
          <cell r="B7305">
            <v>-2.2000000000000002</v>
          </cell>
          <cell r="C7305">
            <v>0</v>
          </cell>
          <cell r="D7305">
            <v>3.5</v>
          </cell>
          <cell r="E7305">
            <v>0</v>
          </cell>
          <cell r="F7305">
            <v>0.18</v>
          </cell>
          <cell r="G7305">
            <v>0</v>
          </cell>
          <cell r="H7305">
            <v>-3.5</v>
          </cell>
          <cell r="I7305">
            <v>0</v>
          </cell>
          <cell r="J7305">
            <v>0</v>
          </cell>
          <cell r="K7305">
            <v>0</v>
          </cell>
          <cell r="L7305">
            <v>0</v>
          </cell>
          <cell r="M7305">
            <v>0</v>
          </cell>
          <cell r="N7305">
            <v>7.9000000000000008E-3</v>
          </cell>
          <cell r="O7305">
            <v>0</v>
          </cell>
          <cell r="P7305">
            <v>0</v>
          </cell>
          <cell r="Q7305">
            <v>0</v>
          </cell>
          <cell r="R7305">
            <v>0</v>
          </cell>
          <cell r="S7305">
            <v>0</v>
          </cell>
          <cell r="T7305">
            <v>0</v>
          </cell>
          <cell r="U7305" t="b">
            <v>0</v>
          </cell>
        </row>
        <row r="7306">
          <cell r="A7306" t="str">
            <v>Data split-18;Reg-59</v>
          </cell>
          <cell r="B7306">
            <v>-3</v>
          </cell>
          <cell r="C7306">
            <v>0</v>
          </cell>
          <cell r="D7306">
            <v>3.5</v>
          </cell>
          <cell r="E7306">
            <v>-0.33</v>
          </cell>
          <cell r="F7306">
            <v>0</v>
          </cell>
          <cell r="G7306">
            <v>-0.93</v>
          </cell>
          <cell r="H7306">
            <v>0</v>
          </cell>
          <cell r="I7306">
            <v>0</v>
          </cell>
          <cell r="J7306">
            <v>0</v>
          </cell>
          <cell r="K7306">
            <v>0</v>
          </cell>
          <cell r="L7306">
            <v>0</v>
          </cell>
          <cell r="M7306">
            <v>0</v>
          </cell>
          <cell r="N7306">
            <v>0</v>
          </cell>
          <cell r="O7306">
            <v>-6.0999999999999999E-2</v>
          </cell>
          <cell r="P7306">
            <v>0</v>
          </cell>
          <cell r="Q7306">
            <v>0</v>
          </cell>
          <cell r="R7306">
            <v>0</v>
          </cell>
          <cell r="S7306">
            <v>0</v>
          </cell>
          <cell r="T7306">
            <v>0</v>
          </cell>
          <cell r="U7306" t="b">
            <v>0</v>
          </cell>
        </row>
        <row r="7307">
          <cell r="A7307" t="str">
            <v>Data split-18;Reg-60</v>
          </cell>
          <cell r="B7307">
            <v>-3</v>
          </cell>
          <cell r="C7307">
            <v>0</v>
          </cell>
          <cell r="D7307">
            <v>3.5</v>
          </cell>
          <cell r="E7307">
            <v>-0.56000000000000005</v>
          </cell>
          <cell r="F7307">
            <v>0</v>
          </cell>
          <cell r="G7307">
            <v>-0.97</v>
          </cell>
          <cell r="H7307">
            <v>0</v>
          </cell>
          <cell r="I7307">
            <v>0</v>
          </cell>
          <cell r="J7307">
            <v>0</v>
          </cell>
          <cell r="K7307">
            <v>0</v>
          </cell>
          <cell r="L7307">
            <v>0</v>
          </cell>
          <cell r="M7307">
            <v>0</v>
          </cell>
          <cell r="N7307">
            <v>0</v>
          </cell>
          <cell r="O7307">
            <v>0</v>
          </cell>
          <cell r="P7307">
            <v>-6.7999999999999996E-3</v>
          </cell>
          <cell r="Q7307">
            <v>0</v>
          </cell>
          <cell r="R7307">
            <v>0</v>
          </cell>
          <cell r="S7307">
            <v>0</v>
          </cell>
          <cell r="T7307">
            <v>0</v>
          </cell>
          <cell r="U7307" t="b">
            <v>0</v>
          </cell>
        </row>
        <row r="7308">
          <cell r="A7308" t="str">
            <v>Data split-18;Reg-61</v>
          </cell>
          <cell r="B7308">
            <v>-3.9</v>
          </cell>
          <cell r="C7308">
            <v>0</v>
          </cell>
          <cell r="D7308">
            <v>3.4</v>
          </cell>
          <cell r="E7308">
            <v>-1.1000000000000001</v>
          </cell>
          <cell r="F7308">
            <v>0</v>
          </cell>
          <cell r="G7308">
            <v>0</v>
          </cell>
          <cell r="H7308">
            <v>6.8000000000000005E-2</v>
          </cell>
          <cell r="I7308">
            <v>0</v>
          </cell>
          <cell r="J7308">
            <v>0</v>
          </cell>
          <cell r="K7308">
            <v>0</v>
          </cell>
          <cell r="L7308">
            <v>0</v>
          </cell>
          <cell r="M7308">
            <v>0</v>
          </cell>
          <cell r="N7308">
            <v>0</v>
          </cell>
          <cell r="O7308">
            <v>-7.9000000000000001E-2</v>
          </cell>
          <cell r="P7308">
            <v>0</v>
          </cell>
          <cell r="Q7308">
            <v>0</v>
          </cell>
          <cell r="R7308">
            <v>0</v>
          </cell>
          <cell r="S7308">
            <v>0</v>
          </cell>
          <cell r="T7308">
            <v>0</v>
          </cell>
          <cell r="U7308" t="b">
            <v>0</v>
          </cell>
        </row>
        <row r="7309">
          <cell r="A7309" t="str">
            <v>Data split-18;Reg-62</v>
          </cell>
          <cell r="B7309">
            <v>-3.9</v>
          </cell>
          <cell r="C7309">
            <v>0</v>
          </cell>
          <cell r="D7309">
            <v>3.5</v>
          </cell>
          <cell r="E7309">
            <v>-1</v>
          </cell>
          <cell r="F7309">
            <v>0</v>
          </cell>
          <cell r="G7309">
            <v>0</v>
          </cell>
          <cell r="H7309">
            <v>-0.28999999999999998</v>
          </cell>
          <cell r="I7309">
            <v>0</v>
          </cell>
          <cell r="J7309">
            <v>0</v>
          </cell>
          <cell r="K7309">
            <v>0</v>
          </cell>
          <cell r="L7309">
            <v>0</v>
          </cell>
          <cell r="M7309">
            <v>0</v>
          </cell>
          <cell r="N7309">
            <v>0</v>
          </cell>
          <cell r="O7309">
            <v>0</v>
          </cell>
          <cell r="P7309">
            <v>-1.2E-2</v>
          </cell>
          <cell r="Q7309">
            <v>0</v>
          </cell>
          <cell r="R7309">
            <v>0</v>
          </cell>
          <cell r="S7309">
            <v>0</v>
          </cell>
          <cell r="T7309">
            <v>0</v>
          </cell>
          <cell r="U7309" t="b">
            <v>0</v>
          </cell>
        </row>
        <row r="7310">
          <cell r="A7310" t="str">
            <v>Data split-18;Reg-63</v>
          </cell>
          <cell r="B7310">
            <v>-3.1</v>
          </cell>
          <cell r="C7310">
            <v>0</v>
          </cell>
          <cell r="D7310">
            <v>3.3</v>
          </cell>
          <cell r="E7310">
            <v>0</v>
          </cell>
          <cell r="F7310">
            <v>0.15</v>
          </cell>
          <cell r="G7310">
            <v>-0.96</v>
          </cell>
          <cell r="H7310">
            <v>0</v>
          </cell>
          <cell r="I7310">
            <v>0</v>
          </cell>
          <cell r="J7310">
            <v>0</v>
          </cell>
          <cell r="K7310">
            <v>0</v>
          </cell>
          <cell r="L7310">
            <v>0</v>
          </cell>
          <cell r="M7310">
            <v>0</v>
          </cell>
          <cell r="N7310">
            <v>0</v>
          </cell>
          <cell r="O7310">
            <v>-8.2000000000000003E-2</v>
          </cell>
          <cell r="P7310">
            <v>0</v>
          </cell>
          <cell r="Q7310">
            <v>0</v>
          </cell>
          <cell r="R7310">
            <v>0</v>
          </cell>
          <cell r="S7310">
            <v>0</v>
          </cell>
          <cell r="T7310">
            <v>0</v>
          </cell>
          <cell r="U7310" t="b">
            <v>0</v>
          </cell>
        </row>
        <row r="7311">
          <cell r="A7311" t="str">
            <v>Data split-18;Reg-64</v>
          </cell>
          <cell r="B7311">
            <v>-3.3</v>
          </cell>
          <cell r="C7311">
            <v>0</v>
          </cell>
          <cell r="D7311">
            <v>3.3</v>
          </cell>
          <cell r="E7311">
            <v>0</v>
          </cell>
          <cell r="F7311">
            <v>0.15</v>
          </cell>
          <cell r="G7311">
            <v>-0.99</v>
          </cell>
          <cell r="H7311">
            <v>0</v>
          </cell>
          <cell r="I7311">
            <v>0</v>
          </cell>
          <cell r="J7311">
            <v>0</v>
          </cell>
          <cell r="K7311">
            <v>0</v>
          </cell>
          <cell r="L7311">
            <v>0</v>
          </cell>
          <cell r="M7311">
            <v>0</v>
          </cell>
          <cell r="N7311">
            <v>0</v>
          </cell>
          <cell r="O7311">
            <v>0</v>
          </cell>
          <cell r="P7311">
            <v>-1.4999999999999999E-2</v>
          </cell>
          <cell r="Q7311">
            <v>0</v>
          </cell>
          <cell r="R7311">
            <v>0</v>
          </cell>
          <cell r="S7311">
            <v>0</v>
          </cell>
          <cell r="T7311">
            <v>0</v>
          </cell>
          <cell r="U7311" t="b">
            <v>0</v>
          </cell>
        </row>
        <row r="7312">
          <cell r="A7312" t="str">
            <v>Data split-18;Reg-65</v>
          </cell>
          <cell r="B7312">
            <v>-3.4</v>
          </cell>
          <cell r="C7312">
            <v>0</v>
          </cell>
          <cell r="D7312">
            <v>3.3</v>
          </cell>
          <cell r="E7312">
            <v>0</v>
          </cell>
          <cell r="F7312">
            <v>0.17</v>
          </cell>
          <cell r="G7312">
            <v>0</v>
          </cell>
          <cell r="H7312">
            <v>-1.6</v>
          </cell>
          <cell r="I7312">
            <v>0</v>
          </cell>
          <cell r="J7312">
            <v>0</v>
          </cell>
          <cell r="K7312">
            <v>0</v>
          </cell>
          <cell r="L7312">
            <v>0</v>
          </cell>
          <cell r="M7312">
            <v>0</v>
          </cell>
          <cell r="N7312">
            <v>0</v>
          </cell>
          <cell r="O7312">
            <v>-7.3999999999999996E-2</v>
          </cell>
          <cell r="P7312">
            <v>0</v>
          </cell>
          <cell r="Q7312">
            <v>0</v>
          </cell>
          <cell r="R7312">
            <v>0</v>
          </cell>
          <cell r="S7312">
            <v>0</v>
          </cell>
          <cell r="T7312">
            <v>0</v>
          </cell>
          <cell r="U7312" t="b">
            <v>0</v>
          </cell>
        </row>
        <row r="7313">
          <cell r="A7313" t="str">
            <v>Data split-18;Reg-66</v>
          </cell>
          <cell r="B7313">
            <v>-3.4</v>
          </cell>
          <cell r="C7313">
            <v>0</v>
          </cell>
          <cell r="D7313">
            <v>3.4</v>
          </cell>
          <cell r="E7313">
            <v>0</v>
          </cell>
          <cell r="F7313">
            <v>0.18</v>
          </cell>
          <cell r="G7313">
            <v>0</v>
          </cell>
          <cell r="H7313">
            <v>-1.8</v>
          </cell>
          <cell r="I7313">
            <v>0</v>
          </cell>
          <cell r="J7313">
            <v>0</v>
          </cell>
          <cell r="K7313">
            <v>0</v>
          </cell>
          <cell r="L7313">
            <v>0</v>
          </cell>
          <cell r="M7313">
            <v>0</v>
          </cell>
          <cell r="N7313">
            <v>0</v>
          </cell>
          <cell r="O7313">
            <v>0</v>
          </cell>
          <cell r="P7313">
            <v>-1.2E-2</v>
          </cell>
          <cell r="Q7313">
            <v>0</v>
          </cell>
          <cell r="R7313">
            <v>0</v>
          </cell>
          <cell r="S7313">
            <v>0</v>
          </cell>
          <cell r="T7313">
            <v>0</v>
          </cell>
          <cell r="U7313" t="b">
            <v>0</v>
          </cell>
        </row>
        <row r="7314">
          <cell r="A7314" t="str">
            <v>Data split-18;Reg-67</v>
          </cell>
          <cell r="B7314">
            <v>-2.6</v>
          </cell>
          <cell r="C7314">
            <v>3.4</v>
          </cell>
          <cell r="D7314">
            <v>0</v>
          </cell>
          <cell r="E7314">
            <v>0</v>
          </cell>
          <cell r="F7314">
            <v>0</v>
          </cell>
          <cell r="G7314">
            <v>-1.6</v>
          </cell>
          <cell r="H7314">
            <v>0</v>
          </cell>
          <cell r="I7314">
            <v>0</v>
          </cell>
          <cell r="J7314">
            <v>0</v>
          </cell>
          <cell r="K7314">
            <v>0</v>
          </cell>
          <cell r="L7314">
            <v>0</v>
          </cell>
          <cell r="M7314">
            <v>0</v>
          </cell>
          <cell r="N7314">
            <v>0</v>
          </cell>
          <cell r="O7314">
            <v>0</v>
          </cell>
          <cell r="P7314">
            <v>0</v>
          </cell>
          <cell r="Q7314">
            <v>0</v>
          </cell>
          <cell r="R7314">
            <v>0</v>
          </cell>
          <cell r="S7314">
            <v>0</v>
          </cell>
          <cell r="T7314">
            <v>0</v>
          </cell>
          <cell r="U7314" t="b">
            <v>0</v>
          </cell>
        </row>
        <row r="7315">
          <cell r="A7315" t="str">
            <v>Data split-18;Reg-68</v>
          </cell>
          <cell r="B7315">
            <v>-2.6</v>
          </cell>
          <cell r="C7315">
            <v>3.3</v>
          </cell>
          <cell r="D7315">
            <v>0</v>
          </cell>
          <cell r="E7315">
            <v>0</v>
          </cell>
          <cell r="F7315">
            <v>0.13</v>
          </cell>
          <cell r="G7315">
            <v>-1.6</v>
          </cell>
          <cell r="H7315">
            <v>0</v>
          </cell>
          <cell r="I7315">
            <v>0</v>
          </cell>
          <cell r="J7315">
            <v>0</v>
          </cell>
          <cell r="K7315">
            <v>0</v>
          </cell>
          <cell r="L7315">
            <v>0</v>
          </cell>
          <cell r="M7315">
            <v>0</v>
          </cell>
          <cell r="N7315">
            <v>0</v>
          </cell>
          <cell r="O7315">
            <v>0</v>
          </cell>
          <cell r="P7315">
            <v>0</v>
          </cell>
          <cell r="Q7315">
            <v>0</v>
          </cell>
          <cell r="R7315">
            <v>0</v>
          </cell>
          <cell r="S7315">
            <v>0</v>
          </cell>
          <cell r="T7315">
            <v>0</v>
          </cell>
          <cell r="U7315" t="b">
            <v>0</v>
          </cell>
        </row>
        <row r="7316">
          <cell r="A7316" t="str">
            <v>Data split-18;Reg-69</v>
          </cell>
          <cell r="B7316">
            <v>-8.1</v>
          </cell>
          <cell r="C7316">
            <v>3.5</v>
          </cell>
          <cell r="D7316">
            <v>0</v>
          </cell>
          <cell r="E7316">
            <v>0</v>
          </cell>
          <cell r="F7316">
            <v>0</v>
          </cell>
          <cell r="G7316">
            <v>-2.4</v>
          </cell>
          <cell r="H7316">
            <v>0</v>
          </cell>
          <cell r="I7316">
            <v>0</v>
          </cell>
          <cell r="J7316">
            <v>42.9</v>
          </cell>
          <cell r="K7316">
            <v>0</v>
          </cell>
          <cell r="L7316">
            <v>0</v>
          </cell>
          <cell r="M7316">
            <v>0</v>
          </cell>
          <cell r="N7316">
            <v>0</v>
          </cell>
          <cell r="O7316">
            <v>0</v>
          </cell>
          <cell r="P7316">
            <v>0</v>
          </cell>
          <cell r="Q7316">
            <v>0</v>
          </cell>
          <cell r="R7316">
            <v>0</v>
          </cell>
          <cell r="S7316">
            <v>0</v>
          </cell>
          <cell r="T7316">
            <v>0</v>
          </cell>
          <cell r="U7316" t="b">
            <v>0</v>
          </cell>
        </row>
        <row r="7317">
          <cell r="A7317" t="str">
            <v>Data split-18;Reg-70</v>
          </cell>
          <cell r="B7317">
            <v>-8.6999999999999993</v>
          </cell>
          <cell r="C7317">
            <v>3.5</v>
          </cell>
          <cell r="D7317">
            <v>0</v>
          </cell>
          <cell r="E7317">
            <v>0</v>
          </cell>
          <cell r="F7317">
            <v>0</v>
          </cell>
          <cell r="G7317">
            <v>-1.5</v>
          </cell>
          <cell r="H7317">
            <v>0</v>
          </cell>
          <cell r="I7317">
            <v>0</v>
          </cell>
          <cell r="J7317">
            <v>43.4</v>
          </cell>
          <cell r="K7317">
            <v>0</v>
          </cell>
          <cell r="L7317">
            <v>0</v>
          </cell>
          <cell r="M7317">
            <v>0</v>
          </cell>
          <cell r="N7317">
            <v>0</v>
          </cell>
          <cell r="O7317">
            <v>0</v>
          </cell>
          <cell r="P7317">
            <v>0</v>
          </cell>
          <cell r="Q7317">
            <v>0</v>
          </cell>
          <cell r="R7317">
            <v>0</v>
          </cell>
          <cell r="S7317">
            <v>-0.12</v>
          </cell>
          <cell r="T7317">
            <v>0</v>
          </cell>
          <cell r="U7317" t="b">
            <v>0</v>
          </cell>
        </row>
        <row r="7318">
          <cell r="A7318" t="str">
            <v>Data split-18;Reg-71</v>
          </cell>
          <cell r="B7318">
            <v>-4.7</v>
          </cell>
          <cell r="C7318">
            <v>3.2</v>
          </cell>
          <cell r="D7318">
            <v>0</v>
          </cell>
          <cell r="E7318">
            <v>0</v>
          </cell>
          <cell r="F7318">
            <v>0.16</v>
          </cell>
          <cell r="G7318">
            <v>0</v>
          </cell>
          <cell r="H7318">
            <v>-0.11</v>
          </cell>
          <cell r="I7318">
            <v>0</v>
          </cell>
          <cell r="J7318">
            <v>0</v>
          </cell>
          <cell r="K7318">
            <v>0</v>
          </cell>
          <cell r="L7318">
            <v>0</v>
          </cell>
          <cell r="M7318">
            <v>0</v>
          </cell>
          <cell r="N7318">
            <v>0</v>
          </cell>
          <cell r="O7318">
            <v>0</v>
          </cell>
          <cell r="P7318">
            <v>0</v>
          </cell>
          <cell r="Q7318">
            <v>0</v>
          </cell>
          <cell r="R7318">
            <v>0</v>
          </cell>
          <cell r="S7318">
            <v>-0.16</v>
          </cell>
          <cell r="T7318">
            <v>0</v>
          </cell>
          <cell r="U7318" t="b">
            <v>0</v>
          </cell>
        </row>
        <row r="7319">
          <cell r="A7319" t="str">
            <v>Data split-18;Reg-72</v>
          </cell>
          <cell r="B7319">
            <v>-3.3</v>
          </cell>
          <cell r="C7319">
            <v>3.4</v>
          </cell>
          <cell r="D7319">
            <v>0</v>
          </cell>
          <cell r="E7319">
            <v>-1.8</v>
          </cell>
          <cell r="F7319">
            <v>0</v>
          </cell>
          <cell r="G7319">
            <v>0</v>
          </cell>
          <cell r="H7319">
            <v>0</v>
          </cell>
          <cell r="I7319">
            <v>0</v>
          </cell>
          <cell r="J7319">
            <v>0</v>
          </cell>
          <cell r="K7319">
            <v>0</v>
          </cell>
          <cell r="L7319">
            <v>0</v>
          </cell>
          <cell r="M7319">
            <v>0</v>
          </cell>
          <cell r="N7319">
            <v>0</v>
          </cell>
          <cell r="O7319">
            <v>0</v>
          </cell>
          <cell r="P7319">
            <v>0</v>
          </cell>
          <cell r="Q7319">
            <v>0</v>
          </cell>
          <cell r="R7319">
            <v>0</v>
          </cell>
          <cell r="S7319">
            <v>0</v>
          </cell>
          <cell r="T7319">
            <v>0</v>
          </cell>
          <cell r="U7319" t="b">
            <v>0</v>
          </cell>
        </row>
        <row r="7320">
          <cell r="A7320" t="str">
            <v>Data split-18;Reg-73</v>
          </cell>
          <cell r="B7320">
            <v>-7.4</v>
          </cell>
          <cell r="C7320">
            <v>2.6</v>
          </cell>
          <cell r="D7320">
            <v>0</v>
          </cell>
          <cell r="E7320">
            <v>0</v>
          </cell>
          <cell r="F7320">
            <v>0.14000000000000001</v>
          </cell>
          <cell r="G7320">
            <v>0</v>
          </cell>
          <cell r="H7320">
            <v>0</v>
          </cell>
          <cell r="I7320">
            <v>0</v>
          </cell>
          <cell r="J7320">
            <v>0</v>
          </cell>
          <cell r="K7320">
            <v>0</v>
          </cell>
          <cell r="L7320">
            <v>0</v>
          </cell>
          <cell r="M7320">
            <v>0</v>
          </cell>
          <cell r="N7320">
            <v>0</v>
          </cell>
          <cell r="O7320">
            <v>0</v>
          </cell>
          <cell r="P7320">
            <v>0</v>
          </cell>
          <cell r="Q7320">
            <v>0</v>
          </cell>
          <cell r="R7320">
            <v>0</v>
          </cell>
          <cell r="S7320">
            <v>0</v>
          </cell>
          <cell r="T7320">
            <v>0</v>
          </cell>
          <cell r="U7320" t="b">
            <v>1</v>
          </cell>
        </row>
        <row r="7321">
          <cell r="A7321" t="str">
            <v>Data split-18;Reg-74</v>
          </cell>
          <cell r="B7321">
            <v>-3.7</v>
          </cell>
          <cell r="C7321">
            <v>0</v>
          </cell>
          <cell r="D7321">
            <v>3.5</v>
          </cell>
          <cell r="E7321">
            <v>-1.8</v>
          </cell>
          <cell r="F7321">
            <v>0</v>
          </cell>
          <cell r="G7321">
            <v>0</v>
          </cell>
          <cell r="H7321">
            <v>0</v>
          </cell>
          <cell r="I7321">
            <v>0</v>
          </cell>
          <cell r="J7321">
            <v>0</v>
          </cell>
          <cell r="K7321">
            <v>0</v>
          </cell>
          <cell r="L7321">
            <v>0</v>
          </cell>
          <cell r="M7321">
            <v>0</v>
          </cell>
          <cell r="N7321">
            <v>0</v>
          </cell>
          <cell r="O7321">
            <v>0</v>
          </cell>
          <cell r="P7321">
            <v>0</v>
          </cell>
          <cell r="Q7321">
            <v>0</v>
          </cell>
          <cell r="R7321">
            <v>0</v>
          </cell>
          <cell r="S7321">
            <v>0</v>
          </cell>
          <cell r="T7321">
            <v>0</v>
          </cell>
          <cell r="U7321" t="b">
            <v>0</v>
          </cell>
        </row>
        <row r="7322">
          <cell r="A7322" t="str">
            <v>Data split-18;Reg-75</v>
          </cell>
          <cell r="B7322">
            <v>-7.9</v>
          </cell>
          <cell r="C7322">
            <v>0</v>
          </cell>
          <cell r="D7322">
            <v>2.6</v>
          </cell>
          <cell r="E7322">
            <v>0</v>
          </cell>
          <cell r="F7322">
            <v>0.13</v>
          </cell>
          <cell r="G7322">
            <v>0</v>
          </cell>
          <cell r="H7322">
            <v>0</v>
          </cell>
          <cell r="I7322">
            <v>0</v>
          </cell>
          <cell r="J7322">
            <v>0</v>
          </cell>
          <cell r="K7322">
            <v>0</v>
          </cell>
          <cell r="L7322">
            <v>0</v>
          </cell>
          <cell r="M7322">
            <v>0</v>
          </cell>
          <cell r="N7322">
            <v>0</v>
          </cell>
          <cell r="O7322">
            <v>0</v>
          </cell>
          <cell r="P7322">
            <v>0</v>
          </cell>
          <cell r="Q7322">
            <v>0</v>
          </cell>
          <cell r="R7322">
            <v>0</v>
          </cell>
          <cell r="S7322">
            <v>0</v>
          </cell>
          <cell r="T7322">
            <v>0</v>
          </cell>
          <cell r="U7322" t="b">
            <v>1</v>
          </cell>
        </row>
        <row r="7323">
          <cell r="A7323" t="str">
            <v>Data split-18;Reg-76</v>
          </cell>
          <cell r="B7323">
            <v>-2.6</v>
          </cell>
          <cell r="C7323">
            <v>3.4</v>
          </cell>
          <cell r="D7323">
            <v>0</v>
          </cell>
          <cell r="E7323">
            <v>0</v>
          </cell>
          <cell r="F7323">
            <v>0</v>
          </cell>
          <cell r="G7323">
            <v>-1.6</v>
          </cell>
          <cell r="H7323">
            <v>0</v>
          </cell>
          <cell r="I7323">
            <v>0</v>
          </cell>
          <cell r="J7323">
            <v>0</v>
          </cell>
          <cell r="K7323">
            <v>0</v>
          </cell>
          <cell r="L7323">
            <v>0</v>
          </cell>
          <cell r="M7323">
            <v>0</v>
          </cell>
          <cell r="N7323">
            <v>0</v>
          </cell>
          <cell r="O7323">
            <v>0</v>
          </cell>
          <cell r="P7323">
            <v>0</v>
          </cell>
          <cell r="Q7323">
            <v>0</v>
          </cell>
          <cell r="R7323">
            <v>0</v>
          </cell>
          <cell r="S7323">
            <v>0</v>
          </cell>
          <cell r="T7323">
            <v>0</v>
          </cell>
          <cell r="U7323" t="b">
            <v>0</v>
          </cell>
        </row>
        <row r="7324">
          <cell r="A7324" t="str">
            <v>Data split-18;Reg-77</v>
          </cell>
          <cell r="B7324">
            <v>-2.8</v>
          </cell>
          <cell r="C7324">
            <v>3.5</v>
          </cell>
          <cell r="D7324">
            <v>0</v>
          </cell>
          <cell r="E7324">
            <v>0</v>
          </cell>
          <cell r="F7324">
            <v>0</v>
          </cell>
          <cell r="G7324">
            <v>0</v>
          </cell>
          <cell r="H7324">
            <v>-2.5</v>
          </cell>
          <cell r="I7324">
            <v>0</v>
          </cell>
          <cell r="J7324">
            <v>0</v>
          </cell>
          <cell r="K7324">
            <v>0</v>
          </cell>
          <cell r="L7324">
            <v>0</v>
          </cell>
          <cell r="M7324">
            <v>0</v>
          </cell>
          <cell r="N7324">
            <v>0</v>
          </cell>
          <cell r="O7324">
            <v>0</v>
          </cell>
          <cell r="P7324">
            <v>0</v>
          </cell>
          <cell r="Q7324">
            <v>0</v>
          </cell>
          <cell r="R7324">
            <v>0</v>
          </cell>
          <cell r="S7324">
            <v>0</v>
          </cell>
          <cell r="T7324">
            <v>0</v>
          </cell>
          <cell r="U7324" t="b">
            <v>0</v>
          </cell>
        </row>
        <row r="7325">
          <cell r="A7325" t="str">
            <v>Data split-18;Reg-78</v>
          </cell>
          <cell r="B7325">
            <v>-3</v>
          </cell>
          <cell r="C7325">
            <v>0</v>
          </cell>
          <cell r="D7325">
            <v>3.5</v>
          </cell>
          <cell r="E7325">
            <v>0</v>
          </cell>
          <cell r="F7325">
            <v>0</v>
          </cell>
          <cell r="G7325">
            <v>-1.6</v>
          </cell>
          <cell r="H7325">
            <v>0</v>
          </cell>
          <cell r="I7325">
            <v>0</v>
          </cell>
          <cell r="J7325">
            <v>0</v>
          </cell>
          <cell r="K7325">
            <v>0</v>
          </cell>
          <cell r="L7325">
            <v>0</v>
          </cell>
          <cell r="M7325">
            <v>0</v>
          </cell>
          <cell r="N7325">
            <v>0</v>
          </cell>
          <cell r="O7325">
            <v>0</v>
          </cell>
          <cell r="P7325">
            <v>0</v>
          </cell>
          <cell r="Q7325">
            <v>0</v>
          </cell>
          <cell r="R7325">
            <v>0</v>
          </cell>
          <cell r="S7325">
            <v>0</v>
          </cell>
          <cell r="T7325">
            <v>0</v>
          </cell>
          <cell r="U7325" t="b">
            <v>0</v>
          </cell>
        </row>
        <row r="7326">
          <cell r="A7326" t="str">
            <v>Data split-18;Reg-79</v>
          </cell>
          <cell r="B7326">
            <v>-3.2</v>
          </cell>
          <cell r="C7326">
            <v>0</v>
          </cell>
          <cell r="D7326">
            <v>3.6</v>
          </cell>
          <cell r="E7326">
            <v>0</v>
          </cell>
          <cell r="F7326">
            <v>0</v>
          </cell>
          <cell r="G7326">
            <v>0</v>
          </cell>
          <cell r="H7326">
            <v>-2.6</v>
          </cell>
          <cell r="I7326">
            <v>0</v>
          </cell>
          <cell r="J7326">
            <v>0</v>
          </cell>
          <cell r="K7326">
            <v>0</v>
          </cell>
          <cell r="L7326">
            <v>0</v>
          </cell>
          <cell r="M7326">
            <v>0</v>
          </cell>
          <cell r="N7326">
            <v>0</v>
          </cell>
          <cell r="O7326">
            <v>0</v>
          </cell>
          <cell r="P7326">
            <v>0</v>
          </cell>
          <cell r="Q7326">
            <v>0</v>
          </cell>
          <cell r="R7326">
            <v>0</v>
          </cell>
          <cell r="S7326">
            <v>0</v>
          </cell>
          <cell r="T7326">
            <v>0</v>
          </cell>
          <cell r="U7326" t="b">
            <v>0</v>
          </cell>
        </row>
        <row r="7327">
          <cell r="A7327" t="str">
            <v>Data split-18;Reg-80</v>
          </cell>
          <cell r="B7327">
            <v>-7.7</v>
          </cell>
          <cell r="C7327">
            <v>2.7</v>
          </cell>
          <cell r="D7327">
            <v>0</v>
          </cell>
          <cell r="E7327">
            <v>0</v>
          </cell>
          <cell r="F7327">
            <v>0</v>
          </cell>
          <cell r="G7327">
            <v>0</v>
          </cell>
          <cell r="H7327">
            <v>0</v>
          </cell>
          <cell r="I7327">
            <v>0.18</v>
          </cell>
          <cell r="J7327">
            <v>0</v>
          </cell>
          <cell r="K7327">
            <v>0</v>
          </cell>
          <cell r="L7327">
            <v>0</v>
          </cell>
          <cell r="M7327">
            <v>0</v>
          </cell>
          <cell r="N7327">
            <v>0</v>
          </cell>
          <cell r="O7327">
            <v>0</v>
          </cell>
          <cell r="P7327">
            <v>0</v>
          </cell>
          <cell r="Q7327">
            <v>0</v>
          </cell>
          <cell r="R7327">
            <v>0</v>
          </cell>
          <cell r="S7327">
            <v>0</v>
          </cell>
          <cell r="T7327">
            <v>0</v>
          </cell>
          <cell r="U7327" t="b">
            <v>0</v>
          </cell>
        </row>
        <row r="7328">
          <cell r="A7328" t="str">
            <v>Data split-18;Reg-81</v>
          </cell>
          <cell r="B7328">
            <v>-9.5</v>
          </cell>
          <cell r="C7328">
            <v>2.6</v>
          </cell>
          <cell r="D7328">
            <v>0</v>
          </cell>
          <cell r="E7328">
            <v>0</v>
          </cell>
          <cell r="F7328">
            <v>0</v>
          </cell>
          <cell r="G7328">
            <v>0</v>
          </cell>
          <cell r="H7328">
            <v>0</v>
          </cell>
          <cell r="I7328">
            <v>0</v>
          </cell>
          <cell r="J7328">
            <v>10.7</v>
          </cell>
          <cell r="K7328">
            <v>0</v>
          </cell>
          <cell r="L7328">
            <v>0</v>
          </cell>
          <cell r="M7328">
            <v>0</v>
          </cell>
          <cell r="N7328">
            <v>0</v>
          </cell>
          <cell r="O7328">
            <v>0</v>
          </cell>
          <cell r="P7328">
            <v>0</v>
          </cell>
          <cell r="Q7328">
            <v>0</v>
          </cell>
          <cell r="R7328">
            <v>0</v>
          </cell>
          <cell r="S7328">
            <v>0</v>
          </cell>
          <cell r="T7328">
            <v>0</v>
          </cell>
          <cell r="U7328" t="b">
            <v>0</v>
          </cell>
        </row>
        <row r="7329">
          <cell r="A7329" t="str">
            <v>Data split-18;Reg-82</v>
          </cell>
          <cell r="B7329">
            <v>-7.9</v>
          </cell>
          <cell r="C7329">
            <v>0</v>
          </cell>
          <cell r="D7329">
            <v>2.7</v>
          </cell>
          <cell r="E7329">
            <v>0</v>
          </cell>
          <cell r="F7329">
            <v>0</v>
          </cell>
          <cell r="G7329">
            <v>0</v>
          </cell>
          <cell r="H7329">
            <v>0</v>
          </cell>
          <cell r="I7329">
            <v>-4.3999999999999997E-2</v>
          </cell>
          <cell r="J7329">
            <v>0</v>
          </cell>
          <cell r="K7329">
            <v>0</v>
          </cell>
          <cell r="L7329">
            <v>0</v>
          </cell>
          <cell r="M7329">
            <v>0</v>
          </cell>
          <cell r="N7329">
            <v>0</v>
          </cell>
          <cell r="O7329">
            <v>0</v>
          </cell>
          <cell r="P7329">
            <v>0</v>
          </cell>
          <cell r="Q7329">
            <v>0</v>
          </cell>
          <cell r="R7329">
            <v>0</v>
          </cell>
          <cell r="S7329">
            <v>0</v>
          </cell>
          <cell r="T7329">
            <v>0</v>
          </cell>
          <cell r="U7329" t="b">
            <v>1</v>
          </cell>
        </row>
        <row r="7330">
          <cell r="A7330" t="str">
            <v>Data split-18;Reg-83</v>
          </cell>
          <cell r="B7330">
            <v>-9.3000000000000007</v>
          </cell>
          <cell r="C7330">
            <v>0</v>
          </cell>
          <cell r="D7330">
            <v>2.7</v>
          </cell>
          <cell r="E7330">
            <v>0</v>
          </cell>
          <cell r="F7330">
            <v>0</v>
          </cell>
          <cell r="G7330">
            <v>0</v>
          </cell>
          <cell r="H7330">
            <v>0</v>
          </cell>
          <cell r="I7330">
            <v>0</v>
          </cell>
          <cell r="J7330">
            <v>7.4</v>
          </cell>
          <cell r="K7330">
            <v>0</v>
          </cell>
          <cell r="L7330">
            <v>0</v>
          </cell>
          <cell r="M7330">
            <v>0</v>
          </cell>
          <cell r="N7330">
            <v>0</v>
          </cell>
          <cell r="O7330">
            <v>0</v>
          </cell>
          <cell r="P7330">
            <v>0</v>
          </cell>
          <cell r="Q7330">
            <v>0</v>
          </cell>
          <cell r="R7330">
            <v>0</v>
          </cell>
          <cell r="S7330">
            <v>0</v>
          </cell>
          <cell r="T7330">
            <v>0</v>
          </cell>
          <cell r="U7330" t="b">
            <v>0</v>
          </cell>
        </row>
        <row r="7331">
          <cell r="A7331" t="str">
            <v>Data split-18;Reg-84</v>
          </cell>
          <cell r="B7331">
            <v>-7</v>
          </cell>
          <cell r="C7331">
            <v>2.8</v>
          </cell>
          <cell r="D7331">
            <v>0</v>
          </cell>
          <cell r="E7331">
            <v>0</v>
          </cell>
          <cell r="F7331">
            <v>0</v>
          </cell>
          <cell r="G7331">
            <v>0</v>
          </cell>
          <cell r="H7331">
            <v>0</v>
          </cell>
          <cell r="I7331">
            <v>0</v>
          </cell>
          <cell r="J7331">
            <v>0</v>
          </cell>
          <cell r="K7331">
            <v>-0.8</v>
          </cell>
          <cell r="L7331">
            <v>0</v>
          </cell>
          <cell r="M7331">
            <v>0</v>
          </cell>
          <cell r="N7331">
            <v>0</v>
          </cell>
          <cell r="O7331">
            <v>0</v>
          </cell>
          <cell r="P7331">
            <v>0</v>
          </cell>
          <cell r="Q7331">
            <v>0</v>
          </cell>
          <cell r="R7331">
            <v>0</v>
          </cell>
          <cell r="S7331">
            <v>0</v>
          </cell>
          <cell r="T7331">
            <v>0</v>
          </cell>
          <cell r="U7331" t="b">
            <v>1</v>
          </cell>
        </row>
        <row r="7332">
          <cell r="A7332" t="str">
            <v>Data split-18;Reg-85</v>
          </cell>
          <cell r="B7332">
            <v>-6.9</v>
          </cell>
          <cell r="C7332">
            <v>2.8</v>
          </cell>
          <cell r="D7332">
            <v>0</v>
          </cell>
          <cell r="E7332">
            <v>0</v>
          </cell>
          <cell r="F7332">
            <v>0</v>
          </cell>
          <cell r="G7332">
            <v>0</v>
          </cell>
          <cell r="H7332">
            <v>0</v>
          </cell>
          <cell r="I7332">
            <v>0</v>
          </cell>
          <cell r="J7332">
            <v>0</v>
          </cell>
          <cell r="K7332">
            <v>0</v>
          </cell>
          <cell r="L7332">
            <v>-5.2</v>
          </cell>
          <cell r="M7332">
            <v>0</v>
          </cell>
          <cell r="N7332">
            <v>0</v>
          </cell>
          <cell r="O7332">
            <v>0</v>
          </cell>
          <cell r="P7332">
            <v>0</v>
          </cell>
          <cell r="Q7332">
            <v>0</v>
          </cell>
          <cell r="R7332">
            <v>0</v>
          </cell>
          <cell r="S7332">
            <v>0</v>
          </cell>
          <cell r="T7332">
            <v>0</v>
          </cell>
          <cell r="U7332" t="b">
            <v>1</v>
          </cell>
        </row>
        <row r="7333">
          <cell r="A7333" t="str">
            <v>Data split-18;Reg-86</v>
          </cell>
          <cell r="B7333">
            <v>-7.5</v>
          </cell>
          <cell r="C7333">
            <v>0</v>
          </cell>
          <cell r="D7333">
            <v>2.9</v>
          </cell>
          <cell r="E7333">
            <v>0</v>
          </cell>
          <cell r="F7333">
            <v>0</v>
          </cell>
          <cell r="G7333">
            <v>0</v>
          </cell>
          <cell r="H7333">
            <v>0</v>
          </cell>
          <cell r="I7333">
            <v>0</v>
          </cell>
          <cell r="J7333">
            <v>0</v>
          </cell>
          <cell r="K7333">
            <v>-0.9</v>
          </cell>
          <cell r="L7333">
            <v>0</v>
          </cell>
          <cell r="M7333">
            <v>0</v>
          </cell>
          <cell r="N7333">
            <v>0</v>
          </cell>
          <cell r="O7333">
            <v>0</v>
          </cell>
          <cell r="P7333">
            <v>0</v>
          </cell>
          <cell r="Q7333">
            <v>0</v>
          </cell>
          <cell r="R7333">
            <v>0</v>
          </cell>
          <cell r="S7333">
            <v>0</v>
          </cell>
          <cell r="T7333">
            <v>0</v>
          </cell>
          <cell r="U7333" t="b">
            <v>1</v>
          </cell>
        </row>
        <row r="7334">
          <cell r="A7334" t="str">
            <v>Data split-18;Reg-87</v>
          </cell>
          <cell r="B7334">
            <v>-7.2</v>
          </cell>
          <cell r="C7334">
            <v>0</v>
          </cell>
          <cell r="D7334">
            <v>2.8</v>
          </cell>
          <cell r="E7334">
            <v>0</v>
          </cell>
          <cell r="F7334">
            <v>0</v>
          </cell>
          <cell r="G7334">
            <v>0</v>
          </cell>
          <cell r="H7334">
            <v>0</v>
          </cell>
          <cell r="I7334">
            <v>0</v>
          </cell>
          <cell r="J7334">
            <v>0</v>
          </cell>
          <cell r="K7334">
            <v>0</v>
          </cell>
          <cell r="L7334">
            <v>-6.4</v>
          </cell>
          <cell r="M7334">
            <v>0</v>
          </cell>
          <cell r="N7334">
            <v>0</v>
          </cell>
          <cell r="O7334">
            <v>0</v>
          </cell>
          <cell r="P7334">
            <v>0</v>
          </cell>
          <cell r="Q7334">
            <v>0</v>
          </cell>
          <cell r="R7334">
            <v>0</v>
          </cell>
          <cell r="S7334">
            <v>0</v>
          </cell>
          <cell r="T7334">
            <v>0</v>
          </cell>
          <cell r="U7334" t="b">
            <v>1</v>
          </cell>
        </row>
        <row r="7335">
          <cell r="A7335" t="str">
            <v>Data split-18;Reg-88</v>
          </cell>
          <cell r="B7335">
            <v>-5</v>
          </cell>
          <cell r="C7335">
            <v>3.2</v>
          </cell>
          <cell r="D7335">
            <v>0</v>
          </cell>
          <cell r="E7335">
            <v>0</v>
          </cell>
          <cell r="F7335">
            <v>0</v>
          </cell>
          <cell r="G7335">
            <v>0</v>
          </cell>
          <cell r="H7335">
            <v>0</v>
          </cell>
          <cell r="I7335">
            <v>0</v>
          </cell>
          <cell r="J7335">
            <v>0</v>
          </cell>
          <cell r="K7335">
            <v>0</v>
          </cell>
          <cell r="L7335">
            <v>0</v>
          </cell>
          <cell r="M7335">
            <v>-0.13</v>
          </cell>
          <cell r="N7335">
            <v>0</v>
          </cell>
          <cell r="O7335">
            <v>0</v>
          </cell>
          <cell r="P7335">
            <v>0</v>
          </cell>
          <cell r="Q7335">
            <v>0</v>
          </cell>
          <cell r="R7335">
            <v>0</v>
          </cell>
          <cell r="S7335">
            <v>0</v>
          </cell>
          <cell r="T7335">
            <v>0</v>
          </cell>
          <cell r="U7335" t="b">
            <v>1</v>
          </cell>
        </row>
        <row r="7336">
          <cell r="A7336" t="str">
            <v>Data split-18;Reg-89</v>
          </cell>
          <cell r="B7336">
            <v>-5.3</v>
          </cell>
          <cell r="C7336">
            <v>3.3</v>
          </cell>
          <cell r="D7336">
            <v>0</v>
          </cell>
          <cell r="E7336">
            <v>0</v>
          </cell>
          <cell r="F7336">
            <v>0</v>
          </cell>
          <cell r="G7336">
            <v>0</v>
          </cell>
          <cell r="H7336">
            <v>0</v>
          </cell>
          <cell r="I7336">
            <v>0</v>
          </cell>
          <cell r="J7336">
            <v>0</v>
          </cell>
          <cell r="K7336">
            <v>0</v>
          </cell>
          <cell r="L7336">
            <v>0</v>
          </cell>
          <cell r="M7336">
            <v>0</v>
          </cell>
          <cell r="N7336">
            <v>-2.5000000000000001E-2</v>
          </cell>
          <cell r="O7336">
            <v>0</v>
          </cell>
          <cell r="P7336">
            <v>0</v>
          </cell>
          <cell r="Q7336">
            <v>0</v>
          </cell>
          <cell r="R7336">
            <v>0</v>
          </cell>
          <cell r="S7336">
            <v>0</v>
          </cell>
          <cell r="T7336">
            <v>0</v>
          </cell>
          <cell r="U7336" t="b">
            <v>1</v>
          </cell>
        </row>
        <row r="7337">
          <cell r="A7337" t="str">
            <v>Data split-18;Reg-90</v>
          </cell>
          <cell r="B7337">
            <v>-5.4</v>
          </cell>
          <cell r="C7337">
            <v>0</v>
          </cell>
          <cell r="D7337">
            <v>3.2</v>
          </cell>
          <cell r="E7337">
            <v>0</v>
          </cell>
          <cell r="F7337">
            <v>0</v>
          </cell>
          <cell r="G7337">
            <v>0</v>
          </cell>
          <cell r="H7337">
            <v>0</v>
          </cell>
          <cell r="I7337">
            <v>0</v>
          </cell>
          <cell r="J7337">
            <v>0</v>
          </cell>
          <cell r="K7337">
            <v>0</v>
          </cell>
          <cell r="L7337">
            <v>0</v>
          </cell>
          <cell r="M7337">
            <v>-0.13</v>
          </cell>
          <cell r="N7337">
            <v>0</v>
          </cell>
          <cell r="O7337">
            <v>0</v>
          </cell>
          <cell r="P7337">
            <v>0</v>
          </cell>
          <cell r="Q7337">
            <v>0</v>
          </cell>
          <cell r="R7337">
            <v>0</v>
          </cell>
          <cell r="S7337">
            <v>0</v>
          </cell>
          <cell r="T7337">
            <v>0</v>
          </cell>
          <cell r="U7337" t="b">
            <v>1</v>
          </cell>
        </row>
        <row r="7338">
          <cell r="A7338" t="str">
            <v>Data split-18;Reg-91</v>
          </cell>
          <cell r="B7338">
            <v>-5.7</v>
          </cell>
          <cell r="C7338">
            <v>0</v>
          </cell>
          <cell r="D7338">
            <v>3.3</v>
          </cell>
          <cell r="E7338">
            <v>0</v>
          </cell>
          <cell r="F7338">
            <v>0</v>
          </cell>
          <cell r="G7338">
            <v>0</v>
          </cell>
          <cell r="H7338">
            <v>0</v>
          </cell>
          <cell r="I7338">
            <v>0</v>
          </cell>
          <cell r="J7338">
            <v>0</v>
          </cell>
          <cell r="K7338">
            <v>0</v>
          </cell>
          <cell r="L7338">
            <v>0</v>
          </cell>
          <cell r="M7338">
            <v>0</v>
          </cell>
          <cell r="N7338">
            <v>-2.5999999999999999E-2</v>
          </cell>
          <cell r="O7338">
            <v>0</v>
          </cell>
          <cell r="P7338">
            <v>0</v>
          </cell>
          <cell r="Q7338">
            <v>0</v>
          </cell>
          <cell r="R7338">
            <v>0</v>
          </cell>
          <cell r="S7338">
            <v>0</v>
          </cell>
          <cell r="T7338">
            <v>0</v>
          </cell>
          <cell r="U7338" t="b">
            <v>1</v>
          </cell>
        </row>
        <row r="7339">
          <cell r="A7339" t="str">
            <v>Data split-18;Reg-92</v>
          </cell>
          <cell r="B7339">
            <v>-4.5</v>
          </cell>
          <cell r="C7339">
            <v>3.2</v>
          </cell>
          <cell r="D7339">
            <v>0</v>
          </cell>
          <cell r="E7339">
            <v>0</v>
          </cell>
          <cell r="F7339">
            <v>0</v>
          </cell>
          <cell r="G7339">
            <v>0</v>
          </cell>
          <cell r="H7339">
            <v>0</v>
          </cell>
          <cell r="I7339">
            <v>0</v>
          </cell>
          <cell r="J7339">
            <v>0</v>
          </cell>
          <cell r="K7339">
            <v>0</v>
          </cell>
          <cell r="L7339">
            <v>0</v>
          </cell>
          <cell r="M7339">
            <v>0</v>
          </cell>
          <cell r="N7339">
            <v>0</v>
          </cell>
          <cell r="O7339">
            <v>-0.13</v>
          </cell>
          <cell r="P7339">
            <v>0</v>
          </cell>
          <cell r="Q7339">
            <v>0</v>
          </cell>
          <cell r="R7339">
            <v>0</v>
          </cell>
          <cell r="S7339">
            <v>0</v>
          </cell>
          <cell r="T7339">
            <v>0</v>
          </cell>
          <cell r="U7339" t="b">
            <v>1</v>
          </cell>
        </row>
        <row r="7340">
          <cell r="A7340" t="str">
            <v>Data split-18;Reg-93</v>
          </cell>
          <cell r="B7340">
            <v>-4.7</v>
          </cell>
          <cell r="C7340">
            <v>3.3</v>
          </cell>
          <cell r="D7340">
            <v>0</v>
          </cell>
          <cell r="E7340">
            <v>0</v>
          </cell>
          <cell r="F7340">
            <v>0</v>
          </cell>
          <cell r="G7340">
            <v>0</v>
          </cell>
          <cell r="H7340">
            <v>0</v>
          </cell>
          <cell r="I7340">
            <v>0</v>
          </cell>
          <cell r="J7340">
            <v>0</v>
          </cell>
          <cell r="K7340">
            <v>0</v>
          </cell>
          <cell r="L7340">
            <v>0</v>
          </cell>
          <cell r="M7340">
            <v>0</v>
          </cell>
          <cell r="N7340">
            <v>0</v>
          </cell>
          <cell r="O7340">
            <v>0</v>
          </cell>
          <cell r="P7340">
            <v>-2.7E-2</v>
          </cell>
          <cell r="Q7340">
            <v>0</v>
          </cell>
          <cell r="R7340">
            <v>0</v>
          </cell>
          <cell r="S7340">
            <v>0</v>
          </cell>
          <cell r="T7340">
            <v>0</v>
          </cell>
          <cell r="U7340" t="b">
            <v>1</v>
          </cell>
        </row>
        <row r="7341">
          <cell r="A7341" t="str">
            <v>Data split-18;Reg-94</v>
          </cell>
          <cell r="B7341">
            <v>-5</v>
          </cell>
          <cell r="C7341">
            <v>0</v>
          </cell>
          <cell r="D7341">
            <v>3.2</v>
          </cell>
          <cell r="E7341">
            <v>0</v>
          </cell>
          <cell r="F7341">
            <v>0</v>
          </cell>
          <cell r="G7341">
            <v>0</v>
          </cell>
          <cell r="H7341">
            <v>0</v>
          </cell>
          <cell r="I7341">
            <v>0</v>
          </cell>
          <cell r="J7341">
            <v>0</v>
          </cell>
          <cell r="K7341">
            <v>0</v>
          </cell>
          <cell r="L7341">
            <v>0</v>
          </cell>
          <cell r="M7341">
            <v>0</v>
          </cell>
          <cell r="N7341">
            <v>0</v>
          </cell>
          <cell r="O7341">
            <v>-0.13</v>
          </cell>
          <cell r="P7341">
            <v>0</v>
          </cell>
          <cell r="Q7341">
            <v>0</v>
          </cell>
          <cell r="R7341">
            <v>0</v>
          </cell>
          <cell r="S7341">
            <v>0</v>
          </cell>
          <cell r="T7341">
            <v>0</v>
          </cell>
          <cell r="U7341" t="b">
            <v>1</v>
          </cell>
        </row>
        <row r="7342">
          <cell r="A7342" t="str">
            <v>Data split-18;Reg-95</v>
          </cell>
          <cell r="B7342">
            <v>-5.2</v>
          </cell>
          <cell r="C7342">
            <v>0</v>
          </cell>
          <cell r="D7342">
            <v>3.3</v>
          </cell>
          <cell r="E7342">
            <v>0</v>
          </cell>
          <cell r="F7342">
            <v>0</v>
          </cell>
          <cell r="G7342">
            <v>0</v>
          </cell>
          <cell r="H7342">
            <v>0</v>
          </cell>
          <cell r="I7342">
            <v>0</v>
          </cell>
          <cell r="J7342">
            <v>0</v>
          </cell>
          <cell r="K7342">
            <v>0</v>
          </cell>
          <cell r="L7342">
            <v>0</v>
          </cell>
          <cell r="M7342">
            <v>0</v>
          </cell>
          <cell r="N7342">
            <v>0</v>
          </cell>
          <cell r="O7342">
            <v>0</v>
          </cell>
          <cell r="P7342">
            <v>-2.7E-2</v>
          </cell>
          <cell r="Q7342">
            <v>0</v>
          </cell>
          <cell r="R7342">
            <v>0</v>
          </cell>
          <cell r="S7342">
            <v>0</v>
          </cell>
          <cell r="T7342">
            <v>0</v>
          </cell>
          <cell r="U7342" t="b">
            <v>1</v>
          </cell>
        </row>
        <row r="7343">
          <cell r="A7343" t="str">
            <v>Data split-18;Reg-96</v>
          </cell>
          <cell r="B7343">
            <v>-5</v>
          </cell>
          <cell r="C7343">
            <v>3.4</v>
          </cell>
          <cell r="D7343">
            <v>0</v>
          </cell>
          <cell r="E7343">
            <v>-2.7</v>
          </cell>
          <cell r="F7343">
            <v>0</v>
          </cell>
          <cell r="G7343">
            <v>0</v>
          </cell>
          <cell r="H7343">
            <v>0</v>
          </cell>
          <cell r="I7343">
            <v>3.3</v>
          </cell>
          <cell r="J7343">
            <v>0</v>
          </cell>
          <cell r="K7343">
            <v>0</v>
          </cell>
          <cell r="L7343">
            <v>0</v>
          </cell>
          <cell r="M7343">
            <v>0</v>
          </cell>
          <cell r="N7343">
            <v>0</v>
          </cell>
          <cell r="O7343">
            <v>0</v>
          </cell>
          <cell r="P7343">
            <v>0</v>
          </cell>
          <cell r="Q7343">
            <v>0</v>
          </cell>
          <cell r="R7343">
            <v>0</v>
          </cell>
          <cell r="S7343">
            <v>0</v>
          </cell>
          <cell r="T7343">
            <v>0</v>
          </cell>
          <cell r="U7343" t="b">
            <v>0</v>
          </cell>
        </row>
        <row r="7344">
          <cell r="A7344" t="str">
            <v>Data split-18;Reg-97</v>
          </cell>
          <cell r="B7344">
            <v>-9.6999999999999993</v>
          </cell>
          <cell r="C7344">
            <v>3.6</v>
          </cell>
          <cell r="D7344">
            <v>0</v>
          </cell>
          <cell r="E7344">
            <v>-3.1</v>
          </cell>
          <cell r="F7344">
            <v>0</v>
          </cell>
          <cell r="G7344">
            <v>0</v>
          </cell>
          <cell r="H7344">
            <v>0</v>
          </cell>
          <cell r="I7344">
            <v>0</v>
          </cell>
          <cell r="J7344">
            <v>51.4</v>
          </cell>
          <cell r="K7344">
            <v>0</v>
          </cell>
          <cell r="L7344">
            <v>0</v>
          </cell>
          <cell r="M7344">
            <v>0</v>
          </cell>
          <cell r="N7344">
            <v>0</v>
          </cell>
          <cell r="O7344">
            <v>0</v>
          </cell>
          <cell r="P7344">
            <v>0</v>
          </cell>
          <cell r="Q7344">
            <v>0</v>
          </cell>
          <cell r="R7344">
            <v>0</v>
          </cell>
          <cell r="S7344">
            <v>0</v>
          </cell>
          <cell r="T7344">
            <v>0</v>
          </cell>
          <cell r="U7344" t="b">
            <v>0</v>
          </cell>
        </row>
        <row r="7345">
          <cell r="A7345" t="str">
            <v>Data split-18;Reg-98</v>
          </cell>
          <cell r="B7345">
            <v>-7.4</v>
          </cell>
          <cell r="C7345">
            <v>2.6</v>
          </cell>
          <cell r="D7345">
            <v>0</v>
          </cell>
          <cell r="E7345">
            <v>0</v>
          </cell>
          <cell r="F7345">
            <v>0.14000000000000001</v>
          </cell>
          <cell r="G7345">
            <v>0</v>
          </cell>
          <cell r="H7345">
            <v>0</v>
          </cell>
          <cell r="I7345">
            <v>-1.2E-2</v>
          </cell>
          <cell r="J7345">
            <v>0</v>
          </cell>
          <cell r="K7345">
            <v>0</v>
          </cell>
          <cell r="L7345">
            <v>0</v>
          </cell>
          <cell r="M7345">
            <v>0</v>
          </cell>
          <cell r="N7345">
            <v>0</v>
          </cell>
          <cell r="O7345">
            <v>0</v>
          </cell>
          <cell r="P7345">
            <v>0</v>
          </cell>
          <cell r="Q7345">
            <v>0</v>
          </cell>
          <cell r="R7345">
            <v>0</v>
          </cell>
          <cell r="S7345">
            <v>0</v>
          </cell>
          <cell r="T7345">
            <v>0</v>
          </cell>
          <cell r="U7345" t="b">
            <v>1</v>
          </cell>
        </row>
        <row r="7346">
          <cell r="A7346" t="str">
            <v>Data split-18;Reg-99</v>
          </cell>
          <cell r="B7346">
            <v>-9.1999999999999993</v>
          </cell>
          <cell r="C7346">
            <v>2.5</v>
          </cell>
          <cell r="D7346">
            <v>0</v>
          </cell>
          <cell r="E7346">
            <v>0</v>
          </cell>
          <cell r="F7346">
            <v>0.13</v>
          </cell>
          <cell r="G7346">
            <v>0</v>
          </cell>
          <cell r="H7346">
            <v>0</v>
          </cell>
          <cell r="I7346">
            <v>0</v>
          </cell>
          <cell r="J7346">
            <v>9.4</v>
          </cell>
          <cell r="K7346">
            <v>0</v>
          </cell>
          <cell r="L7346">
            <v>0</v>
          </cell>
          <cell r="M7346">
            <v>0</v>
          </cell>
          <cell r="N7346">
            <v>0</v>
          </cell>
          <cell r="O7346">
            <v>0</v>
          </cell>
          <cell r="P7346">
            <v>0</v>
          </cell>
          <cell r="Q7346">
            <v>0</v>
          </cell>
          <cell r="R7346">
            <v>0</v>
          </cell>
          <cell r="S7346">
            <v>0</v>
          </cell>
          <cell r="T7346">
            <v>0</v>
          </cell>
          <cell r="U7346" t="b">
            <v>0</v>
          </cell>
        </row>
        <row r="7347">
          <cell r="A7347" t="str">
            <v>Data split-18;Reg-100</v>
          </cell>
          <cell r="B7347">
            <v>-5.3</v>
          </cell>
          <cell r="C7347">
            <v>0</v>
          </cell>
          <cell r="D7347">
            <v>3.4</v>
          </cell>
          <cell r="E7347">
            <v>-2.7</v>
          </cell>
          <cell r="F7347">
            <v>0</v>
          </cell>
          <cell r="G7347">
            <v>0</v>
          </cell>
          <cell r="H7347">
            <v>0</v>
          </cell>
          <cell r="I7347">
            <v>3.1</v>
          </cell>
          <cell r="J7347">
            <v>0</v>
          </cell>
          <cell r="K7347">
            <v>0</v>
          </cell>
          <cell r="L7347">
            <v>0</v>
          </cell>
          <cell r="M7347">
            <v>0</v>
          </cell>
          <cell r="N7347">
            <v>0</v>
          </cell>
          <cell r="O7347">
            <v>0</v>
          </cell>
          <cell r="P7347">
            <v>0</v>
          </cell>
          <cell r="Q7347">
            <v>0</v>
          </cell>
          <cell r="R7347">
            <v>0</v>
          </cell>
          <cell r="S7347">
            <v>0</v>
          </cell>
          <cell r="T7347">
            <v>0</v>
          </cell>
          <cell r="U7347" t="b">
            <v>0</v>
          </cell>
        </row>
        <row r="7348">
          <cell r="A7348" t="str">
            <v>Data split-18;Reg-101</v>
          </cell>
          <cell r="B7348">
            <v>-9.5</v>
          </cell>
          <cell r="C7348">
            <v>0</v>
          </cell>
          <cell r="D7348">
            <v>3.6</v>
          </cell>
          <cell r="E7348">
            <v>-3</v>
          </cell>
          <cell r="F7348">
            <v>0</v>
          </cell>
          <cell r="G7348">
            <v>0</v>
          </cell>
          <cell r="H7348">
            <v>0</v>
          </cell>
          <cell r="I7348">
            <v>0</v>
          </cell>
          <cell r="J7348">
            <v>46</v>
          </cell>
          <cell r="K7348">
            <v>0</v>
          </cell>
          <cell r="L7348">
            <v>0</v>
          </cell>
          <cell r="M7348">
            <v>0</v>
          </cell>
          <cell r="N7348">
            <v>0</v>
          </cell>
          <cell r="O7348">
            <v>0</v>
          </cell>
          <cell r="P7348">
            <v>0</v>
          </cell>
          <cell r="Q7348">
            <v>0</v>
          </cell>
          <cell r="R7348">
            <v>0</v>
          </cell>
          <cell r="S7348">
            <v>0</v>
          </cell>
          <cell r="T7348">
            <v>0</v>
          </cell>
          <cell r="U7348" t="b">
            <v>0</v>
          </cell>
        </row>
        <row r="7349">
          <cell r="A7349" t="str">
            <v>Data split-18;Reg-102</v>
          </cell>
          <cell r="B7349">
            <v>-7.6</v>
          </cell>
          <cell r="C7349">
            <v>0</v>
          </cell>
          <cell r="D7349">
            <v>2.6</v>
          </cell>
          <cell r="E7349">
            <v>0</v>
          </cell>
          <cell r="F7349">
            <v>0.13</v>
          </cell>
          <cell r="G7349">
            <v>0</v>
          </cell>
          <cell r="H7349">
            <v>0</v>
          </cell>
          <cell r="I7349">
            <v>-0.22</v>
          </cell>
          <cell r="J7349">
            <v>0</v>
          </cell>
          <cell r="K7349">
            <v>0</v>
          </cell>
          <cell r="L7349">
            <v>0</v>
          </cell>
          <cell r="M7349">
            <v>0</v>
          </cell>
          <cell r="N7349">
            <v>0</v>
          </cell>
          <cell r="O7349">
            <v>0</v>
          </cell>
          <cell r="P7349">
            <v>0</v>
          </cell>
          <cell r="Q7349">
            <v>0</v>
          </cell>
          <cell r="R7349">
            <v>0</v>
          </cell>
          <cell r="S7349">
            <v>0</v>
          </cell>
          <cell r="T7349">
            <v>0</v>
          </cell>
          <cell r="U7349" t="b">
            <v>1</v>
          </cell>
        </row>
        <row r="7350">
          <cell r="A7350" t="str">
            <v>Data split-18;Reg-103</v>
          </cell>
          <cell r="B7350">
            <v>-9</v>
          </cell>
          <cell r="C7350">
            <v>0</v>
          </cell>
          <cell r="D7350">
            <v>2.6</v>
          </cell>
          <cell r="E7350">
            <v>0</v>
          </cell>
          <cell r="F7350">
            <v>0.13</v>
          </cell>
          <cell r="G7350">
            <v>0</v>
          </cell>
          <cell r="H7350">
            <v>0</v>
          </cell>
          <cell r="I7350">
            <v>0</v>
          </cell>
          <cell r="J7350">
            <v>6.2</v>
          </cell>
          <cell r="K7350">
            <v>0</v>
          </cell>
          <cell r="L7350">
            <v>0</v>
          </cell>
          <cell r="M7350">
            <v>0</v>
          </cell>
          <cell r="N7350">
            <v>0</v>
          </cell>
          <cell r="O7350">
            <v>0</v>
          </cell>
          <cell r="P7350">
            <v>0</v>
          </cell>
          <cell r="Q7350">
            <v>0</v>
          </cell>
          <cell r="R7350">
            <v>0</v>
          </cell>
          <cell r="S7350">
            <v>0</v>
          </cell>
          <cell r="T7350">
            <v>0</v>
          </cell>
          <cell r="U7350" t="b">
            <v>0</v>
          </cell>
        </row>
        <row r="7351">
          <cell r="A7351" t="str">
            <v>Data split-18;Reg-104</v>
          </cell>
          <cell r="B7351">
            <v>-2.2999999999999998</v>
          </cell>
          <cell r="C7351">
            <v>3.4</v>
          </cell>
          <cell r="D7351">
            <v>0</v>
          </cell>
          <cell r="E7351">
            <v>-2.7</v>
          </cell>
          <cell r="F7351">
            <v>0</v>
          </cell>
          <cell r="G7351">
            <v>0</v>
          </cell>
          <cell r="H7351">
            <v>0</v>
          </cell>
          <cell r="I7351">
            <v>0</v>
          </cell>
          <cell r="J7351">
            <v>0</v>
          </cell>
          <cell r="K7351">
            <v>2.2000000000000002</v>
          </cell>
          <cell r="L7351">
            <v>0</v>
          </cell>
          <cell r="M7351">
            <v>0</v>
          </cell>
          <cell r="N7351">
            <v>0</v>
          </cell>
          <cell r="O7351">
            <v>0</v>
          </cell>
          <cell r="P7351">
            <v>0</v>
          </cell>
          <cell r="Q7351">
            <v>0</v>
          </cell>
          <cell r="R7351">
            <v>0</v>
          </cell>
          <cell r="S7351">
            <v>0</v>
          </cell>
          <cell r="T7351">
            <v>0</v>
          </cell>
          <cell r="U7351" t="b">
            <v>0</v>
          </cell>
        </row>
        <row r="7352">
          <cell r="A7352" t="str">
            <v>Data split-18;Reg-105</v>
          </cell>
          <cell r="B7352">
            <v>-4</v>
          </cell>
          <cell r="C7352">
            <v>3.5</v>
          </cell>
          <cell r="D7352">
            <v>0</v>
          </cell>
          <cell r="E7352">
            <v>-3.1</v>
          </cell>
          <cell r="F7352">
            <v>0</v>
          </cell>
          <cell r="G7352">
            <v>0</v>
          </cell>
          <cell r="H7352">
            <v>0</v>
          </cell>
          <cell r="I7352">
            <v>0</v>
          </cell>
          <cell r="J7352">
            <v>0</v>
          </cell>
          <cell r="K7352">
            <v>0</v>
          </cell>
          <cell r="L7352">
            <v>30.5</v>
          </cell>
          <cell r="M7352">
            <v>0</v>
          </cell>
          <cell r="N7352">
            <v>0</v>
          </cell>
          <cell r="O7352">
            <v>0</v>
          </cell>
          <cell r="P7352">
            <v>0</v>
          </cell>
          <cell r="Q7352">
            <v>0</v>
          </cell>
          <cell r="R7352">
            <v>0</v>
          </cell>
          <cell r="S7352">
            <v>0</v>
          </cell>
          <cell r="T7352">
            <v>0</v>
          </cell>
          <cell r="U7352" t="b">
            <v>0</v>
          </cell>
        </row>
        <row r="7353">
          <cell r="A7353" t="str">
            <v>Data split-18;Reg-106</v>
          </cell>
          <cell r="B7353">
            <v>-6.9</v>
          </cell>
          <cell r="C7353">
            <v>2.7</v>
          </cell>
          <cell r="D7353">
            <v>0</v>
          </cell>
          <cell r="E7353">
            <v>0</v>
          </cell>
          <cell r="F7353">
            <v>0.14000000000000001</v>
          </cell>
          <cell r="G7353">
            <v>0</v>
          </cell>
          <cell r="H7353">
            <v>0</v>
          </cell>
          <cell r="I7353">
            <v>0</v>
          </cell>
          <cell r="J7353">
            <v>0</v>
          </cell>
          <cell r="K7353">
            <v>-0.87</v>
          </cell>
          <cell r="L7353">
            <v>0</v>
          </cell>
          <cell r="M7353">
            <v>0</v>
          </cell>
          <cell r="N7353">
            <v>0</v>
          </cell>
          <cell r="O7353">
            <v>0</v>
          </cell>
          <cell r="P7353">
            <v>0</v>
          </cell>
          <cell r="Q7353">
            <v>0</v>
          </cell>
          <cell r="R7353">
            <v>0</v>
          </cell>
          <cell r="S7353">
            <v>0</v>
          </cell>
          <cell r="T7353">
            <v>0</v>
          </cell>
          <cell r="U7353" t="b">
            <v>1</v>
          </cell>
        </row>
        <row r="7354">
          <cell r="A7354" t="str">
            <v>Data split-18;Reg-107</v>
          </cell>
          <cell r="B7354">
            <v>-6.7</v>
          </cell>
          <cell r="C7354">
            <v>2.6</v>
          </cell>
          <cell r="D7354">
            <v>0</v>
          </cell>
          <cell r="E7354">
            <v>0</v>
          </cell>
          <cell r="F7354">
            <v>0.14000000000000001</v>
          </cell>
          <cell r="G7354">
            <v>0</v>
          </cell>
          <cell r="H7354">
            <v>0</v>
          </cell>
          <cell r="I7354">
            <v>0</v>
          </cell>
          <cell r="J7354">
            <v>0</v>
          </cell>
          <cell r="K7354">
            <v>0</v>
          </cell>
          <cell r="L7354">
            <v>-5.5</v>
          </cell>
          <cell r="M7354">
            <v>0</v>
          </cell>
          <cell r="N7354">
            <v>0</v>
          </cell>
          <cell r="O7354">
            <v>0</v>
          </cell>
          <cell r="P7354">
            <v>0</v>
          </cell>
          <cell r="Q7354">
            <v>0</v>
          </cell>
          <cell r="R7354">
            <v>0</v>
          </cell>
          <cell r="S7354">
            <v>0</v>
          </cell>
          <cell r="T7354">
            <v>0</v>
          </cell>
          <cell r="U7354" t="b">
            <v>1</v>
          </cell>
        </row>
        <row r="7355">
          <cell r="A7355" t="str">
            <v>Data split-18;Reg-108</v>
          </cell>
          <cell r="B7355">
            <v>-2.7</v>
          </cell>
          <cell r="C7355">
            <v>0</v>
          </cell>
          <cell r="D7355">
            <v>3.5</v>
          </cell>
          <cell r="E7355">
            <v>-2.8</v>
          </cell>
          <cell r="F7355">
            <v>0</v>
          </cell>
          <cell r="G7355">
            <v>0</v>
          </cell>
          <cell r="H7355">
            <v>0</v>
          </cell>
          <cell r="I7355">
            <v>0</v>
          </cell>
          <cell r="J7355">
            <v>0</v>
          </cell>
          <cell r="K7355">
            <v>2.2000000000000002</v>
          </cell>
          <cell r="L7355">
            <v>0</v>
          </cell>
          <cell r="M7355">
            <v>0</v>
          </cell>
          <cell r="N7355">
            <v>0</v>
          </cell>
          <cell r="O7355">
            <v>0</v>
          </cell>
          <cell r="P7355">
            <v>0</v>
          </cell>
          <cell r="Q7355">
            <v>0</v>
          </cell>
          <cell r="R7355">
            <v>0</v>
          </cell>
          <cell r="S7355">
            <v>0</v>
          </cell>
          <cell r="T7355">
            <v>0</v>
          </cell>
          <cell r="U7355" t="b">
            <v>0</v>
          </cell>
        </row>
        <row r="7356">
          <cell r="A7356" t="str">
            <v>Data split-18;Reg-109</v>
          </cell>
          <cell r="B7356">
            <v>-4.4000000000000004</v>
          </cell>
          <cell r="C7356">
            <v>0</v>
          </cell>
          <cell r="D7356">
            <v>3.6</v>
          </cell>
          <cell r="E7356">
            <v>-3.1</v>
          </cell>
          <cell r="F7356">
            <v>0</v>
          </cell>
          <cell r="G7356">
            <v>0</v>
          </cell>
          <cell r="H7356">
            <v>0</v>
          </cell>
          <cell r="I7356">
            <v>0</v>
          </cell>
          <cell r="J7356">
            <v>0</v>
          </cell>
          <cell r="K7356">
            <v>0</v>
          </cell>
          <cell r="L7356">
            <v>29.3</v>
          </cell>
          <cell r="M7356">
            <v>0</v>
          </cell>
          <cell r="N7356">
            <v>0</v>
          </cell>
          <cell r="O7356">
            <v>0</v>
          </cell>
          <cell r="P7356">
            <v>0</v>
          </cell>
          <cell r="Q7356">
            <v>0</v>
          </cell>
          <cell r="R7356">
            <v>0</v>
          </cell>
          <cell r="S7356">
            <v>0</v>
          </cell>
          <cell r="T7356">
            <v>0</v>
          </cell>
          <cell r="U7356" t="b">
            <v>0</v>
          </cell>
        </row>
        <row r="7357">
          <cell r="A7357" t="str">
            <v>Data split-18;Reg-110</v>
          </cell>
          <cell r="B7357">
            <v>-7.3</v>
          </cell>
          <cell r="C7357">
            <v>0</v>
          </cell>
          <cell r="D7357">
            <v>2.8</v>
          </cell>
          <cell r="E7357">
            <v>0</v>
          </cell>
          <cell r="F7357">
            <v>0.14000000000000001</v>
          </cell>
          <cell r="G7357">
            <v>0</v>
          </cell>
          <cell r="H7357">
            <v>0</v>
          </cell>
          <cell r="I7357">
            <v>0</v>
          </cell>
          <cell r="J7357">
            <v>0</v>
          </cell>
          <cell r="K7357">
            <v>-0.96</v>
          </cell>
          <cell r="L7357">
            <v>0</v>
          </cell>
          <cell r="M7357">
            <v>0</v>
          </cell>
          <cell r="N7357">
            <v>0</v>
          </cell>
          <cell r="O7357">
            <v>0</v>
          </cell>
          <cell r="P7357">
            <v>0</v>
          </cell>
          <cell r="Q7357">
            <v>0</v>
          </cell>
          <cell r="R7357">
            <v>0</v>
          </cell>
          <cell r="S7357">
            <v>0</v>
          </cell>
          <cell r="T7357">
            <v>0</v>
          </cell>
          <cell r="U7357" t="b">
            <v>1</v>
          </cell>
        </row>
        <row r="7358">
          <cell r="A7358" t="str">
            <v>Data split-18;Reg-111</v>
          </cell>
          <cell r="B7358">
            <v>-7.1</v>
          </cell>
          <cell r="C7358">
            <v>0</v>
          </cell>
          <cell r="D7358">
            <v>2.7</v>
          </cell>
          <cell r="E7358">
            <v>0</v>
          </cell>
          <cell r="F7358">
            <v>0.13</v>
          </cell>
          <cell r="G7358">
            <v>0</v>
          </cell>
          <cell r="H7358">
            <v>0</v>
          </cell>
          <cell r="I7358">
            <v>0</v>
          </cell>
          <cell r="J7358">
            <v>0</v>
          </cell>
          <cell r="K7358">
            <v>0</v>
          </cell>
          <cell r="L7358">
            <v>-6.8</v>
          </cell>
          <cell r="M7358">
            <v>0</v>
          </cell>
          <cell r="N7358">
            <v>0</v>
          </cell>
          <cell r="O7358">
            <v>0</v>
          </cell>
          <cell r="P7358">
            <v>0</v>
          </cell>
          <cell r="Q7358">
            <v>0</v>
          </cell>
          <cell r="R7358">
            <v>0</v>
          </cell>
          <cell r="S7358">
            <v>0</v>
          </cell>
          <cell r="T7358">
            <v>0</v>
          </cell>
          <cell r="U7358" t="b">
            <v>1</v>
          </cell>
        </row>
        <row r="7359">
          <cell r="A7359" t="str">
            <v>Data split-18;Reg-112</v>
          </cell>
          <cell r="B7359">
            <v>-4.0999999999999996</v>
          </cell>
          <cell r="C7359">
            <v>3.3</v>
          </cell>
          <cell r="D7359">
            <v>0</v>
          </cell>
          <cell r="E7359">
            <v>0</v>
          </cell>
          <cell r="F7359">
            <v>0</v>
          </cell>
          <cell r="G7359">
            <v>-2.2000000000000002</v>
          </cell>
          <cell r="H7359">
            <v>0</v>
          </cell>
          <cell r="I7359">
            <v>3</v>
          </cell>
          <cell r="J7359">
            <v>0</v>
          </cell>
          <cell r="K7359">
            <v>0</v>
          </cell>
          <cell r="L7359">
            <v>0</v>
          </cell>
          <cell r="M7359">
            <v>0</v>
          </cell>
          <cell r="N7359">
            <v>0</v>
          </cell>
          <cell r="O7359">
            <v>0</v>
          </cell>
          <cell r="P7359">
            <v>0</v>
          </cell>
          <cell r="Q7359">
            <v>0</v>
          </cell>
          <cell r="R7359">
            <v>0</v>
          </cell>
          <cell r="S7359">
            <v>0</v>
          </cell>
          <cell r="T7359">
            <v>0</v>
          </cell>
          <cell r="U7359" t="b">
            <v>0</v>
          </cell>
        </row>
        <row r="7360">
          <cell r="A7360" t="str">
            <v>Data split-18;Reg-113</v>
          </cell>
          <cell r="B7360">
            <v>-8.1</v>
          </cell>
          <cell r="C7360">
            <v>3.5</v>
          </cell>
          <cell r="D7360">
            <v>0</v>
          </cell>
          <cell r="E7360">
            <v>0</v>
          </cell>
          <cell r="F7360">
            <v>0</v>
          </cell>
          <cell r="G7360">
            <v>-2.4</v>
          </cell>
          <cell r="H7360">
            <v>0</v>
          </cell>
          <cell r="I7360">
            <v>0</v>
          </cell>
          <cell r="J7360">
            <v>42.9</v>
          </cell>
          <cell r="K7360">
            <v>0</v>
          </cell>
          <cell r="L7360">
            <v>0</v>
          </cell>
          <cell r="M7360">
            <v>0</v>
          </cell>
          <cell r="N7360">
            <v>0</v>
          </cell>
          <cell r="O7360">
            <v>0</v>
          </cell>
          <cell r="P7360">
            <v>0</v>
          </cell>
          <cell r="Q7360">
            <v>0</v>
          </cell>
          <cell r="R7360">
            <v>0</v>
          </cell>
          <cell r="S7360">
            <v>0</v>
          </cell>
          <cell r="T7360">
            <v>0</v>
          </cell>
          <cell r="U7360" t="b">
            <v>0</v>
          </cell>
        </row>
        <row r="7361">
          <cell r="A7361" t="str">
            <v>Data split-18;Reg-114</v>
          </cell>
          <cell r="B7361">
            <v>-4.2</v>
          </cell>
          <cell r="C7361">
            <v>3.5</v>
          </cell>
          <cell r="D7361">
            <v>0</v>
          </cell>
          <cell r="E7361">
            <v>0</v>
          </cell>
          <cell r="F7361">
            <v>0</v>
          </cell>
          <cell r="G7361">
            <v>0</v>
          </cell>
          <cell r="H7361">
            <v>-3.7</v>
          </cell>
          <cell r="I7361">
            <v>3.1</v>
          </cell>
          <cell r="J7361">
            <v>0</v>
          </cell>
          <cell r="K7361">
            <v>0</v>
          </cell>
          <cell r="L7361">
            <v>0</v>
          </cell>
          <cell r="M7361">
            <v>0</v>
          </cell>
          <cell r="N7361">
            <v>0</v>
          </cell>
          <cell r="O7361">
            <v>0</v>
          </cell>
          <cell r="P7361">
            <v>0</v>
          </cell>
          <cell r="Q7361">
            <v>0</v>
          </cell>
          <cell r="R7361">
            <v>0</v>
          </cell>
          <cell r="S7361">
            <v>0</v>
          </cell>
          <cell r="T7361">
            <v>0</v>
          </cell>
          <cell r="U7361" t="b">
            <v>0</v>
          </cell>
        </row>
        <row r="7362">
          <cell r="A7362" t="str">
            <v>Data split-18;Reg-115</v>
          </cell>
          <cell r="B7362">
            <v>-8.4</v>
          </cell>
          <cell r="C7362">
            <v>3.7</v>
          </cell>
          <cell r="D7362">
            <v>0</v>
          </cell>
          <cell r="E7362">
            <v>0</v>
          </cell>
          <cell r="F7362">
            <v>0</v>
          </cell>
          <cell r="G7362">
            <v>0</v>
          </cell>
          <cell r="H7362">
            <v>-4.0999999999999996</v>
          </cell>
          <cell r="I7362">
            <v>0</v>
          </cell>
          <cell r="J7362">
            <v>45.5</v>
          </cell>
          <cell r="K7362">
            <v>0</v>
          </cell>
          <cell r="L7362">
            <v>0</v>
          </cell>
          <cell r="M7362">
            <v>0</v>
          </cell>
          <cell r="N7362">
            <v>0</v>
          </cell>
          <cell r="O7362">
            <v>0</v>
          </cell>
          <cell r="P7362">
            <v>0</v>
          </cell>
          <cell r="Q7362">
            <v>0</v>
          </cell>
          <cell r="R7362">
            <v>0</v>
          </cell>
          <cell r="S7362">
            <v>0</v>
          </cell>
          <cell r="T7362">
            <v>0</v>
          </cell>
          <cell r="U7362" t="b">
            <v>0</v>
          </cell>
        </row>
        <row r="7363">
          <cell r="A7363" t="str">
            <v>Data split-18;Reg-116</v>
          </cell>
          <cell r="B7363">
            <v>-4.4000000000000004</v>
          </cell>
          <cell r="C7363">
            <v>0</v>
          </cell>
          <cell r="D7363">
            <v>3.4</v>
          </cell>
          <cell r="E7363">
            <v>0</v>
          </cell>
          <cell r="F7363">
            <v>0</v>
          </cell>
          <cell r="G7363">
            <v>-2.2000000000000002</v>
          </cell>
          <cell r="H7363">
            <v>0</v>
          </cell>
          <cell r="I7363">
            <v>2.7</v>
          </cell>
          <cell r="J7363">
            <v>0</v>
          </cell>
          <cell r="K7363">
            <v>0</v>
          </cell>
          <cell r="L7363">
            <v>0</v>
          </cell>
          <cell r="M7363">
            <v>0</v>
          </cell>
          <cell r="N7363">
            <v>0</v>
          </cell>
          <cell r="O7363">
            <v>0</v>
          </cell>
          <cell r="P7363">
            <v>0</v>
          </cell>
          <cell r="Q7363">
            <v>0</v>
          </cell>
          <cell r="R7363">
            <v>0</v>
          </cell>
          <cell r="S7363">
            <v>0</v>
          </cell>
          <cell r="T7363">
            <v>0</v>
          </cell>
          <cell r="U7363" t="b">
            <v>0</v>
          </cell>
        </row>
        <row r="7364">
          <cell r="A7364" t="str">
            <v>Data split-18;Reg-117</v>
          </cell>
          <cell r="B7364">
            <v>-7.9</v>
          </cell>
          <cell r="C7364">
            <v>0</v>
          </cell>
          <cell r="D7364">
            <v>3.5</v>
          </cell>
          <cell r="E7364">
            <v>0</v>
          </cell>
          <cell r="F7364">
            <v>0</v>
          </cell>
          <cell r="G7364">
            <v>-2.2999999999999998</v>
          </cell>
          <cell r="H7364">
            <v>0</v>
          </cell>
          <cell r="I7364">
            <v>0</v>
          </cell>
          <cell r="J7364">
            <v>38.1</v>
          </cell>
          <cell r="K7364">
            <v>0</v>
          </cell>
          <cell r="L7364">
            <v>0</v>
          </cell>
          <cell r="M7364">
            <v>0</v>
          </cell>
          <cell r="N7364">
            <v>0</v>
          </cell>
          <cell r="O7364">
            <v>0</v>
          </cell>
          <cell r="P7364">
            <v>0</v>
          </cell>
          <cell r="Q7364">
            <v>0</v>
          </cell>
          <cell r="R7364">
            <v>0</v>
          </cell>
          <cell r="S7364">
            <v>0</v>
          </cell>
          <cell r="T7364">
            <v>0</v>
          </cell>
          <cell r="U7364" t="b">
            <v>0</v>
          </cell>
        </row>
        <row r="7365">
          <cell r="A7365" t="str">
            <v>Data split-18;Reg-118</v>
          </cell>
          <cell r="B7365">
            <v>-4.5999999999999996</v>
          </cell>
          <cell r="C7365">
            <v>0</v>
          </cell>
          <cell r="D7365">
            <v>3.6</v>
          </cell>
          <cell r="E7365">
            <v>0</v>
          </cell>
          <cell r="F7365">
            <v>0</v>
          </cell>
          <cell r="G7365">
            <v>0</v>
          </cell>
          <cell r="H7365">
            <v>-3.6</v>
          </cell>
          <cell r="I7365">
            <v>2.8</v>
          </cell>
          <cell r="J7365">
            <v>0</v>
          </cell>
          <cell r="K7365">
            <v>0</v>
          </cell>
          <cell r="L7365">
            <v>0</v>
          </cell>
          <cell r="M7365">
            <v>0</v>
          </cell>
          <cell r="N7365">
            <v>0</v>
          </cell>
          <cell r="O7365">
            <v>0</v>
          </cell>
          <cell r="P7365">
            <v>0</v>
          </cell>
          <cell r="Q7365">
            <v>0</v>
          </cell>
          <cell r="R7365">
            <v>0</v>
          </cell>
          <cell r="S7365">
            <v>0</v>
          </cell>
          <cell r="T7365">
            <v>0</v>
          </cell>
          <cell r="U7365" t="b">
            <v>0</v>
          </cell>
        </row>
        <row r="7366">
          <cell r="A7366" t="str">
            <v>Data split-18;Reg-119</v>
          </cell>
          <cell r="B7366">
            <v>-8.1999999999999993</v>
          </cell>
          <cell r="C7366">
            <v>0</v>
          </cell>
          <cell r="D7366">
            <v>3.7</v>
          </cell>
          <cell r="E7366">
            <v>0</v>
          </cell>
          <cell r="F7366">
            <v>0</v>
          </cell>
          <cell r="G7366">
            <v>0</v>
          </cell>
          <cell r="H7366">
            <v>-3.9</v>
          </cell>
          <cell r="I7366">
            <v>0</v>
          </cell>
          <cell r="J7366">
            <v>39.700000000000003</v>
          </cell>
          <cell r="K7366">
            <v>0</v>
          </cell>
          <cell r="L7366">
            <v>0</v>
          </cell>
          <cell r="M7366">
            <v>0</v>
          </cell>
          <cell r="N7366">
            <v>0</v>
          </cell>
          <cell r="O7366">
            <v>0</v>
          </cell>
          <cell r="P7366">
            <v>0</v>
          </cell>
          <cell r="Q7366">
            <v>0</v>
          </cell>
          <cell r="R7366">
            <v>0</v>
          </cell>
          <cell r="S7366">
            <v>0</v>
          </cell>
          <cell r="T7366">
            <v>0</v>
          </cell>
          <cell r="U7366" t="b">
            <v>0</v>
          </cell>
        </row>
        <row r="7367">
          <cell r="A7367" t="str">
            <v>Data split-18;Reg-120</v>
          </cell>
          <cell r="B7367">
            <v>-2.2999999999999998</v>
          </cell>
          <cell r="C7367">
            <v>3.4</v>
          </cell>
          <cell r="D7367">
            <v>0</v>
          </cell>
          <cell r="E7367">
            <v>0</v>
          </cell>
          <cell r="F7367">
            <v>0</v>
          </cell>
          <cell r="G7367">
            <v>-1.9</v>
          </cell>
          <cell r="H7367">
            <v>0</v>
          </cell>
          <cell r="I7367">
            <v>0</v>
          </cell>
          <cell r="J7367">
            <v>0</v>
          </cell>
          <cell r="K7367">
            <v>1.1000000000000001</v>
          </cell>
          <cell r="L7367">
            <v>0</v>
          </cell>
          <cell r="M7367">
            <v>0</v>
          </cell>
          <cell r="N7367">
            <v>0</v>
          </cell>
          <cell r="O7367">
            <v>0</v>
          </cell>
          <cell r="P7367">
            <v>0</v>
          </cell>
          <cell r="Q7367">
            <v>0</v>
          </cell>
          <cell r="R7367">
            <v>0</v>
          </cell>
          <cell r="S7367">
            <v>0</v>
          </cell>
          <cell r="T7367">
            <v>0</v>
          </cell>
          <cell r="U7367" t="b">
            <v>0</v>
          </cell>
        </row>
        <row r="7368">
          <cell r="A7368" t="str">
            <v>Data split-18;Reg-121</v>
          </cell>
          <cell r="B7368">
            <v>-3.2</v>
          </cell>
          <cell r="C7368">
            <v>3.4</v>
          </cell>
          <cell r="D7368">
            <v>0</v>
          </cell>
          <cell r="E7368">
            <v>0</v>
          </cell>
          <cell r="F7368">
            <v>0</v>
          </cell>
          <cell r="G7368">
            <v>-2</v>
          </cell>
          <cell r="H7368">
            <v>0</v>
          </cell>
          <cell r="I7368">
            <v>0</v>
          </cell>
          <cell r="J7368">
            <v>0</v>
          </cell>
          <cell r="K7368">
            <v>0</v>
          </cell>
          <cell r="L7368">
            <v>14.8</v>
          </cell>
          <cell r="M7368">
            <v>0</v>
          </cell>
          <cell r="N7368">
            <v>0</v>
          </cell>
          <cell r="O7368">
            <v>0</v>
          </cell>
          <cell r="P7368">
            <v>0</v>
          </cell>
          <cell r="Q7368">
            <v>0</v>
          </cell>
          <cell r="R7368">
            <v>0</v>
          </cell>
          <cell r="S7368">
            <v>0</v>
          </cell>
          <cell r="T7368">
            <v>0</v>
          </cell>
          <cell r="U7368" t="b">
            <v>0</v>
          </cell>
        </row>
        <row r="7369">
          <cell r="A7369" t="str">
            <v>Data split-18;Reg-122</v>
          </cell>
          <cell r="B7369">
            <v>-2.2000000000000002</v>
          </cell>
          <cell r="C7369">
            <v>3.5</v>
          </cell>
          <cell r="D7369">
            <v>0</v>
          </cell>
          <cell r="E7369">
            <v>0</v>
          </cell>
          <cell r="F7369">
            <v>0</v>
          </cell>
          <cell r="G7369">
            <v>0</v>
          </cell>
          <cell r="H7369">
            <v>-3.3</v>
          </cell>
          <cell r="I7369">
            <v>0</v>
          </cell>
          <cell r="J7369">
            <v>0</v>
          </cell>
          <cell r="K7369">
            <v>1.4</v>
          </cell>
          <cell r="L7369">
            <v>0</v>
          </cell>
          <cell r="M7369">
            <v>0</v>
          </cell>
          <cell r="N7369">
            <v>0</v>
          </cell>
          <cell r="O7369">
            <v>0</v>
          </cell>
          <cell r="P7369">
            <v>0</v>
          </cell>
          <cell r="Q7369">
            <v>0</v>
          </cell>
          <cell r="R7369">
            <v>0</v>
          </cell>
          <cell r="S7369">
            <v>0</v>
          </cell>
          <cell r="T7369">
            <v>0</v>
          </cell>
          <cell r="U7369" t="b">
            <v>0</v>
          </cell>
        </row>
        <row r="7370">
          <cell r="A7370" t="str">
            <v>Data split-18;Reg-123</v>
          </cell>
          <cell r="B7370">
            <v>-3.4</v>
          </cell>
          <cell r="C7370">
            <v>3.6</v>
          </cell>
          <cell r="D7370">
            <v>0</v>
          </cell>
          <cell r="E7370">
            <v>0</v>
          </cell>
          <cell r="F7370">
            <v>0</v>
          </cell>
          <cell r="G7370">
            <v>0</v>
          </cell>
          <cell r="H7370">
            <v>-3.5</v>
          </cell>
          <cell r="I7370">
            <v>0</v>
          </cell>
          <cell r="J7370">
            <v>0</v>
          </cell>
          <cell r="K7370">
            <v>0</v>
          </cell>
          <cell r="L7370">
            <v>18.8</v>
          </cell>
          <cell r="M7370">
            <v>0</v>
          </cell>
          <cell r="N7370">
            <v>0</v>
          </cell>
          <cell r="O7370">
            <v>0</v>
          </cell>
          <cell r="P7370">
            <v>0</v>
          </cell>
          <cell r="Q7370">
            <v>0</v>
          </cell>
          <cell r="R7370">
            <v>0</v>
          </cell>
          <cell r="S7370">
            <v>0</v>
          </cell>
          <cell r="T7370">
            <v>0</v>
          </cell>
          <cell r="U7370" t="b">
            <v>0</v>
          </cell>
        </row>
        <row r="7371">
          <cell r="A7371" t="str">
            <v>Data split-18;Reg-124</v>
          </cell>
          <cell r="B7371">
            <v>-2.7</v>
          </cell>
          <cell r="C7371">
            <v>0</v>
          </cell>
          <cell r="D7371">
            <v>3.4</v>
          </cell>
          <cell r="E7371">
            <v>0</v>
          </cell>
          <cell r="F7371">
            <v>0</v>
          </cell>
          <cell r="G7371">
            <v>-1.9</v>
          </cell>
          <cell r="H7371">
            <v>0</v>
          </cell>
          <cell r="I7371">
            <v>0</v>
          </cell>
          <cell r="J7371">
            <v>0</v>
          </cell>
          <cell r="K7371">
            <v>1</v>
          </cell>
          <cell r="L7371">
            <v>0</v>
          </cell>
          <cell r="M7371">
            <v>0</v>
          </cell>
          <cell r="N7371">
            <v>0</v>
          </cell>
          <cell r="O7371">
            <v>0</v>
          </cell>
          <cell r="P7371">
            <v>0</v>
          </cell>
          <cell r="Q7371">
            <v>0</v>
          </cell>
          <cell r="R7371">
            <v>0</v>
          </cell>
          <cell r="S7371">
            <v>0</v>
          </cell>
          <cell r="T7371">
            <v>0</v>
          </cell>
          <cell r="U7371" t="b">
            <v>0</v>
          </cell>
        </row>
        <row r="7372">
          <cell r="A7372" t="str">
            <v>Data split-18;Reg-125</v>
          </cell>
          <cell r="B7372">
            <v>-3.6</v>
          </cell>
          <cell r="C7372">
            <v>0</v>
          </cell>
          <cell r="D7372">
            <v>3.5</v>
          </cell>
          <cell r="E7372">
            <v>0</v>
          </cell>
          <cell r="F7372">
            <v>0</v>
          </cell>
          <cell r="G7372">
            <v>-2</v>
          </cell>
          <cell r="H7372">
            <v>0</v>
          </cell>
          <cell r="I7372">
            <v>0</v>
          </cell>
          <cell r="J7372">
            <v>0</v>
          </cell>
          <cell r="K7372">
            <v>0</v>
          </cell>
          <cell r="L7372">
            <v>13.6</v>
          </cell>
          <cell r="M7372">
            <v>0</v>
          </cell>
          <cell r="N7372">
            <v>0</v>
          </cell>
          <cell r="O7372">
            <v>0</v>
          </cell>
          <cell r="P7372">
            <v>0</v>
          </cell>
          <cell r="Q7372">
            <v>0</v>
          </cell>
          <cell r="R7372">
            <v>0</v>
          </cell>
          <cell r="S7372">
            <v>0</v>
          </cell>
          <cell r="T7372">
            <v>0</v>
          </cell>
          <cell r="U7372" t="b">
            <v>0</v>
          </cell>
        </row>
        <row r="7373">
          <cell r="A7373" t="str">
            <v>Data split-18;Reg-126</v>
          </cell>
          <cell r="B7373">
            <v>-2.7</v>
          </cell>
          <cell r="C7373">
            <v>0</v>
          </cell>
          <cell r="D7373">
            <v>3.6</v>
          </cell>
          <cell r="E7373">
            <v>0</v>
          </cell>
          <cell r="F7373">
            <v>0</v>
          </cell>
          <cell r="G7373">
            <v>0</v>
          </cell>
          <cell r="H7373">
            <v>-3.3</v>
          </cell>
          <cell r="I7373">
            <v>0</v>
          </cell>
          <cell r="J7373">
            <v>0</v>
          </cell>
          <cell r="K7373">
            <v>1.3</v>
          </cell>
          <cell r="L7373">
            <v>0</v>
          </cell>
          <cell r="M7373">
            <v>0</v>
          </cell>
          <cell r="N7373">
            <v>0</v>
          </cell>
          <cell r="O7373">
            <v>0</v>
          </cell>
          <cell r="P7373">
            <v>0</v>
          </cell>
          <cell r="Q7373">
            <v>0</v>
          </cell>
          <cell r="R7373">
            <v>0</v>
          </cell>
          <cell r="S7373">
            <v>0</v>
          </cell>
          <cell r="T7373">
            <v>0</v>
          </cell>
          <cell r="U7373" t="b">
            <v>0</v>
          </cell>
        </row>
        <row r="7374">
          <cell r="A7374" t="str">
            <v>Data split-18;Reg-127</v>
          </cell>
          <cell r="B7374">
            <v>-3.8</v>
          </cell>
          <cell r="C7374">
            <v>0</v>
          </cell>
          <cell r="D7374">
            <v>3.6</v>
          </cell>
          <cell r="E7374">
            <v>0</v>
          </cell>
          <cell r="F7374">
            <v>0</v>
          </cell>
          <cell r="G7374">
            <v>0</v>
          </cell>
          <cell r="H7374">
            <v>-3.5</v>
          </cell>
          <cell r="I7374">
            <v>0</v>
          </cell>
          <cell r="J7374">
            <v>0</v>
          </cell>
          <cell r="K7374">
            <v>0</v>
          </cell>
          <cell r="L7374">
            <v>17.2</v>
          </cell>
          <cell r="M7374">
            <v>0</v>
          </cell>
          <cell r="N7374">
            <v>0</v>
          </cell>
          <cell r="O7374">
            <v>0</v>
          </cell>
          <cell r="P7374">
            <v>0</v>
          </cell>
          <cell r="Q7374">
            <v>0</v>
          </cell>
          <cell r="R7374">
            <v>0</v>
          </cell>
          <cell r="S7374">
            <v>0</v>
          </cell>
          <cell r="T7374">
            <v>0</v>
          </cell>
          <cell r="U7374" t="b">
            <v>0</v>
          </cell>
        </row>
        <row r="7375">
          <cell r="A7375" t="str">
            <v>Data split-19;Reg-1</v>
          </cell>
          <cell r="B7375">
            <v>-2.7</v>
          </cell>
          <cell r="C7375">
            <v>1.2</v>
          </cell>
          <cell r="D7375">
            <v>0</v>
          </cell>
          <cell r="E7375">
            <v>0</v>
          </cell>
          <cell r="F7375">
            <v>0.2</v>
          </cell>
          <cell r="G7375">
            <v>0</v>
          </cell>
          <cell r="H7375">
            <v>0</v>
          </cell>
          <cell r="I7375">
            <v>0</v>
          </cell>
          <cell r="J7375">
            <v>0</v>
          </cell>
          <cell r="K7375">
            <v>0</v>
          </cell>
          <cell r="L7375">
            <v>34.4</v>
          </cell>
          <cell r="M7375">
            <v>0</v>
          </cell>
          <cell r="N7375">
            <v>0</v>
          </cell>
          <cell r="O7375">
            <v>0</v>
          </cell>
          <cell r="P7375">
            <v>0</v>
          </cell>
          <cell r="Q7375">
            <v>0</v>
          </cell>
          <cell r="R7375">
            <v>0</v>
          </cell>
          <cell r="S7375">
            <v>0</v>
          </cell>
          <cell r="T7375">
            <v>0</v>
          </cell>
          <cell r="U7375" t="b">
            <v>0</v>
          </cell>
        </row>
        <row r="7376">
          <cell r="A7376" t="str">
            <v>Data split-19;Reg-2</v>
          </cell>
          <cell r="B7376">
            <v>1.5</v>
          </cell>
          <cell r="C7376">
            <v>0.82</v>
          </cell>
          <cell r="D7376">
            <v>0</v>
          </cell>
          <cell r="E7376">
            <v>0</v>
          </cell>
          <cell r="F7376">
            <v>0.23</v>
          </cell>
          <cell r="G7376">
            <v>0.46</v>
          </cell>
          <cell r="H7376">
            <v>0</v>
          </cell>
          <cell r="I7376">
            <v>0</v>
          </cell>
          <cell r="J7376">
            <v>0</v>
          </cell>
          <cell r="K7376">
            <v>0</v>
          </cell>
          <cell r="L7376">
            <v>0</v>
          </cell>
          <cell r="M7376">
            <v>0.05</v>
          </cell>
          <cell r="N7376">
            <v>0</v>
          </cell>
          <cell r="O7376">
            <v>0</v>
          </cell>
          <cell r="P7376">
            <v>0</v>
          </cell>
          <cell r="Q7376">
            <v>0</v>
          </cell>
          <cell r="R7376">
            <v>0</v>
          </cell>
          <cell r="S7376">
            <v>0</v>
          </cell>
          <cell r="T7376">
            <v>0</v>
          </cell>
          <cell r="U7376" t="b">
            <v>0</v>
          </cell>
        </row>
        <row r="7377">
          <cell r="A7377" t="str">
            <v>Data split-19;Reg-3</v>
          </cell>
          <cell r="B7377">
            <v>2.4</v>
          </cell>
          <cell r="C7377">
            <v>0.55000000000000004</v>
          </cell>
          <cell r="D7377">
            <v>0</v>
          </cell>
          <cell r="E7377">
            <v>0</v>
          </cell>
          <cell r="F7377">
            <v>0.23</v>
          </cell>
          <cell r="G7377">
            <v>5.1999999999999998E-2</v>
          </cell>
          <cell r="H7377">
            <v>0</v>
          </cell>
          <cell r="I7377">
            <v>0</v>
          </cell>
          <cell r="J7377">
            <v>0</v>
          </cell>
          <cell r="K7377">
            <v>0</v>
          </cell>
          <cell r="L7377">
            <v>0</v>
          </cell>
          <cell r="M7377">
            <v>0</v>
          </cell>
          <cell r="N7377">
            <v>2.4E-2</v>
          </cell>
          <cell r="O7377">
            <v>0</v>
          </cell>
          <cell r="P7377">
            <v>0</v>
          </cell>
          <cell r="Q7377">
            <v>0</v>
          </cell>
          <cell r="R7377">
            <v>0</v>
          </cell>
          <cell r="S7377">
            <v>0</v>
          </cell>
          <cell r="T7377">
            <v>0</v>
          </cell>
          <cell r="U7377" t="b">
            <v>0</v>
          </cell>
        </row>
        <row r="7378">
          <cell r="A7378" t="str">
            <v>Data split-19;Reg-4</v>
          </cell>
          <cell r="B7378">
            <v>-0.61</v>
          </cell>
          <cell r="C7378">
            <v>-0.68</v>
          </cell>
          <cell r="D7378">
            <v>0</v>
          </cell>
          <cell r="E7378">
            <v>0</v>
          </cell>
          <cell r="F7378">
            <v>0.22</v>
          </cell>
          <cell r="G7378">
            <v>0</v>
          </cell>
          <cell r="H7378">
            <v>5.9</v>
          </cell>
          <cell r="I7378">
            <v>0</v>
          </cell>
          <cell r="J7378">
            <v>0</v>
          </cell>
          <cell r="K7378">
            <v>0</v>
          </cell>
          <cell r="L7378">
            <v>0</v>
          </cell>
          <cell r="M7378">
            <v>-0.12</v>
          </cell>
          <cell r="N7378">
            <v>0</v>
          </cell>
          <cell r="O7378">
            <v>0</v>
          </cell>
          <cell r="P7378">
            <v>0</v>
          </cell>
          <cell r="Q7378">
            <v>0</v>
          </cell>
          <cell r="R7378">
            <v>0</v>
          </cell>
          <cell r="S7378">
            <v>0</v>
          </cell>
          <cell r="T7378">
            <v>0</v>
          </cell>
          <cell r="U7378" t="b">
            <v>0</v>
          </cell>
        </row>
        <row r="7379">
          <cell r="A7379" t="str">
            <v>Data split-19;Reg-5</v>
          </cell>
          <cell r="B7379">
            <v>-0.44</v>
          </cell>
          <cell r="C7379">
            <v>0</v>
          </cell>
          <cell r="D7379">
            <v>-0.45</v>
          </cell>
          <cell r="E7379">
            <v>0</v>
          </cell>
          <cell r="F7379">
            <v>0.22</v>
          </cell>
          <cell r="G7379">
            <v>0</v>
          </cell>
          <cell r="H7379">
            <v>5.3</v>
          </cell>
          <cell r="I7379">
            <v>0</v>
          </cell>
          <cell r="J7379">
            <v>0</v>
          </cell>
          <cell r="K7379">
            <v>0</v>
          </cell>
          <cell r="L7379">
            <v>0</v>
          </cell>
          <cell r="M7379">
            <v>-0.11</v>
          </cell>
          <cell r="N7379">
            <v>0</v>
          </cell>
          <cell r="O7379">
            <v>0</v>
          </cell>
          <cell r="P7379">
            <v>0</v>
          </cell>
          <cell r="Q7379">
            <v>0</v>
          </cell>
          <cell r="R7379">
            <v>0</v>
          </cell>
          <cell r="S7379">
            <v>0</v>
          </cell>
          <cell r="T7379">
            <v>0</v>
          </cell>
          <cell r="U7379" t="b">
            <v>0</v>
          </cell>
        </row>
        <row r="7380">
          <cell r="A7380" t="str">
            <v>Data split-19;Reg-6</v>
          </cell>
          <cell r="B7380">
            <v>-3.6</v>
          </cell>
          <cell r="C7380">
            <v>1</v>
          </cell>
          <cell r="D7380">
            <v>0</v>
          </cell>
          <cell r="E7380">
            <v>2</v>
          </cell>
          <cell r="F7380">
            <v>0</v>
          </cell>
          <cell r="G7380">
            <v>0</v>
          </cell>
          <cell r="H7380">
            <v>0</v>
          </cell>
          <cell r="I7380">
            <v>0</v>
          </cell>
          <cell r="J7380">
            <v>0</v>
          </cell>
          <cell r="K7380">
            <v>0</v>
          </cell>
          <cell r="L7380">
            <v>16.2</v>
          </cell>
          <cell r="M7380">
            <v>-6.0999999999999999E-2</v>
          </cell>
          <cell r="N7380">
            <v>0</v>
          </cell>
          <cell r="O7380">
            <v>0</v>
          </cell>
          <cell r="P7380">
            <v>0</v>
          </cell>
          <cell r="Q7380">
            <v>0</v>
          </cell>
          <cell r="R7380">
            <v>0</v>
          </cell>
          <cell r="S7380">
            <v>0</v>
          </cell>
          <cell r="T7380">
            <v>0</v>
          </cell>
          <cell r="U7380" t="b">
            <v>0</v>
          </cell>
        </row>
        <row r="7381">
          <cell r="A7381" t="str">
            <v>Data split-19;Reg-7</v>
          </cell>
          <cell r="B7381">
            <v>-2.8</v>
          </cell>
          <cell r="C7381">
            <v>1.3</v>
          </cell>
          <cell r="D7381">
            <v>0</v>
          </cell>
          <cell r="E7381">
            <v>0</v>
          </cell>
          <cell r="F7381">
            <v>0.19</v>
          </cell>
          <cell r="G7381">
            <v>0</v>
          </cell>
          <cell r="H7381">
            <v>0</v>
          </cell>
          <cell r="I7381">
            <v>0</v>
          </cell>
          <cell r="J7381">
            <v>0</v>
          </cell>
          <cell r="K7381">
            <v>0</v>
          </cell>
          <cell r="L7381">
            <v>35.200000000000003</v>
          </cell>
          <cell r="M7381">
            <v>0</v>
          </cell>
          <cell r="N7381">
            <v>0</v>
          </cell>
          <cell r="O7381">
            <v>0</v>
          </cell>
          <cell r="P7381">
            <v>0</v>
          </cell>
          <cell r="Q7381">
            <v>0</v>
          </cell>
          <cell r="R7381">
            <v>0</v>
          </cell>
          <cell r="S7381">
            <v>-0.02</v>
          </cell>
          <cell r="T7381">
            <v>0</v>
          </cell>
          <cell r="U7381" t="b">
            <v>0</v>
          </cell>
        </row>
        <row r="7382">
          <cell r="A7382" t="str">
            <v>Data split-19;Reg-8</v>
          </cell>
          <cell r="B7382">
            <v>-3.6</v>
          </cell>
          <cell r="C7382">
            <v>2.4</v>
          </cell>
          <cell r="D7382">
            <v>0</v>
          </cell>
          <cell r="E7382">
            <v>0</v>
          </cell>
          <cell r="F7382">
            <v>0</v>
          </cell>
          <cell r="G7382">
            <v>-0.95</v>
          </cell>
          <cell r="H7382">
            <v>0</v>
          </cell>
          <cell r="I7382">
            <v>0</v>
          </cell>
          <cell r="J7382">
            <v>0</v>
          </cell>
          <cell r="K7382">
            <v>0</v>
          </cell>
          <cell r="L7382">
            <v>40.5</v>
          </cell>
          <cell r="M7382">
            <v>0</v>
          </cell>
          <cell r="N7382">
            <v>0</v>
          </cell>
          <cell r="O7382">
            <v>0</v>
          </cell>
          <cell r="P7382">
            <v>0</v>
          </cell>
          <cell r="Q7382">
            <v>0</v>
          </cell>
          <cell r="R7382">
            <v>0</v>
          </cell>
          <cell r="S7382">
            <v>-3.1E-2</v>
          </cell>
          <cell r="T7382">
            <v>0</v>
          </cell>
          <cell r="U7382" t="b">
            <v>0</v>
          </cell>
        </row>
        <row r="7383">
          <cell r="A7383" t="str">
            <v>Data split-19;Reg-9</v>
          </cell>
          <cell r="B7383">
            <v>-0.82</v>
          </cell>
          <cell r="C7383">
            <v>0</v>
          </cell>
          <cell r="D7383">
            <v>0.56999999999999995</v>
          </cell>
          <cell r="E7383">
            <v>0</v>
          </cell>
          <cell r="F7383">
            <v>0</v>
          </cell>
          <cell r="G7383">
            <v>0</v>
          </cell>
          <cell r="H7383">
            <v>5</v>
          </cell>
          <cell r="I7383">
            <v>0</v>
          </cell>
          <cell r="J7383">
            <v>0</v>
          </cell>
          <cell r="K7383">
            <v>0</v>
          </cell>
          <cell r="L7383">
            <v>-2.8</v>
          </cell>
          <cell r="M7383">
            <v>0</v>
          </cell>
          <cell r="N7383">
            <v>0</v>
          </cell>
          <cell r="O7383">
            <v>0</v>
          </cell>
          <cell r="P7383">
            <v>0</v>
          </cell>
          <cell r="Q7383">
            <v>0</v>
          </cell>
          <cell r="R7383">
            <v>0</v>
          </cell>
          <cell r="S7383">
            <v>-0.18</v>
          </cell>
          <cell r="T7383">
            <v>0</v>
          </cell>
          <cell r="U7383" t="b">
            <v>1</v>
          </cell>
        </row>
        <row r="7384">
          <cell r="A7384" t="str">
            <v>Data split-19;Reg-10</v>
          </cell>
          <cell r="B7384">
            <v>-0.82</v>
          </cell>
          <cell r="C7384">
            <v>0</v>
          </cell>
          <cell r="D7384">
            <v>0.56999999999999995</v>
          </cell>
          <cell r="E7384">
            <v>0</v>
          </cell>
          <cell r="F7384">
            <v>0</v>
          </cell>
          <cell r="G7384">
            <v>0</v>
          </cell>
          <cell r="H7384">
            <v>5</v>
          </cell>
          <cell r="I7384">
            <v>0</v>
          </cell>
          <cell r="J7384">
            <v>0</v>
          </cell>
          <cell r="K7384">
            <v>0</v>
          </cell>
          <cell r="L7384">
            <v>-2.8</v>
          </cell>
          <cell r="M7384">
            <v>0</v>
          </cell>
          <cell r="N7384">
            <v>0</v>
          </cell>
          <cell r="O7384">
            <v>0</v>
          </cell>
          <cell r="P7384">
            <v>0</v>
          </cell>
          <cell r="Q7384">
            <v>0</v>
          </cell>
          <cell r="R7384">
            <v>0</v>
          </cell>
          <cell r="S7384">
            <v>-0.18</v>
          </cell>
          <cell r="T7384">
            <v>0</v>
          </cell>
          <cell r="U7384" t="b">
            <v>1</v>
          </cell>
        </row>
        <row r="7385">
          <cell r="A7385" t="str">
            <v>Data split-19;Reg-11</v>
          </cell>
          <cell r="B7385">
            <v>-1.5</v>
          </cell>
          <cell r="C7385">
            <v>1.2</v>
          </cell>
          <cell r="D7385">
            <v>0</v>
          </cell>
          <cell r="E7385">
            <v>2.9</v>
          </cell>
          <cell r="F7385">
            <v>0</v>
          </cell>
          <cell r="G7385">
            <v>-1.3</v>
          </cell>
          <cell r="H7385">
            <v>0</v>
          </cell>
          <cell r="I7385">
            <v>0</v>
          </cell>
          <cell r="J7385">
            <v>0</v>
          </cell>
          <cell r="K7385">
            <v>0</v>
          </cell>
          <cell r="L7385">
            <v>0</v>
          </cell>
          <cell r="M7385">
            <v>0</v>
          </cell>
          <cell r="N7385">
            <v>0</v>
          </cell>
          <cell r="O7385">
            <v>0</v>
          </cell>
          <cell r="P7385">
            <v>0</v>
          </cell>
          <cell r="Q7385">
            <v>0</v>
          </cell>
          <cell r="R7385">
            <v>0</v>
          </cell>
          <cell r="S7385">
            <v>0</v>
          </cell>
          <cell r="T7385">
            <v>0</v>
          </cell>
          <cell r="U7385" t="b">
            <v>0</v>
          </cell>
        </row>
        <row r="7386">
          <cell r="A7386" t="str">
            <v>Data split-19;Reg-12</v>
          </cell>
          <cell r="B7386">
            <v>-0.97</v>
          </cell>
          <cell r="C7386">
            <v>0.81</v>
          </cell>
          <cell r="D7386">
            <v>0</v>
          </cell>
          <cell r="E7386">
            <v>0.99</v>
          </cell>
          <cell r="F7386">
            <v>0</v>
          </cell>
          <cell r="G7386">
            <v>0</v>
          </cell>
          <cell r="H7386">
            <v>1.1000000000000001</v>
          </cell>
          <cell r="I7386">
            <v>0</v>
          </cell>
          <cell r="J7386">
            <v>0</v>
          </cell>
          <cell r="K7386">
            <v>0</v>
          </cell>
          <cell r="L7386">
            <v>0</v>
          </cell>
          <cell r="M7386">
            <v>0</v>
          </cell>
          <cell r="N7386">
            <v>0</v>
          </cell>
          <cell r="O7386">
            <v>0</v>
          </cell>
          <cell r="P7386">
            <v>0</v>
          </cell>
          <cell r="Q7386">
            <v>0</v>
          </cell>
          <cell r="R7386">
            <v>0</v>
          </cell>
          <cell r="S7386">
            <v>0</v>
          </cell>
          <cell r="T7386">
            <v>0</v>
          </cell>
          <cell r="U7386" t="b">
            <v>1</v>
          </cell>
        </row>
        <row r="7387">
          <cell r="A7387" t="str">
            <v>Data split-19;Reg-13</v>
          </cell>
          <cell r="B7387">
            <v>1.3</v>
          </cell>
          <cell r="C7387">
            <v>0.9</v>
          </cell>
          <cell r="D7387">
            <v>0</v>
          </cell>
          <cell r="E7387">
            <v>0</v>
          </cell>
          <cell r="F7387">
            <v>0.23</v>
          </cell>
          <cell r="G7387">
            <v>0.81</v>
          </cell>
          <cell r="H7387">
            <v>0</v>
          </cell>
          <cell r="I7387">
            <v>0</v>
          </cell>
          <cell r="J7387">
            <v>0</v>
          </cell>
          <cell r="K7387">
            <v>0</v>
          </cell>
          <cell r="L7387">
            <v>0</v>
          </cell>
          <cell r="M7387">
            <v>0</v>
          </cell>
          <cell r="N7387">
            <v>0</v>
          </cell>
          <cell r="O7387">
            <v>0</v>
          </cell>
          <cell r="P7387">
            <v>0</v>
          </cell>
          <cell r="Q7387">
            <v>0</v>
          </cell>
          <cell r="R7387">
            <v>0</v>
          </cell>
          <cell r="S7387">
            <v>0</v>
          </cell>
          <cell r="T7387">
            <v>0</v>
          </cell>
          <cell r="U7387" t="b">
            <v>0</v>
          </cell>
        </row>
        <row r="7388">
          <cell r="A7388" t="str">
            <v>Data split-19;Reg-14</v>
          </cell>
          <cell r="B7388">
            <v>0.45</v>
          </cell>
          <cell r="C7388">
            <v>-0.15</v>
          </cell>
          <cell r="D7388">
            <v>0</v>
          </cell>
          <cell r="E7388">
            <v>0</v>
          </cell>
          <cell r="F7388">
            <v>0.23</v>
          </cell>
          <cell r="G7388">
            <v>0</v>
          </cell>
          <cell r="H7388">
            <v>3.2</v>
          </cell>
          <cell r="I7388">
            <v>0</v>
          </cell>
          <cell r="J7388">
            <v>0</v>
          </cell>
          <cell r="K7388">
            <v>0</v>
          </cell>
          <cell r="L7388">
            <v>0</v>
          </cell>
          <cell r="M7388">
            <v>0</v>
          </cell>
          <cell r="N7388">
            <v>0</v>
          </cell>
          <cell r="O7388">
            <v>0</v>
          </cell>
          <cell r="P7388">
            <v>0</v>
          </cell>
          <cell r="Q7388">
            <v>0</v>
          </cell>
          <cell r="R7388">
            <v>0</v>
          </cell>
          <cell r="S7388">
            <v>0</v>
          </cell>
          <cell r="T7388">
            <v>0</v>
          </cell>
          <cell r="U7388" t="b">
            <v>0</v>
          </cell>
        </row>
        <row r="7389">
          <cell r="A7389" t="str">
            <v>Data split-19;Reg-15</v>
          </cell>
          <cell r="B7389">
            <v>-2.5</v>
          </cell>
          <cell r="C7389">
            <v>0.71</v>
          </cell>
          <cell r="D7389">
            <v>0</v>
          </cell>
          <cell r="E7389">
            <v>2.9</v>
          </cell>
          <cell r="F7389">
            <v>0</v>
          </cell>
          <cell r="G7389">
            <v>0</v>
          </cell>
          <cell r="H7389">
            <v>0</v>
          </cell>
          <cell r="I7389">
            <v>0</v>
          </cell>
          <cell r="J7389">
            <v>0</v>
          </cell>
          <cell r="K7389">
            <v>0</v>
          </cell>
          <cell r="L7389">
            <v>0</v>
          </cell>
          <cell r="M7389">
            <v>-6.9000000000000006E-2</v>
          </cell>
          <cell r="N7389">
            <v>0</v>
          </cell>
          <cell r="O7389">
            <v>0</v>
          </cell>
          <cell r="P7389">
            <v>0</v>
          </cell>
          <cell r="Q7389">
            <v>0</v>
          </cell>
          <cell r="R7389">
            <v>0</v>
          </cell>
          <cell r="S7389">
            <v>0</v>
          </cell>
          <cell r="T7389">
            <v>0</v>
          </cell>
          <cell r="U7389" t="b">
            <v>1</v>
          </cell>
        </row>
        <row r="7390">
          <cell r="A7390" t="str">
            <v>Data split-19;Reg-16</v>
          </cell>
          <cell r="B7390">
            <v>-0.96</v>
          </cell>
          <cell r="C7390">
            <v>0.93</v>
          </cell>
          <cell r="D7390">
            <v>0</v>
          </cell>
          <cell r="E7390">
            <v>1.5</v>
          </cell>
          <cell r="F7390">
            <v>0</v>
          </cell>
          <cell r="G7390">
            <v>0</v>
          </cell>
          <cell r="H7390">
            <v>0</v>
          </cell>
          <cell r="I7390">
            <v>0</v>
          </cell>
          <cell r="J7390">
            <v>0</v>
          </cell>
          <cell r="K7390">
            <v>0</v>
          </cell>
          <cell r="L7390">
            <v>0</v>
          </cell>
          <cell r="M7390">
            <v>0</v>
          </cell>
          <cell r="N7390">
            <v>3.3E-3</v>
          </cell>
          <cell r="O7390">
            <v>0</v>
          </cell>
          <cell r="P7390">
            <v>0</v>
          </cell>
          <cell r="Q7390">
            <v>0</v>
          </cell>
          <cell r="R7390">
            <v>0</v>
          </cell>
          <cell r="S7390">
            <v>0</v>
          </cell>
          <cell r="T7390">
            <v>0</v>
          </cell>
          <cell r="U7390" t="b">
            <v>0</v>
          </cell>
        </row>
        <row r="7391">
          <cell r="A7391" t="str">
            <v>Data split-19;Reg-17</v>
          </cell>
          <cell r="B7391">
            <v>1.8</v>
          </cell>
          <cell r="C7391">
            <v>1.1000000000000001</v>
          </cell>
          <cell r="D7391">
            <v>0</v>
          </cell>
          <cell r="E7391">
            <v>0</v>
          </cell>
          <cell r="F7391">
            <v>0.21</v>
          </cell>
          <cell r="G7391">
            <v>0</v>
          </cell>
          <cell r="H7391">
            <v>0</v>
          </cell>
          <cell r="I7391">
            <v>0</v>
          </cell>
          <cell r="J7391">
            <v>0</v>
          </cell>
          <cell r="K7391">
            <v>0</v>
          </cell>
          <cell r="L7391">
            <v>0</v>
          </cell>
          <cell r="M7391">
            <v>6.3E-2</v>
          </cell>
          <cell r="N7391">
            <v>0</v>
          </cell>
          <cell r="O7391">
            <v>0</v>
          </cell>
          <cell r="P7391">
            <v>0</v>
          </cell>
          <cell r="Q7391">
            <v>0</v>
          </cell>
          <cell r="R7391">
            <v>0</v>
          </cell>
          <cell r="S7391">
            <v>0</v>
          </cell>
          <cell r="T7391">
            <v>0</v>
          </cell>
          <cell r="U7391" t="b">
            <v>0</v>
          </cell>
        </row>
        <row r="7392">
          <cell r="A7392" t="str">
            <v>Data split-19;Reg-18</v>
          </cell>
          <cell r="B7392">
            <v>2.5</v>
          </cell>
          <cell r="C7392">
            <v>0.57999999999999996</v>
          </cell>
          <cell r="D7392">
            <v>0</v>
          </cell>
          <cell r="E7392">
            <v>0</v>
          </cell>
          <cell r="F7392">
            <v>0.23</v>
          </cell>
          <cell r="G7392">
            <v>0</v>
          </cell>
          <cell r="H7392">
            <v>0</v>
          </cell>
          <cell r="I7392">
            <v>0</v>
          </cell>
          <cell r="J7392">
            <v>0</v>
          </cell>
          <cell r="K7392">
            <v>0</v>
          </cell>
          <cell r="L7392">
            <v>0</v>
          </cell>
          <cell r="M7392">
            <v>0</v>
          </cell>
          <cell r="N7392">
            <v>2.4E-2</v>
          </cell>
          <cell r="O7392">
            <v>0</v>
          </cell>
          <cell r="P7392">
            <v>0</v>
          </cell>
          <cell r="Q7392">
            <v>0</v>
          </cell>
          <cell r="R7392">
            <v>0</v>
          </cell>
          <cell r="S7392">
            <v>0</v>
          </cell>
          <cell r="T7392">
            <v>0</v>
          </cell>
          <cell r="U7392" t="b">
            <v>0</v>
          </cell>
        </row>
        <row r="7393">
          <cell r="A7393" t="str">
            <v>Data split-19;Reg-19</v>
          </cell>
          <cell r="B7393">
            <v>1.1000000000000001</v>
          </cell>
          <cell r="C7393">
            <v>2.2000000000000002</v>
          </cell>
          <cell r="D7393">
            <v>0</v>
          </cell>
          <cell r="E7393">
            <v>0</v>
          </cell>
          <cell r="F7393">
            <v>0</v>
          </cell>
          <cell r="G7393">
            <v>-0.2</v>
          </cell>
          <cell r="H7393">
            <v>0</v>
          </cell>
          <cell r="I7393">
            <v>0</v>
          </cell>
          <cell r="J7393">
            <v>0</v>
          </cell>
          <cell r="K7393">
            <v>0</v>
          </cell>
          <cell r="L7393">
            <v>0</v>
          </cell>
          <cell r="M7393">
            <v>0</v>
          </cell>
          <cell r="N7393">
            <v>0</v>
          </cell>
          <cell r="O7393">
            <v>-0.02</v>
          </cell>
          <cell r="P7393">
            <v>0</v>
          </cell>
          <cell r="Q7393">
            <v>0</v>
          </cell>
          <cell r="R7393">
            <v>0</v>
          </cell>
          <cell r="S7393">
            <v>0</v>
          </cell>
          <cell r="T7393">
            <v>0</v>
          </cell>
          <cell r="U7393" t="b">
            <v>0</v>
          </cell>
        </row>
        <row r="7394">
          <cell r="A7394" t="str">
            <v>Data split-19;Reg-20</v>
          </cell>
          <cell r="B7394">
            <v>1.2</v>
          </cell>
          <cell r="C7394">
            <v>2.1</v>
          </cell>
          <cell r="D7394">
            <v>0</v>
          </cell>
          <cell r="E7394">
            <v>0</v>
          </cell>
          <cell r="F7394">
            <v>0</v>
          </cell>
          <cell r="G7394">
            <v>-0.46</v>
          </cell>
          <cell r="H7394">
            <v>0</v>
          </cell>
          <cell r="I7394">
            <v>0</v>
          </cell>
          <cell r="J7394">
            <v>0</v>
          </cell>
          <cell r="K7394">
            <v>0</v>
          </cell>
          <cell r="L7394">
            <v>0</v>
          </cell>
          <cell r="M7394">
            <v>0</v>
          </cell>
          <cell r="N7394">
            <v>0</v>
          </cell>
          <cell r="O7394">
            <v>0</v>
          </cell>
          <cell r="P7394">
            <v>5.4000000000000003E-3</v>
          </cell>
          <cell r="Q7394">
            <v>0</v>
          </cell>
          <cell r="R7394">
            <v>0</v>
          </cell>
          <cell r="S7394">
            <v>0</v>
          </cell>
          <cell r="T7394">
            <v>0</v>
          </cell>
          <cell r="U7394" t="b">
            <v>0</v>
          </cell>
        </row>
        <row r="7395">
          <cell r="A7395" t="str">
            <v>Data split-19;Reg-21</v>
          </cell>
          <cell r="B7395">
            <v>-0.42</v>
          </cell>
          <cell r="C7395">
            <v>0.65</v>
          </cell>
          <cell r="D7395">
            <v>0</v>
          </cell>
          <cell r="E7395">
            <v>0</v>
          </cell>
          <cell r="F7395">
            <v>0</v>
          </cell>
          <cell r="G7395">
            <v>0</v>
          </cell>
          <cell r="H7395">
            <v>3.9</v>
          </cell>
          <cell r="I7395">
            <v>0</v>
          </cell>
          <cell r="J7395">
            <v>0</v>
          </cell>
          <cell r="K7395">
            <v>0</v>
          </cell>
          <cell r="L7395">
            <v>0</v>
          </cell>
          <cell r="M7395">
            <v>0</v>
          </cell>
          <cell r="N7395">
            <v>0</v>
          </cell>
          <cell r="O7395">
            <v>-0.11</v>
          </cell>
          <cell r="P7395">
            <v>0</v>
          </cell>
          <cell r="Q7395">
            <v>0</v>
          </cell>
          <cell r="R7395">
            <v>0</v>
          </cell>
          <cell r="S7395">
            <v>0</v>
          </cell>
          <cell r="T7395">
            <v>0</v>
          </cell>
          <cell r="U7395" t="b">
            <v>1</v>
          </cell>
        </row>
        <row r="7396">
          <cell r="A7396" t="str">
            <v>Data split-19;Reg-22</v>
          </cell>
          <cell r="B7396">
            <v>-0.79</v>
          </cell>
          <cell r="C7396">
            <v>0.86</v>
          </cell>
          <cell r="D7396">
            <v>0</v>
          </cell>
          <cell r="E7396">
            <v>0</v>
          </cell>
          <cell r="F7396">
            <v>0</v>
          </cell>
          <cell r="G7396">
            <v>0</v>
          </cell>
          <cell r="H7396">
            <v>3.3</v>
          </cell>
          <cell r="I7396">
            <v>0</v>
          </cell>
          <cell r="J7396">
            <v>0</v>
          </cell>
          <cell r="K7396">
            <v>0</v>
          </cell>
          <cell r="L7396">
            <v>0</v>
          </cell>
          <cell r="M7396">
            <v>0</v>
          </cell>
          <cell r="N7396">
            <v>0</v>
          </cell>
          <cell r="O7396">
            <v>0</v>
          </cell>
          <cell r="P7396">
            <v>-1.7000000000000001E-2</v>
          </cell>
          <cell r="Q7396">
            <v>0</v>
          </cell>
          <cell r="R7396">
            <v>0</v>
          </cell>
          <cell r="S7396">
            <v>0</v>
          </cell>
          <cell r="T7396">
            <v>0</v>
          </cell>
          <cell r="U7396" t="b">
            <v>1</v>
          </cell>
        </row>
        <row r="7397">
          <cell r="A7397" t="str">
            <v>Data split-19;Reg-23</v>
          </cell>
          <cell r="B7397">
            <v>-1.4</v>
          </cell>
          <cell r="C7397">
            <v>0</v>
          </cell>
          <cell r="D7397">
            <v>1.6</v>
          </cell>
          <cell r="E7397">
            <v>2.4</v>
          </cell>
          <cell r="F7397">
            <v>0</v>
          </cell>
          <cell r="G7397">
            <v>-1.4</v>
          </cell>
          <cell r="H7397">
            <v>0</v>
          </cell>
          <cell r="I7397">
            <v>0</v>
          </cell>
          <cell r="J7397">
            <v>0</v>
          </cell>
          <cell r="K7397">
            <v>0</v>
          </cell>
          <cell r="L7397">
            <v>0</v>
          </cell>
          <cell r="M7397">
            <v>0</v>
          </cell>
          <cell r="N7397">
            <v>0</v>
          </cell>
          <cell r="O7397">
            <v>0</v>
          </cell>
          <cell r="P7397">
            <v>0</v>
          </cell>
          <cell r="Q7397">
            <v>0</v>
          </cell>
          <cell r="R7397">
            <v>0</v>
          </cell>
          <cell r="S7397">
            <v>0</v>
          </cell>
          <cell r="T7397">
            <v>0</v>
          </cell>
          <cell r="U7397" t="b">
            <v>0</v>
          </cell>
        </row>
        <row r="7398">
          <cell r="A7398" t="str">
            <v>Data split-19;Reg-24</v>
          </cell>
          <cell r="B7398">
            <v>-0.86</v>
          </cell>
          <cell r="C7398">
            <v>0</v>
          </cell>
          <cell r="D7398">
            <v>1.2</v>
          </cell>
          <cell r="E7398">
            <v>0.5</v>
          </cell>
          <cell r="F7398">
            <v>0</v>
          </cell>
          <cell r="G7398">
            <v>0</v>
          </cell>
          <cell r="H7398">
            <v>0.98</v>
          </cell>
          <cell r="I7398">
            <v>0</v>
          </cell>
          <cell r="J7398">
            <v>0</v>
          </cell>
          <cell r="K7398">
            <v>0</v>
          </cell>
          <cell r="L7398">
            <v>0</v>
          </cell>
          <cell r="M7398">
            <v>0</v>
          </cell>
          <cell r="N7398">
            <v>0</v>
          </cell>
          <cell r="O7398">
            <v>0</v>
          </cell>
          <cell r="P7398">
            <v>0</v>
          </cell>
          <cell r="Q7398">
            <v>0</v>
          </cell>
          <cell r="R7398">
            <v>0</v>
          </cell>
          <cell r="S7398">
            <v>0</v>
          </cell>
          <cell r="T7398">
            <v>0</v>
          </cell>
          <cell r="U7398" t="b">
            <v>1</v>
          </cell>
        </row>
        <row r="7399">
          <cell r="A7399" t="str">
            <v>Data split-19;Reg-25</v>
          </cell>
          <cell r="B7399">
            <v>0.97</v>
          </cell>
          <cell r="C7399">
            <v>0</v>
          </cell>
          <cell r="D7399">
            <v>1.3</v>
          </cell>
          <cell r="E7399">
            <v>0</v>
          </cell>
          <cell r="F7399">
            <v>0.2</v>
          </cell>
          <cell r="G7399">
            <v>0.41</v>
          </cell>
          <cell r="H7399">
            <v>0</v>
          </cell>
          <cell r="I7399">
            <v>0</v>
          </cell>
          <cell r="J7399">
            <v>0</v>
          </cell>
          <cell r="K7399">
            <v>0</v>
          </cell>
          <cell r="L7399">
            <v>0</v>
          </cell>
          <cell r="M7399">
            <v>0</v>
          </cell>
          <cell r="N7399">
            <v>0</v>
          </cell>
          <cell r="O7399">
            <v>0</v>
          </cell>
          <cell r="P7399">
            <v>0</v>
          </cell>
          <cell r="Q7399">
            <v>0</v>
          </cell>
          <cell r="R7399">
            <v>0</v>
          </cell>
          <cell r="S7399">
            <v>0</v>
          </cell>
          <cell r="T7399">
            <v>0</v>
          </cell>
          <cell r="U7399" t="b">
            <v>0</v>
          </cell>
        </row>
        <row r="7400">
          <cell r="A7400" t="str">
            <v>Data split-19;Reg-26</v>
          </cell>
          <cell r="B7400">
            <v>0.39</v>
          </cell>
          <cell r="C7400">
            <v>0</v>
          </cell>
          <cell r="D7400">
            <v>8.8999999999999996E-2</v>
          </cell>
          <cell r="E7400">
            <v>0</v>
          </cell>
          <cell r="F7400">
            <v>0.22</v>
          </cell>
          <cell r="G7400">
            <v>0</v>
          </cell>
          <cell r="H7400">
            <v>2.9</v>
          </cell>
          <cell r="I7400">
            <v>0</v>
          </cell>
          <cell r="J7400">
            <v>0</v>
          </cell>
          <cell r="K7400">
            <v>0</v>
          </cell>
          <cell r="L7400">
            <v>0</v>
          </cell>
          <cell r="M7400">
            <v>0</v>
          </cell>
          <cell r="N7400">
            <v>0</v>
          </cell>
          <cell r="O7400">
            <v>0</v>
          </cell>
          <cell r="P7400">
            <v>0</v>
          </cell>
          <cell r="Q7400">
            <v>0</v>
          </cell>
          <cell r="R7400">
            <v>0</v>
          </cell>
          <cell r="S7400">
            <v>0</v>
          </cell>
          <cell r="T7400">
            <v>0</v>
          </cell>
          <cell r="U7400" t="b">
            <v>0</v>
          </cell>
        </row>
        <row r="7401">
          <cell r="A7401" t="str">
            <v>Data split-19;Reg-27</v>
          </cell>
          <cell r="B7401">
            <v>-2.2000000000000002</v>
          </cell>
          <cell r="C7401">
            <v>0</v>
          </cell>
          <cell r="D7401">
            <v>1</v>
          </cell>
          <cell r="E7401">
            <v>2.2999999999999998</v>
          </cell>
          <cell r="F7401">
            <v>0</v>
          </cell>
          <cell r="G7401">
            <v>0</v>
          </cell>
          <cell r="H7401">
            <v>0</v>
          </cell>
          <cell r="I7401">
            <v>0</v>
          </cell>
          <cell r="J7401">
            <v>0</v>
          </cell>
          <cell r="K7401">
            <v>0</v>
          </cell>
          <cell r="L7401">
            <v>0</v>
          </cell>
          <cell r="M7401">
            <v>-5.8000000000000003E-2</v>
          </cell>
          <cell r="N7401">
            <v>0</v>
          </cell>
          <cell r="O7401">
            <v>0</v>
          </cell>
          <cell r="P7401">
            <v>0</v>
          </cell>
          <cell r="Q7401">
            <v>0</v>
          </cell>
          <cell r="R7401">
            <v>0</v>
          </cell>
          <cell r="S7401">
            <v>0</v>
          </cell>
          <cell r="T7401">
            <v>0</v>
          </cell>
          <cell r="U7401" t="b">
            <v>1</v>
          </cell>
        </row>
        <row r="7402">
          <cell r="A7402" t="str">
            <v>Data split-19;Reg-28</v>
          </cell>
          <cell r="B7402">
            <v>-0.71</v>
          </cell>
          <cell r="C7402">
            <v>0</v>
          </cell>
          <cell r="D7402">
            <v>1.3</v>
          </cell>
          <cell r="E7402">
            <v>0.85</v>
          </cell>
          <cell r="F7402">
            <v>0</v>
          </cell>
          <cell r="G7402">
            <v>0</v>
          </cell>
          <cell r="H7402">
            <v>0</v>
          </cell>
          <cell r="I7402">
            <v>0</v>
          </cell>
          <cell r="J7402">
            <v>0</v>
          </cell>
          <cell r="K7402">
            <v>0</v>
          </cell>
          <cell r="L7402">
            <v>0</v>
          </cell>
          <cell r="M7402">
            <v>0</v>
          </cell>
          <cell r="N7402">
            <v>4.7000000000000002E-3</v>
          </cell>
          <cell r="O7402">
            <v>0</v>
          </cell>
          <cell r="P7402">
            <v>0</v>
          </cell>
          <cell r="Q7402">
            <v>0</v>
          </cell>
          <cell r="R7402">
            <v>0</v>
          </cell>
          <cell r="S7402">
            <v>0</v>
          </cell>
          <cell r="T7402">
            <v>0</v>
          </cell>
          <cell r="U7402" t="b">
            <v>0</v>
          </cell>
        </row>
        <row r="7403">
          <cell r="A7403" t="str">
            <v>Data split-19;Reg-29</v>
          </cell>
          <cell r="B7403">
            <v>1.2</v>
          </cell>
          <cell r="C7403">
            <v>0</v>
          </cell>
          <cell r="D7403">
            <v>1.3</v>
          </cell>
          <cell r="E7403">
            <v>0</v>
          </cell>
          <cell r="F7403">
            <v>0.2</v>
          </cell>
          <cell r="G7403">
            <v>0</v>
          </cell>
          <cell r="H7403">
            <v>0</v>
          </cell>
          <cell r="I7403">
            <v>0</v>
          </cell>
          <cell r="J7403">
            <v>0</v>
          </cell>
          <cell r="K7403">
            <v>0</v>
          </cell>
          <cell r="L7403">
            <v>0</v>
          </cell>
          <cell r="M7403">
            <v>0.05</v>
          </cell>
          <cell r="N7403">
            <v>0</v>
          </cell>
          <cell r="O7403">
            <v>0</v>
          </cell>
          <cell r="P7403">
            <v>0</v>
          </cell>
          <cell r="Q7403">
            <v>0</v>
          </cell>
          <cell r="R7403">
            <v>0</v>
          </cell>
          <cell r="S7403">
            <v>0</v>
          </cell>
          <cell r="T7403">
            <v>0</v>
          </cell>
          <cell r="U7403" t="b">
            <v>0</v>
          </cell>
        </row>
        <row r="7404">
          <cell r="A7404" t="str">
            <v>Data split-19;Reg-30</v>
          </cell>
          <cell r="B7404">
            <v>1.9</v>
          </cell>
          <cell r="C7404">
            <v>0</v>
          </cell>
          <cell r="D7404">
            <v>0.75</v>
          </cell>
          <cell r="E7404">
            <v>0</v>
          </cell>
          <cell r="F7404">
            <v>0.22</v>
          </cell>
          <cell r="G7404">
            <v>0</v>
          </cell>
          <cell r="H7404">
            <v>0</v>
          </cell>
          <cell r="I7404">
            <v>0</v>
          </cell>
          <cell r="J7404">
            <v>0</v>
          </cell>
          <cell r="K7404">
            <v>0</v>
          </cell>
          <cell r="L7404">
            <v>0</v>
          </cell>
          <cell r="M7404">
            <v>0</v>
          </cell>
          <cell r="N7404">
            <v>2.1000000000000001E-2</v>
          </cell>
          <cell r="O7404">
            <v>0</v>
          </cell>
          <cell r="P7404">
            <v>0</v>
          </cell>
          <cell r="Q7404">
            <v>0</v>
          </cell>
          <cell r="R7404">
            <v>0</v>
          </cell>
          <cell r="S7404">
            <v>0</v>
          </cell>
          <cell r="T7404">
            <v>0</v>
          </cell>
          <cell r="U7404" t="b">
            <v>0</v>
          </cell>
        </row>
        <row r="7405">
          <cell r="A7405" t="str">
            <v>Data split-19;Reg-31</v>
          </cell>
          <cell r="B7405">
            <v>0.53</v>
          </cell>
          <cell r="C7405">
            <v>0</v>
          </cell>
          <cell r="D7405">
            <v>2.5</v>
          </cell>
          <cell r="E7405">
            <v>0</v>
          </cell>
          <cell r="F7405">
            <v>0</v>
          </cell>
          <cell r="G7405">
            <v>-0.59</v>
          </cell>
          <cell r="H7405">
            <v>0</v>
          </cell>
          <cell r="I7405">
            <v>0</v>
          </cell>
          <cell r="J7405">
            <v>0</v>
          </cell>
          <cell r="K7405">
            <v>0</v>
          </cell>
          <cell r="L7405">
            <v>0</v>
          </cell>
          <cell r="M7405">
            <v>0</v>
          </cell>
          <cell r="N7405">
            <v>0</v>
          </cell>
          <cell r="O7405">
            <v>-1.9E-2</v>
          </cell>
          <cell r="P7405">
            <v>0</v>
          </cell>
          <cell r="Q7405">
            <v>0</v>
          </cell>
          <cell r="R7405">
            <v>0</v>
          </cell>
          <cell r="S7405">
            <v>0</v>
          </cell>
          <cell r="T7405">
            <v>0</v>
          </cell>
          <cell r="U7405" t="b">
            <v>0</v>
          </cell>
        </row>
        <row r="7406">
          <cell r="A7406" t="str">
            <v>Data split-19;Reg-32</v>
          </cell>
          <cell r="B7406">
            <v>0.59</v>
          </cell>
          <cell r="C7406">
            <v>0</v>
          </cell>
          <cell r="D7406">
            <v>2.4</v>
          </cell>
          <cell r="E7406">
            <v>0</v>
          </cell>
          <cell r="F7406">
            <v>0</v>
          </cell>
          <cell r="G7406">
            <v>-0.83</v>
          </cell>
          <cell r="H7406">
            <v>0</v>
          </cell>
          <cell r="I7406">
            <v>0</v>
          </cell>
          <cell r="J7406">
            <v>0</v>
          </cell>
          <cell r="K7406">
            <v>0</v>
          </cell>
          <cell r="L7406">
            <v>0</v>
          </cell>
          <cell r="M7406">
            <v>0</v>
          </cell>
          <cell r="N7406">
            <v>0</v>
          </cell>
          <cell r="O7406">
            <v>0</v>
          </cell>
          <cell r="P7406">
            <v>4.7000000000000002E-3</v>
          </cell>
          <cell r="Q7406">
            <v>0</v>
          </cell>
          <cell r="R7406">
            <v>0</v>
          </cell>
          <cell r="S7406">
            <v>0</v>
          </cell>
          <cell r="T7406">
            <v>0</v>
          </cell>
          <cell r="U7406" t="b">
            <v>0</v>
          </cell>
        </row>
        <row r="7407">
          <cell r="A7407" t="str">
            <v>Data split-19;Reg-33</v>
          </cell>
          <cell r="B7407">
            <v>-0.6</v>
          </cell>
          <cell r="C7407">
            <v>0</v>
          </cell>
          <cell r="D7407">
            <v>0.93</v>
          </cell>
          <cell r="E7407">
            <v>0</v>
          </cell>
          <cell r="F7407">
            <v>0</v>
          </cell>
          <cell r="G7407">
            <v>0</v>
          </cell>
          <cell r="H7407">
            <v>3.3</v>
          </cell>
          <cell r="I7407">
            <v>0</v>
          </cell>
          <cell r="J7407">
            <v>0</v>
          </cell>
          <cell r="K7407">
            <v>0</v>
          </cell>
          <cell r="L7407">
            <v>0</v>
          </cell>
          <cell r="M7407">
            <v>0</v>
          </cell>
          <cell r="N7407">
            <v>0</v>
          </cell>
          <cell r="O7407">
            <v>-0.11</v>
          </cell>
          <cell r="P7407">
            <v>0</v>
          </cell>
          <cell r="Q7407">
            <v>0</v>
          </cell>
          <cell r="R7407">
            <v>0</v>
          </cell>
          <cell r="S7407">
            <v>0</v>
          </cell>
          <cell r="T7407">
            <v>0</v>
          </cell>
          <cell r="U7407" t="b">
            <v>1</v>
          </cell>
        </row>
        <row r="7408">
          <cell r="A7408" t="str">
            <v>Data split-19;Reg-34</v>
          </cell>
          <cell r="B7408">
            <v>-0.98</v>
          </cell>
          <cell r="C7408">
            <v>0</v>
          </cell>
          <cell r="D7408">
            <v>1.2</v>
          </cell>
          <cell r="E7408">
            <v>0</v>
          </cell>
          <cell r="F7408">
            <v>0</v>
          </cell>
          <cell r="G7408">
            <v>0</v>
          </cell>
          <cell r="H7408">
            <v>2.7</v>
          </cell>
          <cell r="I7408">
            <v>0</v>
          </cell>
          <cell r="J7408">
            <v>0</v>
          </cell>
          <cell r="K7408">
            <v>0</v>
          </cell>
          <cell r="L7408">
            <v>0</v>
          </cell>
          <cell r="M7408">
            <v>0</v>
          </cell>
          <cell r="N7408">
            <v>0</v>
          </cell>
          <cell r="O7408">
            <v>0</v>
          </cell>
          <cell r="P7408">
            <v>-1.6E-2</v>
          </cell>
          <cell r="Q7408">
            <v>0</v>
          </cell>
          <cell r="R7408">
            <v>0</v>
          </cell>
          <cell r="S7408">
            <v>0</v>
          </cell>
          <cell r="T7408">
            <v>0</v>
          </cell>
          <cell r="U7408" t="b">
            <v>1</v>
          </cell>
        </row>
        <row r="7409">
          <cell r="A7409" t="str">
            <v>Data split-19;Reg-35</v>
          </cell>
          <cell r="B7409">
            <v>-2.2999999999999998</v>
          </cell>
          <cell r="C7409">
            <v>0.99</v>
          </cell>
          <cell r="D7409">
            <v>0</v>
          </cell>
          <cell r="E7409">
            <v>3.6</v>
          </cell>
          <cell r="F7409">
            <v>0</v>
          </cell>
          <cell r="G7409">
            <v>-1.2</v>
          </cell>
          <cell r="H7409">
            <v>0</v>
          </cell>
          <cell r="I7409">
            <v>0</v>
          </cell>
          <cell r="J7409">
            <v>0</v>
          </cell>
          <cell r="K7409">
            <v>0</v>
          </cell>
          <cell r="L7409">
            <v>0</v>
          </cell>
          <cell r="M7409">
            <v>-4.8000000000000001E-2</v>
          </cell>
          <cell r="N7409">
            <v>0</v>
          </cell>
          <cell r="O7409">
            <v>0</v>
          </cell>
          <cell r="P7409">
            <v>0</v>
          </cell>
          <cell r="Q7409">
            <v>0</v>
          </cell>
          <cell r="R7409">
            <v>0</v>
          </cell>
          <cell r="S7409">
            <v>0</v>
          </cell>
          <cell r="T7409">
            <v>0</v>
          </cell>
          <cell r="U7409" t="b">
            <v>0</v>
          </cell>
        </row>
        <row r="7410">
          <cell r="A7410" t="str">
            <v>Data split-19;Reg-36</v>
          </cell>
          <cell r="B7410">
            <v>-0.48</v>
          </cell>
          <cell r="C7410">
            <v>1.2</v>
          </cell>
          <cell r="D7410">
            <v>0</v>
          </cell>
          <cell r="E7410">
            <v>2.2999999999999998</v>
          </cell>
          <cell r="F7410">
            <v>0</v>
          </cell>
          <cell r="G7410">
            <v>-1.4</v>
          </cell>
          <cell r="H7410">
            <v>0</v>
          </cell>
          <cell r="I7410">
            <v>0</v>
          </cell>
          <cell r="J7410">
            <v>0</v>
          </cell>
          <cell r="K7410">
            <v>0</v>
          </cell>
          <cell r="L7410">
            <v>0</v>
          </cell>
          <cell r="M7410">
            <v>0</v>
          </cell>
          <cell r="N7410">
            <v>1.0999999999999999E-2</v>
          </cell>
          <cell r="O7410">
            <v>0</v>
          </cell>
          <cell r="P7410">
            <v>0</v>
          </cell>
          <cell r="Q7410">
            <v>0</v>
          </cell>
          <cell r="R7410">
            <v>0</v>
          </cell>
          <cell r="S7410">
            <v>0</v>
          </cell>
          <cell r="T7410">
            <v>0</v>
          </cell>
          <cell r="U7410" t="b">
            <v>0</v>
          </cell>
        </row>
        <row r="7411">
          <cell r="A7411" t="str">
            <v>Data split-19;Reg-37</v>
          </cell>
          <cell r="B7411">
            <v>-2.6</v>
          </cell>
          <cell r="C7411">
            <v>1.2999999999999999E-2</v>
          </cell>
          <cell r="D7411">
            <v>0</v>
          </cell>
          <cell r="E7411">
            <v>1.4</v>
          </cell>
          <cell r="F7411">
            <v>0</v>
          </cell>
          <cell r="G7411">
            <v>0</v>
          </cell>
          <cell r="H7411">
            <v>4.0999999999999996</v>
          </cell>
          <cell r="I7411">
            <v>0</v>
          </cell>
          <cell r="J7411">
            <v>0</v>
          </cell>
          <cell r="K7411">
            <v>0</v>
          </cell>
          <cell r="L7411">
            <v>0</v>
          </cell>
          <cell r="M7411">
            <v>-0.15</v>
          </cell>
          <cell r="N7411">
            <v>0</v>
          </cell>
          <cell r="O7411">
            <v>0</v>
          </cell>
          <cell r="P7411">
            <v>0</v>
          </cell>
          <cell r="Q7411">
            <v>0</v>
          </cell>
          <cell r="R7411">
            <v>0</v>
          </cell>
          <cell r="S7411">
            <v>0</v>
          </cell>
          <cell r="T7411">
            <v>0</v>
          </cell>
          <cell r="U7411" t="b">
            <v>1</v>
          </cell>
        </row>
        <row r="7412">
          <cell r="A7412" t="str">
            <v>Data split-19;Reg-38</v>
          </cell>
          <cell r="B7412">
            <v>-1.4</v>
          </cell>
          <cell r="C7412">
            <v>0.71</v>
          </cell>
          <cell r="D7412">
            <v>0</v>
          </cell>
          <cell r="E7412">
            <v>0.89</v>
          </cell>
          <cell r="F7412">
            <v>0</v>
          </cell>
          <cell r="G7412">
            <v>0</v>
          </cell>
          <cell r="H7412">
            <v>1.9</v>
          </cell>
          <cell r="I7412">
            <v>0</v>
          </cell>
          <cell r="J7412">
            <v>0</v>
          </cell>
          <cell r="K7412">
            <v>0</v>
          </cell>
          <cell r="L7412">
            <v>0</v>
          </cell>
          <cell r="M7412">
            <v>0</v>
          </cell>
          <cell r="N7412">
            <v>-7.3000000000000001E-3</v>
          </cell>
          <cell r="O7412">
            <v>0</v>
          </cell>
          <cell r="P7412">
            <v>0</v>
          </cell>
          <cell r="Q7412">
            <v>0</v>
          </cell>
          <cell r="R7412">
            <v>0</v>
          </cell>
          <cell r="S7412">
            <v>0</v>
          </cell>
          <cell r="T7412">
            <v>0</v>
          </cell>
          <cell r="U7412" t="b">
            <v>1</v>
          </cell>
        </row>
        <row r="7413">
          <cell r="A7413" t="str">
            <v>Data split-19;Reg-39</v>
          </cell>
          <cell r="B7413">
            <v>1.5</v>
          </cell>
          <cell r="C7413">
            <v>0.82</v>
          </cell>
          <cell r="D7413">
            <v>0</v>
          </cell>
          <cell r="E7413">
            <v>0</v>
          </cell>
          <cell r="F7413">
            <v>0.23</v>
          </cell>
          <cell r="G7413">
            <v>0.46</v>
          </cell>
          <cell r="H7413">
            <v>0</v>
          </cell>
          <cell r="I7413">
            <v>0</v>
          </cell>
          <cell r="J7413">
            <v>0</v>
          </cell>
          <cell r="K7413">
            <v>0</v>
          </cell>
          <cell r="L7413">
            <v>0</v>
          </cell>
          <cell r="M7413">
            <v>0.05</v>
          </cell>
          <cell r="N7413">
            <v>0</v>
          </cell>
          <cell r="O7413">
            <v>0</v>
          </cell>
          <cell r="P7413">
            <v>0</v>
          </cell>
          <cell r="Q7413">
            <v>0</v>
          </cell>
          <cell r="R7413">
            <v>0</v>
          </cell>
          <cell r="S7413">
            <v>0</v>
          </cell>
          <cell r="T7413">
            <v>0</v>
          </cell>
          <cell r="U7413" t="b">
            <v>0</v>
          </cell>
        </row>
        <row r="7414">
          <cell r="A7414" t="str">
            <v>Data split-19;Reg-40</v>
          </cell>
          <cell r="B7414">
            <v>2.4</v>
          </cell>
          <cell r="C7414">
            <v>0.55000000000000004</v>
          </cell>
          <cell r="D7414">
            <v>0</v>
          </cell>
          <cell r="E7414">
            <v>0</v>
          </cell>
          <cell r="F7414">
            <v>0.23</v>
          </cell>
          <cell r="G7414">
            <v>5.1999999999999998E-2</v>
          </cell>
          <cell r="H7414">
            <v>0</v>
          </cell>
          <cell r="I7414">
            <v>0</v>
          </cell>
          <cell r="J7414">
            <v>0</v>
          </cell>
          <cell r="K7414">
            <v>0</v>
          </cell>
          <cell r="L7414">
            <v>0</v>
          </cell>
          <cell r="M7414">
            <v>0</v>
          </cell>
          <cell r="N7414">
            <v>2.4E-2</v>
          </cell>
          <cell r="O7414">
            <v>0</v>
          </cell>
          <cell r="P7414">
            <v>0</v>
          </cell>
          <cell r="Q7414">
            <v>0</v>
          </cell>
          <cell r="R7414">
            <v>0</v>
          </cell>
          <cell r="S7414">
            <v>0</v>
          </cell>
          <cell r="T7414">
            <v>0</v>
          </cell>
          <cell r="U7414" t="b">
            <v>0</v>
          </cell>
        </row>
        <row r="7415">
          <cell r="A7415" t="str">
            <v>Data split-19;Reg-41</v>
          </cell>
          <cell r="B7415">
            <v>-0.61</v>
          </cell>
          <cell r="C7415">
            <v>-0.68</v>
          </cell>
          <cell r="D7415">
            <v>0</v>
          </cell>
          <cell r="E7415">
            <v>0</v>
          </cell>
          <cell r="F7415">
            <v>0.22</v>
          </cell>
          <cell r="G7415">
            <v>0</v>
          </cell>
          <cell r="H7415">
            <v>5.9</v>
          </cell>
          <cell r="I7415">
            <v>0</v>
          </cell>
          <cell r="J7415">
            <v>0</v>
          </cell>
          <cell r="K7415">
            <v>0</v>
          </cell>
          <cell r="L7415">
            <v>0</v>
          </cell>
          <cell r="M7415">
            <v>-0.12</v>
          </cell>
          <cell r="N7415">
            <v>0</v>
          </cell>
          <cell r="O7415">
            <v>0</v>
          </cell>
          <cell r="P7415">
            <v>0</v>
          </cell>
          <cell r="Q7415">
            <v>0</v>
          </cell>
          <cell r="R7415">
            <v>0</v>
          </cell>
          <cell r="S7415">
            <v>0</v>
          </cell>
          <cell r="T7415">
            <v>0</v>
          </cell>
          <cell r="U7415" t="b">
            <v>0</v>
          </cell>
        </row>
        <row r="7416">
          <cell r="A7416" t="str">
            <v>Data split-19;Reg-42</v>
          </cell>
          <cell r="B7416">
            <v>0.3</v>
          </cell>
          <cell r="C7416">
            <v>-0.18</v>
          </cell>
          <cell r="D7416">
            <v>0</v>
          </cell>
          <cell r="E7416">
            <v>0</v>
          </cell>
          <cell r="F7416">
            <v>0.23</v>
          </cell>
          <cell r="G7416">
            <v>0</v>
          </cell>
          <cell r="H7416">
            <v>3.5</v>
          </cell>
          <cell r="I7416">
            <v>0</v>
          </cell>
          <cell r="J7416">
            <v>0</v>
          </cell>
          <cell r="K7416">
            <v>0</v>
          </cell>
          <cell r="L7416">
            <v>0</v>
          </cell>
          <cell r="M7416">
            <v>0</v>
          </cell>
          <cell r="N7416">
            <v>-2.0999999999999999E-3</v>
          </cell>
          <cell r="O7416">
            <v>0</v>
          </cell>
          <cell r="P7416">
            <v>0</v>
          </cell>
          <cell r="Q7416">
            <v>0</v>
          </cell>
          <cell r="R7416">
            <v>0</v>
          </cell>
          <cell r="S7416">
            <v>0</v>
          </cell>
          <cell r="T7416">
            <v>0</v>
          </cell>
          <cell r="U7416" t="b">
            <v>0</v>
          </cell>
        </row>
        <row r="7417">
          <cell r="A7417" t="str">
            <v>Data split-19;Reg-43</v>
          </cell>
          <cell r="B7417">
            <v>-2.1</v>
          </cell>
          <cell r="C7417">
            <v>1</v>
          </cell>
          <cell r="D7417">
            <v>0</v>
          </cell>
          <cell r="E7417">
            <v>3.8</v>
          </cell>
          <cell r="F7417">
            <v>0</v>
          </cell>
          <cell r="G7417">
            <v>-1.1000000000000001</v>
          </cell>
          <cell r="H7417">
            <v>0</v>
          </cell>
          <cell r="I7417">
            <v>0</v>
          </cell>
          <cell r="J7417">
            <v>0</v>
          </cell>
          <cell r="K7417">
            <v>0</v>
          </cell>
          <cell r="L7417">
            <v>0</v>
          </cell>
          <cell r="M7417">
            <v>0</v>
          </cell>
          <cell r="N7417">
            <v>0</v>
          </cell>
          <cell r="O7417">
            <v>-8.1000000000000003E-2</v>
          </cell>
          <cell r="P7417">
            <v>0</v>
          </cell>
          <cell r="Q7417">
            <v>0</v>
          </cell>
          <cell r="R7417">
            <v>0</v>
          </cell>
          <cell r="S7417">
            <v>0</v>
          </cell>
          <cell r="T7417">
            <v>0</v>
          </cell>
          <cell r="U7417" t="b">
            <v>0</v>
          </cell>
        </row>
        <row r="7418">
          <cell r="A7418" t="str">
            <v>Data split-19;Reg-44</v>
          </cell>
          <cell r="B7418">
            <v>-1.7</v>
          </cell>
          <cell r="C7418">
            <v>1.2</v>
          </cell>
          <cell r="D7418">
            <v>0</v>
          </cell>
          <cell r="E7418">
            <v>3.1</v>
          </cell>
          <cell r="F7418">
            <v>0</v>
          </cell>
          <cell r="G7418">
            <v>-1.2</v>
          </cell>
          <cell r="H7418">
            <v>0</v>
          </cell>
          <cell r="I7418">
            <v>0</v>
          </cell>
          <cell r="J7418">
            <v>0</v>
          </cell>
          <cell r="K7418">
            <v>0</v>
          </cell>
          <cell r="L7418">
            <v>0</v>
          </cell>
          <cell r="M7418">
            <v>0</v>
          </cell>
          <cell r="N7418">
            <v>0</v>
          </cell>
          <cell r="O7418">
            <v>0</v>
          </cell>
          <cell r="P7418">
            <v>-3.7000000000000002E-3</v>
          </cell>
          <cell r="Q7418">
            <v>0</v>
          </cell>
          <cell r="R7418">
            <v>0</v>
          </cell>
          <cell r="S7418">
            <v>0</v>
          </cell>
          <cell r="T7418">
            <v>0</v>
          </cell>
          <cell r="U7418" t="b">
            <v>0</v>
          </cell>
        </row>
        <row r="7419">
          <cell r="A7419" t="str">
            <v>Data split-19;Reg-45</v>
          </cell>
          <cell r="B7419">
            <v>-1.4</v>
          </cell>
          <cell r="C7419">
            <v>0.49</v>
          </cell>
          <cell r="D7419">
            <v>0</v>
          </cell>
          <cell r="E7419">
            <v>1.4</v>
          </cell>
          <cell r="F7419">
            <v>0</v>
          </cell>
          <cell r="G7419">
            <v>0</v>
          </cell>
          <cell r="H7419">
            <v>2.7</v>
          </cell>
          <cell r="I7419">
            <v>0</v>
          </cell>
          <cell r="J7419">
            <v>0</v>
          </cell>
          <cell r="K7419">
            <v>0</v>
          </cell>
          <cell r="L7419">
            <v>0</v>
          </cell>
          <cell r="M7419">
            <v>0</v>
          </cell>
          <cell r="N7419">
            <v>0</v>
          </cell>
          <cell r="O7419">
            <v>-0.12</v>
          </cell>
          <cell r="P7419">
            <v>0</v>
          </cell>
          <cell r="Q7419">
            <v>0</v>
          </cell>
          <cell r="R7419">
            <v>0</v>
          </cell>
          <cell r="S7419">
            <v>0</v>
          </cell>
          <cell r="T7419">
            <v>0</v>
          </cell>
          <cell r="U7419" t="b">
            <v>1</v>
          </cell>
        </row>
        <row r="7420">
          <cell r="A7420" t="str">
            <v>Data split-19;Reg-46</v>
          </cell>
          <cell r="B7420">
            <v>-1.3</v>
          </cell>
          <cell r="C7420">
            <v>0.78</v>
          </cell>
          <cell r="D7420">
            <v>0</v>
          </cell>
          <cell r="E7420">
            <v>0.77</v>
          </cell>
          <cell r="F7420">
            <v>0</v>
          </cell>
          <cell r="G7420">
            <v>0</v>
          </cell>
          <cell r="H7420">
            <v>2.5</v>
          </cell>
          <cell r="I7420">
            <v>0</v>
          </cell>
          <cell r="J7420">
            <v>0</v>
          </cell>
          <cell r="K7420">
            <v>0</v>
          </cell>
          <cell r="L7420">
            <v>0</v>
          </cell>
          <cell r="M7420">
            <v>0</v>
          </cell>
          <cell r="N7420">
            <v>0</v>
          </cell>
          <cell r="O7420">
            <v>0</v>
          </cell>
          <cell r="P7420">
            <v>-1.7000000000000001E-2</v>
          </cell>
          <cell r="Q7420">
            <v>0</v>
          </cell>
          <cell r="R7420">
            <v>0</v>
          </cell>
          <cell r="S7420">
            <v>0</v>
          </cell>
          <cell r="T7420">
            <v>0</v>
          </cell>
          <cell r="U7420" t="b">
            <v>1</v>
          </cell>
        </row>
        <row r="7421">
          <cell r="A7421" t="str">
            <v>Data split-19;Reg-47</v>
          </cell>
          <cell r="B7421">
            <v>1.3</v>
          </cell>
          <cell r="C7421">
            <v>0.93</v>
          </cell>
          <cell r="D7421">
            <v>0</v>
          </cell>
          <cell r="E7421">
            <v>0</v>
          </cell>
          <cell r="F7421">
            <v>0.23</v>
          </cell>
          <cell r="G7421">
            <v>0.9</v>
          </cell>
          <cell r="H7421">
            <v>0</v>
          </cell>
          <cell r="I7421">
            <v>0</v>
          </cell>
          <cell r="J7421">
            <v>0</v>
          </cell>
          <cell r="K7421">
            <v>0</v>
          </cell>
          <cell r="L7421">
            <v>0</v>
          </cell>
          <cell r="M7421">
            <v>0</v>
          </cell>
          <cell r="N7421">
            <v>0</v>
          </cell>
          <cell r="O7421">
            <v>-1.4999999999999999E-2</v>
          </cell>
          <cell r="P7421">
            <v>0</v>
          </cell>
          <cell r="Q7421">
            <v>0</v>
          </cell>
          <cell r="R7421">
            <v>0</v>
          </cell>
          <cell r="S7421">
            <v>0</v>
          </cell>
          <cell r="T7421">
            <v>0</v>
          </cell>
          <cell r="U7421" t="b">
            <v>0</v>
          </cell>
        </row>
        <row r="7422">
          <cell r="A7422" t="str">
            <v>Data split-19;Reg-48</v>
          </cell>
          <cell r="B7422">
            <v>1.4</v>
          </cell>
          <cell r="C7422">
            <v>0.81</v>
          </cell>
          <cell r="D7422">
            <v>0</v>
          </cell>
          <cell r="E7422">
            <v>0</v>
          </cell>
          <cell r="F7422">
            <v>0.23</v>
          </cell>
          <cell r="G7422">
            <v>0.66</v>
          </cell>
          <cell r="H7422">
            <v>0</v>
          </cell>
          <cell r="I7422">
            <v>0</v>
          </cell>
          <cell r="J7422">
            <v>0</v>
          </cell>
          <cell r="K7422">
            <v>0</v>
          </cell>
          <cell r="L7422">
            <v>0</v>
          </cell>
          <cell r="M7422">
            <v>0</v>
          </cell>
          <cell r="N7422">
            <v>0</v>
          </cell>
          <cell r="O7422">
            <v>0</v>
          </cell>
          <cell r="P7422">
            <v>5.7999999999999996E-3</v>
          </cell>
          <cell r="Q7422">
            <v>0</v>
          </cell>
          <cell r="R7422">
            <v>0</v>
          </cell>
          <cell r="S7422">
            <v>0</v>
          </cell>
          <cell r="T7422">
            <v>0</v>
          </cell>
          <cell r="U7422" t="b">
            <v>0</v>
          </cell>
        </row>
        <row r="7423">
          <cell r="A7423" t="str">
            <v>Data split-19;Reg-49</v>
          </cell>
          <cell r="B7423">
            <v>0.28000000000000003</v>
          </cell>
          <cell r="C7423">
            <v>-0.32</v>
          </cell>
          <cell r="D7423">
            <v>0</v>
          </cell>
          <cell r="E7423">
            <v>0</v>
          </cell>
          <cell r="F7423">
            <v>0.22</v>
          </cell>
          <cell r="G7423">
            <v>0</v>
          </cell>
          <cell r="H7423">
            <v>4.8</v>
          </cell>
          <cell r="I7423">
            <v>0</v>
          </cell>
          <cell r="J7423">
            <v>0</v>
          </cell>
          <cell r="K7423">
            <v>0</v>
          </cell>
          <cell r="L7423">
            <v>0</v>
          </cell>
          <cell r="M7423">
            <v>0</v>
          </cell>
          <cell r="N7423">
            <v>0</v>
          </cell>
          <cell r="O7423">
            <v>-9.7000000000000003E-2</v>
          </cell>
          <cell r="P7423">
            <v>0</v>
          </cell>
          <cell r="Q7423">
            <v>0</v>
          </cell>
          <cell r="R7423">
            <v>0</v>
          </cell>
          <cell r="S7423">
            <v>0</v>
          </cell>
          <cell r="T7423">
            <v>0</v>
          </cell>
          <cell r="U7423" t="b">
            <v>0</v>
          </cell>
        </row>
        <row r="7424">
          <cell r="A7424" t="str">
            <v>Data split-19;Reg-50</v>
          </cell>
          <cell r="B7424">
            <v>2.1999999999999999E-2</v>
          </cell>
          <cell r="C7424">
            <v>-0.16</v>
          </cell>
          <cell r="D7424">
            <v>0</v>
          </cell>
          <cell r="E7424">
            <v>0</v>
          </cell>
          <cell r="F7424">
            <v>0.23</v>
          </cell>
          <cell r="G7424">
            <v>0</v>
          </cell>
          <cell r="H7424">
            <v>4.2</v>
          </cell>
          <cell r="I7424">
            <v>0</v>
          </cell>
          <cell r="J7424">
            <v>0</v>
          </cell>
          <cell r="K7424">
            <v>0</v>
          </cell>
          <cell r="L7424">
            <v>0</v>
          </cell>
          <cell r="M7424">
            <v>0</v>
          </cell>
          <cell r="N7424">
            <v>0</v>
          </cell>
          <cell r="O7424">
            <v>0</v>
          </cell>
          <cell r="P7424">
            <v>-1.4E-2</v>
          </cell>
          <cell r="Q7424">
            <v>0</v>
          </cell>
          <cell r="R7424">
            <v>0</v>
          </cell>
          <cell r="S7424">
            <v>0</v>
          </cell>
          <cell r="T7424">
            <v>0</v>
          </cell>
          <cell r="U7424" t="b">
            <v>0</v>
          </cell>
        </row>
        <row r="7425">
          <cell r="A7425" t="str">
            <v>Data split-19;Reg-51</v>
          </cell>
          <cell r="B7425">
            <v>-1.9</v>
          </cell>
          <cell r="C7425">
            <v>0</v>
          </cell>
          <cell r="D7425">
            <v>1.4</v>
          </cell>
          <cell r="E7425">
            <v>2.9</v>
          </cell>
          <cell r="F7425">
            <v>0</v>
          </cell>
          <cell r="G7425">
            <v>-1.3</v>
          </cell>
          <cell r="H7425">
            <v>0</v>
          </cell>
          <cell r="I7425">
            <v>0</v>
          </cell>
          <cell r="J7425">
            <v>0</v>
          </cell>
          <cell r="K7425">
            <v>0</v>
          </cell>
          <cell r="L7425">
            <v>0</v>
          </cell>
          <cell r="M7425">
            <v>0</v>
          </cell>
          <cell r="N7425">
            <v>0</v>
          </cell>
          <cell r="O7425">
            <v>-3.1E-2</v>
          </cell>
          <cell r="P7425">
            <v>0</v>
          </cell>
          <cell r="Q7425">
            <v>0</v>
          </cell>
          <cell r="R7425">
            <v>0</v>
          </cell>
          <cell r="S7425">
            <v>0</v>
          </cell>
          <cell r="T7425">
            <v>0</v>
          </cell>
          <cell r="U7425" t="b">
            <v>0</v>
          </cell>
        </row>
        <row r="7426">
          <cell r="A7426" t="str">
            <v>Data split-19;Reg-52</v>
          </cell>
          <cell r="B7426">
            <v>-0.12</v>
          </cell>
          <cell r="C7426">
            <v>0</v>
          </cell>
          <cell r="D7426">
            <v>1.7</v>
          </cell>
          <cell r="E7426">
            <v>1.6</v>
          </cell>
          <cell r="F7426">
            <v>0</v>
          </cell>
          <cell r="G7426">
            <v>-1.6</v>
          </cell>
          <cell r="H7426">
            <v>0</v>
          </cell>
          <cell r="I7426">
            <v>0</v>
          </cell>
          <cell r="J7426">
            <v>0</v>
          </cell>
          <cell r="K7426">
            <v>0</v>
          </cell>
          <cell r="L7426">
            <v>0</v>
          </cell>
          <cell r="M7426">
            <v>0</v>
          </cell>
          <cell r="N7426">
            <v>1.2999999999999999E-2</v>
          </cell>
          <cell r="O7426">
            <v>0</v>
          </cell>
          <cell r="P7426">
            <v>0</v>
          </cell>
          <cell r="Q7426">
            <v>0</v>
          </cell>
          <cell r="R7426">
            <v>0</v>
          </cell>
          <cell r="S7426">
            <v>0</v>
          </cell>
          <cell r="T7426">
            <v>0</v>
          </cell>
          <cell r="U7426" t="b">
            <v>0</v>
          </cell>
        </row>
        <row r="7427">
          <cell r="A7427" t="str">
            <v>Data split-19;Reg-53</v>
          </cell>
          <cell r="B7427">
            <v>-2.2999999999999998</v>
          </cell>
          <cell r="C7427">
            <v>0</v>
          </cell>
          <cell r="D7427">
            <v>0.33</v>
          </cell>
          <cell r="E7427">
            <v>1.2</v>
          </cell>
          <cell r="F7427">
            <v>0</v>
          </cell>
          <cell r="G7427">
            <v>0</v>
          </cell>
          <cell r="H7427">
            <v>3.6</v>
          </cell>
          <cell r="I7427">
            <v>0</v>
          </cell>
          <cell r="J7427">
            <v>0</v>
          </cell>
          <cell r="K7427">
            <v>0</v>
          </cell>
          <cell r="L7427">
            <v>0</v>
          </cell>
          <cell r="M7427">
            <v>-0.14000000000000001</v>
          </cell>
          <cell r="N7427">
            <v>0</v>
          </cell>
          <cell r="O7427">
            <v>0</v>
          </cell>
          <cell r="P7427">
            <v>0</v>
          </cell>
          <cell r="Q7427">
            <v>0</v>
          </cell>
          <cell r="R7427">
            <v>0</v>
          </cell>
          <cell r="S7427">
            <v>0</v>
          </cell>
          <cell r="T7427">
            <v>0</v>
          </cell>
          <cell r="U7427" t="b">
            <v>1</v>
          </cell>
        </row>
        <row r="7428">
          <cell r="A7428" t="str">
            <v>Data split-19;Reg-54</v>
          </cell>
          <cell r="B7428">
            <v>-1</v>
          </cell>
          <cell r="C7428">
            <v>0</v>
          </cell>
          <cell r="D7428">
            <v>1.1000000000000001</v>
          </cell>
          <cell r="E7428">
            <v>0.48</v>
          </cell>
          <cell r="F7428">
            <v>0</v>
          </cell>
          <cell r="G7428">
            <v>0</v>
          </cell>
          <cell r="H7428">
            <v>1.3</v>
          </cell>
          <cell r="I7428">
            <v>0</v>
          </cell>
          <cell r="J7428">
            <v>0</v>
          </cell>
          <cell r="K7428">
            <v>0</v>
          </cell>
          <cell r="L7428">
            <v>0</v>
          </cell>
          <cell r="M7428">
            <v>0</v>
          </cell>
          <cell r="N7428">
            <v>-2.5000000000000001E-3</v>
          </cell>
          <cell r="O7428">
            <v>0</v>
          </cell>
          <cell r="P7428">
            <v>0</v>
          </cell>
          <cell r="Q7428">
            <v>0</v>
          </cell>
          <cell r="R7428">
            <v>0</v>
          </cell>
          <cell r="S7428">
            <v>0</v>
          </cell>
          <cell r="T7428">
            <v>0</v>
          </cell>
          <cell r="U7428" t="b">
            <v>1</v>
          </cell>
        </row>
        <row r="7429">
          <cell r="A7429" t="str">
            <v>Data split-19;Reg-55</v>
          </cell>
          <cell r="B7429">
            <v>1.2</v>
          </cell>
          <cell r="C7429">
            <v>0</v>
          </cell>
          <cell r="D7429">
            <v>1.2</v>
          </cell>
          <cell r="E7429">
            <v>0</v>
          </cell>
          <cell r="F7429">
            <v>0.2</v>
          </cell>
          <cell r="G7429">
            <v>9.6000000000000002E-2</v>
          </cell>
          <cell r="H7429">
            <v>0</v>
          </cell>
          <cell r="I7429">
            <v>0</v>
          </cell>
          <cell r="J7429">
            <v>0</v>
          </cell>
          <cell r="K7429">
            <v>0</v>
          </cell>
          <cell r="L7429">
            <v>0</v>
          </cell>
          <cell r="M7429">
            <v>4.7E-2</v>
          </cell>
          <cell r="N7429">
            <v>0</v>
          </cell>
          <cell r="O7429">
            <v>0</v>
          </cell>
          <cell r="P7429">
            <v>0</v>
          </cell>
          <cell r="Q7429">
            <v>0</v>
          </cell>
          <cell r="R7429">
            <v>0</v>
          </cell>
          <cell r="S7429">
            <v>0</v>
          </cell>
          <cell r="T7429">
            <v>0</v>
          </cell>
          <cell r="U7429" t="b">
            <v>0</v>
          </cell>
        </row>
        <row r="7430">
          <cell r="A7430" t="str">
            <v>Data split-19;Reg-56</v>
          </cell>
          <cell r="B7430">
            <v>2.1</v>
          </cell>
          <cell r="C7430">
            <v>0</v>
          </cell>
          <cell r="D7430">
            <v>0.92</v>
          </cell>
          <cell r="E7430">
            <v>0</v>
          </cell>
          <cell r="F7430">
            <v>0.2</v>
          </cell>
          <cell r="G7430">
            <v>-0.26</v>
          </cell>
          <cell r="H7430">
            <v>0</v>
          </cell>
          <cell r="I7430">
            <v>0</v>
          </cell>
          <cell r="J7430">
            <v>0</v>
          </cell>
          <cell r="K7430">
            <v>0</v>
          </cell>
          <cell r="L7430">
            <v>0</v>
          </cell>
          <cell r="M7430">
            <v>0</v>
          </cell>
          <cell r="N7430">
            <v>2.1999999999999999E-2</v>
          </cell>
          <cell r="O7430">
            <v>0</v>
          </cell>
          <cell r="P7430">
            <v>0</v>
          </cell>
          <cell r="Q7430">
            <v>0</v>
          </cell>
          <cell r="R7430">
            <v>0</v>
          </cell>
          <cell r="S7430">
            <v>0</v>
          </cell>
          <cell r="T7430">
            <v>0</v>
          </cell>
          <cell r="U7430" t="b">
            <v>0</v>
          </cell>
        </row>
        <row r="7431">
          <cell r="A7431" t="str">
            <v>Data split-19;Reg-57</v>
          </cell>
          <cell r="B7431">
            <v>-0.44</v>
          </cell>
          <cell r="C7431">
            <v>0</v>
          </cell>
          <cell r="D7431">
            <v>-0.45</v>
          </cell>
          <cell r="E7431">
            <v>0</v>
          </cell>
          <cell r="F7431">
            <v>0.22</v>
          </cell>
          <cell r="G7431">
            <v>0</v>
          </cell>
          <cell r="H7431">
            <v>5.3</v>
          </cell>
          <cell r="I7431">
            <v>0</v>
          </cell>
          <cell r="J7431">
            <v>0</v>
          </cell>
          <cell r="K7431">
            <v>0</v>
          </cell>
          <cell r="L7431">
            <v>0</v>
          </cell>
          <cell r="M7431">
            <v>-0.11</v>
          </cell>
          <cell r="N7431">
            <v>0</v>
          </cell>
          <cell r="O7431">
            <v>0</v>
          </cell>
          <cell r="P7431">
            <v>0</v>
          </cell>
          <cell r="Q7431">
            <v>0</v>
          </cell>
          <cell r="R7431">
            <v>0</v>
          </cell>
          <cell r="S7431">
            <v>0</v>
          </cell>
          <cell r="T7431">
            <v>0</v>
          </cell>
          <cell r="U7431" t="b">
            <v>0</v>
          </cell>
        </row>
        <row r="7432">
          <cell r="A7432" t="str">
            <v>Data split-19;Reg-58</v>
          </cell>
          <cell r="B7432">
            <v>0.5</v>
          </cell>
          <cell r="C7432">
            <v>0</v>
          </cell>
          <cell r="D7432">
            <v>0.12</v>
          </cell>
          <cell r="E7432">
            <v>0</v>
          </cell>
          <cell r="F7432">
            <v>0.22</v>
          </cell>
          <cell r="G7432">
            <v>0</v>
          </cell>
          <cell r="H7432">
            <v>2.7</v>
          </cell>
          <cell r="I7432">
            <v>0</v>
          </cell>
          <cell r="J7432">
            <v>0</v>
          </cell>
          <cell r="K7432">
            <v>0</v>
          </cell>
          <cell r="L7432">
            <v>0</v>
          </cell>
          <cell r="M7432">
            <v>0</v>
          </cell>
          <cell r="N7432">
            <v>1.5E-3</v>
          </cell>
          <cell r="O7432">
            <v>0</v>
          </cell>
          <cell r="P7432">
            <v>0</v>
          </cell>
          <cell r="Q7432">
            <v>0</v>
          </cell>
          <cell r="R7432">
            <v>0</v>
          </cell>
          <cell r="S7432">
            <v>0</v>
          </cell>
          <cell r="T7432">
            <v>0</v>
          </cell>
          <cell r="U7432" t="b">
            <v>0</v>
          </cell>
        </row>
        <row r="7433">
          <cell r="A7433" t="str">
            <v>Data split-19;Reg-59</v>
          </cell>
          <cell r="B7433">
            <v>-2</v>
          </cell>
          <cell r="C7433">
            <v>0</v>
          </cell>
          <cell r="D7433">
            <v>1.4</v>
          </cell>
          <cell r="E7433">
            <v>3.2</v>
          </cell>
          <cell r="F7433">
            <v>0</v>
          </cell>
          <cell r="G7433">
            <v>-1.2</v>
          </cell>
          <cell r="H7433">
            <v>0</v>
          </cell>
          <cell r="I7433">
            <v>0</v>
          </cell>
          <cell r="J7433">
            <v>0</v>
          </cell>
          <cell r="K7433">
            <v>0</v>
          </cell>
          <cell r="L7433">
            <v>0</v>
          </cell>
          <cell r="M7433">
            <v>0</v>
          </cell>
          <cell r="N7433">
            <v>0</v>
          </cell>
          <cell r="O7433">
            <v>-7.1999999999999995E-2</v>
          </cell>
          <cell r="P7433">
            <v>0</v>
          </cell>
          <cell r="Q7433">
            <v>0</v>
          </cell>
          <cell r="R7433">
            <v>0</v>
          </cell>
          <cell r="S7433">
            <v>0</v>
          </cell>
          <cell r="T7433">
            <v>0</v>
          </cell>
          <cell r="U7433" t="b">
            <v>0</v>
          </cell>
        </row>
        <row r="7434">
          <cell r="A7434" t="str">
            <v>Data split-19;Reg-60</v>
          </cell>
          <cell r="B7434">
            <v>-1.5</v>
          </cell>
          <cell r="C7434">
            <v>0</v>
          </cell>
          <cell r="D7434">
            <v>1.6</v>
          </cell>
          <cell r="E7434">
            <v>2.5</v>
          </cell>
          <cell r="F7434">
            <v>0</v>
          </cell>
          <cell r="G7434">
            <v>-1.3</v>
          </cell>
          <cell r="H7434">
            <v>0</v>
          </cell>
          <cell r="I7434">
            <v>0</v>
          </cell>
          <cell r="J7434">
            <v>0</v>
          </cell>
          <cell r="K7434">
            <v>0</v>
          </cell>
          <cell r="L7434">
            <v>0</v>
          </cell>
          <cell r="M7434">
            <v>0</v>
          </cell>
          <cell r="N7434">
            <v>0</v>
          </cell>
          <cell r="O7434">
            <v>0</v>
          </cell>
          <cell r="P7434">
            <v>-2.5000000000000001E-3</v>
          </cell>
          <cell r="Q7434">
            <v>0</v>
          </cell>
          <cell r="R7434">
            <v>0</v>
          </cell>
          <cell r="S7434">
            <v>0</v>
          </cell>
          <cell r="T7434">
            <v>0</v>
          </cell>
          <cell r="U7434" t="b">
            <v>0</v>
          </cell>
        </row>
        <row r="7435">
          <cell r="A7435" t="str">
            <v>Data split-19;Reg-61</v>
          </cell>
          <cell r="B7435">
            <v>-1.3</v>
          </cell>
          <cell r="C7435">
            <v>0</v>
          </cell>
          <cell r="D7435">
            <v>0.76</v>
          </cell>
          <cell r="E7435">
            <v>1.1000000000000001</v>
          </cell>
          <cell r="F7435">
            <v>0</v>
          </cell>
          <cell r="G7435">
            <v>0</v>
          </cell>
          <cell r="H7435">
            <v>2.5</v>
          </cell>
          <cell r="I7435">
            <v>0</v>
          </cell>
          <cell r="J7435">
            <v>0</v>
          </cell>
          <cell r="K7435">
            <v>0</v>
          </cell>
          <cell r="L7435">
            <v>0</v>
          </cell>
          <cell r="M7435">
            <v>0</v>
          </cell>
          <cell r="N7435">
            <v>0</v>
          </cell>
          <cell r="O7435">
            <v>-0.11</v>
          </cell>
          <cell r="P7435">
            <v>0</v>
          </cell>
          <cell r="Q7435">
            <v>0</v>
          </cell>
          <cell r="R7435">
            <v>0</v>
          </cell>
          <cell r="S7435">
            <v>0</v>
          </cell>
          <cell r="T7435">
            <v>0</v>
          </cell>
          <cell r="U7435" t="b">
            <v>1</v>
          </cell>
        </row>
        <row r="7436">
          <cell r="A7436" t="str">
            <v>Data split-19;Reg-62</v>
          </cell>
          <cell r="B7436">
            <v>-1.2</v>
          </cell>
          <cell r="C7436">
            <v>0</v>
          </cell>
          <cell r="D7436">
            <v>1.1000000000000001</v>
          </cell>
          <cell r="E7436">
            <v>0.33</v>
          </cell>
          <cell r="F7436">
            <v>0</v>
          </cell>
          <cell r="G7436">
            <v>0</v>
          </cell>
          <cell r="H7436">
            <v>2.4</v>
          </cell>
          <cell r="I7436">
            <v>0</v>
          </cell>
          <cell r="J7436">
            <v>0</v>
          </cell>
          <cell r="K7436">
            <v>0</v>
          </cell>
          <cell r="L7436">
            <v>0</v>
          </cell>
          <cell r="M7436">
            <v>0</v>
          </cell>
          <cell r="N7436">
            <v>0</v>
          </cell>
          <cell r="O7436">
            <v>0</v>
          </cell>
          <cell r="P7436">
            <v>-1.6E-2</v>
          </cell>
          <cell r="Q7436">
            <v>0</v>
          </cell>
          <cell r="R7436">
            <v>0</v>
          </cell>
          <cell r="S7436">
            <v>0</v>
          </cell>
          <cell r="T7436">
            <v>0</v>
          </cell>
          <cell r="U7436" t="b">
            <v>1</v>
          </cell>
        </row>
        <row r="7437">
          <cell r="A7437" t="str">
            <v>Data split-19;Reg-63</v>
          </cell>
          <cell r="B7437">
            <v>0.99</v>
          </cell>
          <cell r="C7437">
            <v>0</v>
          </cell>
          <cell r="D7437">
            <v>1.3</v>
          </cell>
          <cell r="E7437">
            <v>0</v>
          </cell>
          <cell r="F7437">
            <v>0.2</v>
          </cell>
          <cell r="G7437">
            <v>0.5</v>
          </cell>
          <cell r="H7437">
            <v>0</v>
          </cell>
          <cell r="I7437">
            <v>0</v>
          </cell>
          <cell r="J7437">
            <v>0</v>
          </cell>
          <cell r="K7437">
            <v>0</v>
          </cell>
          <cell r="L7437">
            <v>0</v>
          </cell>
          <cell r="M7437">
            <v>0</v>
          </cell>
          <cell r="N7437">
            <v>0</v>
          </cell>
          <cell r="O7437">
            <v>-1.6E-2</v>
          </cell>
          <cell r="P7437">
            <v>0</v>
          </cell>
          <cell r="Q7437">
            <v>0</v>
          </cell>
          <cell r="R7437">
            <v>0</v>
          </cell>
          <cell r="S7437">
            <v>0</v>
          </cell>
          <cell r="T7437">
            <v>0</v>
          </cell>
          <cell r="U7437" t="b">
            <v>0</v>
          </cell>
        </row>
        <row r="7438">
          <cell r="A7438" t="str">
            <v>Data split-19;Reg-64</v>
          </cell>
          <cell r="B7438">
            <v>1.1000000000000001</v>
          </cell>
          <cell r="C7438">
            <v>0</v>
          </cell>
          <cell r="D7438">
            <v>1.2</v>
          </cell>
          <cell r="E7438">
            <v>0</v>
          </cell>
          <cell r="F7438">
            <v>0.2</v>
          </cell>
          <cell r="G7438">
            <v>0.28000000000000003</v>
          </cell>
          <cell r="H7438">
            <v>0</v>
          </cell>
          <cell r="I7438">
            <v>0</v>
          </cell>
          <cell r="J7438">
            <v>0</v>
          </cell>
          <cell r="K7438">
            <v>0</v>
          </cell>
          <cell r="L7438">
            <v>0</v>
          </cell>
          <cell r="M7438">
            <v>0</v>
          </cell>
          <cell r="N7438">
            <v>0</v>
          </cell>
          <cell r="O7438">
            <v>0</v>
          </cell>
          <cell r="P7438">
            <v>5.1000000000000004E-3</v>
          </cell>
          <cell r="Q7438">
            <v>0</v>
          </cell>
          <cell r="R7438">
            <v>0</v>
          </cell>
          <cell r="S7438">
            <v>0</v>
          </cell>
          <cell r="T7438">
            <v>0</v>
          </cell>
          <cell r="U7438" t="b">
            <v>0</v>
          </cell>
        </row>
        <row r="7439">
          <cell r="A7439" t="str">
            <v>Data split-19;Reg-65</v>
          </cell>
          <cell r="B7439">
            <v>0.28000000000000003</v>
          </cell>
          <cell r="C7439">
            <v>0</v>
          </cell>
          <cell r="D7439">
            <v>-0.14000000000000001</v>
          </cell>
          <cell r="E7439">
            <v>0</v>
          </cell>
          <cell r="F7439">
            <v>0.21</v>
          </cell>
          <cell r="G7439">
            <v>0</v>
          </cell>
          <cell r="H7439">
            <v>4.5</v>
          </cell>
          <cell r="I7439">
            <v>0</v>
          </cell>
          <cell r="J7439">
            <v>0</v>
          </cell>
          <cell r="K7439">
            <v>0</v>
          </cell>
          <cell r="L7439">
            <v>0</v>
          </cell>
          <cell r="M7439">
            <v>0</v>
          </cell>
          <cell r="N7439">
            <v>0</v>
          </cell>
          <cell r="O7439">
            <v>-9.6000000000000002E-2</v>
          </cell>
          <cell r="P7439">
            <v>0</v>
          </cell>
          <cell r="Q7439">
            <v>0</v>
          </cell>
          <cell r="R7439">
            <v>0</v>
          </cell>
          <cell r="S7439">
            <v>0</v>
          </cell>
          <cell r="T7439">
            <v>0</v>
          </cell>
          <cell r="U7439" t="b">
            <v>0</v>
          </cell>
        </row>
        <row r="7440">
          <cell r="A7440" t="str">
            <v>Data split-19;Reg-66</v>
          </cell>
          <cell r="B7440">
            <v>-1.4999999999999999E-2</v>
          </cell>
          <cell r="C7440">
            <v>0</v>
          </cell>
          <cell r="D7440">
            <v>3.7999999999999999E-2</v>
          </cell>
          <cell r="E7440">
            <v>0</v>
          </cell>
          <cell r="F7440">
            <v>0.22</v>
          </cell>
          <cell r="G7440">
            <v>0</v>
          </cell>
          <cell r="H7440">
            <v>3.9</v>
          </cell>
          <cell r="I7440">
            <v>0</v>
          </cell>
          <cell r="J7440">
            <v>0</v>
          </cell>
          <cell r="K7440">
            <v>0</v>
          </cell>
          <cell r="L7440">
            <v>0</v>
          </cell>
          <cell r="M7440">
            <v>0</v>
          </cell>
          <cell r="N7440">
            <v>0</v>
          </cell>
          <cell r="O7440">
            <v>0</v>
          </cell>
          <cell r="P7440">
            <v>-1.2999999999999999E-2</v>
          </cell>
          <cell r="Q7440">
            <v>0</v>
          </cell>
          <cell r="R7440">
            <v>0</v>
          </cell>
          <cell r="S7440">
            <v>0</v>
          </cell>
          <cell r="T7440">
            <v>0</v>
          </cell>
          <cell r="U7440" t="b">
            <v>1</v>
          </cell>
        </row>
        <row r="7441">
          <cell r="A7441" t="str">
            <v>Data split-19;Reg-67</v>
          </cell>
          <cell r="B7441">
            <v>1.1000000000000001</v>
          </cell>
          <cell r="C7441">
            <v>2.1</v>
          </cell>
          <cell r="D7441">
            <v>0</v>
          </cell>
          <cell r="E7441">
            <v>0</v>
          </cell>
          <cell r="F7441">
            <v>0</v>
          </cell>
          <cell r="G7441">
            <v>-0.32</v>
          </cell>
          <cell r="H7441">
            <v>0</v>
          </cell>
          <cell r="I7441">
            <v>0</v>
          </cell>
          <cell r="J7441">
            <v>0</v>
          </cell>
          <cell r="K7441">
            <v>0</v>
          </cell>
          <cell r="L7441">
            <v>0</v>
          </cell>
          <cell r="M7441">
            <v>0</v>
          </cell>
          <cell r="N7441">
            <v>0</v>
          </cell>
          <cell r="O7441">
            <v>0</v>
          </cell>
          <cell r="P7441">
            <v>0</v>
          </cell>
          <cell r="Q7441">
            <v>0</v>
          </cell>
          <cell r="R7441">
            <v>0</v>
          </cell>
          <cell r="S7441">
            <v>0</v>
          </cell>
          <cell r="T7441">
            <v>0</v>
          </cell>
          <cell r="U7441" t="b">
            <v>0</v>
          </cell>
        </row>
        <row r="7442">
          <cell r="A7442" t="str">
            <v>Data split-19;Reg-68</v>
          </cell>
          <cell r="B7442">
            <v>1.3</v>
          </cell>
          <cell r="C7442">
            <v>0.9</v>
          </cell>
          <cell r="D7442">
            <v>0</v>
          </cell>
          <cell r="E7442">
            <v>0</v>
          </cell>
          <cell r="F7442">
            <v>0.23</v>
          </cell>
          <cell r="G7442">
            <v>0.81</v>
          </cell>
          <cell r="H7442">
            <v>0</v>
          </cell>
          <cell r="I7442">
            <v>0</v>
          </cell>
          <cell r="J7442">
            <v>0</v>
          </cell>
          <cell r="K7442">
            <v>0</v>
          </cell>
          <cell r="L7442">
            <v>0</v>
          </cell>
          <cell r="M7442">
            <v>0</v>
          </cell>
          <cell r="N7442">
            <v>0</v>
          </cell>
          <cell r="O7442">
            <v>0</v>
          </cell>
          <cell r="P7442">
            <v>0</v>
          </cell>
          <cell r="Q7442">
            <v>0</v>
          </cell>
          <cell r="R7442">
            <v>0</v>
          </cell>
          <cell r="S7442">
            <v>0</v>
          </cell>
          <cell r="T7442">
            <v>0</v>
          </cell>
          <cell r="U7442" t="b">
            <v>0</v>
          </cell>
        </row>
        <row r="7443">
          <cell r="A7443" t="str">
            <v>Data split-19;Reg-69</v>
          </cell>
          <cell r="B7443">
            <v>-4.4000000000000004</v>
          </cell>
          <cell r="C7443">
            <v>2.5</v>
          </cell>
          <cell r="D7443">
            <v>0</v>
          </cell>
          <cell r="E7443">
            <v>0</v>
          </cell>
          <cell r="F7443">
            <v>0</v>
          </cell>
          <cell r="G7443">
            <v>-1.2</v>
          </cell>
          <cell r="H7443">
            <v>0</v>
          </cell>
          <cell r="I7443">
            <v>0</v>
          </cell>
          <cell r="J7443">
            <v>34.4</v>
          </cell>
          <cell r="K7443">
            <v>0</v>
          </cell>
          <cell r="L7443">
            <v>0</v>
          </cell>
          <cell r="M7443">
            <v>0</v>
          </cell>
          <cell r="N7443">
            <v>0</v>
          </cell>
          <cell r="O7443">
            <v>0</v>
          </cell>
          <cell r="P7443">
            <v>0</v>
          </cell>
          <cell r="Q7443">
            <v>0</v>
          </cell>
          <cell r="R7443">
            <v>0</v>
          </cell>
          <cell r="S7443">
            <v>0</v>
          </cell>
          <cell r="T7443">
            <v>0</v>
          </cell>
          <cell r="U7443" t="b">
            <v>0</v>
          </cell>
        </row>
        <row r="7444">
          <cell r="A7444" t="str">
            <v>Data split-19;Reg-70</v>
          </cell>
          <cell r="B7444">
            <v>-4.3</v>
          </cell>
          <cell r="C7444">
            <v>2.5</v>
          </cell>
          <cell r="D7444">
            <v>0</v>
          </cell>
          <cell r="E7444">
            <v>0</v>
          </cell>
          <cell r="F7444">
            <v>0</v>
          </cell>
          <cell r="G7444">
            <v>-1.1000000000000001</v>
          </cell>
          <cell r="H7444">
            <v>0</v>
          </cell>
          <cell r="I7444">
            <v>0</v>
          </cell>
          <cell r="J7444">
            <v>33.9</v>
          </cell>
          <cell r="K7444">
            <v>0</v>
          </cell>
          <cell r="L7444">
            <v>0</v>
          </cell>
          <cell r="M7444">
            <v>0</v>
          </cell>
          <cell r="N7444">
            <v>0</v>
          </cell>
          <cell r="O7444">
            <v>0</v>
          </cell>
          <cell r="P7444">
            <v>0</v>
          </cell>
          <cell r="Q7444">
            <v>0</v>
          </cell>
          <cell r="R7444">
            <v>0</v>
          </cell>
          <cell r="S7444">
            <v>-1.4999999999999999E-2</v>
          </cell>
          <cell r="T7444">
            <v>0</v>
          </cell>
          <cell r="U7444" t="b">
            <v>0</v>
          </cell>
        </row>
        <row r="7445">
          <cell r="A7445" t="str">
            <v>Data split-19;Reg-71</v>
          </cell>
          <cell r="B7445">
            <v>-0.21</v>
          </cell>
          <cell r="C7445">
            <v>-0.4</v>
          </cell>
          <cell r="D7445">
            <v>0</v>
          </cell>
          <cell r="E7445">
            <v>0</v>
          </cell>
          <cell r="F7445">
            <v>0.21</v>
          </cell>
          <cell r="G7445">
            <v>0</v>
          </cell>
          <cell r="H7445">
            <v>5.8</v>
          </cell>
          <cell r="I7445">
            <v>0</v>
          </cell>
          <cell r="J7445">
            <v>0</v>
          </cell>
          <cell r="K7445">
            <v>0</v>
          </cell>
          <cell r="L7445">
            <v>0</v>
          </cell>
          <cell r="M7445">
            <v>0</v>
          </cell>
          <cell r="N7445">
            <v>0</v>
          </cell>
          <cell r="O7445">
            <v>0</v>
          </cell>
          <cell r="P7445">
            <v>0</v>
          </cell>
          <cell r="Q7445">
            <v>0</v>
          </cell>
          <cell r="R7445">
            <v>0</v>
          </cell>
          <cell r="S7445">
            <v>-0.16</v>
          </cell>
          <cell r="T7445">
            <v>0</v>
          </cell>
          <cell r="U7445" t="b">
            <v>0</v>
          </cell>
        </row>
        <row r="7446">
          <cell r="A7446" t="str">
            <v>Data split-19;Reg-72</v>
          </cell>
          <cell r="B7446">
            <v>-1.3</v>
          </cell>
          <cell r="C7446">
            <v>0.92</v>
          </cell>
          <cell r="D7446">
            <v>0</v>
          </cell>
          <cell r="E7446">
            <v>1.7</v>
          </cell>
          <cell r="F7446">
            <v>0</v>
          </cell>
          <cell r="G7446">
            <v>0</v>
          </cell>
          <cell r="H7446">
            <v>0</v>
          </cell>
          <cell r="I7446">
            <v>0</v>
          </cell>
          <cell r="J7446">
            <v>0</v>
          </cell>
          <cell r="K7446">
            <v>0</v>
          </cell>
          <cell r="L7446">
            <v>0</v>
          </cell>
          <cell r="M7446">
            <v>0</v>
          </cell>
          <cell r="N7446">
            <v>0</v>
          </cell>
          <cell r="O7446">
            <v>0</v>
          </cell>
          <cell r="P7446">
            <v>0</v>
          </cell>
          <cell r="Q7446">
            <v>0</v>
          </cell>
          <cell r="R7446">
            <v>0</v>
          </cell>
          <cell r="S7446">
            <v>0</v>
          </cell>
          <cell r="T7446">
            <v>0</v>
          </cell>
          <cell r="U7446" t="b">
            <v>1</v>
          </cell>
        </row>
        <row r="7447">
          <cell r="A7447" t="str">
            <v>Data split-19;Reg-73</v>
          </cell>
          <cell r="B7447">
            <v>1.8</v>
          </cell>
          <cell r="C7447">
            <v>1.6</v>
          </cell>
          <cell r="D7447">
            <v>0</v>
          </cell>
          <cell r="E7447">
            <v>0</v>
          </cell>
          <cell r="F7447">
            <v>0.18</v>
          </cell>
          <cell r="G7447">
            <v>0</v>
          </cell>
          <cell r="H7447">
            <v>0</v>
          </cell>
          <cell r="I7447">
            <v>0</v>
          </cell>
          <cell r="J7447">
            <v>0</v>
          </cell>
          <cell r="K7447">
            <v>0</v>
          </cell>
          <cell r="L7447">
            <v>0</v>
          </cell>
          <cell r="M7447">
            <v>0</v>
          </cell>
          <cell r="N7447">
            <v>0</v>
          </cell>
          <cell r="O7447">
            <v>0</v>
          </cell>
          <cell r="P7447">
            <v>0</v>
          </cell>
          <cell r="Q7447">
            <v>0</v>
          </cell>
          <cell r="R7447">
            <v>0</v>
          </cell>
          <cell r="S7447">
            <v>0</v>
          </cell>
          <cell r="T7447">
            <v>0</v>
          </cell>
          <cell r="U7447" t="b">
            <v>0</v>
          </cell>
        </row>
        <row r="7448">
          <cell r="A7448" t="str">
            <v>Data split-19;Reg-74</v>
          </cell>
          <cell r="B7448">
            <v>-1.2</v>
          </cell>
          <cell r="C7448">
            <v>0</v>
          </cell>
          <cell r="D7448">
            <v>1.3</v>
          </cell>
          <cell r="E7448">
            <v>1.2</v>
          </cell>
          <cell r="F7448">
            <v>0</v>
          </cell>
          <cell r="G7448">
            <v>0</v>
          </cell>
          <cell r="H7448">
            <v>0</v>
          </cell>
          <cell r="I7448">
            <v>0</v>
          </cell>
          <cell r="J7448">
            <v>0</v>
          </cell>
          <cell r="K7448">
            <v>0</v>
          </cell>
          <cell r="L7448">
            <v>0</v>
          </cell>
          <cell r="M7448">
            <v>0</v>
          </cell>
          <cell r="N7448">
            <v>0</v>
          </cell>
          <cell r="O7448">
            <v>0</v>
          </cell>
          <cell r="P7448">
            <v>0</v>
          </cell>
          <cell r="Q7448">
            <v>0</v>
          </cell>
          <cell r="R7448">
            <v>0</v>
          </cell>
          <cell r="S7448">
            <v>0</v>
          </cell>
          <cell r="T7448">
            <v>0</v>
          </cell>
          <cell r="U7448" t="b">
            <v>1</v>
          </cell>
        </row>
        <row r="7449">
          <cell r="A7449" t="str">
            <v>Data split-19;Reg-75</v>
          </cell>
          <cell r="B7449">
            <v>1.1000000000000001</v>
          </cell>
          <cell r="C7449">
            <v>0</v>
          </cell>
          <cell r="D7449">
            <v>1.6</v>
          </cell>
          <cell r="E7449">
            <v>0</v>
          </cell>
          <cell r="F7449">
            <v>0.17</v>
          </cell>
          <cell r="G7449">
            <v>0</v>
          </cell>
          <cell r="H7449">
            <v>0</v>
          </cell>
          <cell r="I7449">
            <v>0</v>
          </cell>
          <cell r="J7449">
            <v>0</v>
          </cell>
          <cell r="K7449">
            <v>0</v>
          </cell>
          <cell r="L7449">
            <v>0</v>
          </cell>
          <cell r="M7449">
            <v>0</v>
          </cell>
          <cell r="N7449">
            <v>0</v>
          </cell>
          <cell r="O7449">
            <v>0</v>
          </cell>
          <cell r="P7449">
            <v>0</v>
          </cell>
          <cell r="Q7449">
            <v>0</v>
          </cell>
          <cell r="R7449">
            <v>0</v>
          </cell>
          <cell r="S7449">
            <v>0</v>
          </cell>
          <cell r="T7449">
            <v>0</v>
          </cell>
          <cell r="U7449" t="b">
            <v>0</v>
          </cell>
        </row>
        <row r="7450">
          <cell r="A7450" t="str">
            <v>Data split-19;Reg-76</v>
          </cell>
          <cell r="B7450">
            <v>1.1000000000000001</v>
          </cell>
          <cell r="C7450">
            <v>2.1</v>
          </cell>
          <cell r="D7450">
            <v>0</v>
          </cell>
          <cell r="E7450">
            <v>0</v>
          </cell>
          <cell r="F7450">
            <v>0</v>
          </cell>
          <cell r="G7450">
            <v>-0.32</v>
          </cell>
          <cell r="H7450">
            <v>0</v>
          </cell>
          <cell r="I7450">
            <v>0</v>
          </cell>
          <cell r="J7450">
            <v>0</v>
          </cell>
          <cell r="K7450">
            <v>0</v>
          </cell>
          <cell r="L7450">
            <v>0</v>
          </cell>
          <cell r="M7450">
            <v>0</v>
          </cell>
          <cell r="N7450">
            <v>0</v>
          </cell>
          <cell r="O7450">
            <v>0</v>
          </cell>
          <cell r="P7450">
            <v>0</v>
          </cell>
          <cell r="Q7450">
            <v>0</v>
          </cell>
          <cell r="R7450">
            <v>0</v>
          </cell>
          <cell r="S7450">
            <v>0</v>
          </cell>
          <cell r="T7450">
            <v>0</v>
          </cell>
          <cell r="U7450" t="b">
            <v>0</v>
          </cell>
        </row>
        <row r="7451">
          <cell r="A7451" t="str">
            <v>Data split-19;Reg-77</v>
          </cell>
          <cell r="B7451">
            <v>-0.27</v>
          </cell>
          <cell r="C7451">
            <v>0.92</v>
          </cell>
          <cell r="D7451">
            <v>0</v>
          </cell>
          <cell r="E7451">
            <v>0</v>
          </cell>
          <cell r="F7451">
            <v>0</v>
          </cell>
          <cell r="G7451">
            <v>0</v>
          </cell>
          <cell r="H7451">
            <v>2</v>
          </cell>
          <cell r="I7451">
            <v>0</v>
          </cell>
          <cell r="J7451">
            <v>0</v>
          </cell>
          <cell r="K7451">
            <v>0</v>
          </cell>
          <cell r="L7451">
            <v>0</v>
          </cell>
          <cell r="M7451">
            <v>0</v>
          </cell>
          <cell r="N7451">
            <v>0</v>
          </cell>
          <cell r="O7451">
            <v>0</v>
          </cell>
          <cell r="P7451">
            <v>0</v>
          </cell>
          <cell r="Q7451">
            <v>0</v>
          </cell>
          <cell r="R7451">
            <v>0</v>
          </cell>
          <cell r="S7451">
            <v>0</v>
          </cell>
          <cell r="T7451">
            <v>0</v>
          </cell>
          <cell r="U7451" t="b">
            <v>1</v>
          </cell>
        </row>
        <row r="7452">
          <cell r="A7452" t="str">
            <v>Data split-19;Reg-78</v>
          </cell>
          <cell r="B7452">
            <v>0.5</v>
          </cell>
          <cell r="C7452">
            <v>0</v>
          </cell>
          <cell r="D7452">
            <v>2.5</v>
          </cell>
          <cell r="E7452">
            <v>0</v>
          </cell>
          <cell r="F7452">
            <v>0</v>
          </cell>
          <cell r="G7452">
            <v>-0.71</v>
          </cell>
          <cell r="H7452">
            <v>0</v>
          </cell>
          <cell r="I7452">
            <v>0</v>
          </cell>
          <cell r="J7452">
            <v>0</v>
          </cell>
          <cell r="K7452">
            <v>0</v>
          </cell>
          <cell r="L7452">
            <v>0</v>
          </cell>
          <cell r="M7452">
            <v>0</v>
          </cell>
          <cell r="N7452">
            <v>0</v>
          </cell>
          <cell r="O7452">
            <v>0</v>
          </cell>
          <cell r="P7452">
            <v>0</v>
          </cell>
          <cell r="Q7452">
            <v>0</v>
          </cell>
          <cell r="R7452">
            <v>0</v>
          </cell>
          <cell r="S7452">
            <v>0</v>
          </cell>
          <cell r="T7452">
            <v>0</v>
          </cell>
          <cell r="U7452" t="b">
            <v>0</v>
          </cell>
        </row>
        <row r="7453">
          <cell r="A7453" t="str">
            <v>Data split-19;Reg-79</v>
          </cell>
          <cell r="B7453">
            <v>-0.52</v>
          </cell>
          <cell r="C7453">
            <v>0</v>
          </cell>
          <cell r="D7453">
            <v>1.2</v>
          </cell>
          <cell r="E7453">
            <v>0</v>
          </cell>
          <cell r="F7453">
            <v>0</v>
          </cell>
          <cell r="G7453">
            <v>0</v>
          </cell>
          <cell r="H7453">
            <v>1.4</v>
          </cell>
          <cell r="I7453">
            <v>0</v>
          </cell>
          <cell r="J7453">
            <v>0</v>
          </cell>
          <cell r="K7453">
            <v>0</v>
          </cell>
          <cell r="L7453">
            <v>0</v>
          </cell>
          <cell r="M7453">
            <v>0</v>
          </cell>
          <cell r="N7453">
            <v>0</v>
          </cell>
          <cell r="O7453">
            <v>0</v>
          </cell>
          <cell r="P7453">
            <v>0</v>
          </cell>
          <cell r="Q7453">
            <v>0</v>
          </cell>
          <cell r="R7453">
            <v>0</v>
          </cell>
          <cell r="S7453">
            <v>0</v>
          </cell>
          <cell r="T7453">
            <v>0</v>
          </cell>
          <cell r="U7453" t="b">
            <v>1</v>
          </cell>
        </row>
        <row r="7454">
          <cell r="A7454" t="str">
            <v>Data split-19;Reg-80</v>
          </cell>
          <cell r="B7454">
            <v>-1.3</v>
          </cell>
          <cell r="C7454">
            <v>1.6</v>
          </cell>
          <cell r="D7454">
            <v>0</v>
          </cell>
          <cell r="E7454">
            <v>0</v>
          </cell>
          <cell r="F7454">
            <v>0</v>
          </cell>
          <cell r="G7454">
            <v>0</v>
          </cell>
          <cell r="H7454">
            <v>0</v>
          </cell>
          <cell r="I7454">
            <v>2.2999999999999998</v>
          </cell>
          <cell r="J7454">
            <v>0</v>
          </cell>
          <cell r="K7454">
            <v>0</v>
          </cell>
          <cell r="L7454">
            <v>0</v>
          </cell>
          <cell r="M7454">
            <v>0</v>
          </cell>
          <cell r="N7454">
            <v>0</v>
          </cell>
          <cell r="O7454">
            <v>0</v>
          </cell>
          <cell r="P7454">
            <v>0</v>
          </cell>
          <cell r="Q7454">
            <v>0</v>
          </cell>
          <cell r="R7454">
            <v>0</v>
          </cell>
          <cell r="S7454">
            <v>0</v>
          </cell>
          <cell r="T7454">
            <v>0</v>
          </cell>
          <cell r="U7454" t="b">
            <v>0</v>
          </cell>
        </row>
        <row r="7455">
          <cell r="A7455" t="str">
            <v>Data split-19;Reg-81</v>
          </cell>
          <cell r="B7455">
            <v>-3.9</v>
          </cell>
          <cell r="C7455">
            <v>1.7</v>
          </cell>
          <cell r="D7455">
            <v>0</v>
          </cell>
          <cell r="E7455">
            <v>0</v>
          </cell>
          <cell r="F7455">
            <v>0</v>
          </cell>
          <cell r="G7455">
            <v>0</v>
          </cell>
          <cell r="H7455">
            <v>0</v>
          </cell>
          <cell r="I7455">
            <v>0</v>
          </cell>
          <cell r="J7455">
            <v>25.2</v>
          </cell>
          <cell r="K7455">
            <v>0</v>
          </cell>
          <cell r="L7455">
            <v>0</v>
          </cell>
          <cell r="M7455">
            <v>0</v>
          </cell>
          <cell r="N7455">
            <v>0</v>
          </cell>
          <cell r="O7455">
            <v>0</v>
          </cell>
          <cell r="P7455">
            <v>0</v>
          </cell>
          <cell r="Q7455">
            <v>0</v>
          </cell>
          <cell r="R7455">
            <v>0</v>
          </cell>
          <cell r="S7455">
            <v>0</v>
          </cell>
          <cell r="T7455">
            <v>0</v>
          </cell>
          <cell r="U7455" t="b">
            <v>0</v>
          </cell>
        </row>
        <row r="7456">
          <cell r="A7456" t="str">
            <v>Data split-19;Reg-82</v>
          </cell>
          <cell r="B7456">
            <v>-1.3</v>
          </cell>
          <cell r="C7456">
            <v>0</v>
          </cell>
          <cell r="D7456">
            <v>1.7</v>
          </cell>
          <cell r="E7456">
            <v>0</v>
          </cell>
          <cell r="F7456">
            <v>0</v>
          </cell>
          <cell r="G7456">
            <v>0</v>
          </cell>
          <cell r="H7456">
            <v>0</v>
          </cell>
          <cell r="I7456">
            <v>1.6</v>
          </cell>
          <cell r="J7456">
            <v>0</v>
          </cell>
          <cell r="K7456">
            <v>0</v>
          </cell>
          <cell r="L7456">
            <v>0</v>
          </cell>
          <cell r="M7456">
            <v>0</v>
          </cell>
          <cell r="N7456">
            <v>0</v>
          </cell>
          <cell r="O7456">
            <v>0</v>
          </cell>
          <cell r="P7456">
            <v>0</v>
          </cell>
          <cell r="Q7456">
            <v>0</v>
          </cell>
          <cell r="R7456">
            <v>0</v>
          </cell>
          <cell r="S7456">
            <v>0</v>
          </cell>
          <cell r="T7456">
            <v>0</v>
          </cell>
          <cell r="U7456" t="b">
            <v>0</v>
          </cell>
        </row>
        <row r="7457">
          <cell r="A7457" t="str">
            <v>Data split-19;Reg-83</v>
          </cell>
          <cell r="B7457">
            <v>-3.6</v>
          </cell>
          <cell r="C7457">
            <v>0</v>
          </cell>
          <cell r="D7457">
            <v>1.8</v>
          </cell>
          <cell r="E7457">
            <v>0</v>
          </cell>
          <cell r="F7457">
            <v>0</v>
          </cell>
          <cell r="G7457">
            <v>0</v>
          </cell>
          <cell r="H7457">
            <v>0</v>
          </cell>
          <cell r="I7457">
            <v>0</v>
          </cell>
          <cell r="J7457">
            <v>20.8</v>
          </cell>
          <cell r="K7457">
            <v>0</v>
          </cell>
          <cell r="L7457">
            <v>0</v>
          </cell>
          <cell r="M7457">
            <v>0</v>
          </cell>
          <cell r="N7457">
            <v>0</v>
          </cell>
          <cell r="O7457">
            <v>0</v>
          </cell>
          <cell r="P7457">
            <v>0</v>
          </cell>
          <cell r="Q7457">
            <v>0</v>
          </cell>
          <cell r="R7457">
            <v>0</v>
          </cell>
          <cell r="S7457">
            <v>0</v>
          </cell>
          <cell r="T7457">
            <v>0</v>
          </cell>
          <cell r="U7457" t="b">
            <v>0</v>
          </cell>
        </row>
        <row r="7458">
          <cell r="A7458" t="str">
            <v>Data split-19;Reg-84</v>
          </cell>
          <cell r="B7458">
            <v>-3.5000000000000003E-2</v>
          </cell>
          <cell r="C7458">
            <v>1.7</v>
          </cell>
          <cell r="D7458">
            <v>0</v>
          </cell>
          <cell r="E7458">
            <v>0</v>
          </cell>
          <cell r="F7458">
            <v>0</v>
          </cell>
          <cell r="G7458">
            <v>0</v>
          </cell>
          <cell r="H7458">
            <v>0</v>
          </cell>
          <cell r="I7458">
            <v>0</v>
          </cell>
          <cell r="J7458">
            <v>0</v>
          </cell>
          <cell r="K7458">
            <v>1.5</v>
          </cell>
          <cell r="L7458">
            <v>0</v>
          </cell>
          <cell r="M7458">
            <v>0</v>
          </cell>
          <cell r="N7458">
            <v>0</v>
          </cell>
          <cell r="O7458">
            <v>0</v>
          </cell>
          <cell r="P7458">
            <v>0</v>
          </cell>
          <cell r="Q7458">
            <v>0</v>
          </cell>
          <cell r="R7458">
            <v>0</v>
          </cell>
          <cell r="S7458">
            <v>0</v>
          </cell>
          <cell r="T7458">
            <v>0</v>
          </cell>
          <cell r="U7458" t="b">
            <v>0</v>
          </cell>
        </row>
        <row r="7459">
          <cell r="A7459" t="str">
            <v>Data split-19;Reg-85</v>
          </cell>
          <cell r="B7459">
            <v>-2.9</v>
          </cell>
          <cell r="C7459">
            <v>1.6</v>
          </cell>
          <cell r="D7459">
            <v>0</v>
          </cell>
          <cell r="E7459">
            <v>0</v>
          </cell>
          <cell r="F7459">
            <v>0</v>
          </cell>
          <cell r="G7459">
            <v>0</v>
          </cell>
          <cell r="H7459">
            <v>0</v>
          </cell>
          <cell r="I7459">
            <v>0</v>
          </cell>
          <cell r="J7459">
            <v>0</v>
          </cell>
          <cell r="K7459">
            <v>0</v>
          </cell>
          <cell r="L7459">
            <v>27.2</v>
          </cell>
          <cell r="M7459">
            <v>0</v>
          </cell>
          <cell r="N7459">
            <v>0</v>
          </cell>
          <cell r="O7459">
            <v>0</v>
          </cell>
          <cell r="P7459">
            <v>0</v>
          </cell>
          <cell r="Q7459">
            <v>0</v>
          </cell>
          <cell r="R7459">
            <v>0</v>
          </cell>
          <cell r="S7459">
            <v>0</v>
          </cell>
          <cell r="T7459">
            <v>0</v>
          </cell>
          <cell r="U7459" t="b">
            <v>0</v>
          </cell>
        </row>
        <row r="7460">
          <cell r="A7460" t="str">
            <v>Data split-19;Reg-86</v>
          </cell>
          <cell r="B7460">
            <v>-0.3</v>
          </cell>
          <cell r="C7460">
            <v>0</v>
          </cell>
          <cell r="D7460">
            <v>1.9</v>
          </cell>
          <cell r="E7460">
            <v>0</v>
          </cell>
          <cell r="F7460">
            <v>0</v>
          </cell>
          <cell r="G7460">
            <v>0</v>
          </cell>
          <cell r="H7460">
            <v>0</v>
          </cell>
          <cell r="I7460">
            <v>0</v>
          </cell>
          <cell r="J7460">
            <v>0</v>
          </cell>
          <cell r="K7460">
            <v>0.65</v>
          </cell>
          <cell r="L7460">
            <v>0</v>
          </cell>
          <cell r="M7460">
            <v>0</v>
          </cell>
          <cell r="N7460">
            <v>0</v>
          </cell>
          <cell r="O7460">
            <v>0</v>
          </cell>
          <cell r="P7460">
            <v>0</v>
          </cell>
          <cell r="Q7460">
            <v>0</v>
          </cell>
          <cell r="R7460">
            <v>0</v>
          </cell>
          <cell r="S7460">
            <v>0</v>
          </cell>
          <cell r="T7460">
            <v>0</v>
          </cell>
          <cell r="U7460" t="b">
            <v>0</v>
          </cell>
        </row>
        <row r="7461">
          <cell r="A7461" t="str">
            <v>Data split-19;Reg-87</v>
          </cell>
          <cell r="B7461">
            <v>-2.8</v>
          </cell>
          <cell r="C7461">
            <v>0</v>
          </cell>
          <cell r="D7461">
            <v>1.7</v>
          </cell>
          <cell r="E7461">
            <v>0</v>
          </cell>
          <cell r="F7461">
            <v>0</v>
          </cell>
          <cell r="G7461">
            <v>0</v>
          </cell>
          <cell r="H7461">
            <v>0</v>
          </cell>
          <cell r="I7461">
            <v>0</v>
          </cell>
          <cell r="J7461">
            <v>0</v>
          </cell>
          <cell r="K7461">
            <v>0</v>
          </cell>
          <cell r="L7461">
            <v>21.8</v>
          </cell>
          <cell r="M7461">
            <v>0</v>
          </cell>
          <cell r="N7461">
            <v>0</v>
          </cell>
          <cell r="O7461">
            <v>0</v>
          </cell>
          <cell r="P7461">
            <v>0</v>
          </cell>
          <cell r="Q7461">
            <v>0</v>
          </cell>
          <cell r="R7461">
            <v>0</v>
          </cell>
          <cell r="S7461">
            <v>0</v>
          </cell>
          <cell r="T7461">
            <v>0</v>
          </cell>
          <cell r="U7461" t="b">
            <v>0</v>
          </cell>
        </row>
        <row r="7462">
          <cell r="A7462" t="str">
            <v>Data split-19;Reg-88</v>
          </cell>
          <cell r="B7462">
            <v>0.69</v>
          </cell>
          <cell r="C7462">
            <v>1.8</v>
          </cell>
          <cell r="D7462">
            <v>0</v>
          </cell>
          <cell r="E7462">
            <v>0</v>
          </cell>
          <cell r="F7462">
            <v>0</v>
          </cell>
          <cell r="G7462">
            <v>0</v>
          </cell>
          <cell r="H7462">
            <v>0</v>
          </cell>
          <cell r="I7462">
            <v>0</v>
          </cell>
          <cell r="J7462">
            <v>0</v>
          </cell>
          <cell r="K7462">
            <v>0</v>
          </cell>
          <cell r="L7462">
            <v>0</v>
          </cell>
          <cell r="M7462">
            <v>2.1000000000000001E-2</v>
          </cell>
          <cell r="N7462">
            <v>0</v>
          </cell>
          <cell r="O7462">
            <v>0</v>
          </cell>
          <cell r="P7462">
            <v>0</v>
          </cell>
          <cell r="Q7462">
            <v>0</v>
          </cell>
          <cell r="R7462">
            <v>0</v>
          </cell>
          <cell r="S7462">
            <v>0</v>
          </cell>
          <cell r="T7462">
            <v>0</v>
          </cell>
          <cell r="U7462" t="b">
            <v>0</v>
          </cell>
        </row>
        <row r="7463">
          <cell r="A7463" t="str">
            <v>Data split-19;Reg-89</v>
          </cell>
          <cell r="B7463">
            <v>0.95</v>
          </cell>
          <cell r="C7463">
            <v>1.4</v>
          </cell>
          <cell r="D7463">
            <v>0</v>
          </cell>
          <cell r="E7463">
            <v>0</v>
          </cell>
          <cell r="F7463">
            <v>0</v>
          </cell>
          <cell r="G7463">
            <v>0</v>
          </cell>
          <cell r="H7463">
            <v>0</v>
          </cell>
          <cell r="I7463">
            <v>0</v>
          </cell>
          <cell r="J7463">
            <v>0</v>
          </cell>
          <cell r="K7463">
            <v>0</v>
          </cell>
          <cell r="L7463">
            <v>0</v>
          </cell>
          <cell r="M7463">
            <v>0</v>
          </cell>
          <cell r="N7463">
            <v>1.2999999999999999E-2</v>
          </cell>
          <cell r="O7463">
            <v>0</v>
          </cell>
          <cell r="P7463">
            <v>0</v>
          </cell>
          <cell r="Q7463">
            <v>0</v>
          </cell>
          <cell r="R7463">
            <v>0</v>
          </cell>
          <cell r="S7463">
            <v>0</v>
          </cell>
          <cell r="T7463">
            <v>0</v>
          </cell>
          <cell r="U7463" t="b">
            <v>0</v>
          </cell>
        </row>
        <row r="7464">
          <cell r="A7464" t="str">
            <v>Data split-19;Reg-90</v>
          </cell>
          <cell r="B7464">
            <v>-9.4000000000000004E-3</v>
          </cell>
          <cell r="C7464">
            <v>0</v>
          </cell>
          <cell r="D7464">
            <v>1.9</v>
          </cell>
          <cell r="E7464">
            <v>0</v>
          </cell>
          <cell r="F7464">
            <v>0</v>
          </cell>
          <cell r="G7464">
            <v>0</v>
          </cell>
          <cell r="H7464">
            <v>0</v>
          </cell>
          <cell r="I7464">
            <v>0</v>
          </cell>
          <cell r="J7464">
            <v>0</v>
          </cell>
          <cell r="K7464">
            <v>0</v>
          </cell>
          <cell r="L7464">
            <v>0</v>
          </cell>
          <cell r="M7464">
            <v>7.1000000000000004E-3</v>
          </cell>
          <cell r="N7464">
            <v>0</v>
          </cell>
          <cell r="O7464">
            <v>0</v>
          </cell>
          <cell r="P7464">
            <v>0</v>
          </cell>
          <cell r="Q7464">
            <v>0</v>
          </cell>
          <cell r="R7464">
            <v>0</v>
          </cell>
          <cell r="S7464">
            <v>0</v>
          </cell>
          <cell r="T7464">
            <v>0</v>
          </cell>
          <cell r="U7464" t="b">
            <v>0</v>
          </cell>
        </row>
        <row r="7465">
          <cell r="A7465" t="str">
            <v>Data split-19;Reg-91</v>
          </cell>
          <cell r="B7465">
            <v>0.25</v>
          </cell>
          <cell r="C7465">
            <v>0</v>
          </cell>
          <cell r="D7465">
            <v>1.6</v>
          </cell>
          <cell r="E7465">
            <v>0</v>
          </cell>
          <cell r="F7465">
            <v>0</v>
          </cell>
          <cell r="G7465">
            <v>0</v>
          </cell>
          <cell r="H7465">
            <v>0</v>
          </cell>
          <cell r="I7465">
            <v>0</v>
          </cell>
          <cell r="J7465">
            <v>0</v>
          </cell>
          <cell r="K7465">
            <v>0</v>
          </cell>
          <cell r="L7465">
            <v>0</v>
          </cell>
          <cell r="M7465">
            <v>0</v>
          </cell>
          <cell r="N7465">
            <v>9.7000000000000003E-3</v>
          </cell>
          <cell r="O7465">
            <v>0</v>
          </cell>
          <cell r="P7465">
            <v>0</v>
          </cell>
          <cell r="Q7465">
            <v>0</v>
          </cell>
          <cell r="R7465">
            <v>0</v>
          </cell>
          <cell r="S7465">
            <v>0</v>
          </cell>
          <cell r="T7465">
            <v>0</v>
          </cell>
          <cell r="U7465" t="b">
            <v>0</v>
          </cell>
        </row>
        <row r="7466">
          <cell r="A7466" t="str">
            <v>Data split-19;Reg-92</v>
          </cell>
          <cell r="B7466">
            <v>0.95</v>
          </cell>
          <cell r="C7466">
            <v>2.1</v>
          </cell>
          <cell r="D7466">
            <v>0</v>
          </cell>
          <cell r="E7466">
            <v>0</v>
          </cell>
          <cell r="F7466">
            <v>0</v>
          </cell>
          <cell r="G7466">
            <v>0</v>
          </cell>
          <cell r="H7466">
            <v>0</v>
          </cell>
          <cell r="I7466">
            <v>0</v>
          </cell>
          <cell r="J7466">
            <v>0</v>
          </cell>
          <cell r="K7466">
            <v>0</v>
          </cell>
          <cell r="L7466">
            <v>0</v>
          </cell>
          <cell r="M7466">
            <v>0</v>
          </cell>
          <cell r="N7466">
            <v>0</v>
          </cell>
          <cell r="O7466">
            <v>-2.5999999999999999E-2</v>
          </cell>
          <cell r="P7466">
            <v>0</v>
          </cell>
          <cell r="Q7466">
            <v>0</v>
          </cell>
          <cell r="R7466">
            <v>0</v>
          </cell>
          <cell r="S7466">
            <v>0</v>
          </cell>
          <cell r="T7466">
            <v>0</v>
          </cell>
          <cell r="U7466" t="b">
            <v>0</v>
          </cell>
        </row>
        <row r="7467">
          <cell r="A7467" t="str">
            <v>Data split-19;Reg-93</v>
          </cell>
          <cell r="B7467">
            <v>0.74</v>
          </cell>
          <cell r="C7467">
            <v>1.8</v>
          </cell>
          <cell r="D7467">
            <v>0</v>
          </cell>
          <cell r="E7467">
            <v>0</v>
          </cell>
          <cell r="F7467">
            <v>0</v>
          </cell>
          <cell r="G7467">
            <v>0</v>
          </cell>
          <cell r="H7467">
            <v>0</v>
          </cell>
          <cell r="I7467">
            <v>0</v>
          </cell>
          <cell r="J7467">
            <v>0</v>
          </cell>
          <cell r="K7467">
            <v>0</v>
          </cell>
          <cell r="L7467">
            <v>0</v>
          </cell>
          <cell r="M7467">
            <v>0</v>
          </cell>
          <cell r="N7467">
            <v>0</v>
          </cell>
          <cell r="O7467">
            <v>0</v>
          </cell>
          <cell r="P7467">
            <v>1.8E-3</v>
          </cell>
          <cell r="Q7467">
            <v>0</v>
          </cell>
          <cell r="R7467">
            <v>0</v>
          </cell>
          <cell r="S7467">
            <v>0</v>
          </cell>
          <cell r="T7467">
            <v>0</v>
          </cell>
          <cell r="U7467" t="b">
            <v>0</v>
          </cell>
        </row>
        <row r="7468">
          <cell r="A7468" t="str">
            <v>Data split-19;Reg-94</v>
          </cell>
          <cell r="B7468">
            <v>0.2</v>
          </cell>
          <cell r="C7468">
            <v>0</v>
          </cell>
          <cell r="D7468">
            <v>2.2000000000000002</v>
          </cell>
          <cell r="E7468">
            <v>0</v>
          </cell>
          <cell r="F7468">
            <v>0</v>
          </cell>
          <cell r="G7468">
            <v>0</v>
          </cell>
          <cell r="H7468">
            <v>0</v>
          </cell>
          <cell r="I7468">
            <v>0</v>
          </cell>
          <cell r="J7468">
            <v>0</v>
          </cell>
          <cell r="K7468">
            <v>0</v>
          </cell>
          <cell r="L7468">
            <v>0</v>
          </cell>
          <cell r="M7468">
            <v>0</v>
          </cell>
          <cell r="N7468">
            <v>0</v>
          </cell>
          <cell r="O7468">
            <v>-3.5999999999999997E-2</v>
          </cell>
          <cell r="P7468">
            <v>0</v>
          </cell>
          <cell r="Q7468">
            <v>0</v>
          </cell>
          <cell r="R7468">
            <v>0</v>
          </cell>
          <cell r="S7468">
            <v>0</v>
          </cell>
          <cell r="T7468">
            <v>0</v>
          </cell>
          <cell r="U7468" t="b">
            <v>0</v>
          </cell>
        </row>
        <row r="7469">
          <cell r="A7469" t="str">
            <v>Data split-19;Reg-95</v>
          </cell>
          <cell r="B7469">
            <v>-2.3E-3</v>
          </cell>
          <cell r="C7469">
            <v>0</v>
          </cell>
          <cell r="D7469">
            <v>2</v>
          </cell>
          <cell r="E7469">
            <v>0</v>
          </cell>
          <cell r="F7469">
            <v>0</v>
          </cell>
          <cell r="G7469">
            <v>0</v>
          </cell>
          <cell r="H7469">
            <v>0</v>
          </cell>
          <cell r="I7469">
            <v>0</v>
          </cell>
          <cell r="J7469">
            <v>0</v>
          </cell>
          <cell r="K7469">
            <v>0</v>
          </cell>
          <cell r="L7469">
            <v>0</v>
          </cell>
          <cell r="M7469">
            <v>0</v>
          </cell>
          <cell r="N7469">
            <v>0</v>
          </cell>
          <cell r="O7469">
            <v>0</v>
          </cell>
          <cell r="P7469">
            <v>-1.1999999999999999E-3</v>
          </cell>
          <cell r="Q7469">
            <v>0</v>
          </cell>
          <cell r="R7469">
            <v>0</v>
          </cell>
          <cell r="S7469">
            <v>0</v>
          </cell>
          <cell r="T7469">
            <v>0</v>
          </cell>
          <cell r="U7469" t="b">
            <v>1</v>
          </cell>
        </row>
        <row r="7470">
          <cell r="A7470" t="str">
            <v>Data split-19;Reg-96</v>
          </cell>
          <cell r="B7470">
            <v>-1.6</v>
          </cell>
          <cell r="C7470">
            <v>1.1000000000000001</v>
          </cell>
          <cell r="D7470">
            <v>0</v>
          </cell>
          <cell r="E7470">
            <v>1.2</v>
          </cell>
          <cell r="F7470">
            <v>0</v>
          </cell>
          <cell r="G7470">
            <v>0</v>
          </cell>
          <cell r="H7470">
            <v>0</v>
          </cell>
          <cell r="I7470">
            <v>1.1000000000000001</v>
          </cell>
          <cell r="J7470">
            <v>0</v>
          </cell>
          <cell r="K7470">
            <v>0</v>
          </cell>
          <cell r="L7470">
            <v>0</v>
          </cell>
          <cell r="M7470">
            <v>0</v>
          </cell>
          <cell r="N7470">
            <v>0</v>
          </cell>
          <cell r="O7470">
            <v>0</v>
          </cell>
          <cell r="P7470">
            <v>0</v>
          </cell>
          <cell r="Q7470">
            <v>0</v>
          </cell>
          <cell r="R7470">
            <v>0</v>
          </cell>
          <cell r="S7470">
            <v>0</v>
          </cell>
          <cell r="T7470">
            <v>0</v>
          </cell>
          <cell r="U7470" t="b">
            <v>0</v>
          </cell>
        </row>
        <row r="7471">
          <cell r="A7471" t="str">
            <v>Data split-19;Reg-97</v>
          </cell>
          <cell r="B7471">
            <v>-3.9</v>
          </cell>
          <cell r="C7471">
            <v>1.8</v>
          </cell>
          <cell r="D7471">
            <v>0</v>
          </cell>
          <cell r="E7471">
            <v>-0.1</v>
          </cell>
          <cell r="F7471">
            <v>0</v>
          </cell>
          <cell r="G7471">
            <v>0</v>
          </cell>
          <cell r="H7471">
            <v>0</v>
          </cell>
          <cell r="I7471">
            <v>0</v>
          </cell>
          <cell r="J7471">
            <v>26</v>
          </cell>
          <cell r="K7471">
            <v>0</v>
          </cell>
          <cell r="L7471">
            <v>0</v>
          </cell>
          <cell r="M7471">
            <v>0</v>
          </cell>
          <cell r="N7471">
            <v>0</v>
          </cell>
          <cell r="O7471">
            <v>0</v>
          </cell>
          <cell r="P7471">
            <v>0</v>
          </cell>
          <cell r="Q7471">
            <v>0</v>
          </cell>
          <cell r="R7471">
            <v>0</v>
          </cell>
          <cell r="S7471">
            <v>0</v>
          </cell>
          <cell r="T7471">
            <v>0</v>
          </cell>
          <cell r="U7471" t="b">
            <v>0</v>
          </cell>
        </row>
        <row r="7472">
          <cell r="A7472" t="str">
            <v>Data split-19;Reg-98</v>
          </cell>
          <cell r="B7472">
            <v>-0.47</v>
          </cell>
          <cell r="C7472">
            <v>1.2</v>
          </cell>
          <cell r="D7472">
            <v>0</v>
          </cell>
          <cell r="E7472">
            <v>0</v>
          </cell>
          <cell r="F7472">
            <v>0.19</v>
          </cell>
          <cell r="G7472">
            <v>0</v>
          </cell>
          <cell r="H7472">
            <v>0</v>
          </cell>
          <cell r="I7472">
            <v>2.6</v>
          </cell>
          <cell r="J7472">
            <v>0</v>
          </cell>
          <cell r="K7472">
            <v>0</v>
          </cell>
          <cell r="L7472">
            <v>0</v>
          </cell>
          <cell r="M7472">
            <v>0</v>
          </cell>
          <cell r="N7472">
            <v>0</v>
          </cell>
          <cell r="O7472">
            <v>0</v>
          </cell>
          <cell r="P7472">
            <v>0</v>
          </cell>
          <cell r="Q7472">
            <v>0</v>
          </cell>
          <cell r="R7472">
            <v>0</v>
          </cell>
          <cell r="S7472">
            <v>0</v>
          </cell>
          <cell r="T7472">
            <v>0</v>
          </cell>
          <cell r="U7472" t="b">
            <v>0</v>
          </cell>
        </row>
        <row r="7473">
          <cell r="A7473" t="str">
            <v>Data split-19;Reg-99</v>
          </cell>
          <cell r="B7473">
            <v>-3.1</v>
          </cell>
          <cell r="C7473">
            <v>1.4</v>
          </cell>
          <cell r="D7473">
            <v>0</v>
          </cell>
          <cell r="E7473">
            <v>0</v>
          </cell>
          <cell r="F7473">
            <v>0.19</v>
          </cell>
          <cell r="G7473">
            <v>0</v>
          </cell>
          <cell r="H7473">
            <v>0</v>
          </cell>
          <cell r="I7473">
            <v>0</v>
          </cell>
          <cell r="J7473">
            <v>26.9</v>
          </cell>
          <cell r="K7473">
            <v>0</v>
          </cell>
          <cell r="L7473">
            <v>0</v>
          </cell>
          <cell r="M7473">
            <v>0</v>
          </cell>
          <cell r="N7473">
            <v>0</v>
          </cell>
          <cell r="O7473">
            <v>0</v>
          </cell>
          <cell r="P7473">
            <v>0</v>
          </cell>
          <cell r="Q7473">
            <v>0</v>
          </cell>
          <cell r="R7473">
            <v>0</v>
          </cell>
          <cell r="S7473">
            <v>0</v>
          </cell>
          <cell r="T7473">
            <v>0</v>
          </cell>
          <cell r="U7473" t="b">
            <v>0</v>
          </cell>
        </row>
        <row r="7474">
          <cell r="A7474" t="str">
            <v>Data split-19;Reg-100</v>
          </cell>
          <cell r="B7474">
            <v>-1.5</v>
          </cell>
          <cell r="C7474">
            <v>0</v>
          </cell>
          <cell r="D7474">
            <v>1.4</v>
          </cell>
          <cell r="E7474">
            <v>0.7</v>
          </cell>
          <cell r="F7474">
            <v>0</v>
          </cell>
          <cell r="G7474">
            <v>0</v>
          </cell>
          <cell r="H7474">
            <v>0</v>
          </cell>
          <cell r="I7474">
            <v>1</v>
          </cell>
          <cell r="J7474">
            <v>0</v>
          </cell>
          <cell r="K7474">
            <v>0</v>
          </cell>
          <cell r="L7474">
            <v>0</v>
          </cell>
          <cell r="M7474">
            <v>0</v>
          </cell>
          <cell r="N7474">
            <v>0</v>
          </cell>
          <cell r="O7474">
            <v>0</v>
          </cell>
          <cell r="P7474">
            <v>0</v>
          </cell>
          <cell r="Q7474">
            <v>0</v>
          </cell>
          <cell r="R7474">
            <v>0</v>
          </cell>
          <cell r="S7474">
            <v>0</v>
          </cell>
          <cell r="T7474">
            <v>0</v>
          </cell>
          <cell r="U7474" t="b">
            <v>0</v>
          </cell>
        </row>
        <row r="7475">
          <cell r="A7475" t="str">
            <v>Data split-19;Reg-101</v>
          </cell>
          <cell r="B7475">
            <v>-3.6</v>
          </cell>
          <cell r="C7475">
            <v>0</v>
          </cell>
          <cell r="D7475">
            <v>2</v>
          </cell>
          <cell r="E7475">
            <v>-0.37</v>
          </cell>
          <cell r="F7475">
            <v>0</v>
          </cell>
          <cell r="G7475">
            <v>0</v>
          </cell>
          <cell r="H7475">
            <v>0</v>
          </cell>
          <cell r="I7475">
            <v>0</v>
          </cell>
          <cell r="J7475">
            <v>22.9</v>
          </cell>
          <cell r="K7475">
            <v>0</v>
          </cell>
          <cell r="L7475">
            <v>0</v>
          </cell>
          <cell r="M7475">
            <v>0</v>
          </cell>
          <cell r="N7475">
            <v>0</v>
          </cell>
          <cell r="O7475">
            <v>0</v>
          </cell>
          <cell r="P7475">
            <v>0</v>
          </cell>
          <cell r="Q7475">
            <v>0</v>
          </cell>
          <cell r="R7475">
            <v>0</v>
          </cell>
          <cell r="S7475">
            <v>0</v>
          </cell>
          <cell r="T7475">
            <v>0</v>
          </cell>
          <cell r="U7475" t="b">
            <v>0</v>
          </cell>
        </row>
        <row r="7476">
          <cell r="A7476" t="str">
            <v>Data split-19;Reg-102</v>
          </cell>
          <cell r="B7476">
            <v>-0.51</v>
          </cell>
          <cell r="C7476">
            <v>0</v>
          </cell>
          <cell r="D7476">
            <v>1.3</v>
          </cell>
          <cell r="E7476">
            <v>0</v>
          </cell>
          <cell r="F7476">
            <v>0.18</v>
          </cell>
          <cell r="G7476">
            <v>0</v>
          </cell>
          <cell r="H7476">
            <v>0</v>
          </cell>
          <cell r="I7476">
            <v>2.1</v>
          </cell>
          <cell r="J7476">
            <v>0</v>
          </cell>
          <cell r="K7476">
            <v>0</v>
          </cell>
          <cell r="L7476">
            <v>0</v>
          </cell>
          <cell r="M7476">
            <v>0</v>
          </cell>
          <cell r="N7476">
            <v>0</v>
          </cell>
          <cell r="O7476">
            <v>0</v>
          </cell>
          <cell r="P7476">
            <v>0</v>
          </cell>
          <cell r="Q7476">
            <v>0</v>
          </cell>
          <cell r="R7476">
            <v>0</v>
          </cell>
          <cell r="S7476">
            <v>0</v>
          </cell>
          <cell r="T7476">
            <v>0</v>
          </cell>
          <cell r="U7476" t="b">
            <v>0</v>
          </cell>
        </row>
        <row r="7477">
          <cell r="A7477" t="str">
            <v>Data split-19;Reg-103</v>
          </cell>
          <cell r="B7477">
            <v>-2.9</v>
          </cell>
          <cell r="C7477">
            <v>0</v>
          </cell>
          <cell r="D7477">
            <v>1.4</v>
          </cell>
          <cell r="E7477">
            <v>0</v>
          </cell>
          <cell r="F7477">
            <v>0.18</v>
          </cell>
          <cell r="G7477">
            <v>0</v>
          </cell>
          <cell r="H7477">
            <v>0</v>
          </cell>
          <cell r="I7477">
            <v>0</v>
          </cell>
          <cell r="J7477">
            <v>23.4</v>
          </cell>
          <cell r="K7477">
            <v>0</v>
          </cell>
          <cell r="L7477">
            <v>0</v>
          </cell>
          <cell r="M7477">
            <v>0</v>
          </cell>
          <cell r="N7477">
            <v>0</v>
          </cell>
          <cell r="O7477">
            <v>0</v>
          </cell>
          <cell r="P7477">
            <v>0</v>
          </cell>
          <cell r="Q7477">
            <v>0</v>
          </cell>
          <cell r="R7477">
            <v>0</v>
          </cell>
          <cell r="S7477">
            <v>0</v>
          </cell>
          <cell r="T7477">
            <v>0</v>
          </cell>
          <cell r="U7477" t="b">
            <v>0</v>
          </cell>
        </row>
        <row r="7478">
          <cell r="A7478" t="str">
            <v>Data split-19;Reg-104</v>
          </cell>
          <cell r="B7478">
            <v>-1.2</v>
          </cell>
          <cell r="C7478">
            <v>0.9</v>
          </cell>
          <cell r="D7478">
            <v>0</v>
          </cell>
          <cell r="E7478">
            <v>2</v>
          </cell>
          <cell r="F7478">
            <v>0</v>
          </cell>
          <cell r="G7478">
            <v>0</v>
          </cell>
          <cell r="H7478">
            <v>0</v>
          </cell>
          <cell r="I7478">
            <v>0</v>
          </cell>
          <cell r="J7478">
            <v>0</v>
          </cell>
          <cell r="K7478">
            <v>-0.68</v>
          </cell>
          <cell r="L7478">
            <v>0</v>
          </cell>
          <cell r="M7478">
            <v>0</v>
          </cell>
          <cell r="N7478">
            <v>0</v>
          </cell>
          <cell r="O7478">
            <v>0</v>
          </cell>
          <cell r="P7478">
            <v>0</v>
          </cell>
          <cell r="Q7478">
            <v>0</v>
          </cell>
          <cell r="R7478">
            <v>0</v>
          </cell>
          <cell r="S7478">
            <v>0</v>
          </cell>
          <cell r="T7478">
            <v>0</v>
          </cell>
          <cell r="U7478" t="b">
            <v>1</v>
          </cell>
        </row>
        <row r="7479">
          <cell r="A7479" t="str">
            <v>Data split-19;Reg-105</v>
          </cell>
          <cell r="B7479">
            <v>-2.8</v>
          </cell>
          <cell r="C7479">
            <v>1.2</v>
          </cell>
          <cell r="D7479">
            <v>0</v>
          </cell>
          <cell r="E7479">
            <v>0.83</v>
          </cell>
          <cell r="F7479">
            <v>0</v>
          </cell>
          <cell r="G7479">
            <v>0</v>
          </cell>
          <cell r="H7479">
            <v>0</v>
          </cell>
          <cell r="I7479">
            <v>0</v>
          </cell>
          <cell r="J7479">
            <v>0</v>
          </cell>
          <cell r="K7479">
            <v>0</v>
          </cell>
          <cell r="L7479">
            <v>19.100000000000001</v>
          </cell>
          <cell r="M7479">
            <v>0</v>
          </cell>
          <cell r="N7479">
            <v>0</v>
          </cell>
          <cell r="O7479">
            <v>0</v>
          </cell>
          <cell r="P7479">
            <v>0</v>
          </cell>
          <cell r="Q7479">
            <v>0</v>
          </cell>
          <cell r="R7479">
            <v>0</v>
          </cell>
          <cell r="S7479">
            <v>0</v>
          </cell>
          <cell r="T7479">
            <v>0</v>
          </cell>
          <cell r="U7479" t="b">
            <v>0</v>
          </cell>
        </row>
        <row r="7480">
          <cell r="A7480" t="str">
            <v>Data split-19;Reg-106</v>
          </cell>
          <cell r="B7480">
            <v>0.49</v>
          </cell>
          <cell r="C7480">
            <v>1.1000000000000001</v>
          </cell>
          <cell r="D7480">
            <v>0</v>
          </cell>
          <cell r="E7480">
            <v>0</v>
          </cell>
          <cell r="F7480">
            <v>0.2</v>
          </cell>
          <cell r="G7480">
            <v>0</v>
          </cell>
          <cell r="H7480">
            <v>0</v>
          </cell>
          <cell r="I7480">
            <v>0</v>
          </cell>
          <cell r="J7480">
            <v>0</v>
          </cell>
          <cell r="K7480">
            <v>2.7</v>
          </cell>
          <cell r="L7480">
            <v>0</v>
          </cell>
          <cell r="M7480">
            <v>0</v>
          </cell>
          <cell r="N7480">
            <v>0</v>
          </cell>
          <cell r="O7480">
            <v>0</v>
          </cell>
          <cell r="P7480">
            <v>0</v>
          </cell>
          <cell r="Q7480">
            <v>0</v>
          </cell>
          <cell r="R7480">
            <v>0</v>
          </cell>
          <cell r="S7480">
            <v>0</v>
          </cell>
          <cell r="T7480">
            <v>0</v>
          </cell>
          <cell r="U7480" t="b">
            <v>0</v>
          </cell>
        </row>
        <row r="7481">
          <cell r="A7481" t="str">
            <v>Data split-19;Reg-107</v>
          </cell>
          <cell r="B7481">
            <v>-2.7</v>
          </cell>
          <cell r="C7481">
            <v>1.2</v>
          </cell>
          <cell r="D7481">
            <v>0</v>
          </cell>
          <cell r="E7481">
            <v>0</v>
          </cell>
          <cell r="F7481">
            <v>0.2</v>
          </cell>
          <cell r="G7481">
            <v>0</v>
          </cell>
          <cell r="H7481">
            <v>0</v>
          </cell>
          <cell r="I7481">
            <v>0</v>
          </cell>
          <cell r="J7481">
            <v>0</v>
          </cell>
          <cell r="K7481">
            <v>0</v>
          </cell>
          <cell r="L7481">
            <v>34.4</v>
          </cell>
          <cell r="M7481">
            <v>0</v>
          </cell>
          <cell r="N7481">
            <v>0</v>
          </cell>
          <cell r="O7481">
            <v>0</v>
          </cell>
          <cell r="P7481">
            <v>0</v>
          </cell>
          <cell r="Q7481">
            <v>0</v>
          </cell>
          <cell r="R7481">
            <v>0</v>
          </cell>
          <cell r="S7481">
            <v>0</v>
          </cell>
          <cell r="T7481">
            <v>0</v>
          </cell>
          <cell r="U7481" t="b">
            <v>0</v>
          </cell>
        </row>
        <row r="7482">
          <cell r="A7482" t="str">
            <v>Data split-19;Reg-108</v>
          </cell>
          <cell r="B7482">
            <v>-1.1000000000000001</v>
          </cell>
          <cell r="C7482">
            <v>0</v>
          </cell>
          <cell r="D7482">
            <v>1.2</v>
          </cell>
          <cell r="E7482">
            <v>1.4</v>
          </cell>
          <cell r="F7482">
            <v>0</v>
          </cell>
          <cell r="G7482">
            <v>0</v>
          </cell>
          <cell r="H7482">
            <v>0</v>
          </cell>
          <cell r="I7482">
            <v>0</v>
          </cell>
          <cell r="J7482">
            <v>0</v>
          </cell>
          <cell r="K7482">
            <v>-0.72</v>
          </cell>
          <cell r="L7482">
            <v>0</v>
          </cell>
          <cell r="M7482">
            <v>0</v>
          </cell>
          <cell r="N7482">
            <v>0</v>
          </cell>
          <cell r="O7482">
            <v>0</v>
          </cell>
          <cell r="P7482">
            <v>0</v>
          </cell>
          <cell r="Q7482">
            <v>0</v>
          </cell>
          <cell r="R7482">
            <v>0</v>
          </cell>
          <cell r="S7482">
            <v>0</v>
          </cell>
          <cell r="T7482">
            <v>0</v>
          </cell>
          <cell r="U7482" t="b">
            <v>1</v>
          </cell>
        </row>
        <row r="7483">
          <cell r="A7483" t="str">
            <v>Data split-19;Reg-109</v>
          </cell>
          <cell r="B7483">
            <v>-2.8</v>
          </cell>
          <cell r="C7483">
            <v>0</v>
          </cell>
          <cell r="D7483">
            <v>1.6</v>
          </cell>
          <cell r="E7483">
            <v>0.28000000000000003</v>
          </cell>
          <cell r="F7483">
            <v>0</v>
          </cell>
          <cell r="G7483">
            <v>0</v>
          </cell>
          <cell r="H7483">
            <v>0</v>
          </cell>
          <cell r="I7483">
            <v>0</v>
          </cell>
          <cell r="J7483">
            <v>0</v>
          </cell>
          <cell r="K7483">
            <v>0</v>
          </cell>
          <cell r="L7483">
            <v>19.399999999999999</v>
          </cell>
          <cell r="M7483">
            <v>0</v>
          </cell>
          <cell r="N7483">
            <v>0</v>
          </cell>
          <cell r="O7483">
            <v>0</v>
          </cell>
          <cell r="P7483">
            <v>0</v>
          </cell>
          <cell r="Q7483">
            <v>0</v>
          </cell>
          <cell r="R7483">
            <v>0</v>
          </cell>
          <cell r="S7483">
            <v>0</v>
          </cell>
          <cell r="T7483">
            <v>0</v>
          </cell>
          <cell r="U7483" t="b">
            <v>0</v>
          </cell>
        </row>
        <row r="7484">
          <cell r="A7484" t="str">
            <v>Data split-19;Reg-110</v>
          </cell>
          <cell r="B7484">
            <v>0.27</v>
          </cell>
          <cell r="C7484">
            <v>0</v>
          </cell>
          <cell r="D7484">
            <v>1.3</v>
          </cell>
          <cell r="E7484">
            <v>0</v>
          </cell>
          <cell r="F7484">
            <v>0.19</v>
          </cell>
          <cell r="G7484">
            <v>0</v>
          </cell>
          <cell r="H7484">
            <v>0</v>
          </cell>
          <cell r="I7484">
            <v>0</v>
          </cell>
          <cell r="J7484">
            <v>0</v>
          </cell>
          <cell r="K7484">
            <v>2</v>
          </cell>
          <cell r="L7484">
            <v>0</v>
          </cell>
          <cell r="M7484">
            <v>0</v>
          </cell>
          <cell r="N7484">
            <v>0</v>
          </cell>
          <cell r="O7484">
            <v>0</v>
          </cell>
          <cell r="P7484">
            <v>0</v>
          </cell>
          <cell r="Q7484">
            <v>0</v>
          </cell>
          <cell r="R7484">
            <v>0</v>
          </cell>
          <cell r="S7484">
            <v>0</v>
          </cell>
          <cell r="T7484">
            <v>0</v>
          </cell>
          <cell r="U7484" t="b">
            <v>0</v>
          </cell>
        </row>
        <row r="7485">
          <cell r="A7485" t="str">
            <v>Data split-19;Reg-111</v>
          </cell>
          <cell r="B7485">
            <v>-2.6</v>
          </cell>
          <cell r="C7485">
            <v>0</v>
          </cell>
          <cell r="D7485">
            <v>1.3</v>
          </cell>
          <cell r="E7485">
            <v>0</v>
          </cell>
          <cell r="F7485">
            <v>0.2</v>
          </cell>
          <cell r="G7485">
            <v>0</v>
          </cell>
          <cell r="H7485">
            <v>0</v>
          </cell>
          <cell r="I7485">
            <v>0</v>
          </cell>
          <cell r="J7485">
            <v>0</v>
          </cell>
          <cell r="K7485">
            <v>0</v>
          </cell>
          <cell r="L7485">
            <v>30.1</v>
          </cell>
          <cell r="M7485">
            <v>0</v>
          </cell>
          <cell r="N7485">
            <v>0</v>
          </cell>
          <cell r="O7485">
            <v>0</v>
          </cell>
          <cell r="P7485">
            <v>0</v>
          </cell>
          <cell r="Q7485">
            <v>0</v>
          </cell>
          <cell r="R7485">
            <v>0</v>
          </cell>
          <cell r="S7485">
            <v>0</v>
          </cell>
          <cell r="T7485">
            <v>0</v>
          </cell>
          <cell r="U7485" t="b">
            <v>0</v>
          </cell>
        </row>
        <row r="7486">
          <cell r="A7486" t="str">
            <v>Data split-19;Reg-112</v>
          </cell>
          <cell r="B7486">
            <v>-1.3</v>
          </cell>
          <cell r="C7486">
            <v>2.2000000000000002</v>
          </cell>
          <cell r="D7486">
            <v>0</v>
          </cell>
          <cell r="E7486">
            <v>0</v>
          </cell>
          <cell r="F7486">
            <v>0</v>
          </cell>
          <cell r="G7486">
            <v>-0.95</v>
          </cell>
          <cell r="H7486">
            <v>0</v>
          </cell>
          <cell r="I7486">
            <v>3.3</v>
          </cell>
          <cell r="J7486">
            <v>0</v>
          </cell>
          <cell r="K7486">
            <v>0</v>
          </cell>
          <cell r="L7486">
            <v>0</v>
          </cell>
          <cell r="M7486">
            <v>0</v>
          </cell>
          <cell r="N7486">
            <v>0</v>
          </cell>
          <cell r="O7486">
            <v>0</v>
          </cell>
          <cell r="P7486">
            <v>0</v>
          </cell>
          <cell r="Q7486">
            <v>0</v>
          </cell>
          <cell r="R7486">
            <v>0</v>
          </cell>
          <cell r="S7486">
            <v>0</v>
          </cell>
          <cell r="T7486">
            <v>0</v>
          </cell>
          <cell r="U7486" t="b">
            <v>0</v>
          </cell>
        </row>
        <row r="7487">
          <cell r="A7487" t="str">
            <v>Data split-19;Reg-113</v>
          </cell>
          <cell r="B7487">
            <v>-4.4000000000000004</v>
          </cell>
          <cell r="C7487">
            <v>2.5</v>
          </cell>
          <cell r="D7487">
            <v>0</v>
          </cell>
          <cell r="E7487">
            <v>0</v>
          </cell>
          <cell r="F7487">
            <v>0</v>
          </cell>
          <cell r="G7487">
            <v>-1.2</v>
          </cell>
          <cell r="H7487">
            <v>0</v>
          </cell>
          <cell r="I7487">
            <v>0</v>
          </cell>
          <cell r="J7487">
            <v>34.4</v>
          </cell>
          <cell r="K7487">
            <v>0</v>
          </cell>
          <cell r="L7487">
            <v>0</v>
          </cell>
          <cell r="M7487">
            <v>0</v>
          </cell>
          <cell r="N7487">
            <v>0</v>
          </cell>
          <cell r="O7487">
            <v>0</v>
          </cell>
          <cell r="P7487">
            <v>0</v>
          </cell>
          <cell r="Q7487">
            <v>0</v>
          </cell>
          <cell r="R7487">
            <v>0</v>
          </cell>
          <cell r="S7487">
            <v>0</v>
          </cell>
          <cell r="T7487">
            <v>0</v>
          </cell>
          <cell r="U7487" t="b">
            <v>0</v>
          </cell>
        </row>
        <row r="7488">
          <cell r="A7488" t="str">
            <v>Data split-19;Reg-114</v>
          </cell>
          <cell r="B7488">
            <v>-1.3</v>
          </cell>
          <cell r="C7488">
            <v>1</v>
          </cell>
          <cell r="D7488">
            <v>0</v>
          </cell>
          <cell r="E7488">
            <v>0</v>
          </cell>
          <cell r="F7488">
            <v>0</v>
          </cell>
          <cell r="G7488">
            <v>0</v>
          </cell>
          <cell r="H7488">
            <v>1.4</v>
          </cell>
          <cell r="I7488">
            <v>1.5</v>
          </cell>
          <cell r="J7488">
            <v>0</v>
          </cell>
          <cell r="K7488">
            <v>0</v>
          </cell>
          <cell r="L7488">
            <v>0</v>
          </cell>
          <cell r="M7488">
            <v>0</v>
          </cell>
          <cell r="N7488">
            <v>0</v>
          </cell>
          <cell r="O7488">
            <v>0</v>
          </cell>
          <cell r="P7488">
            <v>0</v>
          </cell>
          <cell r="Q7488">
            <v>0</v>
          </cell>
          <cell r="R7488">
            <v>0</v>
          </cell>
          <cell r="S7488">
            <v>0</v>
          </cell>
          <cell r="T7488">
            <v>0</v>
          </cell>
          <cell r="U7488" t="b">
            <v>0</v>
          </cell>
        </row>
        <row r="7489">
          <cell r="A7489" t="str">
            <v>Data split-19;Reg-115</v>
          </cell>
          <cell r="B7489">
            <v>-3.7</v>
          </cell>
          <cell r="C7489">
            <v>1.4</v>
          </cell>
          <cell r="D7489">
            <v>0</v>
          </cell>
          <cell r="E7489">
            <v>0</v>
          </cell>
          <cell r="F7489">
            <v>0</v>
          </cell>
          <cell r="G7489">
            <v>0</v>
          </cell>
          <cell r="H7489">
            <v>0.64</v>
          </cell>
          <cell r="I7489">
            <v>0</v>
          </cell>
          <cell r="J7489">
            <v>22.4</v>
          </cell>
          <cell r="K7489">
            <v>0</v>
          </cell>
          <cell r="L7489">
            <v>0</v>
          </cell>
          <cell r="M7489">
            <v>0</v>
          </cell>
          <cell r="N7489">
            <v>0</v>
          </cell>
          <cell r="O7489">
            <v>0</v>
          </cell>
          <cell r="P7489">
            <v>0</v>
          </cell>
          <cell r="Q7489">
            <v>0</v>
          </cell>
          <cell r="R7489">
            <v>0</v>
          </cell>
          <cell r="S7489">
            <v>0</v>
          </cell>
          <cell r="T7489">
            <v>0</v>
          </cell>
          <cell r="U7489" t="b">
            <v>0</v>
          </cell>
        </row>
        <row r="7490">
          <cell r="A7490" t="str">
            <v>Data split-19;Reg-116</v>
          </cell>
          <cell r="B7490">
            <v>-1.3</v>
          </cell>
          <cell r="C7490">
            <v>0</v>
          </cell>
          <cell r="D7490">
            <v>2.4</v>
          </cell>
          <cell r="E7490">
            <v>0</v>
          </cell>
          <cell r="F7490">
            <v>0</v>
          </cell>
          <cell r="G7490">
            <v>-1.1000000000000001</v>
          </cell>
          <cell r="H7490">
            <v>0</v>
          </cell>
          <cell r="I7490">
            <v>2.6</v>
          </cell>
          <cell r="J7490">
            <v>0</v>
          </cell>
          <cell r="K7490">
            <v>0</v>
          </cell>
          <cell r="L7490">
            <v>0</v>
          </cell>
          <cell r="M7490">
            <v>0</v>
          </cell>
          <cell r="N7490">
            <v>0</v>
          </cell>
          <cell r="O7490">
            <v>0</v>
          </cell>
          <cell r="P7490">
            <v>0</v>
          </cell>
          <cell r="Q7490">
            <v>0</v>
          </cell>
          <cell r="R7490">
            <v>0</v>
          </cell>
          <cell r="S7490">
            <v>0</v>
          </cell>
          <cell r="T7490">
            <v>0</v>
          </cell>
          <cell r="U7490" t="b">
            <v>0</v>
          </cell>
        </row>
        <row r="7491">
          <cell r="A7491" t="str">
            <v>Data split-19;Reg-117</v>
          </cell>
          <cell r="B7491">
            <v>-4</v>
          </cell>
          <cell r="C7491">
            <v>0</v>
          </cell>
          <cell r="D7491">
            <v>2.7</v>
          </cell>
          <cell r="E7491">
            <v>0</v>
          </cell>
          <cell r="F7491">
            <v>0</v>
          </cell>
          <cell r="G7491">
            <v>-1.3</v>
          </cell>
          <cell r="H7491">
            <v>0</v>
          </cell>
          <cell r="I7491">
            <v>0</v>
          </cell>
          <cell r="J7491">
            <v>28.5</v>
          </cell>
          <cell r="K7491">
            <v>0</v>
          </cell>
          <cell r="L7491">
            <v>0</v>
          </cell>
          <cell r="M7491">
            <v>0</v>
          </cell>
          <cell r="N7491">
            <v>0</v>
          </cell>
          <cell r="O7491">
            <v>0</v>
          </cell>
          <cell r="P7491">
            <v>0</v>
          </cell>
          <cell r="Q7491">
            <v>0</v>
          </cell>
          <cell r="R7491">
            <v>0</v>
          </cell>
          <cell r="S7491">
            <v>0</v>
          </cell>
          <cell r="T7491">
            <v>0</v>
          </cell>
          <cell r="U7491" t="b">
            <v>0</v>
          </cell>
        </row>
        <row r="7492">
          <cell r="A7492" t="str">
            <v>Data split-19;Reg-118</v>
          </cell>
          <cell r="B7492">
            <v>-1.3</v>
          </cell>
          <cell r="C7492">
            <v>0</v>
          </cell>
          <cell r="D7492">
            <v>1.3</v>
          </cell>
          <cell r="E7492">
            <v>0</v>
          </cell>
          <cell r="F7492">
            <v>0</v>
          </cell>
          <cell r="G7492">
            <v>0</v>
          </cell>
          <cell r="H7492">
            <v>1.1000000000000001</v>
          </cell>
          <cell r="I7492">
            <v>1.2</v>
          </cell>
          <cell r="J7492">
            <v>0</v>
          </cell>
          <cell r="K7492">
            <v>0</v>
          </cell>
          <cell r="L7492">
            <v>0</v>
          </cell>
          <cell r="M7492">
            <v>0</v>
          </cell>
          <cell r="N7492">
            <v>0</v>
          </cell>
          <cell r="O7492">
            <v>0</v>
          </cell>
          <cell r="P7492">
            <v>0</v>
          </cell>
          <cell r="Q7492">
            <v>0</v>
          </cell>
          <cell r="R7492">
            <v>0</v>
          </cell>
          <cell r="S7492">
            <v>0</v>
          </cell>
          <cell r="T7492">
            <v>0</v>
          </cell>
          <cell r="U7492" t="b">
            <v>0</v>
          </cell>
        </row>
        <row r="7493">
          <cell r="A7493" t="str">
            <v>Data split-19;Reg-119</v>
          </cell>
          <cell r="B7493">
            <v>-3.5</v>
          </cell>
          <cell r="C7493">
            <v>0</v>
          </cell>
          <cell r="D7493">
            <v>1.5</v>
          </cell>
          <cell r="E7493">
            <v>0</v>
          </cell>
          <cell r="F7493">
            <v>0</v>
          </cell>
          <cell r="G7493">
            <v>0</v>
          </cell>
          <cell r="H7493">
            <v>0.5</v>
          </cell>
          <cell r="I7493">
            <v>0</v>
          </cell>
          <cell r="J7493">
            <v>19.100000000000001</v>
          </cell>
          <cell r="K7493">
            <v>0</v>
          </cell>
          <cell r="L7493">
            <v>0</v>
          </cell>
          <cell r="M7493">
            <v>0</v>
          </cell>
          <cell r="N7493">
            <v>0</v>
          </cell>
          <cell r="O7493">
            <v>0</v>
          </cell>
          <cell r="P7493">
            <v>0</v>
          </cell>
          <cell r="Q7493">
            <v>0</v>
          </cell>
          <cell r="R7493">
            <v>0</v>
          </cell>
          <cell r="S7493">
            <v>0</v>
          </cell>
          <cell r="T7493">
            <v>0</v>
          </cell>
          <cell r="U7493" t="b">
            <v>0</v>
          </cell>
        </row>
        <row r="7494">
          <cell r="A7494" t="str">
            <v>Data split-19;Reg-120</v>
          </cell>
          <cell r="B7494">
            <v>5.5E-2</v>
          </cell>
          <cell r="C7494">
            <v>2</v>
          </cell>
          <cell r="D7494">
            <v>0</v>
          </cell>
          <cell r="E7494">
            <v>0</v>
          </cell>
          <cell r="F7494">
            <v>0</v>
          </cell>
          <cell r="G7494">
            <v>-0.76</v>
          </cell>
          <cell r="H7494">
            <v>0</v>
          </cell>
          <cell r="I7494">
            <v>0</v>
          </cell>
          <cell r="J7494">
            <v>0</v>
          </cell>
          <cell r="K7494">
            <v>2.7</v>
          </cell>
          <cell r="L7494">
            <v>0</v>
          </cell>
          <cell r="M7494">
            <v>0</v>
          </cell>
          <cell r="N7494">
            <v>0</v>
          </cell>
          <cell r="O7494">
            <v>0</v>
          </cell>
          <cell r="P7494">
            <v>0</v>
          </cell>
          <cell r="Q7494">
            <v>0</v>
          </cell>
          <cell r="R7494">
            <v>0</v>
          </cell>
          <cell r="S7494">
            <v>0</v>
          </cell>
          <cell r="T7494">
            <v>0</v>
          </cell>
          <cell r="U7494" t="b">
            <v>0</v>
          </cell>
        </row>
        <row r="7495">
          <cell r="A7495" t="str">
            <v>Data split-19;Reg-121</v>
          </cell>
          <cell r="B7495">
            <v>-3.7</v>
          </cell>
          <cell r="C7495">
            <v>2.2999999999999998</v>
          </cell>
          <cell r="D7495">
            <v>0</v>
          </cell>
          <cell r="E7495">
            <v>0</v>
          </cell>
          <cell r="F7495">
            <v>0</v>
          </cell>
          <cell r="G7495">
            <v>-1.1000000000000001</v>
          </cell>
          <cell r="H7495">
            <v>0</v>
          </cell>
          <cell r="I7495">
            <v>0</v>
          </cell>
          <cell r="J7495">
            <v>0</v>
          </cell>
          <cell r="K7495">
            <v>0</v>
          </cell>
          <cell r="L7495">
            <v>40.9</v>
          </cell>
          <cell r="M7495">
            <v>0</v>
          </cell>
          <cell r="N7495">
            <v>0</v>
          </cell>
          <cell r="O7495">
            <v>0</v>
          </cell>
          <cell r="P7495">
            <v>0</v>
          </cell>
          <cell r="Q7495">
            <v>0</v>
          </cell>
          <cell r="R7495">
            <v>0</v>
          </cell>
          <cell r="S7495">
            <v>0</v>
          </cell>
          <cell r="T7495">
            <v>0</v>
          </cell>
          <cell r="U7495" t="b">
            <v>0</v>
          </cell>
        </row>
        <row r="7496">
          <cell r="A7496" t="str">
            <v>Data split-19;Reg-122</v>
          </cell>
          <cell r="B7496">
            <v>-0.2</v>
          </cell>
          <cell r="C7496">
            <v>0.91</v>
          </cell>
          <cell r="D7496">
            <v>0</v>
          </cell>
          <cell r="E7496">
            <v>0</v>
          </cell>
          <cell r="F7496">
            <v>0</v>
          </cell>
          <cell r="G7496">
            <v>0</v>
          </cell>
          <cell r="H7496">
            <v>2</v>
          </cell>
          <cell r="I7496">
            <v>0</v>
          </cell>
          <cell r="J7496">
            <v>0</v>
          </cell>
          <cell r="K7496">
            <v>-0.17</v>
          </cell>
          <cell r="L7496">
            <v>0</v>
          </cell>
          <cell r="M7496">
            <v>0</v>
          </cell>
          <cell r="N7496">
            <v>0</v>
          </cell>
          <cell r="O7496">
            <v>0</v>
          </cell>
          <cell r="P7496">
            <v>0</v>
          </cell>
          <cell r="Q7496">
            <v>0</v>
          </cell>
          <cell r="R7496">
            <v>0</v>
          </cell>
          <cell r="S7496">
            <v>0</v>
          </cell>
          <cell r="T7496">
            <v>0</v>
          </cell>
          <cell r="U7496" t="b">
            <v>1</v>
          </cell>
        </row>
        <row r="7497">
          <cell r="A7497" t="str">
            <v>Data split-19;Reg-123</v>
          </cell>
          <cell r="B7497">
            <v>-2.4</v>
          </cell>
          <cell r="C7497">
            <v>1.2</v>
          </cell>
          <cell r="D7497">
            <v>0</v>
          </cell>
          <cell r="E7497">
            <v>0</v>
          </cell>
          <cell r="F7497">
            <v>0</v>
          </cell>
          <cell r="G7497">
            <v>0</v>
          </cell>
          <cell r="H7497">
            <v>1</v>
          </cell>
          <cell r="I7497">
            <v>0</v>
          </cell>
          <cell r="J7497">
            <v>0</v>
          </cell>
          <cell r="K7497">
            <v>0</v>
          </cell>
          <cell r="L7497">
            <v>19.399999999999999</v>
          </cell>
          <cell r="M7497">
            <v>0</v>
          </cell>
          <cell r="N7497">
            <v>0</v>
          </cell>
          <cell r="O7497">
            <v>0</v>
          </cell>
          <cell r="P7497">
            <v>0</v>
          </cell>
          <cell r="Q7497">
            <v>0</v>
          </cell>
          <cell r="R7497">
            <v>0</v>
          </cell>
          <cell r="S7497">
            <v>0</v>
          </cell>
          <cell r="T7497">
            <v>0</v>
          </cell>
          <cell r="U7497" t="b">
            <v>0</v>
          </cell>
        </row>
        <row r="7498">
          <cell r="A7498" t="str">
            <v>Data split-19;Reg-124</v>
          </cell>
          <cell r="B7498">
            <v>-0.25</v>
          </cell>
          <cell r="C7498">
            <v>0</v>
          </cell>
          <cell r="D7498">
            <v>2.4</v>
          </cell>
          <cell r="E7498">
            <v>0</v>
          </cell>
          <cell r="F7498">
            <v>0</v>
          </cell>
          <cell r="G7498">
            <v>-1</v>
          </cell>
          <cell r="H7498">
            <v>0</v>
          </cell>
          <cell r="I7498">
            <v>0</v>
          </cell>
          <cell r="J7498">
            <v>0</v>
          </cell>
          <cell r="K7498">
            <v>2.1</v>
          </cell>
          <cell r="L7498">
            <v>0</v>
          </cell>
          <cell r="M7498">
            <v>0</v>
          </cell>
          <cell r="N7498">
            <v>0</v>
          </cell>
          <cell r="O7498">
            <v>0</v>
          </cell>
          <cell r="P7498">
            <v>0</v>
          </cell>
          <cell r="Q7498">
            <v>0</v>
          </cell>
          <cell r="R7498">
            <v>0</v>
          </cell>
          <cell r="S7498">
            <v>0</v>
          </cell>
          <cell r="T7498">
            <v>0</v>
          </cell>
          <cell r="U7498" t="b">
            <v>0</v>
          </cell>
        </row>
        <row r="7499">
          <cell r="A7499" t="str">
            <v>Data split-19;Reg-125</v>
          </cell>
          <cell r="B7499">
            <v>-3.6</v>
          </cell>
          <cell r="C7499">
            <v>0</v>
          </cell>
          <cell r="D7499">
            <v>2.6</v>
          </cell>
          <cell r="E7499">
            <v>0</v>
          </cell>
          <cell r="F7499">
            <v>0</v>
          </cell>
          <cell r="G7499">
            <v>-1.3</v>
          </cell>
          <cell r="H7499">
            <v>0</v>
          </cell>
          <cell r="I7499">
            <v>0</v>
          </cell>
          <cell r="J7499">
            <v>0</v>
          </cell>
          <cell r="K7499">
            <v>0</v>
          </cell>
          <cell r="L7499">
            <v>35.6</v>
          </cell>
          <cell r="M7499">
            <v>0</v>
          </cell>
          <cell r="N7499">
            <v>0</v>
          </cell>
          <cell r="O7499">
            <v>0</v>
          </cell>
          <cell r="P7499">
            <v>0</v>
          </cell>
          <cell r="Q7499">
            <v>0</v>
          </cell>
          <cell r="R7499">
            <v>0</v>
          </cell>
          <cell r="S7499">
            <v>0</v>
          </cell>
          <cell r="T7499">
            <v>0</v>
          </cell>
          <cell r="U7499" t="b">
            <v>0</v>
          </cell>
        </row>
        <row r="7500">
          <cell r="A7500" t="str">
            <v>Data split-19;Reg-126</v>
          </cell>
          <cell r="B7500">
            <v>-0.36</v>
          </cell>
          <cell r="C7500">
            <v>0</v>
          </cell>
          <cell r="D7500">
            <v>1.2</v>
          </cell>
          <cell r="E7500">
            <v>0</v>
          </cell>
          <cell r="F7500">
            <v>0</v>
          </cell>
          <cell r="G7500">
            <v>0</v>
          </cell>
          <cell r="H7500">
            <v>1.5</v>
          </cell>
          <cell r="I7500">
            <v>0</v>
          </cell>
          <cell r="J7500">
            <v>0</v>
          </cell>
          <cell r="K7500">
            <v>-0.44</v>
          </cell>
          <cell r="L7500">
            <v>0</v>
          </cell>
          <cell r="M7500">
            <v>0</v>
          </cell>
          <cell r="N7500">
            <v>0</v>
          </cell>
          <cell r="O7500">
            <v>0</v>
          </cell>
          <cell r="P7500">
            <v>0</v>
          </cell>
          <cell r="Q7500">
            <v>0</v>
          </cell>
          <cell r="R7500">
            <v>0</v>
          </cell>
          <cell r="S7500">
            <v>0</v>
          </cell>
          <cell r="T7500">
            <v>0</v>
          </cell>
          <cell r="U7500" t="b">
            <v>1</v>
          </cell>
        </row>
        <row r="7501">
          <cell r="A7501" t="str">
            <v>Data split-19;Reg-127</v>
          </cell>
          <cell r="B7501">
            <v>-2.5</v>
          </cell>
          <cell r="C7501">
            <v>0</v>
          </cell>
          <cell r="D7501">
            <v>1.4</v>
          </cell>
          <cell r="E7501">
            <v>0</v>
          </cell>
          <cell r="F7501">
            <v>0</v>
          </cell>
          <cell r="G7501">
            <v>0</v>
          </cell>
          <cell r="H7501">
            <v>0.64</v>
          </cell>
          <cell r="I7501">
            <v>0</v>
          </cell>
          <cell r="J7501">
            <v>0</v>
          </cell>
          <cell r="K7501">
            <v>0</v>
          </cell>
          <cell r="L7501">
            <v>17.600000000000001</v>
          </cell>
          <cell r="M7501">
            <v>0</v>
          </cell>
          <cell r="N7501">
            <v>0</v>
          </cell>
          <cell r="O7501">
            <v>0</v>
          </cell>
          <cell r="P7501">
            <v>0</v>
          </cell>
          <cell r="Q7501">
            <v>0</v>
          </cell>
          <cell r="R7501">
            <v>0</v>
          </cell>
          <cell r="S7501">
            <v>0</v>
          </cell>
          <cell r="T7501">
            <v>0</v>
          </cell>
          <cell r="U7501" t="b">
            <v>0</v>
          </cell>
        </row>
        <row r="7502">
          <cell r="A7502" t="str">
            <v>Data split-20;Reg-1</v>
          </cell>
          <cell r="B7502">
            <v>-4</v>
          </cell>
          <cell r="C7502">
            <v>2.9</v>
          </cell>
          <cell r="D7502">
            <v>0</v>
          </cell>
          <cell r="E7502">
            <v>0</v>
          </cell>
          <cell r="F7502">
            <v>-0.62</v>
          </cell>
          <cell r="G7502">
            <v>0</v>
          </cell>
          <cell r="H7502">
            <v>0</v>
          </cell>
          <cell r="I7502">
            <v>0</v>
          </cell>
          <cell r="J7502">
            <v>0</v>
          </cell>
          <cell r="K7502">
            <v>0</v>
          </cell>
          <cell r="L7502">
            <v>-9.4</v>
          </cell>
          <cell r="M7502">
            <v>0</v>
          </cell>
          <cell r="N7502">
            <v>0</v>
          </cell>
          <cell r="O7502">
            <v>0</v>
          </cell>
          <cell r="P7502">
            <v>0</v>
          </cell>
          <cell r="Q7502">
            <v>0</v>
          </cell>
          <cell r="R7502">
            <v>0</v>
          </cell>
          <cell r="S7502">
            <v>0</v>
          </cell>
          <cell r="T7502">
            <v>0</v>
          </cell>
          <cell r="U7502" t="b">
            <v>0</v>
          </cell>
        </row>
        <row r="7503">
          <cell r="A7503" t="str">
            <v>Data split-20;Reg-2</v>
          </cell>
          <cell r="B7503">
            <v>-4.2</v>
          </cell>
          <cell r="C7503">
            <v>2.7</v>
          </cell>
          <cell r="D7503">
            <v>0</v>
          </cell>
          <cell r="E7503">
            <v>0</v>
          </cell>
          <cell r="F7503">
            <v>0.31</v>
          </cell>
          <cell r="G7503">
            <v>-0.35</v>
          </cell>
          <cell r="H7503">
            <v>0</v>
          </cell>
          <cell r="I7503">
            <v>0</v>
          </cell>
          <cell r="J7503">
            <v>0</v>
          </cell>
          <cell r="K7503">
            <v>0</v>
          </cell>
          <cell r="L7503">
            <v>0</v>
          </cell>
          <cell r="M7503">
            <v>-7.0000000000000007E-2</v>
          </cell>
          <cell r="N7503">
            <v>0</v>
          </cell>
          <cell r="O7503">
            <v>0</v>
          </cell>
          <cell r="P7503">
            <v>0</v>
          </cell>
          <cell r="Q7503">
            <v>0</v>
          </cell>
          <cell r="R7503">
            <v>0</v>
          </cell>
          <cell r="S7503">
            <v>0</v>
          </cell>
          <cell r="T7503">
            <v>0</v>
          </cell>
          <cell r="U7503" t="b">
            <v>0</v>
          </cell>
        </row>
        <row r="7504">
          <cell r="A7504" t="str">
            <v>Data split-20;Reg-3</v>
          </cell>
          <cell r="B7504">
            <v>-4.4000000000000004</v>
          </cell>
          <cell r="C7504">
            <v>2.8</v>
          </cell>
          <cell r="D7504">
            <v>0</v>
          </cell>
          <cell r="E7504">
            <v>0</v>
          </cell>
          <cell r="F7504">
            <v>0.1</v>
          </cell>
          <cell r="G7504">
            <v>-0.51</v>
          </cell>
          <cell r="H7504">
            <v>0</v>
          </cell>
          <cell r="I7504">
            <v>0</v>
          </cell>
          <cell r="J7504">
            <v>0</v>
          </cell>
          <cell r="K7504">
            <v>0</v>
          </cell>
          <cell r="L7504">
            <v>0</v>
          </cell>
          <cell r="M7504">
            <v>0</v>
          </cell>
          <cell r="N7504">
            <v>-8.3999999999999995E-3</v>
          </cell>
          <cell r="O7504">
            <v>0</v>
          </cell>
          <cell r="P7504">
            <v>0</v>
          </cell>
          <cell r="Q7504">
            <v>0</v>
          </cell>
          <cell r="R7504">
            <v>0</v>
          </cell>
          <cell r="S7504">
            <v>0</v>
          </cell>
          <cell r="T7504">
            <v>0</v>
          </cell>
          <cell r="U7504" t="b">
            <v>0</v>
          </cell>
        </row>
        <row r="7505">
          <cell r="A7505" t="str">
            <v>Data split-20;Reg-4</v>
          </cell>
          <cell r="B7505">
            <v>-3.5</v>
          </cell>
          <cell r="C7505">
            <v>2.8</v>
          </cell>
          <cell r="D7505">
            <v>0</v>
          </cell>
          <cell r="E7505">
            <v>0</v>
          </cell>
          <cell r="F7505">
            <v>0.5</v>
          </cell>
          <cell r="G7505">
            <v>0</v>
          </cell>
          <cell r="H7505">
            <v>-2</v>
          </cell>
          <cell r="I7505">
            <v>0</v>
          </cell>
          <cell r="J7505">
            <v>0</v>
          </cell>
          <cell r="K7505">
            <v>0</v>
          </cell>
          <cell r="L7505">
            <v>0</v>
          </cell>
          <cell r="M7505">
            <v>-8.3999999999999995E-3</v>
          </cell>
          <cell r="N7505">
            <v>0</v>
          </cell>
          <cell r="O7505">
            <v>0</v>
          </cell>
          <cell r="P7505">
            <v>0</v>
          </cell>
          <cell r="Q7505">
            <v>0</v>
          </cell>
          <cell r="R7505">
            <v>0</v>
          </cell>
          <cell r="S7505">
            <v>0</v>
          </cell>
          <cell r="T7505">
            <v>0</v>
          </cell>
          <cell r="U7505" t="b">
            <v>0</v>
          </cell>
        </row>
        <row r="7506">
          <cell r="A7506" t="str">
            <v>Data split-20;Reg-5</v>
          </cell>
          <cell r="B7506">
            <v>-4.2</v>
          </cell>
          <cell r="C7506">
            <v>0</v>
          </cell>
          <cell r="D7506">
            <v>3</v>
          </cell>
          <cell r="E7506">
            <v>0</v>
          </cell>
          <cell r="F7506">
            <v>0.26</v>
          </cell>
          <cell r="G7506">
            <v>0</v>
          </cell>
          <cell r="H7506">
            <v>-2.2000000000000002</v>
          </cell>
          <cell r="I7506">
            <v>0</v>
          </cell>
          <cell r="J7506">
            <v>0</v>
          </cell>
          <cell r="K7506">
            <v>0</v>
          </cell>
          <cell r="L7506">
            <v>0</v>
          </cell>
          <cell r="M7506">
            <v>8.8999999999999999E-3</v>
          </cell>
          <cell r="N7506">
            <v>0</v>
          </cell>
          <cell r="O7506">
            <v>0</v>
          </cell>
          <cell r="P7506">
            <v>0</v>
          </cell>
          <cell r="Q7506">
            <v>0</v>
          </cell>
          <cell r="R7506">
            <v>0</v>
          </cell>
          <cell r="S7506">
            <v>0</v>
          </cell>
          <cell r="T7506">
            <v>0</v>
          </cell>
          <cell r="U7506" t="b">
            <v>0</v>
          </cell>
        </row>
        <row r="7507">
          <cell r="A7507" t="str">
            <v>Data split-20;Reg-6</v>
          </cell>
          <cell r="B7507">
            <v>-1.3</v>
          </cell>
          <cell r="C7507">
            <v>3.1</v>
          </cell>
          <cell r="D7507">
            <v>0</v>
          </cell>
          <cell r="E7507">
            <v>-1.8</v>
          </cell>
          <cell r="F7507">
            <v>0</v>
          </cell>
          <cell r="G7507">
            <v>0</v>
          </cell>
          <cell r="H7507">
            <v>0</v>
          </cell>
          <cell r="I7507">
            <v>0</v>
          </cell>
          <cell r="J7507">
            <v>0</v>
          </cell>
          <cell r="K7507">
            <v>0</v>
          </cell>
          <cell r="L7507">
            <v>-4.4000000000000004</v>
          </cell>
          <cell r="M7507">
            <v>1.0999999999999999E-2</v>
          </cell>
          <cell r="N7507">
            <v>0</v>
          </cell>
          <cell r="O7507">
            <v>0</v>
          </cell>
          <cell r="P7507">
            <v>0</v>
          </cell>
          <cell r="Q7507">
            <v>0</v>
          </cell>
          <cell r="R7507">
            <v>0</v>
          </cell>
          <cell r="S7507">
            <v>0</v>
          </cell>
          <cell r="T7507">
            <v>0</v>
          </cell>
          <cell r="U7507" t="b">
            <v>0</v>
          </cell>
        </row>
        <row r="7508">
          <cell r="A7508" t="str">
            <v>Data split-20;Reg-7</v>
          </cell>
          <cell r="B7508">
            <v>-2.2000000000000002</v>
          </cell>
          <cell r="C7508">
            <v>2.6</v>
          </cell>
          <cell r="D7508">
            <v>0</v>
          </cell>
          <cell r="E7508">
            <v>0</v>
          </cell>
          <cell r="F7508">
            <v>0.78</v>
          </cell>
          <cell r="G7508">
            <v>0</v>
          </cell>
          <cell r="H7508">
            <v>0</v>
          </cell>
          <cell r="I7508">
            <v>0</v>
          </cell>
          <cell r="J7508">
            <v>0</v>
          </cell>
          <cell r="K7508">
            <v>0</v>
          </cell>
          <cell r="L7508">
            <v>-8.3000000000000007</v>
          </cell>
          <cell r="M7508">
            <v>0</v>
          </cell>
          <cell r="N7508">
            <v>0</v>
          </cell>
          <cell r="O7508">
            <v>0</v>
          </cell>
          <cell r="P7508">
            <v>0</v>
          </cell>
          <cell r="Q7508">
            <v>0</v>
          </cell>
          <cell r="R7508">
            <v>0</v>
          </cell>
          <cell r="S7508">
            <v>-0.15</v>
          </cell>
          <cell r="T7508">
            <v>0</v>
          </cell>
          <cell r="U7508" t="b">
            <v>1</v>
          </cell>
        </row>
        <row r="7509">
          <cell r="A7509" t="str">
            <v>Data split-20;Reg-8</v>
          </cell>
          <cell r="B7509">
            <v>-2.1</v>
          </cell>
          <cell r="C7509">
            <v>2.9</v>
          </cell>
          <cell r="D7509">
            <v>0</v>
          </cell>
          <cell r="E7509">
            <v>0</v>
          </cell>
          <cell r="F7509">
            <v>0</v>
          </cell>
          <cell r="G7509">
            <v>0.22</v>
          </cell>
          <cell r="H7509">
            <v>0</v>
          </cell>
          <cell r="I7509">
            <v>0</v>
          </cell>
          <cell r="J7509">
            <v>0</v>
          </cell>
          <cell r="K7509">
            <v>0</v>
          </cell>
          <cell r="L7509">
            <v>-9.5</v>
          </cell>
          <cell r="M7509">
            <v>0</v>
          </cell>
          <cell r="N7509">
            <v>0</v>
          </cell>
          <cell r="O7509">
            <v>0</v>
          </cell>
          <cell r="P7509">
            <v>0</v>
          </cell>
          <cell r="Q7509">
            <v>0</v>
          </cell>
          <cell r="R7509">
            <v>0</v>
          </cell>
          <cell r="S7509">
            <v>-0.13</v>
          </cell>
          <cell r="T7509">
            <v>0</v>
          </cell>
          <cell r="U7509" t="b">
            <v>1</v>
          </cell>
        </row>
        <row r="7510">
          <cell r="A7510" t="str">
            <v>Data split-20;Reg-9</v>
          </cell>
          <cell r="B7510">
            <v>-2.6</v>
          </cell>
          <cell r="C7510">
            <v>0</v>
          </cell>
          <cell r="D7510">
            <v>3</v>
          </cell>
          <cell r="E7510">
            <v>0</v>
          </cell>
          <cell r="F7510">
            <v>0</v>
          </cell>
          <cell r="G7510">
            <v>0</v>
          </cell>
          <cell r="H7510">
            <v>0.19</v>
          </cell>
          <cell r="I7510">
            <v>0</v>
          </cell>
          <cell r="J7510">
            <v>0</v>
          </cell>
          <cell r="K7510">
            <v>0</v>
          </cell>
          <cell r="L7510">
            <v>-11.1</v>
          </cell>
          <cell r="M7510">
            <v>0</v>
          </cell>
          <cell r="N7510">
            <v>0</v>
          </cell>
          <cell r="O7510">
            <v>0</v>
          </cell>
          <cell r="P7510">
            <v>0</v>
          </cell>
          <cell r="Q7510">
            <v>0</v>
          </cell>
          <cell r="R7510">
            <v>0</v>
          </cell>
          <cell r="S7510">
            <v>-0.13</v>
          </cell>
          <cell r="T7510">
            <v>0</v>
          </cell>
          <cell r="U7510" t="b">
            <v>1</v>
          </cell>
        </row>
        <row r="7511">
          <cell r="A7511" t="str">
            <v>Data split-20;Reg-10</v>
          </cell>
          <cell r="B7511">
            <v>-2.6</v>
          </cell>
          <cell r="C7511">
            <v>0</v>
          </cell>
          <cell r="D7511">
            <v>3</v>
          </cell>
          <cell r="E7511">
            <v>0</v>
          </cell>
          <cell r="F7511">
            <v>0</v>
          </cell>
          <cell r="G7511">
            <v>0</v>
          </cell>
          <cell r="H7511">
            <v>0.19</v>
          </cell>
          <cell r="I7511">
            <v>0</v>
          </cell>
          <cell r="J7511">
            <v>0</v>
          </cell>
          <cell r="K7511">
            <v>0</v>
          </cell>
          <cell r="L7511">
            <v>-11.1</v>
          </cell>
          <cell r="M7511">
            <v>0</v>
          </cell>
          <cell r="N7511">
            <v>0</v>
          </cell>
          <cell r="O7511">
            <v>0</v>
          </cell>
          <cell r="P7511">
            <v>0</v>
          </cell>
          <cell r="Q7511">
            <v>0</v>
          </cell>
          <cell r="R7511">
            <v>0</v>
          </cell>
          <cell r="S7511">
            <v>-0.13</v>
          </cell>
          <cell r="T7511">
            <v>0</v>
          </cell>
          <cell r="U7511" t="b">
            <v>1</v>
          </cell>
        </row>
        <row r="7512">
          <cell r="A7512" t="str">
            <v>Data split-20;Reg-11</v>
          </cell>
          <cell r="B7512">
            <v>-2.1</v>
          </cell>
          <cell r="C7512">
            <v>3</v>
          </cell>
          <cell r="D7512">
            <v>0</v>
          </cell>
          <cell r="E7512">
            <v>-2.2000000000000002</v>
          </cell>
          <cell r="F7512">
            <v>0</v>
          </cell>
          <cell r="G7512">
            <v>0.49</v>
          </cell>
          <cell r="H7512">
            <v>0</v>
          </cell>
          <cell r="I7512">
            <v>0</v>
          </cell>
          <cell r="J7512">
            <v>0</v>
          </cell>
          <cell r="K7512">
            <v>0</v>
          </cell>
          <cell r="L7512">
            <v>0</v>
          </cell>
          <cell r="M7512">
            <v>0</v>
          </cell>
          <cell r="N7512">
            <v>0</v>
          </cell>
          <cell r="O7512">
            <v>0</v>
          </cell>
          <cell r="P7512">
            <v>0</v>
          </cell>
          <cell r="Q7512">
            <v>0</v>
          </cell>
          <cell r="R7512">
            <v>0</v>
          </cell>
          <cell r="S7512">
            <v>0</v>
          </cell>
          <cell r="T7512">
            <v>0</v>
          </cell>
          <cell r="U7512" t="b">
            <v>0</v>
          </cell>
        </row>
        <row r="7513">
          <cell r="A7513" t="str">
            <v>Data split-20;Reg-12</v>
          </cell>
          <cell r="B7513">
            <v>-1.7</v>
          </cell>
          <cell r="C7513">
            <v>3</v>
          </cell>
          <cell r="D7513">
            <v>0</v>
          </cell>
          <cell r="E7513">
            <v>-3</v>
          </cell>
          <cell r="F7513">
            <v>0</v>
          </cell>
          <cell r="G7513">
            <v>0</v>
          </cell>
          <cell r="H7513">
            <v>1.8</v>
          </cell>
          <cell r="I7513">
            <v>0</v>
          </cell>
          <cell r="J7513">
            <v>0</v>
          </cell>
          <cell r="K7513">
            <v>0</v>
          </cell>
          <cell r="L7513">
            <v>0</v>
          </cell>
          <cell r="M7513">
            <v>0</v>
          </cell>
          <cell r="N7513">
            <v>0</v>
          </cell>
          <cell r="O7513">
            <v>0</v>
          </cell>
          <cell r="P7513">
            <v>0</v>
          </cell>
          <cell r="Q7513">
            <v>0</v>
          </cell>
          <cell r="R7513">
            <v>0</v>
          </cell>
          <cell r="S7513">
            <v>0</v>
          </cell>
          <cell r="T7513">
            <v>0</v>
          </cell>
          <cell r="U7513" t="b">
            <v>0</v>
          </cell>
        </row>
        <row r="7514">
          <cell r="A7514" t="str">
            <v>Data split-20;Reg-13</v>
          </cell>
          <cell r="B7514">
            <v>-4.0999999999999996</v>
          </cell>
          <cell r="C7514">
            <v>2.8</v>
          </cell>
          <cell r="D7514">
            <v>0</v>
          </cell>
          <cell r="E7514">
            <v>0</v>
          </cell>
          <cell r="F7514">
            <v>1.6E-2</v>
          </cell>
          <cell r="G7514">
            <v>-0.86</v>
          </cell>
          <cell r="H7514">
            <v>0</v>
          </cell>
          <cell r="I7514">
            <v>0</v>
          </cell>
          <cell r="J7514">
            <v>0</v>
          </cell>
          <cell r="K7514">
            <v>0</v>
          </cell>
          <cell r="L7514">
            <v>0</v>
          </cell>
          <cell r="M7514">
            <v>0</v>
          </cell>
          <cell r="N7514">
            <v>0</v>
          </cell>
          <cell r="O7514">
            <v>0</v>
          </cell>
          <cell r="P7514">
            <v>0</v>
          </cell>
          <cell r="Q7514">
            <v>0</v>
          </cell>
          <cell r="R7514">
            <v>0</v>
          </cell>
          <cell r="S7514">
            <v>0</v>
          </cell>
          <cell r="T7514">
            <v>0</v>
          </cell>
          <cell r="U7514" t="b">
            <v>0</v>
          </cell>
        </row>
        <row r="7515">
          <cell r="A7515" t="str">
            <v>Data split-20;Reg-14</v>
          </cell>
          <cell r="B7515">
            <v>-3.4</v>
          </cell>
          <cell r="C7515">
            <v>2.8</v>
          </cell>
          <cell r="D7515">
            <v>0</v>
          </cell>
          <cell r="E7515">
            <v>0</v>
          </cell>
          <cell r="F7515">
            <v>0.49</v>
          </cell>
          <cell r="G7515">
            <v>0</v>
          </cell>
          <cell r="H7515">
            <v>-2.1</v>
          </cell>
          <cell r="I7515">
            <v>0</v>
          </cell>
          <cell r="J7515">
            <v>0</v>
          </cell>
          <cell r="K7515">
            <v>0</v>
          </cell>
          <cell r="L7515">
            <v>0</v>
          </cell>
          <cell r="M7515">
            <v>0</v>
          </cell>
          <cell r="N7515">
            <v>0</v>
          </cell>
          <cell r="O7515">
            <v>0</v>
          </cell>
          <cell r="P7515">
            <v>0</v>
          </cell>
          <cell r="Q7515">
            <v>0</v>
          </cell>
          <cell r="R7515">
            <v>0</v>
          </cell>
          <cell r="S7515">
            <v>0</v>
          </cell>
          <cell r="T7515">
            <v>0</v>
          </cell>
          <cell r="U7515" t="b">
            <v>0</v>
          </cell>
        </row>
        <row r="7516">
          <cell r="A7516" t="str">
            <v>Data split-20;Reg-15</v>
          </cell>
          <cell r="B7516">
            <v>-2</v>
          </cell>
          <cell r="C7516">
            <v>3.1</v>
          </cell>
          <cell r="D7516">
            <v>0</v>
          </cell>
          <cell r="E7516">
            <v>-1.9</v>
          </cell>
          <cell r="F7516">
            <v>0</v>
          </cell>
          <cell r="G7516">
            <v>0</v>
          </cell>
          <cell r="H7516">
            <v>0</v>
          </cell>
          <cell r="I7516">
            <v>0</v>
          </cell>
          <cell r="J7516">
            <v>0</v>
          </cell>
          <cell r="K7516">
            <v>0</v>
          </cell>
          <cell r="L7516">
            <v>0</v>
          </cell>
          <cell r="M7516">
            <v>1.6E-2</v>
          </cell>
          <cell r="N7516">
            <v>0</v>
          </cell>
          <cell r="O7516">
            <v>0</v>
          </cell>
          <cell r="P7516">
            <v>0</v>
          </cell>
          <cell r="Q7516">
            <v>0</v>
          </cell>
          <cell r="R7516">
            <v>0</v>
          </cell>
          <cell r="S7516">
            <v>0</v>
          </cell>
          <cell r="T7516">
            <v>0</v>
          </cell>
          <cell r="U7516" t="b">
            <v>0</v>
          </cell>
        </row>
        <row r="7517">
          <cell r="A7517" t="str">
            <v>Data split-20;Reg-16</v>
          </cell>
          <cell r="B7517">
            <v>-1.6</v>
          </cell>
          <cell r="C7517">
            <v>3.1</v>
          </cell>
          <cell r="D7517">
            <v>0</v>
          </cell>
          <cell r="E7517">
            <v>-2.2000000000000002</v>
          </cell>
          <cell r="F7517">
            <v>0</v>
          </cell>
          <cell r="G7517">
            <v>0</v>
          </cell>
          <cell r="H7517">
            <v>0</v>
          </cell>
          <cell r="I7517">
            <v>0</v>
          </cell>
          <cell r="J7517">
            <v>0</v>
          </cell>
          <cell r="K7517">
            <v>0</v>
          </cell>
          <cell r="L7517">
            <v>0</v>
          </cell>
          <cell r="M7517">
            <v>0</v>
          </cell>
          <cell r="N7517">
            <v>9.4000000000000004E-3</v>
          </cell>
          <cell r="O7517">
            <v>0</v>
          </cell>
          <cell r="P7517">
            <v>0</v>
          </cell>
          <cell r="Q7517">
            <v>0</v>
          </cell>
          <cell r="R7517">
            <v>0</v>
          </cell>
          <cell r="S7517">
            <v>0</v>
          </cell>
          <cell r="T7517">
            <v>0</v>
          </cell>
          <cell r="U7517" t="b">
            <v>0</v>
          </cell>
        </row>
        <row r="7518">
          <cell r="A7518" t="str">
            <v>Data split-20;Reg-17</v>
          </cell>
          <cell r="B7518">
            <v>-4.5999999999999996</v>
          </cell>
          <cell r="C7518">
            <v>2.6</v>
          </cell>
          <cell r="D7518">
            <v>0</v>
          </cell>
          <cell r="E7518">
            <v>0</v>
          </cell>
          <cell r="F7518">
            <v>0.3</v>
          </cell>
          <cell r="G7518">
            <v>0</v>
          </cell>
          <cell r="H7518">
            <v>0</v>
          </cell>
          <cell r="I7518">
            <v>0</v>
          </cell>
          <cell r="J7518">
            <v>0</v>
          </cell>
          <cell r="K7518">
            <v>0</v>
          </cell>
          <cell r="L7518">
            <v>0</v>
          </cell>
          <cell r="M7518">
            <v>-9.4E-2</v>
          </cell>
          <cell r="N7518">
            <v>0</v>
          </cell>
          <cell r="O7518">
            <v>0</v>
          </cell>
          <cell r="P7518">
            <v>0</v>
          </cell>
          <cell r="Q7518">
            <v>0</v>
          </cell>
          <cell r="R7518">
            <v>0</v>
          </cell>
          <cell r="S7518">
            <v>0</v>
          </cell>
          <cell r="T7518">
            <v>0</v>
          </cell>
          <cell r="U7518" t="b">
            <v>1</v>
          </cell>
        </row>
        <row r="7519">
          <cell r="A7519" t="str">
            <v>Data split-20;Reg-18</v>
          </cell>
          <cell r="B7519">
            <v>-5</v>
          </cell>
          <cell r="C7519">
            <v>2.8</v>
          </cell>
          <cell r="D7519">
            <v>0</v>
          </cell>
          <cell r="E7519">
            <v>0</v>
          </cell>
          <cell r="F7519">
            <v>4.5999999999999999E-2</v>
          </cell>
          <cell r="G7519">
            <v>0</v>
          </cell>
          <cell r="H7519">
            <v>0</v>
          </cell>
          <cell r="I7519">
            <v>0</v>
          </cell>
          <cell r="J7519">
            <v>0</v>
          </cell>
          <cell r="K7519">
            <v>0</v>
          </cell>
          <cell r="L7519">
            <v>0</v>
          </cell>
          <cell r="M7519">
            <v>0</v>
          </cell>
          <cell r="N7519">
            <v>-1.6E-2</v>
          </cell>
          <cell r="O7519">
            <v>0</v>
          </cell>
          <cell r="P7519">
            <v>0</v>
          </cell>
          <cell r="Q7519">
            <v>0</v>
          </cell>
          <cell r="R7519">
            <v>0</v>
          </cell>
          <cell r="S7519">
            <v>0</v>
          </cell>
          <cell r="T7519">
            <v>0</v>
          </cell>
          <cell r="U7519" t="b">
            <v>1</v>
          </cell>
        </row>
        <row r="7520">
          <cell r="A7520" t="str">
            <v>Data split-20;Reg-19</v>
          </cell>
          <cell r="B7520">
            <v>-4.0999999999999996</v>
          </cell>
          <cell r="C7520">
            <v>2.8</v>
          </cell>
          <cell r="D7520">
            <v>0</v>
          </cell>
          <cell r="E7520">
            <v>0</v>
          </cell>
          <cell r="F7520">
            <v>0</v>
          </cell>
          <cell r="G7520">
            <v>-0.13</v>
          </cell>
          <cell r="H7520">
            <v>0</v>
          </cell>
          <cell r="I7520">
            <v>0</v>
          </cell>
          <cell r="J7520">
            <v>0</v>
          </cell>
          <cell r="K7520">
            <v>0</v>
          </cell>
          <cell r="L7520">
            <v>0</v>
          </cell>
          <cell r="M7520">
            <v>0</v>
          </cell>
          <cell r="N7520">
            <v>0</v>
          </cell>
          <cell r="O7520">
            <v>-8.2000000000000003E-2</v>
          </cell>
          <cell r="P7520">
            <v>0</v>
          </cell>
          <cell r="Q7520">
            <v>0</v>
          </cell>
          <cell r="R7520">
            <v>0</v>
          </cell>
          <cell r="S7520">
            <v>0</v>
          </cell>
          <cell r="T7520">
            <v>0</v>
          </cell>
          <cell r="U7520" t="b">
            <v>0</v>
          </cell>
        </row>
        <row r="7521">
          <cell r="A7521" t="str">
            <v>Data split-20;Reg-20</v>
          </cell>
          <cell r="B7521">
            <v>-4.5999999999999996</v>
          </cell>
          <cell r="C7521">
            <v>2.8</v>
          </cell>
          <cell r="D7521">
            <v>0</v>
          </cell>
          <cell r="E7521">
            <v>0</v>
          </cell>
          <cell r="F7521">
            <v>0</v>
          </cell>
          <cell r="G7521">
            <v>-0.21</v>
          </cell>
          <cell r="H7521">
            <v>0</v>
          </cell>
          <cell r="I7521">
            <v>0</v>
          </cell>
          <cell r="J7521">
            <v>0</v>
          </cell>
          <cell r="K7521">
            <v>0</v>
          </cell>
          <cell r="L7521">
            <v>0</v>
          </cell>
          <cell r="M7521">
            <v>0</v>
          </cell>
          <cell r="N7521">
            <v>0</v>
          </cell>
          <cell r="O7521">
            <v>0</v>
          </cell>
          <cell r="P7521">
            <v>-1.4E-2</v>
          </cell>
          <cell r="Q7521">
            <v>0</v>
          </cell>
          <cell r="R7521">
            <v>0</v>
          </cell>
          <cell r="S7521">
            <v>0</v>
          </cell>
          <cell r="T7521">
            <v>0</v>
          </cell>
          <cell r="U7521" t="b">
            <v>0</v>
          </cell>
        </row>
        <row r="7522">
          <cell r="A7522" t="str">
            <v>Data split-20;Reg-21</v>
          </cell>
          <cell r="B7522">
            <v>-3.6</v>
          </cell>
          <cell r="C7522">
            <v>2.9</v>
          </cell>
          <cell r="D7522">
            <v>0</v>
          </cell>
          <cell r="E7522">
            <v>0</v>
          </cell>
          <cell r="F7522">
            <v>0</v>
          </cell>
          <cell r="G7522">
            <v>0</v>
          </cell>
          <cell r="H7522">
            <v>-0.81</v>
          </cell>
          <cell r="I7522">
            <v>0</v>
          </cell>
          <cell r="J7522">
            <v>0</v>
          </cell>
          <cell r="K7522">
            <v>0</v>
          </cell>
          <cell r="L7522">
            <v>0</v>
          </cell>
          <cell r="M7522">
            <v>0</v>
          </cell>
          <cell r="N7522">
            <v>0</v>
          </cell>
          <cell r="O7522">
            <v>-5.7000000000000002E-2</v>
          </cell>
          <cell r="P7522">
            <v>0</v>
          </cell>
          <cell r="Q7522">
            <v>0</v>
          </cell>
          <cell r="R7522">
            <v>0</v>
          </cell>
          <cell r="S7522">
            <v>0</v>
          </cell>
          <cell r="T7522">
            <v>0</v>
          </cell>
          <cell r="U7522" t="b">
            <v>0</v>
          </cell>
        </row>
        <row r="7523">
          <cell r="A7523" t="str">
            <v>Data split-20;Reg-22</v>
          </cell>
          <cell r="B7523">
            <v>-3.7</v>
          </cell>
          <cell r="C7523">
            <v>3</v>
          </cell>
          <cell r="D7523">
            <v>0</v>
          </cell>
          <cell r="E7523">
            <v>0</v>
          </cell>
          <cell r="F7523">
            <v>0</v>
          </cell>
          <cell r="G7523">
            <v>0</v>
          </cell>
          <cell r="H7523">
            <v>-1.4</v>
          </cell>
          <cell r="I7523">
            <v>0</v>
          </cell>
          <cell r="J7523">
            <v>0</v>
          </cell>
          <cell r="K7523">
            <v>0</v>
          </cell>
          <cell r="L7523">
            <v>0</v>
          </cell>
          <cell r="M7523">
            <v>0</v>
          </cell>
          <cell r="N7523">
            <v>0</v>
          </cell>
          <cell r="O7523">
            <v>0</v>
          </cell>
          <cell r="P7523">
            <v>-4.4000000000000003E-3</v>
          </cell>
          <cell r="Q7523">
            <v>0</v>
          </cell>
          <cell r="R7523">
            <v>0</v>
          </cell>
          <cell r="S7523">
            <v>0</v>
          </cell>
          <cell r="T7523">
            <v>0</v>
          </cell>
          <cell r="U7523" t="b">
            <v>0</v>
          </cell>
        </row>
        <row r="7524">
          <cell r="A7524" t="str">
            <v>Data split-20;Reg-23</v>
          </cell>
          <cell r="B7524">
            <v>-2.8</v>
          </cell>
          <cell r="C7524">
            <v>0</v>
          </cell>
          <cell r="D7524">
            <v>3.2</v>
          </cell>
          <cell r="E7524">
            <v>-2.4</v>
          </cell>
          <cell r="F7524">
            <v>0</v>
          </cell>
          <cell r="G7524">
            <v>0.46</v>
          </cell>
          <cell r="H7524">
            <v>0</v>
          </cell>
          <cell r="I7524">
            <v>0</v>
          </cell>
          <cell r="J7524">
            <v>0</v>
          </cell>
          <cell r="K7524">
            <v>0</v>
          </cell>
          <cell r="L7524">
            <v>0</v>
          </cell>
          <cell r="M7524">
            <v>0</v>
          </cell>
          <cell r="N7524">
            <v>0</v>
          </cell>
          <cell r="O7524">
            <v>0</v>
          </cell>
          <cell r="P7524">
            <v>0</v>
          </cell>
          <cell r="Q7524">
            <v>0</v>
          </cell>
          <cell r="R7524">
            <v>0</v>
          </cell>
          <cell r="S7524">
            <v>0</v>
          </cell>
          <cell r="T7524">
            <v>0</v>
          </cell>
          <cell r="U7524" t="b">
            <v>0</v>
          </cell>
        </row>
        <row r="7525">
          <cell r="A7525" t="str">
            <v>Data split-20;Reg-24</v>
          </cell>
          <cell r="B7525">
            <v>-2.2999999999999998</v>
          </cell>
          <cell r="C7525">
            <v>0</v>
          </cell>
          <cell r="D7525">
            <v>3.1</v>
          </cell>
          <cell r="E7525">
            <v>-3.4</v>
          </cell>
          <cell r="F7525">
            <v>0</v>
          </cell>
          <cell r="G7525">
            <v>0</v>
          </cell>
          <cell r="H7525">
            <v>2</v>
          </cell>
          <cell r="I7525">
            <v>0</v>
          </cell>
          <cell r="J7525">
            <v>0</v>
          </cell>
          <cell r="K7525">
            <v>0</v>
          </cell>
          <cell r="L7525">
            <v>0</v>
          </cell>
          <cell r="M7525">
            <v>0</v>
          </cell>
          <cell r="N7525">
            <v>0</v>
          </cell>
          <cell r="O7525">
            <v>0</v>
          </cell>
          <cell r="P7525">
            <v>0</v>
          </cell>
          <cell r="Q7525">
            <v>0</v>
          </cell>
          <cell r="R7525">
            <v>0</v>
          </cell>
          <cell r="S7525">
            <v>0</v>
          </cell>
          <cell r="T7525">
            <v>0</v>
          </cell>
          <cell r="U7525" t="b">
            <v>0</v>
          </cell>
        </row>
        <row r="7526">
          <cell r="A7526" t="str">
            <v>Data split-20;Reg-25</v>
          </cell>
          <cell r="B7526">
            <v>-4.8</v>
          </cell>
          <cell r="C7526">
            <v>0</v>
          </cell>
          <cell r="D7526">
            <v>3</v>
          </cell>
          <cell r="E7526">
            <v>0</v>
          </cell>
          <cell r="F7526">
            <v>-0.19</v>
          </cell>
          <cell r="G7526">
            <v>-0.9</v>
          </cell>
          <cell r="H7526">
            <v>0</v>
          </cell>
          <cell r="I7526">
            <v>0</v>
          </cell>
          <cell r="J7526">
            <v>0</v>
          </cell>
          <cell r="K7526">
            <v>0</v>
          </cell>
          <cell r="L7526">
            <v>0</v>
          </cell>
          <cell r="M7526">
            <v>0</v>
          </cell>
          <cell r="N7526">
            <v>0</v>
          </cell>
          <cell r="O7526">
            <v>0</v>
          </cell>
          <cell r="P7526">
            <v>0</v>
          </cell>
          <cell r="Q7526">
            <v>0</v>
          </cell>
          <cell r="R7526">
            <v>0</v>
          </cell>
          <cell r="S7526">
            <v>0</v>
          </cell>
          <cell r="T7526">
            <v>0</v>
          </cell>
          <cell r="U7526" t="b">
            <v>0</v>
          </cell>
        </row>
        <row r="7527">
          <cell r="A7527" t="str">
            <v>Data split-20;Reg-26</v>
          </cell>
          <cell r="B7527">
            <v>-4.3</v>
          </cell>
          <cell r="C7527">
            <v>0</v>
          </cell>
          <cell r="D7527">
            <v>3</v>
          </cell>
          <cell r="E7527">
            <v>0</v>
          </cell>
          <cell r="F7527">
            <v>0.27</v>
          </cell>
          <cell r="G7527">
            <v>0</v>
          </cell>
          <cell r="H7527">
            <v>-2.1</v>
          </cell>
          <cell r="I7527">
            <v>0</v>
          </cell>
          <cell r="J7527">
            <v>0</v>
          </cell>
          <cell r="K7527">
            <v>0</v>
          </cell>
          <cell r="L7527">
            <v>0</v>
          </cell>
          <cell r="M7527">
            <v>0</v>
          </cell>
          <cell r="N7527">
            <v>0</v>
          </cell>
          <cell r="O7527">
            <v>0</v>
          </cell>
          <cell r="P7527">
            <v>0</v>
          </cell>
          <cell r="Q7527">
            <v>0</v>
          </cell>
          <cell r="R7527">
            <v>0</v>
          </cell>
          <cell r="S7527">
            <v>0</v>
          </cell>
          <cell r="T7527">
            <v>0</v>
          </cell>
          <cell r="U7527" t="b">
            <v>0</v>
          </cell>
        </row>
        <row r="7528">
          <cell r="A7528" t="str">
            <v>Data split-20;Reg-27</v>
          </cell>
          <cell r="B7528">
            <v>-2.6</v>
          </cell>
          <cell r="C7528">
            <v>0</v>
          </cell>
          <cell r="D7528">
            <v>3.2</v>
          </cell>
          <cell r="E7528">
            <v>-2.2000000000000002</v>
          </cell>
          <cell r="F7528">
            <v>0</v>
          </cell>
          <cell r="G7528">
            <v>0</v>
          </cell>
          <cell r="H7528">
            <v>0</v>
          </cell>
          <cell r="I7528">
            <v>0</v>
          </cell>
          <cell r="J7528">
            <v>0</v>
          </cell>
          <cell r="K7528">
            <v>0</v>
          </cell>
          <cell r="L7528">
            <v>0</v>
          </cell>
          <cell r="M7528">
            <v>2.7E-2</v>
          </cell>
          <cell r="N7528">
            <v>0</v>
          </cell>
          <cell r="O7528">
            <v>0</v>
          </cell>
          <cell r="P7528">
            <v>0</v>
          </cell>
          <cell r="Q7528">
            <v>0</v>
          </cell>
          <cell r="R7528">
            <v>0</v>
          </cell>
          <cell r="S7528">
            <v>0</v>
          </cell>
          <cell r="T7528">
            <v>0</v>
          </cell>
          <cell r="U7528" t="b">
            <v>0</v>
          </cell>
        </row>
        <row r="7529">
          <cell r="A7529" t="str">
            <v>Data split-20;Reg-28</v>
          </cell>
          <cell r="B7529">
            <v>-2.2000000000000002</v>
          </cell>
          <cell r="C7529">
            <v>0</v>
          </cell>
          <cell r="D7529">
            <v>3.2</v>
          </cell>
          <cell r="E7529">
            <v>-2.5</v>
          </cell>
          <cell r="F7529">
            <v>0</v>
          </cell>
          <cell r="G7529">
            <v>0</v>
          </cell>
          <cell r="H7529">
            <v>0</v>
          </cell>
          <cell r="I7529">
            <v>0</v>
          </cell>
          <cell r="J7529">
            <v>0</v>
          </cell>
          <cell r="K7529">
            <v>0</v>
          </cell>
          <cell r="L7529">
            <v>0</v>
          </cell>
          <cell r="M7529">
            <v>0</v>
          </cell>
          <cell r="N7529">
            <v>1.0999999999999999E-2</v>
          </cell>
          <cell r="O7529">
            <v>0</v>
          </cell>
          <cell r="P7529">
            <v>0</v>
          </cell>
          <cell r="Q7529">
            <v>0</v>
          </cell>
          <cell r="R7529">
            <v>0</v>
          </cell>
          <cell r="S7529">
            <v>0</v>
          </cell>
          <cell r="T7529">
            <v>0</v>
          </cell>
          <cell r="U7529" t="b">
            <v>0</v>
          </cell>
        </row>
        <row r="7530">
          <cell r="A7530" t="str">
            <v>Data split-20;Reg-29</v>
          </cell>
          <cell r="B7530">
            <v>-5.4</v>
          </cell>
          <cell r="C7530">
            <v>0</v>
          </cell>
          <cell r="D7530">
            <v>2.8</v>
          </cell>
          <cell r="E7530">
            <v>0</v>
          </cell>
          <cell r="F7530">
            <v>4.1000000000000002E-2</v>
          </cell>
          <cell r="G7530">
            <v>0</v>
          </cell>
          <cell r="H7530">
            <v>0</v>
          </cell>
          <cell r="I7530">
            <v>0</v>
          </cell>
          <cell r="J7530">
            <v>0</v>
          </cell>
          <cell r="K7530">
            <v>0</v>
          </cell>
          <cell r="L7530">
            <v>0</v>
          </cell>
          <cell r="M7530">
            <v>-8.7999999999999995E-2</v>
          </cell>
          <cell r="N7530">
            <v>0</v>
          </cell>
          <cell r="O7530">
            <v>0</v>
          </cell>
          <cell r="P7530">
            <v>0</v>
          </cell>
          <cell r="Q7530">
            <v>0</v>
          </cell>
          <cell r="R7530">
            <v>0</v>
          </cell>
          <cell r="S7530">
            <v>0</v>
          </cell>
          <cell r="T7530">
            <v>0</v>
          </cell>
          <cell r="U7530" t="b">
            <v>1</v>
          </cell>
        </row>
        <row r="7531">
          <cell r="A7531" t="str">
            <v>Data split-20;Reg-30</v>
          </cell>
          <cell r="B7531">
            <v>-5.8</v>
          </cell>
          <cell r="C7531">
            <v>0</v>
          </cell>
          <cell r="D7531">
            <v>2.9</v>
          </cell>
          <cell r="E7531">
            <v>0</v>
          </cell>
          <cell r="F7531">
            <v>-0.18</v>
          </cell>
          <cell r="G7531">
            <v>0</v>
          </cell>
          <cell r="H7531">
            <v>0</v>
          </cell>
          <cell r="I7531">
            <v>0</v>
          </cell>
          <cell r="J7531">
            <v>0</v>
          </cell>
          <cell r="K7531">
            <v>0</v>
          </cell>
          <cell r="L7531">
            <v>0</v>
          </cell>
          <cell r="M7531">
            <v>0</v>
          </cell>
          <cell r="N7531">
            <v>-1.6E-2</v>
          </cell>
          <cell r="O7531">
            <v>0</v>
          </cell>
          <cell r="P7531">
            <v>0</v>
          </cell>
          <cell r="Q7531">
            <v>0</v>
          </cell>
          <cell r="R7531">
            <v>0</v>
          </cell>
          <cell r="S7531">
            <v>0</v>
          </cell>
          <cell r="T7531">
            <v>0</v>
          </cell>
          <cell r="U7531" t="b">
            <v>0</v>
          </cell>
        </row>
        <row r="7532">
          <cell r="A7532" t="str">
            <v>Data split-20;Reg-31</v>
          </cell>
          <cell r="B7532">
            <v>-4.8</v>
          </cell>
          <cell r="C7532">
            <v>0</v>
          </cell>
          <cell r="D7532">
            <v>2.9</v>
          </cell>
          <cell r="E7532">
            <v>0</v>
          </cell>
          <cell r="F7532">
            <v>0</v>
          </cell>
          <cell r="G7532">
            <v>-0.31</v>
          </cell>
          <cell r="H7532">
            <v>0</v>
          </cell>
          <cell r="I7532">
            <v>0</v>
          </cell>
          <cell r="J7532">
            <v>0</v>
          </cell>
          <cell r="K7532">
            <v>0</v>
          </cell>
          <cell r="L7532">
            <v>0</v>
          </cell>
          <cell r="M7532">
            <v>0</v>
          </cell>
          <cell r="N7532">
            <v>0</v>
          </cell>
          <cell r="O7532">
            <v>-7.3999999999999996E-2</v>
          </cell>
          <cell r="P7532">
            <v>0</v>
          </cell>
          <cell r="Q7532">
            <v>0</v>
          </cell>
          <cell r="R7532">
            <v>0</v>
          </cell>
          <cell r="S7532">
            <v>0</v>
          </cell>
          <cell r="T7532">
            <v>0</v>
          </cell>
          <cell r="U7532" t="b">
            <v>0</v>
          </cell>
        </row>
        <row r="7533">
          <cell r="A7533" t="str">
            <v>Data split-20;Reg-32</v>
          </cell>
          <cell r="B7533">
            <v>-5.3</v>
          </cell>
          <cell r="C7533">
            <v>0</v>
          </cell>
          <cell r="D7533">
            <v>2.9</v>
          </cell>
          <cell r="E7533">
            <v>0</v>
          </cell>
          <cell r="F7533">
            <v>0</v>
          </cell>
          <cell r="G7533">
            <v>-0.41</v>
          </cell>
          <cell r="H7533">
            <v>0</v>
          </cell>
          <cell r="I7533">
            <v>0</v>
          </cell>
          <cell r="J7533">
            <v>0</v>
          </cell>
          <cell r="K7533">
            <v>0</v>
          </cell>
          <cell r="L7533">
            <v>0</v>
          </cell>
          <cell r="M7533">
            <v>0</v>
          </cell>
          <cell r="N7533">
            <v>0</v>
          </cell>
          <cell r="O7533">
            <v>0</v>
          </cell>
          <cell r="P7533">
            <v>-1.2E-2</v>
          </cell>
          <cell r="Q7533">
            <v>0</v>
          </cell>
          <cell r="R7533">
            <v>0</v>
          </cell>
          <cell r="S7533">
            <v>0</v>
          </cell>
          <cell r="T7533">
            <v>0</v>
          </cell>
          <cell r="U7533" t="b">
            <v>0</v>
          </cell>
        </row>
        <row r="7534">
          <cell r="A7534" t="str">
            <v>Data split-20;Reg-33</v>
          </cell>
          <cell r="B7534">
            <v>-4.4000000000000004</v>
          </cell>
          <cell r="C7534">
            <v>0</v>
          </cell>
          <cell r="D7534">
            <v>3</v>
          </cell>
          <cell r="E7534">
            <v>0</v>
          </cell>
          <cell r="F7534">
            <v>0</v>
          </cell>
          <cell r="G7534">
            <v>0</v>
          </cell>
          <cell r="H7534">
            <v>-1.1000000000000001</v>
          </cell>
          <cell r="I7534">
            <v>0</v>
          </cell>
          <cell r="J7534">
            <v>0</v>
          </cell>
          <cell r="K7534">
            <v>0</v>
          </cell>
          <cell r="L7534">
            <v>0</v>
          </cell>
          <cell r="M7534">
            <v>0</v>
          </cell>
          <cell r="N7534">
            <v>0</v>
          </cell>
          <cell r="O7534">
            <v>-4.8000000000000001E-2</v>
          </cell>
          <cell r="P7534">
            <v>0</v>
          </cell>
          <cell r="Q7534">
            <v>0</v>
          </cell>
          <cell r="R7534">
            <v>0</v>
          </cell>
          <cell r="S7534">
            <v>0</v>
          </cell>
          <cell r="T7534">
            <v>0</v>
          </cell>
          <cell r="U7534" t="b">
            <v>0</v>
          </cell>
        </row>
        <row r="7535">
          <cell r="A7535" t="str">
            <v>Data split-20;Reg-34</v>
          </cell>
          <cell r="B7535">
            <v>-4.4000000000000004</v>
          </cell>
          <cell r="C7535">
            <v>0</v>
          </cell>
          <cell r="D7535">
            <v>3.1</v>
          </cell>
          <cell r="E7535">
            <v>0</v>
          </cell>
          <cell r="F7535">
            <v>0</v>
          </cell>
          <cell r="G7535">
            <v>0</v>
          </cell>
          <cell r="H7535">
            <v>-1.7</v>
          </cell>
          <cell r="I7535">
            <v>0</v>
          </cell>
          <cell r="J7535">
            <v>0</v>
          </cell>
          <cell r="K7535">
            <v>0</v>
          </cell>
          <cell r="L7535">
            <v>0</v>
          </cell>
          <cell r="M7535">
            <v>0</v>
          </cell>
          <cell r="N7535">
            <v>0</v>
          </cell>
          <cell r="O7535">
            <v>0</v>
          </cell>
          <cell r="P7535">
            <v>-2.2000000000000001E-3</v>
          </cell>
          <cell r="Q7535">
            <v>0</v>
          </cell>
          <cell r="R7535">
            <v>0</v>
          </cell>
          <cell r="S7535">
            <v>0</v>
          </cell>
          <cell r="T7535">
            <v>0</v>
          </cell>
          <cell r="U7535" t="b">
            <v>0</v>
          </cell>
        </row>
        <row r="7536">
          <cell r="A7536" t="str">
            <v>Data split-20;Reg-35</v>
          </cell>
          <cell r="B7536">
            <v>-2.1</v>
          </cell>
          <cell r="C7536">
            <v>3</v>
          </cell>
          <cell r="D7536">
            <v>0</v>
          </cell>
          <cell r="E7536">
            <v>-2.2000000000000002</v>
          </cell>
          <cell r="F7536">
            <v>0</v>
          </cell>
          <cell r="G7536">
            <v>0.48</v>
          </cell>
          <cell r="H7536">
            <v>0</v>
          </cell>
          <cell r="I7536">
            <v>0</v>
          </cell>
          <cell r="J7536">
            <v>0</v>
          </cell>
          <cell r="K7536">
            <v>0</v>
          </cell>
          <cell r="L7536">
            <v>0</v>
          </cell>
          <cell r="M7536">
            <v>5.9000000000000003E-4</v>
          </cell>
          <cell r="N7536">
            <v>0</v>
          </cell>
          <cell r="O7536">
            <v>0</v>
          </cell>
          <cell r="P7536">
            <v>0</v>
          </cell>
          <cell r="Q7536">
            <v>0</v>
          </cell>
          <cell r="R7536">
            <v>0</v>
          </cell>
          <cell r="S7536">
            <v>0</v>
          </cell>
          <cell r="T7536">
            <v>0</v>
          </cell>
          <cell r="U7536" t="b">
            <v>0</v>
          </cell>
        </row>
        <row r="7537">
          <cell r="A7537" t="str">
            <v>Data split-20;Reg-36</v>
          </cell>
          <cell r="B7537">
            <v>-1.7</v>
          </cell>
          <cell r="C7537">
            <v>3</v>
          </cell>
          <cell r="D7537">
            <v>0</v>
          </cell>
          <cell r="E7537">
            <v>-2.4</v>
          </cell>
          <cell r="F7537">
            <v>0</v>
          </cell>
          <cell r="G7537">
            <v>0.3</v>
          </cell>
          <cell r="H7537">
            <v>0</v>
          </cell>
          <cell r="I7537">
            <v>0</v>
          </cell>
          <cell r="J7537">
            <v>0</v>
          </cell>
          <cell r="K7537">
            <v>0</v>
          </cell>
          <cell r="L7537">
            <v>0</v>
          </cell>
          <cell r="M7537">
            <v>0</v>
          </cell>
          <cell r="N7537">
            <v>6.6E-3</v>
          </cell>
          <cell r="O7537">
            <v>0</v>
          </cell>
          <cell r="P7537">
            <v>0</v>
          </cell>
          <cell r="Q7537">
            <v>0</v>
          </cell>
          <cell r="R7537">
            <v>0</v>
          </cell>
          <cell r="S7537">
            <v>0</v>
          </cell>
          <cell r="T7537">
            <v>0</v>
          </cell>
          <cell r="U7537" t="b">
            <v>0</v>
          </cell>
        </row>
        <row r="7538">
          <cell r="A7538" t="str">
            <v>Data split-20;Reg-37</v>
          </cell>
          <cell r="B7538">
            <v>-1.8</v>
          </cell>
          <cell r="C7538">
            <v>2.9</v>
          </cell>
          <cell r="D7538">
            <v>0</v>
          </cell>
          <cell r="E7538">
            <v>-3.3</v>
          </cell>
          <cell r="F7538">
            <v>0</v>
          </cell>
          <cell r="G7538">
            <v>0</v>
          </cell>
          <cell r="H7538">
            <v>2.8</v>
          </cell>
          <cell r="I7538">
            <v>0</v>
          </cell>
          <cell r="J7538">
            <v>0</v>
          </cell>
          <cell r="K7538">
            <v>0</v>
          </cell>
          <cell r="L7538">
            <v>0</v>
          </cell>
          <cell r="M7538">
            <v>-4.5999999999999999E-2</v>
          </cell>
          <cell r="N7538">
            <v>0</v>
          </cell>
          <cell r="O7538">
            <v>0</v>
          </cell>
          <cell r="P7538">
            <v>0</v>
          </cell>
          <cell r="Q7538">
            <v>0</v>
          </cell>
          <cell r="R7538">
            <v>0</v>
          </cell>
          <cell r="S7538">
            <v>0</v>
          </cell>
          <cell r="T7538">
            <v>0</v>
          </cell>
          <cell r="U7538" t="b">
            <v>0</v>
          </cell>
        </row>
        <row r="7539">
          <cell r="A7539" t="str">
            <v>Data split-20;Reg-38</v>
          </cell>
          <cell r="B7539">
            <v>-1.9</v>
          </cell>
          <cell r="C7539">
            <v>3</v>
          </cell>
          <cell r="D7539">
            <v>0</v>
          </cell>
          <cell r="E7539">
            <v>-3.2</v>
          </cell>
          <cell r="F7539">
            <v>0</v>
          </cell>
          <cell r="G7539">
            <v>0</v>
          </cell>
          <cell r="H7539">
            <v>2.4</v>
          </cell>
          <cell r="I7539">
            <v>0</v>
          </cell>
          <cell r="J7539">
            <v>0</v>
          </cell>
          <cell r="K7539">
            <v>0</v>
          </cell>
          <cell r="L7539">
            <v>0</v>
          </cell>
          <cell r="M7539">
            <v>0</v>
          </cell>
          <cell r="N7539">
            <v>-4.5999999999999999E-3</v>
          </cell>
          <cell r="O7539">
            <v>0</v>
          </cell>
          <cell r="P7539">
            <v>0</v>
          </cell>
          <cell r="Q7539">
            <v>0</v>
          </cell>
          <cell r="R7539">
            <v>0</v>
          </cell>
          <cell r="S7539">
            <v>0</v>
          </cell>
          <cell r="T7539">
            <v>0</v>
          </cell>
          <cell r="U7539" t="b">
            <v>0</v>
          </cell>
        </row>
        <row r="7540">
          <cell r="A7540" t="str">
            <v>Data split-20;Reg-39</v>
          </cell>
          <cell r="B7540">
            <v>-4.2</v>
          </cell>
          <cell r="C7540">
            <v>2.7</v>
          </cell>
          <cell r="D7540">
            <v>0</v>
          </cell>
          <cell r="E7540">
            <v>0</v>
          </cell>
          <cell r="F7540">
            <v>0.31</v>
          </cell>
          <cell r="G7540">
            <v>-0.35</v>
          </cell>
          <cell r="H7540">
            <v>0</v>
          </cell>
          <cell r="I7540">
            <v>0</v>
          </cell>
          <cell r="J7540">
            <v>0</v>
          </cell>
          <cell r="K7540">
            <v>0</v>
          </cell>
          <cell r="L7540">
            <v>0</v>
          </cell>
          <cell r="M7540">
            <v>-7.0000000000000007E-2</v>
          </cell>
          <cell r="N7540">
            <v>0</v>
          </cell>
          <cell r="O7540">
            <v>0</v>
          </cell>
          <cell r="P7540">
            <v>0</v>
          </cell>
          <cell r="Q7540">
            <v>0</v>
          </cell>
          <cell r="R7540">
            <v>0</v>
          </cell>
          <cell r="S7540">
            <v>0</v>
          </cell>
          <cell r="T7540">
            <v>0</v>
          </cell>
          <cell r="U7540" t="b">
            <v>0</v>
          </cell>
        </row>
        <row r="7541">
          <cell r="A7541" t="str">
            <v>Data split-20;Reg-40</v>
          </cell>
          <cell r="B7541">
            <v>-4.4000000000000004</v>
          </cell>
          <cell r="C7541">
            <v>2.8</v>
          </cell>
          <cell r="D7541">
            <v>0</v>
          </cell>
          <cell r="E7541">
            <v>0</v>
          </cell>
          <cell r="F7541">
            <v>0.1</v>
          </cell>
          <cell r="G7541">
            <v>-0.51</v>
          </cell>
          <cell r="H7541">
            <v>0</v>
          </cell>
          <cell r="I7541">
            <v>0</v>
          </cell>
          <cell r="J7541">
            <v>0</v>
          </cell>
          <cell r="K7541">
            <v>0</v>
          </cell>
          <cell r="L7541">
            <v>0</v>
          </cell>
          <cell r="M7541">
            <v>0</v>
          </cell>
          <cell r="N7541">
            <v>-8.3999999999999995E-3</v>
          </cell>
          <cell r="O7541">
            <v>0</v>
          </cell>
          <cell r="P7541">
            <v>0</v>
          </cell>
          <cell r="Q7541">
            <v>0</v>
          </cell>
          <cell r="R7541">
            <v>0</v>
          </cell>
          <cell r="S7541">
            <v>0</v>
          </cell>
          <cell r="T7541">
            <v>0</v>
          </cell>
          <cell r="U7541" t="b">
            <v>0</v>
          </cell>
        </row>
        <row r="7542">
          <cell r="A7542" t="str">
            <v>Data split-20;Reg-41</v>
          </cell>
          <cell r="B7542">
            <v>-3.5</v>
          </cell>
          <cell r="C7542">
            <v>2.8</v>
          </cell>
          <cell r="D7542">
            <v>0</v>
          </cell>
          <cell r="E7542">
            <v>0</v>
          </cell>
          <cell r="F7542">
            <v>0.5</v>
          </cell>
          <cell r="G7542">
            <v>0</v>
          </cell>
          <cell r="H7542">
            <v>-2</v>
          </cell>
          <cell r="I7542">
            <v>0</v>
          </cell>
          <cell r="J7542">
            <v>0</v>
          </cell>
          <cell r="K7542">
            <v>0</v>
          </cell>
          <cell r="L7542">
            <v>0</v>
          </cell>
          <cell r="M7542">
            <v>-8.3999999999999995E-3</v>
          </cell>
          <cell r="N7542">
            <v>0</v>
          </cell>
          <cell r="O7542">
            <v>0</v>
          </cell>
          <cell r="P7542">
            <v>0</v>
          </cell>
          <cell r="Q7542">
            <v>0</v>
          </cell>
          <cell r="R7542">
            <v>0</v>
          </cell>
          <cell r="S7542">
            <v>0</v>
          </cell>
          <cell r="T7542">
            <v>0</v>
          </cell>
          <cell r="U7542" t="b">
            <v>0</v>
          </cell>
        </row>
        <row r="7543">
          <cell r="A7543" t="str">
            <v>Data split-20;Reg-42</v>
          </cell>
          <cell r="B7543">
            <v>-2.1</v>
          </cell>
          <cell r="C7543">
            <v>2.9</v>
          </cell>
          <cell r="D7543">
            <v>0</v>
          </cell>
          <cell r="E7543">
            <v>0</v>
          </cell>
          <cell r="F7543">
            <v>0.68</v>
          </cell>
          <cell r="G7543">
            <v>0</v>
          </cell>
          <cell r="H7543">
            <v>-4.5</v>
          </cell>
          <cell r="I7543">
            <v>0</v>
          </cell>
          <cell r="J7543">
            <v>0</v>
          </cell>
          <cell r="K7543">
            <v>0</v>
          </cell>
          <cell r="L7543">
            <v>0</v>
          </cell>
          <cell r="M7543">
            <v>0</v>
          </cell>
          <cell r="N7543">
            <v>2.5999999999999999E-2</v>
          </cell>
          <cell r="O7543">
            <v>0</v>
          </cell>
          <cell r="P7543">
            <v>0</v>
          </cell>
          <cell r="Q7543">
            <v>0</v>
          </cell>
          <cell r="R7543">
            <v>0</v>
          </cell>
          <cell r="S7543">
            <v>0</v>
          </cell>
          <cell r="T7543">
            <v>0</v>
          </cell>
          <cell r="U7543" t="b">
            <v>0</v>
          </cell>
        </row>
        <row r="7544">
          <cell r="A7544" t="str">
            <v>Data split-20;Reg-43</v>
          </cell>
          <cell r="B7544">
            <v>-2.2999999999999998</v>
          </cell>
          <cell r="C7544">
            <v>3</v>
          </cell>
          <cell r="D7544">
            <v>0</v>
          </cell>
          <cell r="E7544">
            <v>-1.9</v>
          </cell>
          <cell r="F7544">
            <v>0</v>
          </cell>
          <cell r="G7544">
            <v>0.78</v>
          </cell>
          <cell r="H7544">
            <v>0</v>
          </cell>
          <cell r="I7544">
            <v>0</v>
          </cell>
          <cell r="J7544">
            <v>0</v>
          </cell>
          <cell r="K7544">
            <v>0</v>
          </cell>
          <cell r="L7544">
            <v>0</v>
          </cell>
          <cell r="M7544">
            <v>0</v>
          </cell>
          <cell r="N7544">
            <v>0</v>
          </cell>
          <cell r="O7544">
            <v>-5.1999999999999998E-2</v>
          </cell>
          <cell r="P7544">
            <v>0</v>
          </cell>
          <cell r="Q7544">
            <v>0</v>
          </cell>
          <cell r="R7544">
            <v>0</v>
          </cell>
          <cell r="S7544">
            <v>0</v>
          </cell>
          <cell r="T7544">
            <v>0</v>
          </cell>
          <cell r="U7544" t="b">
            <v>0</v>
          </cell>
        </row>
        <row r="7545">
          <cell r="A7545" t="str">
            <v>Data split-20;Reg-44</v>
          </cell>
          <cell r="B7545">
            <v>-2.4</v>
          </cell>
          <cell r="C7545">
            <v>3</v>
          </cell>
          <cell r="D7545">
            <v>0</v>
          </cell>
          <cell r="E7545">
            <v>-2.1</v>
          </cell>
          <cell r="F7545">
            <v>0</v>
          </cell>
          <cell r="G7545">
            <v>0.73</v>
          </cell>
          <cell r="H7545">
            <v>0</v>
          </cell>
          <cell r="I7545">
            <v>0</v>
          </cell>
          <cell r="J7545">
            <v>0</v>
          </cell>
          <cell r="K7545">
            <v>0</v>
          </cell>
          <cell r="L7545">
            <v>0</v>
          </cell>
          <cell r="M7545">
            <v>0</v>
          </cell>
          <cell r="N7545">
            <v>0</v>
          </cell>
          <cell r="O7545">
            <v>0</v>
          </cell>
          <cell r="P7545">
            <v>-6.7999999999999996E-3</v>
          </cell>
          <cell r="Q7545">
            <v>0</v>
          </cell>
          <cell r="R7545">
            <v>0</v>
          </cell>
          <cell r="S7545">
            <v>0</v>
          </cell>
          <cell r="T7545">
            <v>0</v>
          </cell>
          <cell r="U7545" t="b">
            <v>0</v>
          </cell>
        </row>
        <row r="7546">
          <cell r="A7546" t="str">
            <v>Data split-20;Reg-45</v>
          </cell>
          <cell r="B7546">
            <v>-1.8</v>
          </cell>
          <cell r="C7546">
            <v>2.9</v>
          </cell>
          <cell r="D7546">
            <v>0</v>
          </cell>
          <cell r="E7546">
            <v>-3.2</v>
          </cell>
          <cell r="F7546">
            <v>0</v>
          </cell>
          <cell r="G7546">
            <v>0</v>
          </cell>
          <cell r="H7546">
            <v>3.1</v>
          </cell>
          <cell r="I7546">
            <v>0</v>
          </cell>
          <cell r="J7546">
            <v>0</v>
          </cell>
          <cell r="K7546">
            <v>0</v>
          </cell>
          <cell r="L7546">
            <v>0</v>
          </cell>
          <cell r="M7546">
            <v>0</v>
          </cell>
          <cell r="N7546">
            <v>0</v>
          </cell>
          <cell r="O7546">
            <v>-7.0000000000000007E-2</v>
          </cell>
          <cell r="P7546">
            <v>0</v>
          </cell>
          <cell r="Q7546">
            <v>0</v>
          </cell>
          <cell r="R7546">
            <v>0</v>
          </cell>
          <cell r="S7546">
            <v>0</v>
          </cell>
          <cell r="T7546">
            <v>0</v>
          </cell>
          <cell r="U7546" t="b">
            <v>0</v>
          </cell>
        </row>
        <row r="7547">
          <cell r="A7547" t="str">
            <v>Data split-20;Reg-46</v>
          </cell>
          <cell r="B7547">
            <v>-2.1</v>
          </cell>
          <cell r="C7547">
            <v>2.9</v>
          </cell>
          <cell r="D7547">
            <v>0</v>
          </cell>
          <cell r="E7547">
            <v>-3.5</v>
          </cell>
          <cell r="F7547">
            <v>0</v>
          </cell>
          <cell r="G7547">
            <v>0</v>
          </cell>
          <cell r="H7547">
            <v>3.5</v>
          </cell>
          <cell r="I7547">
            <v>0</v>
          </cell>
          <cell r="J7547">
            <v>0</v>
          </cell>
          <cell r="K7547">
            <v>0</v>
          </cell>
          <cell r="L7547">
            <v>0</v>
          </cell>
          <cell r="M7547">
            <v>0</v>
          </cell>
          <cell r="N7547">
            <v>0</v>
          </cell>
          <cell r="O7547">
            <v>0</v>
          </cell>
          <cell r="P7547">
            <v>-1.4999999999999999E-2</v>
          </cell>
          <cell r="Q7547">
            <v>0</v>
          </cell>
          <cell r="R7547">
            <v>0</v>
          </cell>
          <cell r="S7547">
            <v>0</v>
          </cell>
          <cell r="T7547">
            <v>0</v>
          </cell>
          <cell r="U7547" t="b">
            <v>0</v>
          </cell>
        </row>
        <row r="7548">
          <cell r="A7548" t="str">
            <v>Data split-20;Reg-47</v>
          </cell>
          <cell r="B7548">
            <v>-4.3</v>
          </cell>
          <cell r="C7548">
            <v>2.5</v>
          </cell>
          <cell r="D7548">
            <v>0</v>
          </cell>
          <cell r="E7548">
            <v>0</v>
          </cell>
          <cell r="F7548">
            <v>0.64</v>
          </cell>
          <cell r="G7548">
            <v>-0.14000000000000001</v>
          </cell>
          <cell r="H7548">
            <v>0</v>
          </cell>
          <cell r="I7548">
            <v>0</v>
          </cell>
          <cell r="J7548">
            <v>0</v>
          </cell>
          <cell r="K7548">
            <v>0</v>
          </cell>
          <cell r="L7548">
            <v>0</v>
          </cell>
          <cell r="M7548">
            <v>0</v>
          </cell>
          <cell r="N7548">
            <v>0</v>
          </cell>
          <cell r="O7548">
            <v>-0.11</v>
          </cell>
          <cell r="P7548">
            <v>0</v>
          </cell>
          <cell r="Q7548">
            <v>0</v>
          </cell>
          <cell r="R7548">
            <v>0</v>
          </cell>
          <cell r="S7548">
            <v>0</v>
          </cell>
          <cell r="T7548">
            <v>0</v>
          </cell>
          <cell r="U7548" t="b">
            <v>0</v>
          </cell>
        </row>
        <row r="7549">
          <cell r="A7549" t="str">
            <v>Data split-20;Reg-48</v>
          </cell>
          <cell r="B7549">
            <v>-4.7</v>
          </cell>
          <cell r="C7549">
            <v>2.7</v>
          </cell>
          <cell r="D7549">
            <v>0</v>
          </cell>
          <cell r="E7549">
            <v>0</v>
          </cell>
          <cell r="F7549">
            <v>0.31</v>
          </cell>
          <cell r="G7549">
            <v>-0.21</v>
          </cell>
          <cell r="H7549">
            <v>0</v>
          </cell>
          <cell r="I7549">
            <v>0</v>
          </cell>
          <cell r="J7549">
            <v>0</v>
          </cell>
          <cell r="K7549">
            <v>0</v>
          </cell>
          <cell r="L7549">
            <v>0</v>
          </cell>
          <cell r="M7549">
            <v>0</v>
          </cell>
          <cell r="N7549">
            <v>0</v>
          </cell>
          <cell r="O7549">
            <v>0</v>
          </cell>
          <cell r="P7549">
            <v>-1.6E-2</v>
          </cell>
          <cell r="Q7549">
            <v>0</v>
          </cell>
          <cell r="R7549">
            <v>0</v>
          </cell>
          <cell r="S7549">
            <v>0</v>
          </cell>
          <cell r="T7549">
            <v>0</v>
          </cell>
          <cell r="U7549" t="b">
            <v>0</v>
          </cell>
        </row>
        <row r="7550">
          <cell r="A7550" t="str">
            <v>Data split-20;Reg-49</v>
          </cell>
          <cell r="B7550">
            <v>-3.6</v>
          </cell>
          <cell r="C7550">
            <v>2.6</v>
          </cell>
          <cell r="D7550">
            <v>0</v>
          </cell>
          <cell r="E7550">
            <v>0</v>
          </cell>
          <cell r="F7550">
            <v>0.8</v>
          </cell>
          <cell r="G7550">
            <v>0</v>
          </cell>
          <cell r="H7550">
            <v>-1.1000000000000001</v>
          </cell>
          <cell r="I7550">
            <v>0</v>
          </cell>
          <cell r="J7550">
            <v>0</v>
          </cell>
          <cell r="K7550">
            <v>0</v>
          </cell>
          <cell r="L7550">
            <v>0</v>
          </cell>
          <cell r="M7550">
            <v>0</v>
          </cell>
          <cell r="N7550">
            <v>0</v>
          </cell>
          <cell r="O7550">
            <v>-7.9000000000000001E-2</v>
          </cell>
          <cell r="P7550">
            <v>0</v>
          </cell>
          <cell r="Q7550">
            <v>0</v>
          </cell>
          <cell r="R7550">
            <v>0</v>
          </cell>
          <cell r="S7550">
            <v>0</v>
          </cell>
          <cell r="T7550">
            <v>0</v>
          </cell>
          <cell r="U7550" t="b">
            <v>0</v>
          </cell>
        </row>
        <row r="7551">
          <cell r="A7551" t="str">
            <v>Data split-20;Reg-50</v>
          </cell>
          <cell r="B7551">
            <v>-3.7</v>
          </cell>
          <cell r="C7551">
            <v>2.8</v>
          </cell>
          <cell r="D7551">
            <v>0</v>
          </cell>
          <cell r="E7551">
            <v>0</v>
          </cell>
          <cell r="F7551">
            <v>0.53</v>
          </cell>
          <cell r="G7551">
            <v>0</v>
          </cell>
          <cell r="H7551">
            <v>-1.7</v>
          </cell>
          <cell r="I7551">
            <v>0</v>
          </cell>
          <cell r="J7551">
            <v>0</v>
          </cell>
          <cell r="K7551">
            <v>0</v>
          </cell>
          <cell r="L7551">
            <v>0</v>
          </cell>
          <cell r="M7551">
            <v>0</v>
          </cell>
          <cell r="N7551">
            <v>0</v>
          </cell>
          <cell r="O7551">
            <v>0</v>
          </cell>
          <cell r="P7551">
            <v>-5.8999999999999999E-3</v>
          </cell>
          <cell r="Q7551">
            <v>0</v>
          </cell>
          <cell r="R7551">
            <v>0</v>
          </cell>
          <cell r="S7551">
            <v>0</v>
          </cell>
          <cell r="T7551">
            <v>0</v>
          </cell>
          <cell r="U7551" t="b">
            <v>0</v>
          </cell>
        </row>
        <row r="7552">
          <cell r="A7552" t="str">
            <v>Data split-20;Reg-51</v>
          </cell>
          <cell r="B7552">
            <v>-2.7</v>
          </cell>
          <cell r="C7552">
            <v>0</v>
          </cell>
          <cell r="D7552">
            <v>3.2</v>
          </cell>
          <cell r="E7552">
            <v>-2.5</v>
          </cell>
          <cell r="F7552">
            <v>0</v>
          </cell>
          <cell r="G7552">
            <v>0.4</v>
          </cell>
          <cell r="H7552">
            <v>0</v>
          </cell>
          <cell r="I7552">
            <v>0</v>
          </cell>
          <cell r="J7552">
            <v>0</v>
          </cell>
          <cell r="K7552">
            <v>0</v>
          </cell>
          <cell r="L7552">
            <v>0</v>
          </cell>
          <cell r="M7552">
            <v>0</v>
          </cell>
          <cell r="N7552">
            <v>0</v>
          </cell>
          <cell r="O7552">
            <v>1.4E-2</v>
          </cell>
          <cell r="P7552">
            <v>0</v>
          </cell>
          <cell r="Q7552">
            <v>0</v>
          </cell>
          <cell r="R7552">
            <v>0</v>
          </cell>
          <cell r="S7552">
            <v>0</v>
          </cell>
          <cell r="T7552">
            <v>0</v>
          </cell>
          <cell r="U7552" t="b">
            <v>0</v>
          </cell>
        </row>
        <row r="7553">
          <cell r="A7553" t="str">
            <v>Data split-20;Reg-52</v>
          </cell>
          <cell r="B7553">
            <v>-2.2999999999999998</v>
          </cell>
          <cell r="C7553">
            <v>0</v>
          </cell>
          <cell r="D7553">
            <v>3.2</v>
          </cell>
          <cell r="E7553">
            <v>-2.7</v>
          </cell>
          <cell r="F7553">
            <v>0</v>
          </cell>
          <cell r="G7553">
            <v>0.21</v>
          </cell>
          <cell r="H7553">
            <v>0</v>
          </cell>
          <cell r="I7553">
            <v>0</v>
          </cell>
          <cell r="J7553">
            <v>0</v>
          </cell>
          <cell r="K7553">
            <v>0</v>
          </cell>
          <cell r="L7553">
            <v>0</v>
          </cell>
          <cell r="M7553">
            <v>0</v>
          </cell>
          <cell r="N7553">
            <v>9.1000000000000004E-3</v>
          </cell>
          <cell r="O7553">
            <v>0</v>
          </cell>
          <cell r="P7553">
            <v>0</v>
          </cell>
          <cell r="Q7553">
            <v>0</v>
          </cell>
          <cell r="R7553">
            <v>0</v>
          </cell>
          <cell r="S7553">
            <v>0</v>
          </cell>
          <cell r="T7553">
            <v>0</v>
          </cell>
          <cell r="U7553" t="b">
            <v>0</v>
          </cell>
        </row>
        <row r="7554">
          <cell r="A7554" t="str">
            <v>Data split-20;Reg-53</v>
          </cell>
          <cell r="B7554">
            <v>-2.4</v>
          </cell>
          <cell r="C7554">
            <v>0</v>
          </cell>
          <cell r="D7554">
            <v>3</v>
          </cell>
          <cell r="E7554">
            <v>-3.6</v>
          </cell>
          <cell r="F7554">
            <v>0</v>
          </cell>
          <cell r="G7554">
            <v>0</v>
          </cell>
          <cell r="H7554">
            <v>2.8</v>
          </cell>
          <cell r="I7554">
            <v>0</v>
          </cell>
          <cell r="J7554">
            <v>0</v>
          </cell>
          <cell r="K7554">
            <v>0</v>
          </cell>
          <cell r="L7554">
            <v>0</v>
          </cell>
          <cell r="M7554">
            <v>-3.4000000000000002E-2</v>
          </cell>
          <cell r="N7554">
            <v>0</v>
          </cell>
          <cell r="O7554">
            <v>0</v>
          </cell>
          <cell r="P7554">
            <v>0</v>
          </cell>
          <cell r="Q7554">
            <v>0</v>
          </cell>
          <cell r="R7554">
            <v>0</v>
          </cell>
          <cell r="S7554">
            <v>0</v>
          </cell>
          <cell r="T7554">
            <v>0</v>
          </cell>
          <cell r="U7554" t="b">
            <v>0</v>
          </cell>
        </row>
        <row r="7555">
          <cell r="A7555" t="str">
            <v>Data split-20;Reg-54</v>
          </cell>
          <cell r="B7555">
            <v>-2.4</v>
          </cell>
          <cell r="C7555">
            <v>0</v>
          </cell>
          <cell r="D7555">
            <v>3.1</v>
          </cell>
          <cell r="E7555">
            <v>-3.5</v>
          </cell>
          <cell r="F7555">
            <v>0</v>
          </cell>
          <cell r="G7555">
            <v>0</v>
          </cell>
          <cell r="H7555">
            <v>2.5</v>
          </cell>
          <cell r="I7555">
            <v>0</v>
          </cell>
          <cell r="J7555">
            <v>0</v>
          </cell>
          <cell r="K7555">
            <v>0</v>
          </cell>
          <cell r="L7555">
            <v>0</v>
          </cell>
          <cell r="M7555">
            <v>0</v>
          </cell>
          <cell r="N7555">
            <v>-3.5999999999999999E-3</v>
          </cell>
          <cell r="O7555">
            <v>0</v>
          </cell>
          <cell r="P7555">
            <v>0</v>
          </cell>
          <cell r="Q7555">
            <v>0</v>
          </cell>
          <cell r="R7555">
            <v>0</v>
          </cell>
          <cell r="S7555">
            <v>0</v>
          </cell>
          <cell r="T7555">
            <v>0</v>
          </cell>
          <cell r="U7555" t="b">
            <v>0</v>
          </cell>
        </row>
        <row r="7556">
          <cell r="A7556" t="str">
            <v>Data split-20;Reg-55</v>
          </cell>
          <cell r="B7556">
            <v>-4.9000000000000004</v>
          </cell>
          <cell r="C7556">
            <v>0</v>
          </cell>
          <cell r="D7556">
            <v>2.9</v>
          </cell>
          <cell r="E7556">
            <v>0</v>
          </cell>
          <cell r="F7556">
            <v>5.2999999999999999E-2</v>
          </cell>
          <cell r="G7556">
            <v>-0.51</v>
          </cell>
          <cell r="H7556">
            <v>0</v>
          </cell>
          <cell r="I7556">
            <v>0</v>
          </cell>
          <cell r="J7556">
            <v>0</v>
          </cell>
          <cell r="K7556">
            <v>0</v>
          </cell>
          <cell r="L7556">
            <v>0</v>
          </cell>
          <cell r="M7556">
            <v>-5.3999999999999999E-2</v>
          </cell>
          <cell r="N7556">
            <v>0</v>
          </cell>
          <cell r="O7556">
            <v>0</v>
          </cell>
          <cell r="P7556">
            <v>0</v>
          </cell>
          <cell r="Q7556">
            <v>0</v>
          </cell>
          <cell r="R7556">
            <v>0</v>
          </cell>
          <cell r="S7556">
            <v>0</v>
          </cell>
          <cell r="T7556">
            <v>0</v>
          </cell>
          <cell r="U7556" t="b">
            <v>0</v>
          </cell>
        </row>
        <row r="7557">
          <cell r="A7557" t="str">
            <v>Data split-20;Reg-56</v>
          </cell>
          <cell r="B7557">
            <v>-5</v>
          </cell>
          <cell r="C7557">
            <v>0</v>
          </cell>
          <cell r="D7557">
            <v>3</v>
          </cell>
          <cell r="E7557">
            <v>0</v>
          </cell>
          <cell r="F7557">
            <v>-0.12</v>
          </cell>
          <cell r="G7557">
            <v>-0.64</v>
          </cell>
          <cell r="H7557">
            <v>0</v>
          </cell>
          <cell r="I7557">
            <v>0</v>
          </cell>
          <cell r="J7557">
            <v>0</v>
          </cell>
          <cell r="K7557">
            <v>0</v>
          </cell>
          <cell r="L7557">
            <v>0</v>
          </cell>
          <cell r="M7557">
            <v>0</v>
          </cell>
          <cell r="N7557">
            <v>-6.3E-3</v>
          </cell>
          <cell r="O7557">
            <v>0</v>
          </cell>
          <cell r="P7557">
            <v>0</v>
          </cell>
          <cell r="Q7557">
            <v>0</v>
          </cell>
          <cell r="R7557">
            <v>0</v>
          </cell>
          <cell r="S7557">
            <v>0</v>
          </cell>
          <cell r="T7557">
            <v>0</v>
          </cell>
          <cell r="U7557" t="b">
            <v>0</v>
          </cell>
        </row>
        <row r="7558">
          <cell r="A7558" t="str">
            <v>Data split-20;Reg-57</v>
          </cell>
          <cell r="B7558">
            <v>-4.2</v>
          </cell>
          <cell r="C7558">
            <v>0</v>
          </cell>
          <cell r="D7558">
            <v>3</v>
          </cell>
          <cell r="E7558">
            <v>0</v>
          </cell>
          <cell r="F7558">
            <v>0.26</v>
          </cell>
          <cell r="G7558">
            <v>0</v>
          </cell>
          <cell r="H7558">
            <v>-2.2000000000000002</v>
          </cell>
          <cell r="I7558">
            <v>0</v>
          </cell>
          <cell r="J7558">
            <v>0</v>
          </cell>
          <cell r="K7558">
            <v>0</v>
          </cell>
          <cell r="L7558">
            <v>0</v>
          </cell>
          <cell r="M7558">
            <v>8.8999999999999999E-3</v>
          </cell>
          <cell r="N7558">
            <v>0</v>
          </cell>
          <cell r="O7558">
            <v>0</v>
          </cell>
          <cell r="P7558">
            <v>0</v>
          </cell>
          <cell r="Q7558">
            <v>0</v>
          </cell>
          <cell r="R7558">
            <v>0</v>
          </cell>
          <cell r="S7558">
            <v>0</v>
          </cell>
          <cell r="T7558">
            <v>0</v>
          </cell>
          <cell r="U7558" t="b">
            <v>0</v>
          </cell>
        </row>
        <row r="7559">
          <cell r="A7559" t="str">
            <v>Data split-20;Reg-58</v>
          </cell>
          <cell r="B7559">
            <v>-2.9</v>
          </cell>
          <cell r="C7559">
            <v>0</v>
          </cell>
          <cell r="D7559">
            <v>3.1</v>
          </cell>
          <cell r="E7559">
            <v>0</v>
          </cell>
          <cell r="F7559">
            <v>0.47</v>
          </cell>
          <cell r="G7559">
            <v>0</v>
          </cell>
          <cell r="H7559">
            <v>-4.5999999999999996</v>
          </cell>
          <cell r="I7559">
            <v>0</v>
          </cell>
          <cell r="J7559">
            <v>0</v>
          </cell>
          <cell r="K7559">
            <v>0</v>
          </cell>
          <cell r="L7559">
            <v>0</v>
          </cell>
          <cell r="M7559">
            <v>0</v>
          </cell>
          <cell r="N7559">
            <v>2.7E-2</v>
          </cell>
          <cell r="O7559">
            <v>0</v>
          </cell>
          <cell r="P7559">
            <v>0</v>
          </cell>
          <cell r="Q7559">
            <v>0</v>
          </cell>
          <cell r="R7559">
            <v>0</v>
          </cell>
          <cell r="S7559">
            <v>0</v>
          </cell>
          <cell r="T7559">
            <v>0</v>
          </cell>
          <cell r="U7559" t="b">
            <v>0</v>
          </cell>
        </row>
        <row r="7560">
          <cell r="A7560" t="str">
            <v>Data split-20;Reg-59</v>
          </cell>
          <cell r="B7560">
            <v>-2.9</v>
          </cell>
          <cell r="C7560">
            <v>0</v>
          </cell>
          <cell r="D7560">
            <v>3.1</v>
          </cell>
          <cell r="E7560">
            <v>-2.2000000000000002</v>
          </cell>
          <cell r="F7560">
            <v>0</v>
          </cell>
          <cell r="G7560">
            <v>0.69</v>
          </cell>
          <cell r="H7560">
            <v>0</v>
          </cell>
          <cell r="I7560">
            <v>0</v>
          </cell>
          <cell r="J7560">
            <v>0</v>
          </cell>
          <cell r="K7560">
            <v>0</v>
          </cell>
          <cell r="L7560">
            <v>0</v>
          </cell>
          <cell r="M7560">
            <v>0</v>
          </cell>
          <cell r="N7560">
            <v>0</v>
          </cell>
          <cell r="O7560">
            <v>-0.04</v>
          </cell>
          <cell r="P7560">
            <v>0</v>
          </cell>
          <cell r="Q7560">
            <v>0</v>
          </cell>
          <cell r="R7560">
            <v>0</v>
          </cell>
          <cell r="S7560">
            <v>0</v>
          </cell>
          <cell r="T7560">
            <v>0</v>
          </cell>
          <cell r="U7560" t="b">
            <v>0</v>
          </cell>
        </row>
        <row r="7561">
          <cell r="A7561" t="str">
            <v>Data split-20;Reg-60</v>
          </cell>
          <cell r="B7561">
            <v>-3</v>
          </cell>
          <cell r="C7561">
            <v>0</v>
          </cell>
          <cell r="D7561">
            <v>3.2</v>
          </cell>
          <cell r="E7561">
            <v>-2.2999999999999998</v>
          </cell>
          <cell r="F7561">
            <v>0</v>
          </cell>
          <cell r="G7561">
            <v>0.6</v>
          </cell>
          <cell r="H7561">
            <v>0</v>
          </cell>
          <cell r="I7561">
            <v>0</v>
          </cell>
          <cell r="J7561">
            <v>0</v>
          </cell>
          <cell r="K7561">
            <v>0</v>
          </cell>
          <cell r="L7561">
            <v>0</v>
          </cell>
          <cell r="M7561">
            <v>0</v>
          </cell>
          <cell r="N7561">
            <v>0</v>
          </cell>
          <cell r="O7561">
            <v>0</v>
          </cell>
          <cell r="P7561">
            <v>-4.0000000000000001E-3</v>
          </cell>
          <cell r="Q7561">
            <v>0</v>
          </cell>
          <cell r="R7561">
            <v>0</v>
          </cell>
          <cell r="S7561">
            <v>0</v>
          </cell>
          <cell r="T7561">
            <v>0</v>
          </cell>
          <cell r="U7561" t="b">
            <v>0</v>
          </cell>
        </row>
        <row r="7562">
          <cell r="A7562" t="str">
            <v>Data split-20;Reg-61</v>
          </cell>
          <cell r="B7562">
            <v>-2.4</v>
          </cell>
          <cell r="C7562">
            <v>0</v>
          </cell>
          <cell r="D7562">
            <v>3</v>
          </cell>
          <cell r="E7562">
            <v>-3.6</v>
          </cell>
          <cell r="F7562">
            <v>0</v>
          </cell>
          <cell r="G7562">
            <v>0</v>
          </cell>
          <cell r="H7562">
            <v>3.2</v>
          </cell>
          <cell r="I7562">
            <v>0</v>
          </cell>
          <cell r="J7562">
            <v>0</v>
          </cell>
          <cell r="K7562">
            <v>0</v>
          </cell>
          <cell r="L7562">
            <v>0</v>
          </cell>
          <cell r="M7562">
            <v>0</v>
          </cell>
          <cell r="N7562">
            <v>0</v>
          </cell>
          <cell r="O7562">
            <v>-6.2E-2</v>
          </cell>
          <cell r="P7562">
            <v>0</v>
          </cell>
          <cell r="Q7562">
            <v>0</v>
          </cell>
          <cell r="R7562">
            <v>0</v>
          </cell>
          <cell r="S7562">
            <v>0</v>
          </cell>
          <cell r="T7562">
            <v>0</v>
          </cell>
          <cell r="U7562" t="b">
            <v>0</v>
          </cell>
        </row>
        <row r="7563">
          <cell r="A7563" t="str">
            <v>Data split-20;Reg-62</v>
          </cell>
          <cell r="B7563">
            <v>-2.7</v>
          </cell>
          <cell r="C7563">
            <v>0</v>
          </cell>
          <cell r="D7563">
            <v>3</v>
          </cell>
          <cell r="E7563">
            <v>-3.8</v>
          </cell>
          <cell r="F7563">
            <v>0</v>
          </cell>
          <cell r="G7563">
            <v>0</v>
          </cell>
          <cell r="H7563">
            <v>3.6</v>
          </cell>
          <cell r="I7563">
            <v>0</v>
          </cell>
          <cell r="J7563">
            <v>0</v>
          </cell>
          <cell r="K7563">
            <v>0</v>
          </cell>
          <cell r="L7563">
            <v>0</v>
          </cell>
          <cell r="M7563">
            <v>0</v>
          </cell>
          <cell r="N7563">
            <v>0</v>
          </cell>
          <cell r="O7563">
            <v>0</v>
          </cell>
          <cell r="P7563">
            <v>-1.2999999999999999E-2</v>
          </cell>
          <cell r="Q7563">
            <v>0</v>
          </cell>
          <cell r="R7563">
            <v>0</v>
          </cell>
          <cell r="S7563">
            <v>0</v>
          </cell>
          <cell r="T7563">
            <v>0</v>
          </cell>
          <cell r="U7563" t="b">
            <v>0</v>
          </cell>
        </row>
        <row r="7564">
          <cell r="A7564" t="str">
            <v>Data split-20;Reg-63</v>
          </cell>
          <cell r="B7564">
            <v>-4.9000000000000004</v>
          </cell>
          <cell r="C7564">
            <v>0</v>
          </cell>
          <cell r="D7564">
            <v>2.7</v>
          </cell>
          <cell r="E7564">
            <v>0</v>
          </cell>
          <cell r="F7564">
            <v>0.35</v>
          </cell>
          <cell r="G7564">
            <v>-0.31</v>
          </cell>
          <cell r="H7564">
            <v>0</v>
          </cell>
          <cell r="I7564">
            <v>0</v>
          </cell>
          <cell r="J7564">
            <v>0</v>
          </cell>
          <cell r="K7564">
            <v>0</v>
          </cell>
          <cell r="L7564">
            <v>0</v>
          </cell>
          <cell r="M7564">
            <v>0</v>
          </cell>
          <cell r="N7564">
            <v>0</v>
          </cell>
          <cell r="O7564">
            <v>-8.7999999999999995E-2</v>
          </cell>
          <cell r="P7564">
            <v>0</v>
          </cell>
          <cell r="Q7564">
            <v>0</v>
          </cell>
          <cell r="R7564">
            <v>0</v>
          </cell>
          <cell r="S7564">
            <v>0</v>
          </cell>
          <cell r="T7564">
            <v>0</v>
          </cell>
          <cell r="U7564" t="b">
            <v>0</v>
          </cell>
        </row>
        <row r="7565">
          <cell r="A7565" t="str">
            <v>Data split-20;Reg-64</v>
          </cell>
          <cell r="B7565">
            <v>-5.3</v>
          </cell>
          <cell r="C7565">
            <v>0</v>
          </cell>
          <cell r="D7565">
            <v>2.9</v>
          </cell>
          <cell r="E7565">
            <v>0</v>
          </cell>
          <cell r="F7565">
            <v>4.8000000000000001E-2</v>
          </cell>
          <cell r="G7565">
            <v>-0.41</v>
          </cell>
          <cell r="H7565">
            <v>0</v>
          </cell>
          <cell r="I7565">
            <v>0</v>
          </cell>
          <cell r="J7565">
            <v>0</v>
          </cell>
          <cell r="K7565">
            <v>0</v>
          </cell>
          <cell r="L7565">
            <v>0</v>
          </cell>
          <cell r="M7565">
            <v>0</v>
          </cell>
          <cell r="N7565">
            <v>0</v>
          </cell>
          <cell r="O7565">
            <v>0</v>
          </cell>
          <cell r="P7565">
            <v>-1.2E-2</v>
          </cell>
          <cell r="Q7565">
            <v>0</v>
          </cell>
          <cell r="R7565">
            <v>0</v>
          </cell>
          <cell r="S7565">
            <v>0</v>
          </cell>
          <cell r="T7565">
            <v>0</v>
          </cell>
          <cell r="U7565" t="b">
            <v>0</v>
          </cell>
        </row>
        <row r="7566">
          <cell r="A7566" t="str">
            <v>Data split-20;Reg-65</v>
          </cell>
          <cell r="B7566">
            <v>-4.4000000000000004</v>
          </cell>
          <cell r="C7566">
            <v>0</v>
          </cell>
          <cell r="D7566">
            <v>2.8</v>
          </cell>
          <cell r="E7566">
            <v>0</v>
          </cell>
          <cell r="F7566">
            <v>0.53</v>
          </cell>
          <cell r="G7566">
            <v>0</v>
          </cell>
          <cell r="H7566">
            <v>-1.3</v>
          </cell>
          <cell r="I7566">
            <v>0</v>
          </cell>
          <cell r="J7566">
            <v>0</v>
          </cell>
          <cell r="K7566">
            <v>0</v>
          </cell>
          <cell r="L7566">
            <v>0</v>
          </cell>
          <cell r="M7566">
            <v>0</v>
          </cell>
          <cell r="N7566">
            <v>0</v>
          </cell>
          <cell r="O7566">
            <v>-6.3E-2</v>
          </cell>
          <cell r="P7566">
            <v>0</v>
          </cell>
          <cell r="Q7566">
            <v>0</v>
          </cell>
          <cell r="R7566">
            <v>0</v>
          </cell>
          <cell r="S7566">
            <v>0</v>
          </cell>
          <cell r="T7566">
            <v>0</v>
          </cell>
          <cell r="U7566" t="b">
            <v>0</v>
          </cell>
        </row>
        <row r="7567">
          <cell r="A7567" t="str">
            <v>Data split-20;Reg-66</v>
          </cell>
          <cell r="B7567">
            <v>-4.4000000000000004</v>
          </cell>
          <cell r="C7567">
            <v>0</v>
          </cell>
          <cell r="D7567">
            <v>3</v>
          </cell>
          <cell r="E7567">
            <v>0</v>
          </cell>
          <cell r="F7567">
            <v>0.28999999999999998</v>
          </cell>
          <cell r="G7567">
            <v>0</v>
          </cell>
          <cell r="H7567">
            <v>-1.9</v>
          </cell>
          <cell r="I7567">
            <v>0</v>
          </cell>
          <cell r="J7567">
            <v>0</v>
          </cell>
          <cell r="K7567">
            <v>0</v>
          </cell>
          <cell r="L7567">
            <v>0</v>
          </cell>
          <cell r="M7567">
            <v>0</v>
          </cell>
          <cell r="N7567">
            <v>0</v>
          </cell>
          <cell r="O7567">
            <v>0</v>
          </cell>
          <cell r="P7567">
            <v>-3.0999999999999999E-3</v>
          </cell>
          <cell r="Q7567">
            <v>0</v>
          </cell>
          <cell r="R7567">
            <v>0</v>
          </cell>
          <cell r="S7567">
            <v>0</v>
          </cell>
          <cell r="T7567">
            <v>0</v>
          </cell>
          <cell r="U7567" t="b">
            <v>0</v>
          </cell>
        </row>
        <row r="7568">
          <cell r="A7568" t="str">
            <v>Data split-20;Reg-67</v>
          </cell>
          <cell r="B7568">
            <v>-4.0999999999999996</v>
          </cell>
          <cell r="C7568">
            <v>2.8</v>
          </cell>
          <cell r="D7568">
            <v>0</v>
          </cell>
          <cell r="E7568">
            <v>0</v>
          </cell>
          <cell r="F7568">
            <v>0</v>
          </cell>
          <cell r="G7568">
            <v>-0.85</v>
          </cell>
          <cell r="H7568">
            <v>0</v>
          </cell>
          <cell r="I7568">
            <v>0</v>
          </cell>
          <cell r="J7568">
            <v>0</v>
          </cell>
          <cell r="K7568">
            <v>0</v>
          </cell>
          <cell r="L7568">
            <v>0</v>
          </cell>
          <cell r="M7568">
            <v>0</v>
          </cell>
          <cell r="N7568">
            <v>0</v>
          </cell>
          <cell r="O7568">
            <v>0</v>
          </cell>
          <cell r="P7568">
            <v>0</v>
          </cell>
          <cell r="Q7568">
            <v>0</v>
          </cell>
          <cell r="R7568">
            <v>0</v>
          </cell>
          <cell r="S7568">
            <v>0</v>
          </cell>
          <cell r="T7568">
            <v>0</v>
          </cell>
          <cell r="U7568" t="b">
            <v>0</v>
          </cell>
        </row>
        <row r="7569">
          <cell r="A7569" t="str">
            <v>Data split-20;Reg-68</v>
          </cell>
          <cell r="B7569">
            <v>-4.0999999999999996</v>
          </cell>
          <cell r="C7569">
            <v>2.8</v>
          </cell>
          <cell r="D7569">
            <v>0</v>
          </cell>
          <cell r="E7569">
            <v>0</v>
          </cell>
          <cell r="F7569">
            <v>1.6E-2</v>
          </cell>
          <cell r="G7569">
            <v>-0.86</v>
          </cell>
          <cell r="H7569">
            <v>0</v>
          </cell>
          <cell r="I7569">
            <v>0</v>
          </cell>
          <cell r="J7569">
            <v>0</v>
          </cell>
          <cell r="K7569">
            <v>0</v>
          </cell>
          <cell r="L7569">
            <v>0</v>
          </cell>
          <cell r="M7569">
            <v>0</v>
          </cell>
          <cell r="N7569">
            <v>0</v>
          </cell>
          <cell r="O7569">
            <v>0</v>
          </cell>
          <cell r="P7569">
            <v>0</v>
          </cell>
          <cell r="Q7569">
            <v>0</v>
          </cell>
          <cell r="R7569">
            <v>0</v>
          </cell>
          <cell r="S7569">
            <v>0</v>
          </cell>
          <cell r="T7569">
            <v>0</v>
          </cell>
          <cell r="U7569" t="b">
            <v>0</v>
          </cell>
        </row>
        <row r="7570">
          <cell r="A7570" t="str">
            <v>Data split-20;Reg-69</v>
          </cell>
          <cell r="B7570">
            <v>-11.2</v>
          </cell>
          <cell r="C7570">
            <v>3</v>
          </cell>
          <cell r="D7570">
            <v>0</v>
          </cell>
          <cell r="E7570">
            <v>0</v>
          </cell>
          <cell r="F7570">
            <v>0</v>
          </cell>
          <cell r="G7570">
            <v>-1.6</v>
          </cell>
          <cell r="H7570">
            <v>0</v>
          </cell>
          <cell r="I7570">
            <v>0</v>
          </cell>
          <cell r="J7570">
            <v>42</v>
          </cell>
          <cell r="K7570">
            <v>0</v>
          </cell>
          <cell r="L7570">
            <v>0</v>
          </cell>
          <cell r="M7570">
            <v>0</v>
          </cell>
          <cell r="N7570">
            <v>0</v>
          </cell>
          <cell r="O7570">
            <v>0</v>
          </cell>
          <cell r="P7570">
            <v>0</v>
          </cell>
          <cell r="Q7570">
            <v>0</v>
          </cell>
          <cell r="R7570">
            <v>0</v>
          </cell>
          <cell r="S7570">
            <v>0</v>
          </cell>
          <cell r="T7570">
            <v>0</v>
          </cell>
          <cell r="U7570" t="b">
            <v>0</v>
          </cell>
        </row>
        <row r="7571">
          <cell r="A7571" t="str">
            <v>Data split-20;Reg-70</v>
          </cell>
          <cell r="B7571">
            <v>-10.199999999999999</v>
          </cell>
          <cell r="C7571">
            <v>3</v>
          </cell>
          <cell r="D7571">
            <v>0</v>
          </cell>
          <cell r="E7571">
            <v>0</v>
          </cell>
          <cell r="F7571">
            <v>0</v>
          </cell>
          <cell r="G7571">
            <v>-0.62</v>
          </cell>
          <cell r="H7571">
            <v>0</v>
          </cell>
          <cell r="I7571">
            <v>0</v>
          </cell>
          <cell r="J7571">
            <v>37.4</v>
          </cell>
          <cell r="K7571">
            <v>0</v>
          </cell>
          <cell r="L7571">
            <v>0</v>
          </cell>
          <cell r="M7571">
            <v>0</v>
          </cell>
          <cell r="N7571">
            <v>0</v>
          </cell>
          <cell r="O7571">
            <v>0</v>
          </cell>
          <cell r="P7571">
            <v>0</v>
          </cell>
          <cell r="Q7571">
            <v>0</v>
          </cell>
          <cell r="R7571">
            <v>0</v>
          </cell>
          <cell r="S7571">
            <v>-0.11</v>
          </cell>
          <cell r="T7571">
            <v>0</v>
          </cell>
          <cell r="U7571" t="b">
            <v>0</v>
          </cell>
        </row>
        <row r="7572">
          <cell r="A7572" t="str">
            <v>Data split-20;Reg-71</v>
          </cell>
          <cell r="B7572">
            <v>-4.5</v>
          </cell>
          <cell r="C7572">
            <v>2.7</v>
          </cell>
          <cell r="D7572">
            <v>0</v>
          </cell>
          <cell r="E7572">
            <v>0</v>
          </cell>
          <cell r="F7572">
            <v>0.64</v>
          </cell>
          <cell r="G7572">
            <v>0</v>
          </cell>
          <cell r="H7572">
            <v>-0.36</v>
          </cell>
          <cell r="I7572">
            <v>0</v>
          </cell>
          <cell r="J7572">
            <v>0</v>
          </cell>
          <cell r="K7572">
            <v>0</v>
          </cell>
          <cell r="L7572">
            <v>0</v>
          </cell>
          <cell r="M7572">
            <v>0</v>
          </cell>
          <cell r="N7572">
            <v>0</v>
          </cell>
          <cell r="O7572">
            <v>0</v>
          </cell>
          <cell r="P7572">
            <v>0</v>
          </cell>
          <cell r="Q7572">
            <v>0</v>
          </cell>
          <cell r="R7572">
            <v>0</v>
          </cell>
          <cell r="S7572">
            <v>-0.13</v>
          </cell>
          <cell r="T7572">
            <v>0</v>
          </cell>
          <cell r="U7572" t="b">
            <v>0</v>
          </cell>
        </row>
        <row r="7573">
          <cell r="A7573" t="str">
            <v>Data split-20;Reg-72</v>
          </cell>
          <cell r="B7573">
            <v>-2.1</v>
          </cell>
          <cell r="C7573">
            <v>3.1</v>
          </cell>
          <cell r="D7573">
            <v>0</v>
          </cell>
          <cell r="E7573">
            <v>-1.7</v>
          </cell>
          <cell r="F7573">
            <v>0</v>
          </cell>
          <cell r="G7573">
            <v>0</v>
          </cell>
          <cell r="H7573">
            <v>0</v>
          </cell>
          <cell r="I7573">
            <v>0</v>
          </cell>
          <cell r="J7573">
            <v>0</v>
          </cell>
          <cell r="K7573">
            <v>0</v>
          </cell>
          <cell r="L7573">
            <v>0</v>
          </cell>
          <cell r="M7573">
            <v>0</v>
          </cell>
          <cell r="N7573">
            <v>0</v>
          </cell>
          <cell r="O7573">
            <v>0</v>
          </cell>
          <cell r="P7573">
            <v>0</v>
          </cell>
          <cell r="Q7573">
            <v>0</v>
          </cell>
          <cell r="R7573">
            <v>0</v>
          </cell>
          <cell r="S7573">
            <v>0</v>
          </cell>
          <cell r="T7573">
            <v>0</v>
          </cell>
          <cell r="U7573" t="b">
            <v>0</v>
          </cell>
        </row>
        <row r="7574">
          <cell r="A7574" t="str">
            <v>Data split-20;Reg-73</v>
          </cell>
          <cell r="B7574">
            <v>-5.9</v>
          </cell>
          <cell r="C7574">
            <v>2.7</v>
          </cell>
          <cell r="D7574">
            <v>0</v>
          </cell>
          <cell r="E7574">
            <v>0</v>
          </cell>
          <cell r="F7574">
            <v>-0.54</v>
          </cell>
          <cell r="G7574">
            <v>0</v>
          </cell>
          <cell r="H7574">
            <v>0</v>
          </cell>
          <cell r="I7574">
            <v>0</v>
          </cell>
          <cell r="J7574">
            <v>0</v>
          </cell>
          <cell r="K7574">
            <v>0</v>
          </cell>
          <cell r="L7574">
            <v>0</v>
          </cell>
          <cell r="M7574">
            <v>0</v>
          </cell>
          <cell r="N7574">
            <v>0</v>
          </cell>
          <cell r="O7574">
            <v>0</v>
          </cell>
          <cell r="P7574">
            <v>0</v>
          </cell>
          <cell r="Q7574">
            <v>0</v>
          </cell>
          <cell r="R7574">
            <v>0</v>
          </cell>
          <cell r="S7574">
            <v>0</v>
          </cell>
          <cell r="T7574">
            <v>0</v>
          </cell>
          <cell r="U7574" t="b">
            <v>0</v>
          </cell>
        </row>
        <row r="7575">
          <cell r="A7575" t="str">
            <v>Data split-20;Reg-74</v>
          </cell>
          <cell r="B7575">
            <v>-2.8</v>
          </cell>
          <cell r="C7575">
            <v>0</v>
          </cell>
          <cell r="D7575">
            <v>3.2</v>
          </cell>
          <cell r="E7575">
            <v>-1.9</v>
          </cell>
          <cell r="F7575">
            <v>0</v>
          </cell>
          <cell r="G7575">
            <v>0</v>
          </cell>
          <cell r="H7575">
            <v>0</v>
          </cell>
          <cell r="I7575">
            <v>0</v>
          </cell>
          <cell r="J7575">
            <v>0</v>
          </cell>
          <cell r="K7575">
            <v>0</v>
          </cell>
          <cell r="L7575">
            <v>0</v>
          </cell>
          <cell r="M7575">
            <v>0</v>
          </cell>
          <cell r="N7575">
            <v>0</v>
          </cell>
          <cell r="O7575">
            <v>0</v>
          </cell>
          <cell r="P7575">
            <v>0</v>
          </cell>
          <cell r="Q7575">
            <v>0</v>
          </cell>
          <cell r="R7575">
            <v>0</v>
          </cell>
          <cell r="S7575">
            <v>0</v>
          </cell>
          <cell r="T7575">
            <v>0</v>
          </cell>
          <cell r="U7575" t="b">
            <v>0</v>
          </cell>
        </row>
        <row r="7576">
          <cell r="A7576" t="str">
            <v>Data split-20;Reg-75</v>
          </cell>
          <cell r="B7576">
            <v>-6.7</v>
          </cell>
          <cell r="C7576">
            <v>0</v>
          </cell>
          <cell r="D7576">
            <v>2.9</v>
          </cell>
          <cell r="E7576">
            <v>0</v>
          </cell>
          <cell r="F7576">
            <v>-0.76</v>
          </cell>
          <cell r="G7576">
            <v>0</v>
          </cell>
          <cell r="H7576">
            <v>0</v>
          </cell>
          <cell r="I7576">
            <v>0</v>
          </cell>
          <cell r="J7576">
            <v>0</v>
          </cell>
          <cell r="K7576">
            <v>0</v>
          </cell>
          <cell r="L7576">
            <v>0</v>
          </cell>
          <cell r="M7576">
            <v>0</v>
          </cell>
          <cell r="N7576">
            <v>0</v>
          </cell>
          <cell r="O7576">
            <v>0</v>
          </cell>
          <cell r="P7576">
            <v>0</v>
          </cell>
          <cell r="Q7576">
            <v>0</v>
          </cell>
          <cell r="R7576">
            <v>0</v>
          </cell>
          <cell r="S7576">
            <v>0</v>
          </cell>
          <cell r="T7576">
            <v>0</v>
          </cell>
          <cell r="U7576" t="b">
            <v>0</v>
          </cell>
        </row>
        <row r="7577">
          <cell r="A7577" t="str">
            <v>Data split-20;Reg-76</v>
          </cell>
          <cell r="B7577">
            <v>-4.0999999999999996</v>
          </cell>
          <cell r="C7577">
            <v>2.8</v>
          </cell>
          <cell r="D7577">
            <v>0</v>
          </cell>
          <cell r="E7577">
            <v>0</v>
          </cell>
          <cell r="F7577">
            <v>0</v>
          </cell>
          <cell r="G7577">
            <v>-0.85</v>
          </cell>
          <cell r="H7577">
            <v>0</v>
          </cell>
          <cell r="I7577">
            <v>0</v>
          </cell>
          <cell r="J7577">
            <v>0</v>
          </cell>
          <cell r="K7577">
            <v>0</v>
          </cell>
          <cell r="L7577">
            <v>0</v>
          </cell>
          <cell r="M7577">
            <v>0</v>
          </cell>
          <cell r="N7577">
            <v>0</v>
          </cell>
          <cell r="O7577">
            <v>0</v>
          </cell>
          <cell r="P7577">
            <v>0</v>
          </cell>
          <cell r="Q7577">
            <v>0</v>
          </cell>
          <cell r="R7577">
            <v>0</v>
          </cell>
          <cell r="S7577">
            <v>0</v>
          </cell>
          <cell r="T7577">
            <v>0</v>
          </cell>
          <cell r="U7577" t="b">
            <v>0</v>
          </cell>
        </row>
        <row r="7578">
          <cell r="A7578" t="str">
            <v>Data split-20;Reg-77</v>
          </cell>
          <cell r="B7578">
            <v>-3.5</v>
          </cell>
          <cell r="C7578">
            <v>3</v>
          </cell>
          <cell r="D7578">
            <v>0</v>
          </cell>
          <cell r="E7578">
            <v>0</v>
          </cell>
          <cell r="F7578">
            <v>0</v>
          </cell>
          <cell r="G7578">
            <v>0</v>
          </cell>
          <cell r="H7578">
            <v>-1.7</v>
          </cell>
          <cell r="I7578">
            <v>0</v>
          </cell>
          <cell r="J7578">
            <v>0</v>
          </cell>
          <cell r="K7578">
            <v>0</v>
          </cell>
          <cell r="L7578">
            <v>0</v>
          </cell>
          <cell r="M7578">
            <v>0</v>
          </cell>
          <cell r="N7578">
            <v>0</v>
          </cell>
          <cell r="O7578">
            <v>0</v>
          </cell>
          <cell r="P7578">
            <v>0</v>
          </cell>
          <cell r="Q7578">
            <v>0</v>
          </cell>
          <cell r="R7578">
            <v>0</v>
          </cell>
          <cell r="S7578">
            <v>0</v>
          </cell>
          <cell r="T7578">
            <v>0</v>
          </cell>
          <cell r="U7578" t="b">
            <v>0</v>
          </cell>
        </row>
        <row r="7579">
          <cell r="A7579" t="str">
            <v>Data split-20;Reg-78</v>
          </cell>
          <cell r="B7579">
            <v>-4.9000000000000004</v>
          </cell>
          <cell r="C7579">
            <v>0</v>
          </cell>
          <cell r="D7579">
            <v>2.9</v>
          </cell>
          <cell r="E7579">
            <v>0</v>
          </cell>
          <cell r="F7579">
            <v>0</v>
          </cell>
          <cell r="G7579">
            <v>-0.97</v>
          </cell>
          <cell r="H7579">
            <v>0</v>
          </cell>
          <cell r="I7579">
            <v>0</v>
          </cell>
          <cell r="J7579">
            <v>0</v>
          </cell>
          <cell r="K7579">
            <v>0</v>
          </cell>
          <cell r="L7579">
            <v>0</v>
          </cell>
          <cell r="M7579">
            <v>0</v>
          </cell>
          <cell r="N7579">
            <v>0</v>
          </cell>
          <cell r="O7579">
            <v>0</v>
          </cell>
          <cell r="P7579">
            <v>0</v>
          </cell>
          <cell r="Q7579">
            <v>0</v>
          </cell>
          <cell r="R7579">
            <v>0</v>
          </cell>
          <cell r="S7579">
            <v>0</v>
          </cell>
          <cell r="T7579">
            <v>0</v>
          </cell>
          <cell r="U7579" t="b">
            <v>0</v>
          </cell>
        </row>
        <row r="7580">
          <cell r="A7580" t="str">
            <v>Data split-20;Reg-79</v>
          </cell>
          <cell r="B7580">
            <v>-4.3</v>
          </cell>
          <cell r="C7580">
            <v>0</v>
          </cell>
          <cell r="D7580">
            <v>3.1</v>
          </cell>
          <cell r="E7580">
            <v>0</v>
          </cell>
          <cell r="F7580">
            <v>0</v>
          </cell>
          <cell r="G7580">
            <v>0</v>
          </cell>
          <cell r="H7580">
            <v>-1.9</v>
          </cell>
          <cell r="I7580">
            <v>0</v>
          </cell>
          <cell r="J7580">
            <v>0</v>
          </cell>
          <cell r="K7580">
            <v>0</v>
          </cell>
          <cell r="L7580">
            <v>0</v>
          </cell>
          <cell r="M7580">
            <v>0</v>
          </cell>
          <cell r="N7580">
            <v>0</v>
          </cell>
          <cell r="O7580">
            <v>0</v>
          </cell>
          <cell r="P7580">
            <v>0</v>
          </cell>
          <cell r="Q7580">
            <v>0</v>
          </cell>
          <cell r="R7580">
            <v>0</v>
          </cell>
          <cell r="S7580">
            <v>0</v>
          </cell>
          <cell r="T7580">
            <v>0</v>
          </cell>
          <cell r="U7580" t="b">
            <v>0</v>
          </cell>
        </row>
        <row r="7581">
          <cell r="A7581" t="str">
            <v>Data split-20;Reg-80</v>
          </cell>
          <cell r="B7581">
            <v>-6.6</v>
          </cell>
          <cell r="C7581">
            <v>2.4</v>
          </cell>
          <cell r="D7581">
            <v>0</v>
          </cell>
          <cell r="E7581">
            <v>0</v>
          </cell>
          <cell r="F7581">
            <v>0</v>
          </cell>
          <cell r="G7581">
            <v>0</v>
          </cell>
          <cell r="H7581">
            <v>0</v>
          </cell>
          <cell r="I7581">
            <v>5.6000000000000001E-2</v>
          </cell>
          <cell r="J7581">
            <v>0</v>
          </cell>
          <cell r="K7581">
            <v>0</v>
          </cell>
          <cell r="L7581">
            <v>0</v>
          </cell>
          <cell r="M7581">
            <v>0</v>
          </cell>
          <cell r="N7581">
            <v>0</v>
          </cell>
          <cell r="O7581">
            <v>0</v>
          </cell>
          <cell r="P7581">
            <v>0</v>
          </cell>
          <cell r="Q7581">
            <v>0</v>
          </cell>
          <cell r="R7581">
            <v>0</v>
          </cell>
          <cell r="S7581">
            <v>0</v>
          </cell>
          <cell r="T7581">
            <v>0</v>
          </cell>
          <cell r="U7581" t="b">
            <v>0</v>
          </cell>
        </row>
        <row r="7582">
          <cell r="A7582" t="str">
            <v>Data split-20;Reg-81</v>
          </cell>
          <cell r="B7582">
            <v>-11</v>
          </cell>
          <cell r="C7582">
            <v>2.4</v>
          </cell>
          <cell r="D7582">
            <v>0</v>
          </cell>
          <cell r="E7582">
            <v>0</v>
          </cell>
          <cell r="F7582">
            <v>0</v>
          </cell>
          <cell r="G7582">
            <v>0</v>
          </cell>
          <cell r="H7582">
            <v>0</v>
          </cell>
          <cell r="I7582">
            <v>0</v>
          </cell>
          <cell r="J7582">
            <v>20.6</v>
          </cell>
          <cell r="K7582">
            <v>0</v>
          </cell>
          <cell r="L7582">
            <v>0</v>
          </cell>
          <cell r="M7582">
            <v>0</v>
          </cell>
          <cell r="N7582">
            <v>0</v>
          </cell>
          <cell r="O7582">
            <v>0</v>
          </cell>
          <cell r="P7582">
            <v>0</v>
          </cell>
          <cell r="Q7582">
            <v>0</v>
          </cell>
          <cell r="R7582">
            <v>0</v>
          </cell>
          <cell r="S7582">
            <v>0</v>
          </cell>
          <cell r="T7582">
            <v>0</v>
          </cell>
          <cell r="U7582" t="b">
            <v>0</v>
          </cell>
        </row>
        <row r="7583">
          <cell r="A7583" t="str">
            <v>Data split-20;Reg-82</v>
          </cell>
          <cell r="B7583">
            <v>-6.7</v>
          </cell>
          <cell r="C7583">
            <v>0</v>
          </cell>
          <cell r="D7583">
            <v>2.5</v>
          </cell>
          <cell r="E7583">
            <v>0</v>
          </cell>
          <cell r="F7583">
            <v>0</v>
          </cell>
          <cell r="G7583">
            <v>0</v>
          </cell>
          <cell r="H7583">
            <v>0</v>
          </cell>
          <cell r="I7583">
            <v>-0.66</v>
          </cell>
          <cell r="J7583">
            <v>0</v>
          </cell>
          <cell r="K7583">
            <v>0</v>
          </cell>
          <cell r="L7583">
            <v>0</v>
          </cell>
          <cell r="M7583">
            <v>0</v>
          </cell>
          <cell r="N7583">
            <v>0</v>
          </cell>
          <cell r="O7583">
            <v>0</v>
          </cell>
          <cell r="P7583">
            <v>0</v>
          </cell>
          <cell r="Q7583">
            <v>0</v>
          </cell>
          <cell r="R7583">
            <v>0</v>
          </cell>
          <cell r="S7583">
            <v>0</v>
          </cell>
          <cell r="T7583">
            <v>0</v>
          </cell>
          <cell r="U7583" t="b">
            <v>1</v>
          </cell>
        </row>
        <row r="7584">
          <cell r="A7584" t="str">
            <v>Data split-20;Reg-83</v>
          </cell>
          <cell r="B7584">
            <v>-10.6</v>
          </cell>
          <cell r="C7584">
            <v>0</v>
          </cell>
          <cell r="D7584">
            <v>2.4</v>
          </cell>
          <cell r="E7584">
            <v>0</v>
          </cell>
          <cell r="F7584">
            <v>0</v>
          </cell>
          <cell r="G7584">
            <v>0</v>
          </cell>
          <cell r="H7584">
            <v>0</v>
          </cell>
          <cell r="I7584">
            <v>0</v>
          </cell>
          <cell r="J7584">
            <v>14.7</v>
          </cell>
          <cell r="K7584">
            <v>0</v>
          </cell>
          <cell r="L7584">
            <v>0</v>
          </cell>
          <cell r="M7584">
            <v>0</v>
          </cell>
          <cell r="N7584">
            <v>0</v>
          </cell>
          <cell r="O7584">
            <v>0</v>
          </cell>
          <cell r="P7584">
            <v>0</v>
          </cell>
          <cell r="Q7584">
            <v>0</v>
          </cell>
          <cell r="R7584">
            <v>0</v>
          </cell>
          <cell r="S7584">
            <v>0</v>
          </cell>
          <cell r="T7584">
            <v>0</v>
          </cell>
          <cell r="U7584" t="b">
            <v>0</v>
          </cell>
        </row>
        <row r="7585">
          <cell r="A7585" t="str">
            <v>Data split-20;Reg-84</v>
          </cell>
          <cell r="B7585">
            <v>-3</v>
          </cell>
          <cell r="C7585">
            <v>2.8</v>
          </cell>
          <cell r="D7585">
            <v>0</v>
          </cell>
          <cell r="E7585">
            <v>0</v>
          </cell>
          <cell r="F7585">
            <v>0</v>
          </cell>
          <cell r="G7585">
            <v>0</v>
          </cell>
          <cell r="H7585">
            <v>0</v>
          </cell>
          <cell r="I7585">
            <v>0</v>
          </cell>
          <cell r="J7585">
            <v>0</v>
          </cell>
          <cell r="K7585">
            <v>-3.3</v>
          </cell>
          <cell r="L7585">
            <v>0</v>
          </cell>
          <cell r="M7585">
            <v>0</v>
          </cell>
          <cell r="N7585">
            <v>0</v>
          </cell>
          <cell r="O7585">
            <v>0</v>
          </cell>
          <cell r="P7585">
            <v>0</v>
          </cell>
          <cell r="Q7585">
            <v>0</v>
          </cell>
          <cell r="R7585">
            <v>0</v>
          </cell>
          <cell r="S7585">
            <v>0</v>
          </cell>
          <cell r="T7585">
            <v>0</v>
          </cell>
          <cell r="U7585" t="b">
            <v>1</v>
          </cell>
        </row>
        <row r="7586">
          <cell r="A7586" t="str">
            <v>Data split-20;Reg-85</v>
          </cell>
          <cell r="B7586">
            <v>-5</v>
          </cell>
          <cell r="C7586">
            <v>2.5</v>
          </cell>
          <cell r="D7586">
            <v>0</v>
          </cell>
          <cell r="E7586">
            <v>0</v>
          </cell>
          <cell r="F7586">
            <v>0</v>
          </cell>
          <cell r="G7586">
            <v>0</v>
          </cell>
          <cell r="H7586">
            <v>0</v>
          </cell>
          <cell r="I7586">
            <v>0</v>
          </cell>
          <cell r="J7586">
            <v>0</v>
          </cell>
          <cell r="K7586">
            <v>0</v>
          </cell>
          <cell r="L7586">
            <v>-8.1999999999999993</v>
          </cell>
          <cell r="M7586">
            <v>0</v>
          </cell>
          <cell r="N7586">
            <v>0</v>
          </cell>
          <cell r="O7586">
            <v>0</v>
          </cell>
          <cell r="P7586">
            <v>0</v>
          </cell>
          <cell r="Q7586">
            <v>0</v>
          </cell>
          <cell r="R7586">
            <v>0</v>
          </cell>
          <cell r="S7586">
            <v>0</v>
          </cell>
          <cell r="T7586">
            <v>0</v>
          </cell>
          <cell r="U7586" t="b">
            <v>1</v>
          </cell>
        </row>
        <row r="7587">
          <cell r="A7587" t="str">
            <v>Data split-20;Reg-86</v>
          </cell>
          <cell r="B7587">
            <v>-3.6</v>
          </cell>
          <cell r="C7587">
            <v>0</v>
          </cell>
          <cell r="D7587">
            <v>2.9</v>
          </cell>
          <cell r="E7587">
            <v>0</v>
          </cell>
          <cell r="F7587">
            <v>0</v>
          </cell>
          <cell r="G7587">
            <v>0</v>
          </cell>
          <cell r="H7587">
            <v>0</v>
          </cell>
          <cell r="I7587">
            <v>0</v>
          </cell>
          <cell r="J7587">
            <v>0</v>
          </cell>
          <cell r="K7587">
            <v>-3.7</v>
          </cell>
          <cell r="L7587">
            <v>0</v>
          </cell>
          <cell r="M7587">
            <v>0</v>
          </cell>
          <cell r="N7587">
            <v>0</v>
          </cell>
          <cell r="O7587">
            <v>0</v>
          </cell>
          <cell r="P7587">
            <v>0</v>
          </cell>
          <cell r="Q7587">
            <v>0</v>
          </cell>
          <cell r="R7587">
            <v>0</v>
          </cell>
          <cell r="S7587">
            <v>0</v>
          </cell>
          <cell r="T7587">
            <v>0</v>
          </cell>
          <cell r="U7587" t="b">
            <v>1</v>
          </cell>
        </row>
        <row r="7588">
          <cell r="A7588" t="str">
            <v>Data split-20;Reg-87</v>
          </cell>
          <cell r="B7588">
            <v>-5.8</v>
          </cell>
          <cell r="C7588">
            <v>0</v>
          </cell>
          <cell r="D7588">
            <v>2.6</v>
          </cell>
          <cell r="E7588">
            <v>0</v>
          </cell>
          <cell r="F7588">
            <v>0</v>
          </cell>
          <cell r="G7588">
            <v>0</v>
          </cell>
          <cell r="H7588">
            <v>0</v>
          </cell>
          <cell r="I7588">
            <v>0</v>
          </cell>
          <cell r="J7588">
            <v>0</v>
          </cell>
          <cell r="K7588">
            <v>0</v>
          </cell>
          <cell r="L7588">
            <v>-9.5</v>
          </cell>
          <cell r="M7588">
            <v>0</v>
          </cell>
          <cell r="N7588">
            <v>0</v>
          </cell>
          <cell r="O7588">
            <v>0</v>
          </cell>
          <cell r="P7588">
            <v>0</v>
          </cell>
          <cell r="Q7588">
            <v>0</v>
          </cell>
          <cell r="R7588">
            <v>0</v>
          </cell>
          <cell r="S7588">
            <v>0</v>
          </cell>
          <cell r="T7588">
            <v>0</v>
          </cell>
          <cell r="U7588" t="b">
            <v>1</v>
          </cell>
        </row>
        <row r="7589">
          <cell r="A7589" t="str">
            <v>Data split-20;Reg-88</v>
          </cell>
          <cell r="B7589">
            <v>-4.5</v>
          </cell>
          <cell r="C7589">
            <v>2.7</v>
          </cell>
          <cell r="D7589">
            <v>0</v>
          </cell>
          <cell r="E7589">
            <v>0</v>
          </cell>
          <cell r="F7589">
            <v>0</v>
          </cell>
          <cell r="G7589">
            <v>0</v>
          </cell>
          <cell r="H7589">
            <v>0</v>
          </cell>
          <cell r="I7589">
            <v>0</v>
          </cell>
          <cell r="J7589">
            <v>0</v>
          </cell>
          <cell r="K7589">
            <v>0</v>
          </cell>
          <cell r="L7589">
            <v>0</v>
          </cell>
          <cell r="M7589">
            <v>-8.1000000000000003E-2</v>
          </cell>
          <cell r="N7589">
            <v>0</v>
          </cell>
          <cell r="O7589">
            <v>0</v>
          </cell>
          <cell r="P7589">
            <v>0</v>
          </cell>
          <cell r="Q7589">
            <v>0</v>
          </cell>
          <cell r="R7589">
            <v>0</v>
          </cell>
          <cell r="S7589">
            <v>0</v>
          </cell>
          <cell r="T7589">
            <v>0</v>
          </cell>
          <cell r="U7589" t="b">
            <v>1</v>
          </cell>
        </row>
        <row r="7590">
          <cell r="A7590" t="str">
            <v>Data split-20;Reg-89</v>
          </cell>
          <cell r="B7590">
            <v>-5</v>
          </cell>
          <cell r="C7590">
            <v>2.8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H7590">
            <v>0</v>
          </cell>
          <cell r="I7590">
            <v>0</v>
          </cell>
          <cell r="J7590">
            <v>0</v>
          </cell>
          <cell r="K7590">
            <v>0</v>
          </cell>
          <cell r="L7590">
            <v>0</v>
          </cell>
          <cell r="M7590">
            <v>0</v>
          </cell>
          <cell r="N7590">
            <v>-1.4999999999999999E-2</v>
          </cell>
          <cell r="O7590">
            <v>0</v>
          </cell>
          <cell r="P7590">
            <v>0</v>
          </cell>
          <cell r="Q7590">
            <v>0</v>
          </cell>
          <cell r="R7590">
            <v>0</v>
          </cell>
          <cell r="S7590">
            <v>0</v>
          </cell>
          <cell r="T7590">
            <v>0</v>
          </cell>
          <cell r="U7590" t="b">
            <v>1</v>
          </cell>
        </row>
        <row r="7591">
          <cell r="A7591" t="str">
            <v>Data split-20;Reg-90</v>
          </cell>
          <cell r="B7591">
            <v>-5.4</v>
          </cell>
          <cell r="C7591">
            <v>0</v>
          </cell>
          <cell r="D7591">
            <v>2.8</v>
          </cell>
          <cell r="E7591">
            <v>0</v>
          </cell>
          <cell r="F7591">
            <v>0</v>
          </cell>
          <cell r="G7591">
            <v>0</v>
          </cell>
          <cell r="H7591">
            <v>0</v>
          </cell>
          <cell r="I7591">
            <v>0</v>
          </cell>
          <cell r="J7591">
            <v>0</v>
          </cell>
          <cell r="K7591">
            <v>0</v>
          </cell>
          <cell r="L7591">
            <v>0</v>
          </cell>
          <cell r="M7591">
            <v>-8.6999999999999994E-2</v>
          </cell>
          <cell r="N7591">
            <v>0</v>
          </cell>
          <cell r="O7591">
            <v>0</v>
          </cell>
          <cell r="P7591">
            <v>0</v>
          </cell>
          <cell r="Q7591">
            <v>0</v>
          </cell>
          <cell r="R7591">
            <v>0</v>
          </cell>
          <cell r="S7591">
            <v>0</v>
          </cell>
          <cell r="T7591">
            <v>0</v>
          </cell>
          <cell r="U7591" t="b">
            <v>1</v>
          </cell>
        </row>
        <row r="7592">
          <cell r="A7592" t="str">
            <v>Data split-20;Reg-91</v>
          </cell>
          <cell r="B7592">
            <v>-5.9</v>
          </cell>
          <cell r="C7592">
            <v>0</v>
          </cell>
          <cell r="D7592">
            <v>2.9</v>
          </cell>
          <cell r="E7592">
            <v>0</v>
          </cell>
          <cell r="F7592">
            <v>0</v>
          </cell>
          <cell r="G7592">
            <v>0</v>
          </cell>
          <cell r="H7592">
            <v>0</v>
          </cell>
          <cell r="I7592">
            <v>0</v>
          </cell>
          <cell r="J7592">
            <v>0</v>
          </cell>
          <cell r="K7592">
            <v>0</v>
          </cell>
          <cell r="L7592">
            <v>0</v>
          </cell>
          <cell r="M7592">
            <v>0</v>
          </cell>
          <cell r="N7592">
            <v>-1.7000000000000001E-2</v>
          </cell>
          <cell r="O7592">
            <v>0</v>
          </cell>
          <cell r="P7592">
            <v>0</v>
          </cell>
          <cell r="Q7592">
            <v>0</v>
          </cell>
          <cell r="R7592">
            <v>0</v>
          </cell>
          <cell r="S7592">
            <v>0</v>
          </cell>
          <cell r="T7592">
            <v>0</v>
          </cell>
          <cell r="U7592" t="b">
            <v>1</v>
          </cell>
        </row>
        <row r="7593">
          <cell r="A7593" t="str">
            <v>Data split-20;Reg-92</v>
          </cell>
          <cell r="B7593">
            <v>-4.3</v>
          </cell>
          <cell r="C7593">
            <v>2.7</v>
          </cell>
          <cell r="D7593">
            <v>0</v>
          </cell>
          <cell r="E7593">
            <v>0</v>
          </cell>
          <cell r="F7593">
            <v>0</v>
          </cell>
          <cell r="G7593">
            <v>0</v>
          </cell>
          <cell r="H7593">
            <v>0</v>
          </cell>
          <cell r="I7593">
            <v>0</v>
          </cell>
          <cell r="J7593">
            <v>0</v>
          </cell>
          <cell r="K7593">
            <v>0</v>
          </cell>
          <cell r="L7593">
            <v>0</v>
          </cell>
          <cell r="M7593">
            <v>0</v>
          </cell>
          <cell r="N7593">
            <v>0</v>
          </cell>
          <cell r="O7593">
            <v>-0.09</v>
          </cell>
          <cell r="P7593">
            <v>0</v>
          </cell>
          <cell r="Q7593">
            <v>0</v>
          </cell>
          <cell r="R7593">
            <v>0</v>
          </cell>
          <cell r="S7593">
            <v>0</v>
          </cell>
          <cell r="T7593">
            <v>0</v>
          </cell>
          <cell r="U7593" t="b">
            <v>1</v>
          </cell>
        </row>
        <row r="7594">
          <cell r="A7594" t="str">
            <v>Data split-20;Reg-93</v>
          </cell>
          <cell r="B7594">
            <v>-4.8</v>
          </cell>
          <cell r="C7594">
            <v>2.8</v>
          </cell>
          <cell r="D7594">
            <v>0</v>
          </cell>
          <cell r="E7594">
            <v>0</v>
          </cell>
          <cell r="F7594">
            <v>0</v>
          </cell>
          <cell r="G7594">
            <v>0</v>
          </cell>
          <cell r="H7594">
            <v>0</v>
          </cell>
          <cell r="I7594">
            <v>0</v>
          </cell>
          <cell r="J7594">
            <v>0</v>
          </cell>
          <cell r="K7594">
            <v>0</v>
          </cell>
          <cell r="L7594">
            <v>0</v>
          </cell>
          <cell r="M7594">
            <v>0</v>
          </cell>
          <cell r="N7594">
            <v>0</v>
          </cell>
          <cell r="O7594">
            <v>0</v>
          </cell>
          <cell r="P7594">
            <v>-1.7000000000000001E-2</v>
          </cell>
          <cell r="Q7594">
            <v>0</v>
          </cell>
          <cell r="R7594">
            <v>0</v>
          </cell>
          <cell r="S7594">
            <v>0</v>
          </cell>
          <cell r="T7594">
            <v>0</v>
          </cell>
          <cell r="U7594" t="b">
            <v>1</v>
          </cell>
        </row>
        <row r="7595">
          <cell r="A7595" t="str">
            <v>Data split-20;Reg-94</v>
          </cell>
          <cell r="B7595">
            <v>-5.2</v>
          </cell>
          <cell r="C7595">
            <v>0</v>
          </cell>
          <cell r="D7595">
            <v>2.8</v>
          </cell>
          <cell r="E7595">
            <v>0</v>
          </cell>
          <cell r="F7595">
            <v>0</v>
          </cell>
          <cell r="G7595">
            <v>0</v>
          </cell>
          <cell r="H7595">
            <v>0</v>
          </cell>
          <cell r="I7595">
            <v>0</v>
          </cell>
          <cell r="J7595">
            <v>0</v>
          </cell>
          <cell r="K7595">
            <v>0</v>
          </cell>
          <cell r="L7595">
            <v>0</v>
          </cell>
          <cell r="M7595">
            <v>0</v>
          </cell>
          <cell r="N7595">
            <v>0</v>
          </cell>
          <cell r="O7595">
            <v>-9.2999999999999999E-2</v>
          </cell>
          <cell r="P7595">
            <v>0</v>
          </cell>
          <cell r="Q7595">
            <v>0</v>
          </cell>
          <cell r="R7595">
            <v>0</v>
          </cell>
          <cell r="S7595">
            <v>0</v>
          </cell>
          <cell r="T7595">
            <v>0</v>
          </cell>
          <cell r="U7595" t="b">
            <v>1</v>
          </cell>
        </row>
        <row r="7596">
          <cell r="A7596" t="str">
            <v>Data split-20;Reg-95</v>
          </cell>
          <cell r="B7596">
            <v>-5.8</v>
          </cell>
          <cell r="C7596">
            <v>0</v>
          </cell>
          <cell r="D7596">
            <v>2.8</v>
          </cell>
          <cell r="E7596">
            <v>0</v>
          </cell>
          <cell r="F7596">
            <v>0</v>
          </cell>
          <cell r="G7596">
            <v>0</v>
          </cell>
          <cell r="H7596">
            <v>0</v>
          </cell>
          <cell r="I7596">
            <v>0</v>
          </cell>
          <cell r="J7596">
            <v>0</v>
          </cell>
          <cell r="K7596">
            <v>0</v>
          </cell>
          <cell r="L7596">
            <v>0</v>
          </cell>
          <cell r="M7596">
            <v>0</v>
          </cell>
          <cell r="N7596">
            <v>0</v>
          </cell>
          <cell r="O7596">
            <v>0</v>
          </cell>
          <cell r="P7596">
            <v>-1.7999999999999999E-2</v>
          </cell>
          <cell r="Q7596">
            <v>0</v>
          </cell>
          <cell r="R7596">
            <v>0</v>
          </cell>
          <cell r="S7596">
            <v>0</v>
          </cell>
          <cell r="T7596">
            <v>0</v>
          </cell>
          <cell r="U7596" t="b">
            <v>1</v>
          </cell>
        </row>
        <row r="7597">
          <cell r="A7597" t="str">
            <v>Data split-20;Reg-96</v>
          </cell>
          <cell r="B7597">
            <v>-7.4</v>
          </cell>
          <cell r="C7597">
            <v>3.5</v>
          </cell>
          <cell r="D7597">
            <v>0</v>
          </cell>
          <cell r="E7597">
            <v>-4.5999999999999996</v>
          </cell>
          <cell r="F7597">
            <v>0</v>
          </cell>
          <cell r="G7597">
            <v>0</v>
          </cell>
          <cell r="H7597">
            <v>0</v>
          </cell>
          <cell r="I7597">
            <v>9.8000000000000007</v>
          </cell>
          <cell r="J7597">
            <v>0</v>
          </cell>
          <cell r="K7597">
            <v>0</v>
          </cell>
          <cell r="L7597">
            <v>0</v>
          </cell>
          <cell r="M7597">
            <v>0</v>
          </cell>
          <cell r="N7597">
            <v>0</v>
          </cell>
          <cell r="O7597">
            <v>0</v>
          </cell>
          <cell r="P7597">
            <v>0</v>
          </cell>
          <cell r="Q7597">
            <v>0</v>
          </cell>
          <cell r="R7597">
            <v>0</v>
          </cell>
          <cell r="S7597">
            <v>0</v>
          </cell>
          <cell r="T7597">
            <v>0</v>
          </cell>
          <cell r="U7597" t="b">
            <v>0</v>
          </cell>
        </row>
        <row r="7598">
          <cell r="A7598" t="str">
            <v>Data split-20;Reg-97</v>
          </cell>
          <cell r="B7598">
            <v>-10.8</v>
          </cell>
          <cell r="C7598">
            <v>3.4</v>
          </cell>
          <cell r="D7598">
            <v>0</v>
          </cell>
          <cell r="E7598">
            <v>-3.3</v>
          </cell>
          <cell r="F7598">
            <v>0</v>
          </cell>
          <cell r="G7598">
            <v>0</v>
          </cell>
          <cell r="H7598">
            <v>0</v>
          </cell>
          <cell r="I7598">
            <v>0</v>
          </cell>
          <cell r="J7598">
            <v>59.4</v>
          </cell>
          <cell r="K7598">
            <v>0</v>
          </cell>
          <cell r="L7598">
            <v>0</v>
          </cell>
          <cell r="M7598">
            <v>0</v>
          </cell>
          <cell r="N7598">
            <v>0</v>
          </cell>
          <cell r="O7598">
            <v>0</v>
          </cell>
          <cell r="P7598">
            <v>0</v>
          </cell>
          <cell r="Q7598">
            <v>0</v>
          </cell>
          <cell r="R7598">
            <v>0</v>
          </cell>
          <cell r="S7598">
            <v>0</v>
          </cell>
          <cell r="T7598">
            <v>0</v>
          </cell>
          <cell r="U7598" t="b">
            <v>0</v>
          </cell>
        </row>
        <row r="7599">
          <cell r="A7599" t="str">
            <v>Data split-20;Reg-98</v>
          </cell>
          <cell r="B7599">
            <v>-7.2</v>
          </cell>
          <cell r="C7599">
            <v>2.8</v>
          </cell>
          <cell r="D7599">
            <v>0</v>
          </cell>
          <cell r="E7599">
            <v>0</v>
          </cell>
          <cell r="F7599">
            <v>-0.81</v>
          </cell>
          <cell r="G7599">
            <v>0</v>
          </cell>
          <cell r="H7599">
            <v>0</v>
          </cell>
          <cell r="I7599">
            <v>1.3</v>
          </cell>
          <cell r="J7599">
            <v>0</v>
          </cell>
          <cell r="K7599">
            <v>0</v>
          </cell>
          <cell r="L7599">
            <v>0</v>
          </cell>
          <cell r="M7599">
            <v>0</v>
          </cell>
          <cell r="N7599">
            <v>0</v>
          </cell>
          <cell r="O7599">
            <v>0</v>
          </cell>
          <cell r="P7599">
            <v>0</v>
          </cell>
          <cell r="Q7599">
            <v>0</v>
          </cell>
          <cell r="R7599">
            <v>0</v>
          </cell>
          <cell r="S7599">
            <v>0</v>
          </cell>
          <cell r="T7599">
            <v>0</v>
          </cell>
          <cell r="U7599" t="b">
            <v>0</v>
          </cell>
        </row>
        <row r="7600">
          <cell r="A7600" t="str">
            <v>Data split-20;Reg-99</v>
          </cell>
          <cell r="B7600">
            <v>-11.2</v>
          </cell>
          <cell r="C7600">
            <v>2.9</v>
          </cell>
          <cell r="D7600">
            <v>0</v>
          </cell>
          <cell r="E7600">
            <v>0</v>
          </cell>
          <cell r="F7600">
            <v>-0.95</v>
          </cell>
          <cell r="G7600">
            <v>0</v>
          </cell>
          <cell r="H7600">
            <v>0</v>
          </cell>
          <cell r="I7600">
            <v>0</v>
          </cell>
          <cell r="J7600">
            <v>27.3</v>
          </cell>
          <cell r="K7600">
            <v>0</v>
          </cell>
          <cell r="L7600">
            <v>0</v>
          </cell>
          <cell r="M7600">
            <v>0</v>
          </cell>
          <cell r="N7600">
            <v>0</v>
          </cell>
          <cell r="O7600">
            <v>0</v>
          </cell>
          <cell r="P7600">
            <v>0</v>
          </cell>
          <cell r="Q7600">
            <v>0</v>
          </cell>
          <cell r="R7600">
            <v>0</v>
          </cell>
          <cell r="S7600">
            <v>0</v>
          </cell>
          <cell r="T7600">
            <v>0</v>
          </cell>
          <cell r="U7600" t="b">
            <v>0</v>
          </cell>
        </row>
        <row r="7601">
          <cell r="A7601" t="str">
            <v>Data split-20;Reg-100</v>
          </cell>
          <cell r="B7601">
            <v>-7.3</v>
          </cell>
          <cell r="C7601">
            <v>0</v>
          </cell>
          <cell r="D7601">
            <v>3.5</v>
          </cell>
          <cell r="E7601">
            <v>-4.3</v>
          </cell>
          <cell r="F7601">
            <v>0</v>
          </cell>
          <cell r="G7601">
            <v>0</v>
          </cell>
          <cell r="H7601">
            <v>0</v>
          </cell>
          <cell r="I7601">
            <v>8.1999999999999993</v>
          </cell>
          <cell r="J7601">
            <v>0</v>
          </cell>
          <cell r="K7601">
            <v>0</v>
          </cell>
          <cell r="L7601">
            <v>0</v>
          </cell>
          <cell r="M7601">
            <v>0</v>
          </cell>
          <cell r="N7601">
            <v>0</v>
          </cell>
          <cell r="O7601">
            <v>0</v>
          </cell>
          <cell r="P7601">
            <v>0</v>
          </cell>
          <cell r="Q7601">
            <v>0</v>
          </cell>
          <cell r="R7601">
            <v>0</v>
          </cell>
          <cell r="S7601">
            <v>0</v>
          </cell>
          <cell r="T7601">
            <v>0</v>
          </cell>
          <cell r="U7601" t="b">
            <v>0</v>
          </cell>
        </row>
        <row r="7602">
          <cell r="A7602" t="str">
            <v>Data split-20;Reg-101</v>
          </cell>
          <cell r="B7602">
            <v>-10.1</v>
          </cell>
          <cell r="C7602">
            <v>0</v>
          </cell>
          <cell r="D7602">
            <v>3.5</v>
          </cell>
          <cell r="E7602">
            <v>-3.1</v>
          </cell>
          <cell r="F7602">
            <v>0</v>
          </cell>
          <cell r="G7602">
            <v>0</v>
          </cell>
          <cell r="H7602">
            <v>0</v>
          </cell>
          <cell r="I7602">
            <v>0</v>
          </cell>
          <cell r="J7602">
            <v>49.7</v>
          </cell>
          <cell r="K7602">
            <v>0</v>
          </cell>
          <cell r="L7602">
            <v>0</v>
          </cell>
          <cell r="M7602">
            <v>0</v>
          </cell>
          <cell r="N7602">
            <v>0</v>
          </cell>
          <cell r="O7602">
            <v>0</v>
          </cell>
          <cell r="P7602">
            <v>0</v>
          </cell>
          <cell r="Q7602">
            <v>0</v>
          </cell>
          <cell r="R7602">
            <v>0</v>
          </cell>
          <cell r="S7602">
            <v>0</v>
          </cell>
          <cell r="T7602">
            <v>0</v>
          </cell>
          <cell r="U7602" t="b">
            <v>0</v>
          </cell>
        </row>
        <row r="7603">
          <cell r="A7603" t="str">
            <v>Data split-20;Reg-102</v>
          </cell>
          <cell r="B7603">
            <v>-7.3</v>
          </cell>
          <cell r="C7603">
            <v>0</v>
          </cell>
          <cell r="D7603">
            <v>2.9</v>
          </cell>
          <cell r="E7603">
            <v>0</v>
          </cell>
          <cell r="F7603">
            <v>-0.87</v>
          </cell>
          <cell r="G7603">
            <v>0</v>
          </cell>
          <cell r="H7603">
            <v>0</v>
          </cell>
          <cell r="I7603">
            <v>0.59</v>
          </cell>
          <cell r="J7603">
            <v>0</v>
          </cell>
          <cell r="K7603">
            <v>0</v>
          </cell>
          <cell r="L7603">
            <v>0</v>
          </cell>
          <cell r="M7603">
            <v>0</v>
          </cell>
          <cell r="N7603">
            <v>0</v>
          </cell>
          <cell r="O7603">
            <v>0</v>
          </cell>
          <cell r="P7603">
            <v>0</v>
          </cell>
          <cell r="Q7603">
            <v>0</v>
          </cell>
          <cell r="R7603">
            <v>0</v>
          </cell>
          <cell r="S7603">
            <v>0</v>
          </cell>
          <cell r="T7603">
            <v>0</v>
          </cell>
          <cell r="U7603" t="b">
            <v>0</v>
          </cell>
        </row>
        <row r="7604">
          <cell r="A7604" t="str">
            <v>Data split-20;Reg-103</v>
          </cell>
          <cell r="B7604">
            <v>-10.7</v>
          </cell>
          <cell r="C7604">
            <v>0</v>
          </cell>
          <cell r="D7604">
            <v>3</v>
          </cell>
          <cell r="E7604">
            <v>0</v>
          </cell>
          <cell r="F7604">
            <v>-1</v>
          </cell>
          <cell r="G7604">
            <v>0</v>
          </cell>
          <cell r="H7604">
            <v>0</v>
          </cell>
          <cell r="I7604">
            <v>0</v>
          </cell>
          <cell r="J7604">
            <v>20.7</v>
          </cell>
          <cell r="K7604">
            <v>0</v>
          </cell>
          <cell r="L7604">
            <v>0</v>
          </cell>
          <cell r="M7604">
            <v>0</v>
          </cell>
          <cell r="N7604">
            <v>0</v>
          </cell>
          <cell r="O7604">
            <v>0</v>
          </cell>
          <cell r="P7604">
            <v>0</v>
          </cell>
          <cell r="Q7604">
            <v>0</v>
          </cell>
          <cell r="R7604">
            <v>0</v>
          </cell>
          <cell r="S7604">
            <v>0</v>
          </cell>
          <cell r="T7604">
            <v>0</v>
          </cell>
          <cell r="U7604" t="b">
            <v>0</v>
          </cell>
        </row>
        <row r="7605">
          <cell r="A7605" t="str">
            <v>Data split-20;Reg-104</v>
          </cell>
          <cell r="B7605">
            <v>-1.4</v>
          </cell>
          <cell r="C7605">
            <v>3.1</v>
          </cell>
          <cell r="D7605">
            <v>0</v>
          </cell>
          <cell r="E7605">
            <v>-1.4</v>
          </cell>
          <cell r="F7605">
            <v>0</v>
          </cell>
          <cell r="G7605">
            <v>0</v>
          </cell>
          <cell r="H7605">
            <v>0</v>
          </cell>
          <cell r="I7605">
            <v>0</v>
          </cell>
          <cell r="J7605">
            <v>0</v>
          </cell>
          <cell r="K7605">
            <v>-1.2</v>
          </cell>
          <cell r="L7605">
            <v>0</v>
          </cell>
          <cell r="M7605">
            <v>0</v>
          </cell>
          <cell r="N7605">
            <v>0</v>
          </cell>
          <cell r="O7605">
            <v>0</v>
          </cell>
          <cell r="P7605">
            <v>0</v>
          </cell>
          <cell r="Q7605">
            <v>0</v>
          </cell>
          <cell r="R7605">
            <v>0</v>
          </cell>
          <cell r="S7605">
            <v>0</v>
          </cell>
          <cell r="T7605">
            <v>0</v>
          </cell>
          <cell r="U7605" t="b">
            <v>0</v>
          </cell>
        </row>
        <row r="7606">
          <cell r="A7606" t="str">
            <v>Data split-20;Reg-105</v>
          </cell>
          <cell r="B7606">
            <v>-1.4</v>
          </cell>
          <cell r="C7606">
            <v>3.1</v>
          </cell>
          <cell r="D7606">
            <v>0</v>
          </cell>
          <cell r="E7606">
            <v>-1.6</v>
          </cell>
          <cell r="F7606">
            <v>0</v>
          </cell>
          <cell r="G7606">
            <v>0</v>
          </cell>
          <cell r="H7606">
            <v>0</v>
          </cell>
          <cell r="I7606">
            <v>0</v>
          </cell>
          <cell r="J7606">
            <v>0</v>
          </cell>
          <cell r="K7606">
            <v>0</v>
          </cell>
          <cell r="L7606">
            <v>-4.5999999999999996</v>
          </cell>
          <cell r="M7606">
            <v>0</v>
          </cell>
          <cell r="N7606">
            <v>0</v>
          </cell>
          <cell r="O7606">
            <v>0</v>
          </cell>
          <cell r="P7606">
            <v>0</v>
          </cell>
          <cell r="Q7606">
            <v>0</v>
          </cell>
          <cell r="R7606">
            <v>0</v>
          </cell>
          <cell r="S7606">
            <v>0</v>
          </cell>
          <cell r="T7606">
            <v>0</v>
          </cell>
          <cell r="U7606" t="b">
            <v>0</v>
          </cell>
        </row>
        <row r="7607">
          <cell r="A7607" t="str">
            <v>Data split-20;Reg-106</v>
          </cell>
          <cell r="B7607">
            <v>-2.7</v>
          </cell>
          <cell r="C7607">
            <v>2.9</v>
          </cell>
          <cell r="D7607">
            <v>0</v>
          </cell>
          <cell r="E7607">
            <v>0</v>
          </cell>
          <cell r="F7607">
            <v>-0.31</v>
          </cell>
          <cell r="G7607">
            <v>0</v>
          </cell>
          <cell r="H7607">
            <v>0</v>
          </cell>
          <cell r="I7607">
            <v>0</v>
          </cell>
          <cell r="J7607">
            <v>0</v>
          </cell>
          <cell r="K7607">
            <v>-3.1</v>
          </cell>
          <cell r="L7607">
            <v>0</v>
          </cell>
          <cell r="M7607">
            <v>0</v>
          </cell>
          <cell r="N7607">
            <v>0</v>
          </cell>
          <cell r="O7607">
            <v>0</v>
          </cell>
          <cell r="P7607">
            <v>0</v>
          </cell>
          <cell r="Q7607">
            <v>0</v>
          </cell>
          <cell r="R7607">
            <v>0</v>
          </cell>
          <cell r="S7607">
            <v>0</v>
          </cell>
          <cell r="T7607">
            <v>0</v>
          </cell>
          <cell r="U7607" t="b">
            <v>0</v>
          </cell>
        </row>
        <row r="7608">
          <cell r="A7608" t="str">
            <v>Data split-20;Reg-107</v>
          </cell>
          <cell r="B7608">
            <v>-4</v>
          </cell>
          <cell r="C7608">
            <v>2.9</v>
          </cell>
          <cell r="D7608">
            <v>0</v>
          </cell>
          <cell r="E7608">
            <v>0</v>
          </cell>
          <cell r="F7608">
            <v>-0.62</v>
          </cell>
          <cell r="G7608">
            <v>0</v>
          </cell>
          <cell r="H7608">
            <v>0</v>
          </cell>
          <cell r="I7608">
            <v>0</v>
          </cell>
          <cell r="J7608">
            <v>0</v>
          </cell>
          <cell r="K7608">
            <v>0</v>
          </cell>
          <cell r="L7608">
            <v>-9.4</v>
          </cell>
          <cell r="M7608">
            <v>0</v>
          </cell>
          <cell r="N7608">
            <v>0</v>
          </cell>
          <cell r="O7608">
            <v>0</v>
          </cell>
          <cell r="P7608">
            <v>0</v>
          </cell>
          <cell r="Q7608">
            <v>0</v>
          </cell>
          <cell r="R7608">
            <v>0</v>
          </cell>
          <cell r="S7608">
            <v>0</v>
          </cell>
          <cell r="T7608">
            <v>0</v>
          </cell>
          <cell r="U7608" t="b">
            <v>0</v>
          </cell>
        </row>
        <row r="7609">
          <cell r="A7609" t="str">
            <v>Data split-20;Reg-108</v>
          </cell>
          <cell r="B7609">
            <v>-2</v>
          </cell>
          <cell r="C7609">
            <v>0</v>
          </cell>
          <cell r="D7609">
            <v>3.2</v>
          </cell>
          <cell r="E7609">
            <v>-1.6</v>
          </cell>
          <cell r="F7609">
            <v>0</v>
          </cell>
          <cell r="G7609">
            <v>0</v>
          </cell>
          <cell r="H7609">
            <v>0</v>
          </cell>
          <cell r="I7609">
            <v>0</v>
          </cell>
          <cell r="J7609">
            <v>0</v>
          </cell>
          <cell r="K7609">
            <v>-1.5</v>
          </cell>
          <cell r="L7609">
            <v>0</v>
          </cell>
          <cell r="M7609">
            <v>0</v>
          </cell>
          <cell r="N7609">
            <v>0</v>
          </cell>
          <cell r="O7609">
            <v>0</v>
          </cell>
          <cell r="P7609">
            <v>0</v>
          </cell>
          <cell r="Q7609">
            <v>0</v>
          </cell>
          <cell r="R7609">
            <v>0</v>
          </cell>
          <cell r="S7609">
            <v>0</v>
          </cell>
          <cell r="T7609">
            <v>0</v>
          </cell>
          <cell r="U7609" t="b">
            <v>0</v>
          </cell>
        </row>
        <row r="7610">
          <cell r="A7610" t="str">
            <v>Data split-20;Reg-109</v>
          </cell>
          <cell r="B7610">
            <v>-1.9</v>
          </cell>
          <cell r="C7610">
            <v>0</v>
          </cell>
          <cell r="D7610">
            <v>3.2</v>
          </cell>
          <cell r="E7610">
            <v>-1.8</v>
          </cell>
          <cell r="F7610">
            <v>0</v>
          </cell>
          <cell r="G7610">
            <v>0</v>
          </cell>
          <cell r="H7610">
            <v>0</v>
          </cell>
          <cell r="I7610">
            <v>0</v>
          </cell>
          <cell r="J7610">
            <v>0</v>
          </cell>
          <cell r="K7610">
            <v>0</v>
          </cell>
          <cell r="L7610">
            <v>-5.8</v>
          </cell>
          <cell r="M7610">
            <v>0</v>
          </cell>
          <cell r="N7610">
            <v>0</v>
          </cell>
          <cell r="O7610">
            <v>0</v>
          </cell>
          <cell r="P7610">
            <v>0</v>
          </cell>
          <cell r="Q7610">
            <v>0</v>
          </cell>
          <cell r="R7610">
            <v>0</v>
          </cell>
          <cell r="S7610">
            <v>0</v>
          </cell>
          <cell r="T7610">
            <v>0</v>
          </cell>
          <cell r="U7610" t="b">
            <v>0</v>
          </cell>
        </row>
        <row r="7611">
          <cell r="A7611" t="str">
            <v>Data split-20;Reg-110</v>
          </cell>
          <cell r="B7611">
            <v>-3.3</v>
          </cell>
          <cell r="C7611">
            <v>0</v>
          </cell>
          <cell r="D7611">
            <v>3.1</v>
          </cell>
          <cell r="E7611">
            <v>0</v>
          </cell>
          <cell r="F7611">
            <v>-0.54</v>
          </cell>
          <cell r="G7611">
            <v>0</v>
          </cell>
          <cell r="H7611">
            <v>0</v>
          </cell>
          <cell r="I7611">
            <v>0</v>
          </cell>
          <cell r="J7611">
            <v>0</v>
          </cell>
          <cell r="K7611">
            <v>-3.4</v>
          </cell>
          <cell r="L7611">
            <v>0</v>
          </cell>
          <cell r="M7611">
            <v>0</v>
          </cell>
          <cell r="N7611">
            <v>0</v>
          </cell>
          <cell r="O7611">
            <v>0</v>
          </cell>
          <cell r="P7611">
            <v>0</v>
          </cell>
          <cell r="Q7611">
            <v>0</v>
          </cell>
          <cell r="R7611">
            <v>0</v>
          </cell>
          <cell r="S7611">
            <v>0</v>
          </cell>
          <cell r="T7611">
            <v>0</v>
          </cell>
          <cell r="U7611" t="b">
            <v>0</v>
          </cell>
        </row>
        <row r="7612">
          <cell r="A7612" t="str">
            <v>Data split-20;Reg-111</v>
          </cell>
          <cell r="B7612">
            <v>-4.4000000000000004</v>
          </cell>
          <cell r="C7612">
            <v>0</v>
          </cell>
          <cell r="D7612">
            <v>3.1</v>
          </cell>
          <cell r="E7612">
            <v>0</v>
          </cell>
          <cell r="F7612">
            <v>-0.88</v>
          </cell>
          <cell r="G7612">
            <v>0</v>
          </cell>
          <cell r="H7612">
            <v>0</v>
          </cell>
          <cell r="I7612">
            <v>0</v>
          </cell>
          <cell r="J7612">
            <v>0</v>
          </cell>
          <cell r="K7612">
            <v>0</v>
          </cell>
          <cell r="L7612">
            <v>-11.5</v>
          </cell>
          <cell r="M7612">
            <v>0</v>
          </cell>
          <cell r="N7612">
            <v>0</v>
          </cell>
          <cell r="O7612">
            <v>0</v>
          </cell>
          <cell r="P7612">
            <v>0</v>
          </cell>
          <cell r="Q7612">
            <v>0</v>
          </cell>
          <cell r="R7612">
            <v>0</v>
          </cell>
          <cell r="S7612">
            <v>0</v>
          </cell>
          <cell r="T7612">
            <v>0</v>
          </cell>
          <cell r="U7612" t="b">
            <v>0</v>
          </cell>
        </row>
        <row r="7613">
          <cell r="A7613" t="str">
            <v>Data split-20;Reg-112</v>
          </cell>
          <cell r="B7613">
            <v>-7.7</v>
          </cell>
          <cell r="C7613">
            <v>2.9</v>
          </cell>
          <cell r="D7613">
            <v>0</v>
          </cell>
          <cell r="E7613">
            <v>0</v>
          </cell>
          <cell r="F7613">
            <v>0</v>
          </cell>
          <cell r="G7613">
            <v>-1.9</v>
          </cell>
          <cell r="H7613">
            <v>0</v>
          </cell>
          <cell r="I7613">
            <v>4.9000000000000004</v>
          </cell>
          <cell r="J7613">
            <v>0</v>
          </cell>
          <cell r="K7613">
            <v>0</v>
          </cell>
          <cell r="L7613">
            <v>0</v>
          </cell>
          <cell r="M7613">
            <v>0</v>
          </cell>
          <cell r="N7613">
            <v>0</v>
          </cell>
          <cell r="O7613">
            <v>0</v>
          </cell>
          <cell r="P7613">
            <v>0</v>
          </cell>
          <cell r="Q7613">
            <v>0</v>
          </cell>
          <cell r="R7613">
            <v>0</v>
          </cell>
          <cell r="S7613">
            <v>0</v>
          </cell>
          <cell r="T7613">
            <v>0</v>
          </cell>
          <cell r="U7613" t="b">
            <v>0</v>
          </cell>
        </row>
        <row r="7614">
          <cell r="A7614" t="str">
            <v>Data split-20;Reg-113</v>
          </cell>
          <cell r="B7614">
            <v>-11.2</v>
          </cell>
          <cell r="C7614">
            <v>3</v>
          </cell>
          <cell r="D7614">
            <v>0</v>
          </cell>
          <cell r="E7614">
            <v>0</v>
          </cell>
          <cell r="F7614">
            <v>0</v>
          </cell>
          <cell r="G7614">
            <v>-1.6</v>
          </cell>
          <cell r="H7614">
            <v>0</v>
          </cell>
          <cell r="I7614">
            <v>0</v>
          </cell>
          <cell r="J7614">
            <v>42</v>
          </cell>
          <cell r="K7614">
            <v>0</v>
          </cell>
          <cell r="L7614">
            <v>0</v>
          </cell>
          <cell r="M7614">
            <v>0</v>
          </cell>
          <cell r="N7614">
            <v>0</v>
          </cell>
          <cell r="O7614">
            <v>0</v>
          </cell>
          <cell r="P7614">
            <v>0</v>
          </cell>
          <cell r="Q7614">
            <v>0</v>
          </cell>
          <cell r="R7614">
            <v>0</v>
          </cell>
          <cell r="S7614">
            <v>0</v>
          </cell>
          <cell r="T7614">
            <v>0</v>
          </cell>
          <cell r="U7614" t="b">
            <v>0</v>
          </cell>
        </row>
        <row r="7615">
          <cell r="A7615" t="str">
            <v>Data split-20;Reg-114</v>
          </cell>
          <cell r="B7615">
            <v>-8.3000000000000007</v>
          </cell>
          <cell r="C7615">
            <v>3.3</v>
          </cell>
          <cell r="D7615">
            <v>0</v>
          </cell>
          <cell r="E7615">
            <v>0</v>
          </cell>
          <cell r="F7615">
            <v>0</v>
          </cell>
          <cell r="G7615">
            <v>0</v>
          </cell>
          <cell r="H7615">
            <v>-4.2</v>
          </cell>
          <cell r="I7615">
            <v>6.8</v>
          </cell>
          <cell r="J7615">
            <v>0</v>
          </cell>
          <cell r="K7615">
            <v>0</v>
          </cell>
          <cell r="L7615">
            <v>0</v>
          </cell>
          <cell r="M7615">
            <v>0</v>
          </cell>
          <cell r="N7615">
            <v>0</v>
          </cell>
          <cell r="O7615">
            <v>0</v>
          </cell>
          <cell r="P7615">
            <v>0</v>
          </cell>
          <cell r="Q7615">
            <v>0</v>
          </cell>
          <cell r="R7615">
            <v>0</v>
          </cell>
          <cell r="S7615">
            <v>0</v>
          </cell>
          <cell r="T7615">
            <v>0</v>
          </cell>
          <cell r="U7615" t="b">
            <v>0</v>
          </cell>
        </row>
        <row r="7616">
          <cell r="A7616" t="str">
            <v>Data split-20;Reg-115</v>
          </cell>
          <cell r="B7616">
            <v>-11.5</v>
          </cell>
          <cell r="C7616">
            <v>3.3</v>
          </cell>
          <cell r="D7616">
            <v>0</v>
          </cell>
          <cell r="E7616">
            <v>0</v>
          </cell>
          <cell r="F7616">
            <v>0</v>
          </cell>
          <cell r="G7616">
            <v>0</v>
          </cell>
          <cell r="H7616">
            <v>-3.2</v>
          </cell>
          <cell r="I7616">
            <v>0</v>
          </cell>
          <cell r="J7616">
            <v>49.2</v>
          </cell>
          <cell r="K7616">
            <v>0</v>
          </cell>
          <cell r="L7616">
            <v>0</v>
          </cell>
          <cell r="M7616">
            <v>0</v>
          </cell>
          <cell r="N7616">
            <v>0</v>
          </cell>
          <cell r="O7616">
            <v>0</v>
          </cell>
          <cell r="P7616">
            <v>0</v>
          </cell>
          <cell r="Q7616">
            <v>0</v>
          </cell>
          <cell r="R7616">
            <v>0</v>
          </cell>
          <cell r="S7616">
            <v>0</v>
          </cell>
          <cell r="T7616">
            <v>0</v>
          </cell>
          <cell r="U7616" t="b">
            <v>0</v>
          </cell>
        </row>
        <row r="7617">
          <cell r="A7617" t="str">
            <v>Data split-20;Reg-116</v>
          </cell>
          <cell r="B7617">
            <v>-7.6</v>
          </cell>
          <cell r="C7617">
            <v>0</v>
          </cell>
          <cell r="D7617">
            <v>3</v>
          </cell>
          <cell r="E7617">
            <v>0</v>
          </cell>
          <cell r="F7617">
            <v>0</v>
          </cell>
          <cell r="G7617">
            <v>-1.7</v>
          </cell>
          <cell r="H7617">
            <v>0</v>
          </cell>
          <cell r="I7617">
            <v>3.7</v>
          </cell>
          <cell r="J7617">
            <v>0</v>
          </cell>
          <cell r="K7617">
            <v>0</v>
          </cell>
          <cell r="L7617">
            <v>0</v>
          </cell>
          <cell r="M7617">
            <v>0</v>
          </cell>
          <cell r="N7617">
            <v>0</v>
          </cell>
          <cell r="O7617">
            <v>0</v>
          </cell>
          <cell r="P7617">
            <v>0</v>
          </cell>
          <cell r="Q7617">
            <v>0</v>
          </cell>
          <cell r="R7617">
            <v>0</v>
          </cell>
          <cell r="S7617">
            <v>0</v>
          </cell>
          <cell r="T7617">
            <v>0</v>
          </cell>
          <cell r="U7617" t="b">
            <v>0</v>
          </cell>
        </row>
        <row r="7618">
          <cell r="A7618" t="str">
            <v>Data split-20;Reg-117</v>
          </cell>
          <cell r="B7618">
            <v>-10.6</v>
          </cell>
          <cell r="C7618">
            <v>0</v>
          </cell>
          <cell r="D7618">
            <v>3</v>
          </cell>
          <cell r="E7618">
            <v>0</v>
          </cell>
          <cell r="F7618">
            <v>0</v>
          </cell>
          <cell r="G7618">
            <v>-1.5</v>
          </cell>
          <cell r="H7618">
            <v>0</v>
          </cell>
          <cell r="I7618">
            <v>0</v>
          </cell>
          <cell r="J7618">
            <v>34.1</v>
          </cell>
          <cell r="K7618">
            <v>0</v>
          </cell>
          <cell r="L7618">
            <v>0</v>
          </cell>
          <cell r="M7618">
            <v>0</v>
          </cell>
          <cell r="N7618">
            <v>0</v>
          </cell>
          <cell r="O7618">
            <v>0</v>
          </cell>
          <cell r="P7618">
            <v>0</v>
          </cell>
          <cell r="Q7618">
            <v>0</v>
          </cell>
          <cell r="R7618">
            <v>0</v>
          </cell>
          <cell r="S7618">
            <v>0</v>
          </cell>
          <cell r="T7618">
            <v>0</v>
          </cell>
          <cell r="U7618" t="b">
            <v>0</v>
          </cell>
        </row>
        <row r="7619">
          <cell r="A7619" t="str">
            <v>Data split-20;Reg-118</v>
          </cell>
          <cell r="B7619">
            <v>-8</v>
          </cell>
          <cell r="C7619">
            <v>0</v>
          </cell>
          <cell r="D7619">
            <v>3.3</v>
          </cell>
          <cell r="E7619">
            <v>0</v>
          </cell>
          <cell r="F7619">
            <v>0</v>
          </cell>
          <cell r="G7619">
            <v>0</v>
          </cell>
          <cell r="H7619">
            <v>-3.7</v>
          </cell>
          <cell r="I7619">
            <v>5.3</v>
          </cell>
          <cell r="J7619">
            <v>0</v>
          </cell>
          <cell r="K7619">
            <v>0</v>
          </cell>
          <cell r="L7619">
            <v>0</v>
          </cell>
          <cell r="M7619">
            <v>0</v>
          </cell>
          <cell r="N7619">
            <v>0</v>
          </cell>
          <cell r="O7619">
            <v>0</v>
          </cell>
          <cell r="P7619">
            <v>0</v>
          </cell>
          <cell r="Q7619">
            <v>0</v>
          </cell>
          <cell r="R7619">
            <v>0</v>
          </cell>
          <cell r="S7619">
            <v>0</v>
          </cell>
          <cell r="T7619">
            <v>0</v>
          </cell>
          <cell r="U7619" t="b">
            <v>0</v>
          </cell>
        </row>
        <row r="7620">
          <cell r="A7620" t="str">
            <v>Data split-20;Reg-119</v>
          </cell>
          <cell r="B7620">
            <v>-10.7</v>
          </cell>
          <cell r="C7620">
            <v>0</v>
          </cell>
          <cell r="D7620">
            <v>3.3</v>
          </cell>
          <cell r="E7620">
            <v>0</v>
          </cell>
          <cell r="F7620">
            <v>0</v>
          </cell>
          <cell r="G7620">
            <v>0</v>
          </cell>
          <cell r="H7620">
            <v>-3</v>
          </cell>
          <cell r="I7620">
            <v>0</v>
          </cell>
          <cell r="J7620">
            <v>39.6</v>
          </cell>
          <cell r="K7620">
            <v>0</v>
          </cell>
          <cell r="L7620">
            <v>0</v>
          </cell>
          <cell r="M7620">
            <v>0</v>
          </cell>
          <cell r="N7620">
            <v>0</v>
          </cell>
          <cell r="O7620">
            <v>0</v>
          </cell>
          <cell r="P7620">
            <v>0</v>
          </cell>
          <cell r="Q7620">
            <v>0</v>
          </cell>
          <cell r="R7620">
            <v>0</v>
          </cell>
          <cell r="S7620">
            <v>0</v>
          </cell>
          <cell r="T7620">
            <v>0</v>
          </cell>
          <cell r="U7620" t="b">
            <v>0</v>
          </cell>
        </row>
        <row r="7621">
          <cell r="A7621" t="str">
            <v>Data split-20;Reg-120</v>
          </cell>
          <cell r="B7621">
            <v>-2.2000000000000002</v>
          </cell>
          <cell r="C7621">
            <v>2.9</v>
          </cell>
          <cell r="D7621">
            <v>0</v>
          </cell>
          <cell r="E7621">
            <v>0</v>
          </cell>
          <cell r="F7621">
            <v>0</v>
          </cell>
          <cell r="G7621">
            <v>-0.56000000000000005</v>
          </cell>
          <cell r="H7621">
            <v>0</v>
          </cell>
          <cell r="I7621">
            <v>0</v>
          </cell>
          <cell r="J7621">
            <v>0</v>
          </cell>
          <cell r="K7621">
            <v>-2.4</v>
          </cell>
          <cell r="L7621">
            <v>0</v>
          </cell>
          <cell r="M7621">
            <v>0</v>
          </cell>
          <cell r="N7621">
            <v>0</v>
          </cell>
          <cell r="O7621">
            <v>0</v>
          </cell>
          <cell r="P7621">
            <v>0</v>
          </cell>
          <cell r="Q7621">
            <v>0</v>
          </cell>
          <cell r="R7621">
            <v>0</v>
          </cell>
          <cell r="S7621">
            <v>0</v>
          </cell>
          <cell r="T7621">
            <v>0</v>
          </cell>
          <cell r="U7621" t="b">
            <v>0</v>
          </cell>
        </row>
        <row r="7622">
          <cell r="A7622" t="str">
            <v>Data split-20;Reg-121</v>
          </cell>
          <cell r="B7622">
            <v>-2.4</v>
          </cell>
          <cell r="C7622">
            <v>2.9</v>
          </cell>
          <cell r="D7622">
            <v>0</v>
          </cell>
          <cell r="E7622">
            <v>0</v>
          </cell>
          <cell r="F7622">
            <v>0</v>
          </cell>
          <cell r="G7622">
            <v>-0.87</v>
          </cell>
          <cell r="H7622">
            <v>0</v>
          </cell>
          <cell r="I7622">
            <v>0</v>
          </cell>
          <cell r="J7622">
            <v>0</v>
          </cell>
          <cell r="K7622">
            <v>0</v>
          </cell>
          <cell r="L7622">
            <v>-8.6999999999999993</v>
          </cell>
          <cell r="M7622">
            <v>0</v>
          </cell>
          <cell r="N7622">
            <v>0</v>
          </cell>
          <cell r="O7622">
            <v>0</v>
          </cell>
          <cell r="P7622">
            <v>0</v>
          </cell>
          <cell r="Q7622">
            <v>0</v>
          </cell>
          <cell r="R7622">
            <v>0</v>
          </cell>
          <cell r="S7622">
            <v>0</v>
          </cell>
          <cell r="T7622">
            <v>0</v>
          </cell>
          <cell r="U7622" t="b">
            <v>0</v>
          </cell>
        </row>
        <row r="7623">
          <cell r="A7623" t="str">
            <v>Data split-20;Reg-122</v>
          </cell>
          <cell r="B7623">
            <v>-2.2000000000000002</v>
          </cell>
          <cell r="C7623">
            <v>3</v>
          </cell>
          <cell r="D7623">
            <v>0</v>
          </cell>
          <cell r="E7623">
            <v>0</v>
          </cell>
          <cell r="F7623">
            <v>0</v>
          </cell>
          <cell r="G7623">
            <v>0</v>
          </cell>
          <cell r="H7623">
            <v>-1.3</v>
          </cell>
          <cell r="I7623">
            <v>0</v>
          </cell>
          <cell r="J7623">
            <v>0</v>
          </cell>
          <cell r="K7623">
            <v>-1.9</v>
          </cell>
          <cell r="L7623">
            <v>0</v>
          </cell>
          <cell r="M7623">
            <v>0</v>
          </cell>
          <cell r="N7623">
            <v>0</v>
          </cell>
          <cell r="O7623">
            <v>0</v>
          </cell>
          <cell r="P7623">
            <v>0</v>
          </cell>
          <cell r="Q7623">
            <v>0</v>
          </cell>
          <cell r="R7623">
            <v>0</v>
          </cell>
          <cell r="S7623">
            <v>0</v>
          </cell>
          <cell r="T7623">
            <v>0</v>
          </cell>
          <cell r="U7623" t="b">
            <v>0</v>
          </cell>
        </row>
        <row r="7624">
          <cell r="A7624" t="str">
            <v>Data split-20;Reg-123</v>
          </cell>
          <cell r="B7624">
            <v>-2.2999999999999998</v>
          </cell>
          <cell r="C7624">
            <v>3</v>
          </cell>
          <cell r="D7624">
            <v>0</v>
          </cell>
          <cell r="E7624">
            <v>0</v>
          </cell>
          <cell r="F7624">
            <v>0</v>
          </cell>
          <cell r="G7624">
            <v>0</v>
          </cell>
          <cell r="H7624">
            <v>-1.7</v>
          </cell>
          <cell r="I7624">
            <v>0</v>
          </cell>
          <cell r="J7624">
            <v>0</v>
          </cell>
          <cell r="K7624">
            <v>0</v>
          </cell>
          <cell r="L7624">
            <v>-7</v>
          </cell>
          <cell r="M7624">
            <v>0</v>
          </cell>
          <cell r="N7624">
            <v>0</v>
          </cell>
          <cell r="O7624">
            <v>0</v>
          </cell>
          <cell r="P7624">
            <v>0</v>
          </cell>
          <cell r="Q7624">
            <v>0</v>
          </cell>
          <cell r="R7624">
            <v>0</v>
          </cell>
          <cell r="S7624">
            <v>0</v>
          </cell>
          <cell r="T7624">
            <v>0</v>
          </cell>
          <cell r="U7624" t="b">
            <v>0</v>
          </cell>
        </row>
        <row r="7625">
          <cell r="A7625" t="str">
            <v>Data split-20;Reg-124</v>
          </cell>
          <cell r="B7625">
            <v>-2.8</v>
          </cell>
          <cell r="C7625">
            <v>0</v>
          </cell>
          <cell r="D7625">
            <v>3.1</v>
          </cell>
          <cell r="E7625">
            <v>0</v>
          </cell>
          <cell r="F7625">
            <v>0</v>
          </cell>
          <cell r="G7625">
            <v>-0.65</v>
          </cell>
          <cell r="H7625">
            <v>0</v>
          </cell>
          <cell r="I7625">
            <v>0</v>
          </cell>
          <cell r="J7625">
            <v>0</v>
          </cell>
          <cell r="K7625">
            <v>-2.7</v>
          </cell>
          <cell r="L7625">
            <v>0</v>
          </cell>
          <cell r="M7625">
            <v>0</v>
          </cell>
          <cell r="N7625">
            <v>0</v>
          </cell>
          <cell r="O7625">
            <v>0</v>
          </cell>
          <cell r="P7625">
            <v>0</v>
          </cell>
          <cell r="Q7625">
            <v>0</v>
          </cell>
          <cell r="R7625">
            <v>0</v>
          </cell>
          <cell r="S7625">
            <v>0</v>
          </cell>
          <cell r="T7625">
            <v>0</v>
          </cell>
          <cell r="U7625" t="b">
            <v>0</v>
          </cell>
        </row>
        <row r="7626">
          <cell r="A7626" t="str">
            <v>Data split-20;Reg-125</v>
          </cell>
          <cell r="B7626">
            <v>-2.9</v>
          </cell>
          <cell r="C7626">
            <v>0</v>
          </cell>
          <cell r="D7626">
            <v>3</v>
          </cell>
          <cell r="E7626">
            <v>0</v>
          </cell>
          <cell r="F7626">
            <v>0</v>
          </cell>
          <cell r="G7626">
            <v>-0.99</v>
          </cell>
          <cell r="H7626">
            <v>0</v>
          </cell>
          <cell r="I7626">
            <v>0</v>
          </cell>
          <cell r="J7626">
            <v>0</v>
          </cell>
          <cell r="K7626">
            <v>0</v>
          </cell>
          <cell r="L7626">
            <v>-10.3</v>
          </cell>
          <cell r="M7626">
            <v>0</v>
          </cell>
          <cell r="N7626">
            <v>0</v>
          </cell>
          <cell r="O7626">
            <v>0</v>
          </cell>
          <cell r="P7626">
            <v>0</v>
          </cell>
          <cell r="Q7626">
            <v>0</v>
          </cell>
          <cell r="R7626">
            <v>0</v>
          </cell>
          <cell r="S7626">
            <v>0</v>
          </cell>
          <cell r="T7626">
            <v>0</v>
          </cell>
          <cell r="U7626" t="b">
            <v>0</v>
          </cell>
        </row>
        <row r="7627">
          <cell r="A7627" t="str">
            <v>Data split-20;Reg-126</v>
          </cell>
          <cell r="B7627">
            <v>-2.8</v>
          </cell>
          <cell r="C7627">
            <v>0</v>
          </cell>
          <cell r="D7627">
            <v>3.2</v>
          </cell>
          <cell r="E7627">
            <v>0</v>
          </cell>
          <cell r="F7627">
            <v>0</v>
          </cell>
          <cell r="G7627">
            <v>0</v>
          </cell>
          <cell r="H7627">
            <v>-1.4</v>
          </cell>
          <cell r="I7627">
            <v>0</v>
          </cell>
          <cell r="J7627">
            <v>0</v>
          </cell>
          <cell r="K7627">
            <v>-2.2000000000000002</v>
          </cell>
          <cell r="L7627">
            <v>0</v>
          </cell>
          <cell r="M7627">
            <v>0</v>
          </cell>
          <cell r="N7627">
            <v>0</v>
          </cell>
          <cell r="O7627">
            <v>0</v>
          </cell>
          <cell r="P7627">
            <v>0</v>
          </cell>
          <cell r="Q7627">
            <v>0</v>
          </cell>
          <cell r="R7627">
            <v>0</v>
          </cell>
          <cell r="S7627">
            <v>0</v>
          </cell>
          <cell r="T7627">
            <v>0</v>
          </cell>
          <cell r="U7627" t="b">
            <v>0</v>
          </cell>
        </row>
        <row r="7628">
          <cell r="A7628" t="str">
            <v>Data split-20;Reg-127</v>
          </cell>
          <cell r="B7628">
            <v>-2.9</v>
          </cell>
          <cell r="C7628">
            <v>0</v>
          </cell>
          <cell r="D7628">
            <v>3.2</v>
          </cell>
          <cell r="E7628">
            <v>0</v>
          </cell>
          <cell r="F7628">
            <v>0</v>
          </cell>
          <cell r="G7628">
            <v>0</v>
          </cell>
          <cell r="H7628">
            <v>-1.9</v>
          </cell>
          <cell r="I7628">
            <v>0</v>
          </cell>
          <cell r="J7628">
            <v>0</v>
          </cell>
          <cell r="K7628">
            <v>0</v>
          </cell>
          <cell r="L7628">
            <v>-8.4</v>
          </cell>
          <cell r="M7628">
            <v>0</v>
          </cell>
          <cell r="N7628">
            <v>0</v>
          </cell>
          <cell r="O7628">
            <v>0</v>
          </cell>
          <cell r="P7628">
            <v>0</v>
          </cell>
          <cell r="Q7628">
            <v>0</v>
          </cell>
          <cell r="R7628">
            <v>0</v>
          </cell>
          <cell r="S7628">
            <v>0</v>
          </cell>
          <cell r="T7628">
            <v>0</v>
          </cell>
          <cell r="U7628" t="b">
            <v>0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D58F-11E9-ED4A-B1B9-AA668CFFED0F}">
  <dimension ref="A1:AE584"/>
  <sheetViews>
    <sheetView tabSelected="1" zoomScale="95" zoomScaleNormal="95" workbookViewId="0">
      <pane xSplit="2" ySplit="4" topLeftCell="C5" activePane="bottomRight" state="frozen"/>
      <selection pane="topRight" activeCell="D1" sqref="D1"/>
      <selection pane="bottomLeft" activeCell="A5" sqref="A5"/>
      <selection pane="bottomRight" activeCell="AG10" sqref="AG10"/>
    </sheetView>
  </sheetViews>
  <sheetFormatPr baseColWidth="10" defaultColWidth="14.5" defaultRowHeight="15" customHeight="1" x14ac:dyDescent="0.2"/>
  <cols>
    <col min="1" max="1" width="38" style="2" customWidth="1"/>
    <col min="2" max="2" width="33.33203125" style="2" customWidth="1"/>
    <col min="3" max="3" width="13.33203125" style="2" customWidth="1"/>
    <col min="4" max="5" width="15.1640625" style="2" customWidth="1"/>
    <col min="6" max="6" width="9.6640625" style="2" customWidth="1"/>
    <col min="7" max="7" width="9.33203125" style="2" customWidth="1"/>
    <col min="8" max="8" width="24.5" style="2" customWidth="1"/>
    <col min="9" max="9" width="20.6640625" style="2" customWidth="1"/>
    <col min="10" max="10" width="19.33203125" style="2" customWidth="1"/>
    <col min="11" max="11" width="10.5" style="2" customWidth="1"/>
    <col min="12" max="12" width="11.1640625" style="2" customWidth="1"/>
    <col min="13" max="13" width="18.6640625" style="2" customWidth="1"/>
    <col min="14" max="14" width="10.5" style="2" customWidth="1"/>
    <col min="15" max="16" width="9.33203125" style="2" customWidth="1"/>
    <col min="17" max="17" width="10.5" style="2" customWidth="1"/>
    <col min="18" max="18" width="10.6640625" style="2" customWidth="1"/>
    <col min="19" max="19" width="10.5" style="2" customWidth="1"/>
    <col min="21" max="21" width="13.6640625" style="2" hidden="1" customWidth="1"/>
    <col min="22" max="22" width="12.33203125" style="2" customWidth="1"/>
    <col min="23" max="23" width="17.5" style="2" customWidth="1"/>
    <col min="24" max="24" width="9.1640625" style="2" customWidth="1"/>
    <col min="25" max="29" width="14.5" style="2"/>
    <col min="30" max="30" width="19.6640625" style="2" bestFit="1" customWidth="1"/>
    <col min="31" max="31" width="0" style="2" hidden="1" customWidth="1"/>
    <col min="32" max="16384" width="14.5" style="2"/>
  </cols>
  <sheetData>
    <row r="1" spans="1:31" ht="25.5" customHeight="1" x14ac:dyDescent="0.2">
      <c r="A1" s="74" t="s">
        <v>0</v>
      </c>
      <c r="B1" s="75" t="s">
        <v>1</v>
      </c>
      <c r="C1" s="78" t="s">
        <v>2</v>
      </c>
      <c r="D1" s="72"/>
      <c r="E1" s="72"/>
      <c r="F1" s="71" t="s">
        <v>3</v>
      </c>
      <c r="G1" s="71" t="s">
        <v>4</v>
      </c>
      <c r="H1" s="73" t="s">
        <v>5</v>
      </c>
      <c r="I1" s="73" t="s">
        <v>6</v>
      </c>
      <c r="J1" s="73" t="s">
        <v>7</v>
      </c>
      <c r="K1" s="71" t="s">
        <v>8</v>
      </c>
      <c r="L1" s="72"/>
      <c r="M1" s="72"/>
      <c r="N1" s="72"/>
      <c r="O1" s="72"/>
      <c r="P1" s="72"/>
      <c r="Q1" s="72"/>
      <c r="R1" s="72"/>
      <c r="S1" s="72"/>
      <c r="U1" s="66" t="s">
        <v>9</v>
      </c>
      <c r="V1" s="68" t="s">
        <v>740</v>
      </c>
      <c r="W1" s="68" t="s">
        <v>741</v>
      </c>
      <c r="X1" s="1"/>
      <c r="Y1" s="63" t="s">
        <v>10</v>
      </c>
      <c r="Z1" s="63" t="s">
        <v>11</v>
      </c>
      <c r="AA1" s="63" t="s">
        <v>12</v>
      </c>
      <c r="AB1" s="63" t="s">
        <v>13</v>
      </c>
      <c r="AD1" s="72"/>
    </row>
    <row r="2" spans="1:31" ht="25.5" customHeight="1" x14ac:dyDescent="0.2">
      <c r="A2" s="59"/>
      <c r="B2" s="76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U2" s="54"/>
      <c r="V2" s="69"/>
      <c r="W2" s="69"/>
      <c r="X2" s="3"/>
      <c r="Y2" s="64"/>
      <c r="Z2" s="64"/>
      <c r="AA2" s="64"/>
      <c r="AB2" s="64"/>
      <c r="AD2" s="54"/>
    </row>
    <row r="3" spans="1:31" ht="25.5" customHeight="1" x14ac:dyDescent="0.2">
      <c r="A3" s="59"/>
      <c r="B3" s="76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P3" s="54"/>
      <c r="Q3" s="54"/>
      <c r="R3" s="54"/>
      <c r="S3" s="54"/>
      <c r="U3" s="54"/>
      <c r="V3" s="69"/>
      <c r="W3" s="69"/>
      <c r="X3" s="3"/>
      <c r="Y3" s="64"/>
      <c r="Z3" s="64"/>
      <c r="AA3" s="64"/>
      <c r="AB3" s="64"/>
      <c r="AD3" s="9" t="s">
        <v>14</v>
      </c>
      <c r="AE3" s="79" t="s">
        <v>744</v>
      </c>
    </row>
    <row r="4" spans="1:31" ht="25.5" customHeight="1" x14ac:dyDescent="0.2">
      <c r="A4" s="59"/>
      <c r="B4" s="77"/>
      <c r="C4" s="10" t="s">
        <v>15</v>
      </c>
      <c r="D4" s="10" t="s">
        <v>16</v>
      </c>
      <c r="E4" s="10" t="s">
        <v>17</v>
      </c>
      <c r="F4" s="67"/>
      <c r="G4" s="67"/>
      <c r="H4" s="67"/>
      <c r="I4" s="67"/>
      <c r="J4" s="67"/>
      <c r="K4" s="67"/>
      <c r="L4" s="11" t="s">
        <v>18</v>
      </c>
      <c r="M4" s="12" t="s">
        <v>19</v>
      </c>
      <c r="N4" s="13" t="s">
        <v>739</v>
      </c>
      <c r="O4" s="12" t="s">
        <v>742</v>
      </c>
      <c r="P4" s="12" t="s">
        <v>21</v>
      </c>
      <c r="Q4" s="14" t="s">
        <v>20</v>
      </c>
      <c r="R4" s="12" t="s">
        <v>22</v>
      </c>
      <c r="S4" s="11" t="s">
        <v>738</v>
      </c>
      <c r="U4" s="67"/>
      <c r="V4" s="70"/>
      <c r="W4" s="70"/>
      <c r="X4" s="4"/>
      <c r="Y4" s="65"/>
      <c r="Z4" s="65"/>
      <c r="AA4" s="65"/>
      <c r="AB4" s="65"/>
      <c r="AD4" s="15" t="s">
        <v>23</v>
      </c>
      <c r="AE4" s="2" t="s">
        <v>743</v>
      </c>
    </row>
    <row r="5" spans="1:31" ht="25.5" customHeight="1" x14ac:dyDescent="0.2">
      <c r="A5" s="39" t="s">
        <v>24</v>
      </c>
      <c r="B5" s="44" t="s">
        <v>25</v>
      </c>
      <c r="C5" s="16">
        <v>150</v>
      </c>
      <c r="D5" s="16">
        <v>1000</v>
      </c>
      <c r="E5" s="16">
        <v>2200</v>
      </c>
      <c r="F5" s="16">
        <v>2.2000000000000002</v>
      </c>
      <c r="G5" s="16">
        <v>2.2000000000000002</v>
      </c>
      <c r="H5" s="16">
        <v>1</v>
      </c>
      <c r="I5" s="16">
        <v>3</v>
      </c>
      <c r="J5" s="16">
        <v>1</v>
      </c>
      <c r="K5" s="16">
        <v>0</v>
      </c>
      <c r="L5" s="16">
        <v>30.5</v>
      </c>
      <c r="M5" s="17">
        <v>1.33</v>
      </c>
      <c r="N5" s="18">
        <v>425</v>
      </c>
      <c r="O5" s="17">
        <v>1.74</v>
      </c>
      <c r="P5" s="17">
        <v>0.88</v>
      </c>
      <c r="Q5" s="18">
        <v>425</v>
      </c>
      <c r="R5" s="16">
        <v>0.67</v>
      </c>
      <c r="S5" s="18">
        <v>425</v>
      </c>
      <c r="U5" s="16"/>
      <c r="V5" s="19">
        <v>0.2</v>
      </c>
      <c r="W5" s="17">
        <v>6.666666666666667</v>
      </c>
      <c r="X5" s="3"/>
      <c r="Y5" s="5">
        <v>9.3360655737704921</v>
      </c>
      <c r="Z5" s="5">
        <v>12.262295081967213</v>
      </c>
      <c r="AA5" s="5">
        <v>24.245901639344261</v>
      </c>
      <c r="AB5" s="5">
        <v>18.532786885245901</v>
      </c>
      <c r="AD5" s="19">
        <v>155.14999999999998</v>
      </c>
      <c r="AE5" s="5">
        <f>AD5*1000/C5/D5*145.038/SQRT(145.038*L5)</f>
        <v>2.2555450329757147</v>
      </c>
    </row>
    <row r="6" spans="1:31" ht="25.5" customHeight="1" x14ac:dyDescent="0.2">
      <c r="A6" s="55" t="s">
        <v>27</v>
      </c>
      <c r="B6" s="21" t="s">
        <v>28</v>
      </c>
      <c r="C6" s="22">
        <v>150</v>
      </c>
      <c r="D6" s="22">
        <v>1400</v>
      </c>
      <c r="E6" s="22">
        <v>2000</v>
      </c>
      <c r="F6" s="3">
        <v>1.43</v>
      </c>
      <c r="G6" s="13">
        <v>1.4285714285714286</v>
      </c>
      <c r="H6" s="22">
        <v>1</v>
      </c>
      <c r="I6" s="22">
        <v>3</v>
      </c>
      <c r="J6" s="22">
        <v>1</v>
      </c>
      <c r="K6" s="3">
        <v>9.9999999999999985E-3</v>
      </c>
      <c r="L6" s="13">
        <v>46.8</v>
      </c>
      <c r="M6" s="13">
        <v>0</v>
      </c>
      <c r="N6" s="13" t="s">
        <v>26</v>
      </c>
      <c r="O6" s="13">
        <v>0</v>
      </c>
      <c r="P6" s="13">
        <v>0.56603733333333339</v>
      </c>
      <c r="Q6" s="13">
        <v>357.084</v>
      </c>
      <c r="R6" s="13">
        <v>1.18</v>
      </c>
      <c r="S6" s="13">
        <v>373.76</v>
      </c>
      <c r="U6" s="35">
        <v>12</v>
      </c>
      <c r="V6" s="24">
        <v>0</v>
      </c>
      <c r="W6" s="3">
        <v>9.3333333333333339</v>
      </c>
      <c r="X6" s="3"/>
      <c r="Y6" s="5">
        <v>9.4238632478632471</v>
      </c>
      <c r="Z6" s="5">
        <v>4.3188648533333343</v>
      </c>
      <c r="AA6" s="5">
        <v>0</v>
      </c>
      <c r="AB6" s="5">
        <v>0</v>
      </c>
      <c r="AD6" s="23">
        <v>666.81999999999994</v>
      </c>
      <c r="AE6" s="5">
        <f t="shared" ref="AE6:AE69" si="0">AD6*1000/C6/D6*145.038/SQRT(145.038*L6)</f>
        <v>5.5899419403688935</v>
      </c>
    </row>
    <row r="7" spans="1:31" ht="25.5" customHeight="1" x14ac:dyDescent="0.2">
      <c r="A7" s="54"/>
      <c r="B7" s="21" t="s">
        <v>29</v>
      </c>
      <c r="C7" s="22">
        <v>150</v>
      </c>
      <c r="D7" s="22">
        <v>1400</v>
      </c>
      <c r="E7" s="22">
        <v>2000</v>
      </c>
      <c r="F7" s="3">
        <v>1.43</v>
      </c>
      <c r="G7" s="13">
        <v>1.4285714285714286</v>
      </c>
      <c r="H7" s="22">
        <v>1</v>
      </c>
      <c r="I7" s="22">
        <v>1</v>
      </c>
      <c r="J7" s="22">
        <v>1</v>
      </c>
      <c r="K7" s="3">
        <v>1.0000000000000002E-2</v>
      </c>
      <c r="L7" s="13">
        <v>46.6</v>
      </c>
      <c r="M7" s="13">
        <v>0</v>
      </c>
      <c r="N7" s="13" t="s">
        <v>26</v>
      </c>
      <c r="O7" s="13">
        <v>0</v>
      </c>
      <c r="P7" s="13">
        <v>0.56603733333333339</v>
      </c>
      <c r="Q7" s="13">
        <v>357.084</v>
      </c>
      <c r="R7" s="13">
        <v>2.0670000000000002</v>
      </c>
      <c r="S7" s="13">
        <v>373.76</v>
      </c>
      <c r="U7" s="35">
        <v>12</v>
      </c>
      <c r="V7" s="24">
        <v>0</v>
      </c>
      <c r="W7" s="3">
        <v>9.3333333333333339</v>
      </c>
      <c r="X7" s="3"/>
      <c r="Y7" s="5">
        <v>16.57858197424893</v>
      </c>
      <c r="Z7" s="5">
        <v>4.3374007539914166</v>
      </c>
      <c r="AA7" s="5">
        <v>0</v>
      </c>
      <c r="AB7" s="5">
        <v>0</v>
      </c>
      <c r="AD7" s="23">
        <v>787.4</v>
      </c>
      <c r="AE7" s="5">
        <f t="shared" si="0"/>
        <v>6.6149118106346725</v>
      </c>
    </row>
    <row r="8" spans="1:31" ht="25.5" customHeight="1" x14ac:dyDescent="0.2">
      <c r="A8" s="3" t="s">
        <v>30</v>
      </c>
      <c r="B8" s="21" t="s">
        <v>31</v>
      </c>
      <c r="C8" s="22">
        <v>127</v>
      </c>
      <c r="D8" s="22">
        <v>1625</v>
      </c>
      <c r="E8" s="22">
        <v>12000</v>
      </c>
      <c r="F8" s="3">
        <v>7.38</v>
      </c>
      <c r="G8" s="13">
        <v>7.384615384615385</v>
      </c>
      <c r="H8" s="22">
        <v>3</v>
      </c>
      <c r="I8" s="22">
        <v>3</v>
      </c>
      <c r="J8" s="22">
        <v>1</v>
      </c>
      <c r="K8" s="13">
        <v>0.1</v>
      </c>
      <c r="L8" s="13">
        <v>49</v>
      </c>
      <c r="M8" s="13">
        <v>0.64970605392792335</v>
      </c>
      <c r="N8" s="13">
        <v>455</v>
      </c>
      <c r="O8" s="13">
        <v>0.58630268503289473</v>
      </c>
      <c r="P8" s="13">
        <v>0.25877539692784307</v>
      </c>
      <c r="Q8" s="13">
        <v>455</v>
      </c>
      <c r="R8" s="13">
        <v>0.26801665160707372</v>
      </c>
      <c r="S8" s="13">
        <v>455</v>
      </c>
      <c r="U8" s="6"/>
      <c r="V8" s="24">
        <v>0.24956889997508841</v>
      </c>
      <c r="W8" s="3">
        <v>12.795275590551181</v>
      </c>
      <c r="X8" s="6"/>
      <c r="Y8" s="5">
        <v>2.4887260506371134</v>
      </c>
      <c r="Z8" s="5">
        <v>2.4029144000442573</v>
      </c>
      <c r="AA8" s="5">
        <v>5.4442392181625943</v>
      </c>
      <c r="AB8" s="5">
        <v>6.0329847864735742</v>
      </c>
      <c r="AD8" s="23">
        <v>144.75</v>
      </c>
      <c r="AE8" s="5">
        <f t="shared" si="0"/>
        <v>1.2067139888547189</v>
      </c>
    </row>
    <row r="9" spans="1:31" ht="25.5" customHeight="1" x14ac:dyDescent="0.2">
      <c r="A9" s="53" t="s">
        <v>32</v>
      </c>
      <c r="B9" s="36" t="s">
        <v>33</v>
      </c>
      <c r="C9" s="22">
        <v>100</v>
      </c>
      <c r="D9" s="22">
        <v>700</v>
      </c>
      <c r="E9" s="22">
        <v>1600</v>
      </c>
      <c r="F9" s="13">
        <v>2.5</v>
      </c>
      <c r="G9" s="13">
        <v>2.2857142857142856</v>
      </c>
      <c r="H9" s="22">
        <v>1</v>
      </c>
      <c r="I9" s="22">
        <v>2</v>
      </c>
      <c r="J9" s="22">
        <v>1</v>
      </c>
      <c r="K9" s="13">
        <v>0.15</v>
      </c>
      <c r="L9" s="13">
        <v>27.4</v>
      </c>
      <c r="M9" s="13">
        <v>3.14</v>
      </c>
      <c r="N9" s="13">
        <v>469.2</v>
      </c>
      <c r="O9" s="13">
        <v>0</v>
      </c>
      <c r="P9" s="13">
        <v>0.43611111111111112</v>
      </c>
      <c r="Q9" s="13">
        <v>608.9</v>
      </c>
      <c r="R9" s="13">
        <v>0.6</v>
      </c>
      <c r="S9" s="13">
        <v>445.6</v>
      </c>
      <c r="U9" s="6"/>
      <c r="V9" s="24">
        <v>0.14285714285714285</v>
      </c>
      <c r="W9" s="3">
        <v>7</v>
      </c>
      <c r="X9" s="6"/>
      <c r="Y9" s="5">
        <v>9.7576642335766426</v>
      </c>
      <c r="Z9" s="5">
        <v>9.6915348742903493</v>
      </c>
      <c r="AA9" s="5">
        <v>0</v>
      </c>
      <c r="AB9" s="5">
        <v>53.769635036496354</v>
      </c>
      <c r="AD9" s="23">
        <v>143.15</v>
      </c>
      <c r="AE9" s="5">
        <f t="shared" si="0"/>
        <v>4.704992463943638</v>
      </c>
    </row>
    <row r="10" spans="1:31" ht="25.5" customHeight="1" x14ac:dyDescent="0.2">
      <c r="A10" s="54"/>
      <c r="B10" s="36" t="s">
        <v>34</v>
      </c>
      <c r="C10" s="22">
        <v>100</v>
      </c>
      <c r="D10" s="22">
        <v>700</v>
      </c>
      <c r="E10" s="22">
        <v>1600</v>
      </c>
      <c r="F10" s="13">
        <v>2.5</v>
      </c>
      <c r="G10" s="13">
        <v>2.2857142857142856</v>
      </c>
      <c r="H10" s="22">
        <v>1</v>
      </c>
      <c r="I10" s="22">
        <v>2</v>
      </c>
      <c r="J10" s="22">
        <v>1</v>
      </c>
      <c r="K10" s="13">
        <v>0.25</v>
      </c>
      <c r="L10" s="13">
        <v>27.4</v>
      </c>
      <c r="M10" s="13">
        <v>3.14</v>
      </c>
      <c r="N10" s="13">
        <v>469.2</v>
      </c>
      <c r="O10" s="13">
        <v>0</v>
      </c>
      <c r="P10" s="13">
        <v>0.43611111111111112</v>
      </c>
      <c r="Q10" s="13">
        <v>608.9</v>
      </c>
      <c r="R10" s="13">
        <v>0.6</v>
      </c>
      <c r="S10" s="13">
        <v>445.6</v>
      </c>
      <c r="U10" s="6"/>
      <c r="V10" s="24">
        <v>0.14285714285714285</v>
      </c>
      <c r="W10" s="3">
        <v>7</v>
      </c>
      <c r="X10" s="6"/>
      <c r="Y10" s="5">
        <v>9.7576642335766426</v>
      </c>
      <c r="Z10" s="5">
        <v>9.6915348742903493</v>
      </c>
      <c r="AA10" s="5">
        <v>0</v>
      </c>
      <c r="AB10" s="5">
        <v>53.769635036496354</v>
      </c>
      <c r="AD10" s="23">
        <v>160.25</v>
      </c>
      <c r="AE10" s="5">
        <f t="shared" si="0"/>
        <v>5.2670278892558011</v>
      </c>
    </row>
    <row r="11" spans="1:31" ht="25.5" customHeight="1" x14ac:dyDescent="0.2">
      <c r="A11" s="54"/>
      <c r="B11" s="36" t="s">
        <v>35</v>
      </c>
      <c r="C11" s="22">
        <v>100</v>
      </c>
      <c r="D11" s="22">
        <v>700</v>
      </c>
      <c r="E11" s="22">
        <v>1600</v>
      </c>
      <c r="F11" s="13">
        <v>2.5</v>
      </c>
      <c r="G11" s="13">
        <v>2.2857142857142856</v>
      </c>
      <c r="H11" s="22">
        <v>1</v>
      </c>
      <c r="I11" s="22">
        <v>2</v>
      </c>
      <c r="J11" s="22">
        <v>1</v>
      </c>
      <c r="K11" s="13">
        <v>0.35</v>
      </c>
      <c r="L11" s="13">
        <v>27.4</v>
      </c>
      <c r="M11" s="13">
        <v>3.14</v>
      </c>
      <c r="N11" s="13">
        <v>469.2</v>
      </c>
      <c r="O11" s="13">
        <v>0</v>
      </c>
      <c r="P11" s="13">
        <v>0.43611111111111112</v>
      </c>
      <c r="Q11" s="13">
        <v>608.9</v>
      </c>
      <c r="R11" s="13">
        <v>0.6</v>
      </c>
      <c r="S11" s="13">
        <v>445.6</v>
      </c>
      <c r="U11" s="6"/>
      <c r="V11" s="24">
        <v>0.14285714285714285</v>
      </c>
      <c r="W11" s="3">
        <v>7</v>
      </c>
      <c r="X11" s="6"/>
      <c r="Y11" s="5">
        <v>9.7576642335766426</v>
      </c>
      <c r="Z11" s="5">
        <v>9.6915348742903493</v>
      </c>
      <c r="AA11" s="5">
        <v>0</v>
      </c>
      <c r="AB11" s="5">
        <v>53.769635036496354</v>
      </c>
      <c r="AD11" s="23">
        <v>174</v>
      </c>
      <c r="AE11" s="5">
        <f t="shared" si="0"/>
        <v>5.7189569593167517</v>
      </c>
    </row>
    <row r="12" spans="1:31" ht="25.5" customHeight="1" x14ac:dyDescent="0.2">
      <c r="A12" s="13" t="s">
        <v>36</v>
      </c>
      <c r="B12" s="36" t="s">
        <v>37</v>
      </c>
      <c r="C12" s="22">
        <v>76</v>
      </c>
      <c r="D12" s="22">
        <v>1219</v>
      </c>
      <c r="E12" s="22">
        <v>3556</v>
      </c>
      <c r="F12" s="13">
        <v>3.04</v>
      </c>
      <c r="G12" s="13">
        <v>2.9171452009844137</v>
      </c>
      <c r="H12" s="22">
        <v>2</v>
      </c>
      <c r="I12" s="22">
        <v>3</v>
      </c>
      <c r="J12" s="22">
        <v>1</v>
      </c>
      <c r="K12" s="13">
        <v>0.08</v>
      </c>
      <c r="L12" s="13">
        <v>34.5</v>
      </c>
      <c r="M12" s="13">
        <v>3.1399999999999997</v>
      </c>
      <c r="N12" s="13">
        <v>540</v>
      </c>
      <c r="O12" s="13">
        <v>0.47546941247728652</v>
      </c>
      <c r="P12" s="13">
        <v>0.27400590806786701</v>
      </c>
      <c r="Q12" s="13">
        <v>562</v>
      </c>
      <c r="R12" s="13">
        <v>0.31819999999999998</v>
      </c>
      <c r="S12" s="13">
        <v>562</v>
      </c>
      <c r="U12" s="6"/>
      <c r="V12" s="24">
        <v>0.15273963522036402</v>
      </c>
      <c r="W12" s="3">
        <v>16.039473684210527</v>
      </c>
      <c r="X12" s="6"/>
      <c r="Y12" s="5">
        <v>5.1834318840579705</v>
      </c>
      <c r="Z12" s="5">
        <v>4.4635165314243839</v>
      </c>
      <c r="AA12" s="5">
        <v>8.5446677024903668</v>
      </c>
      <c r="AB12" s="5">
        <v>49.14782608695652</v>
      </c>
      <c r="AD12" s="23">
        <v>158.27210000000002</v>
      </c>
      <c r="AE12" s="5">
        <f t="shared" si="0"/>
        <v>3.5028248376666458</v>
      </c>
    </row>
    <row r="13" spans="1:31" ht="25.5" customHeight="1" x14ac:dyDescent="0.2">
      <c r="A13" s="17" t="s">
        <v>38</v>
      </c>
      <c r="B13" s="45" t="s">
        <v>39</v>
      </c>
      <c r="C13" s="30">
        <v>100</v>
      </c>
      <c r="D13" s="30">
        <v>1000</v>
      </c>
      <c r="E13" s="30">
        <v>1500</v>
      </c>
      <c r="F13" s="17">
        <v>1.5</v>
      </c>
      <c r="G13" s="17">
        <v>1.5</v>
      </c>
      <c r="H13" s="30">
        <v>1</v>
      </c>
      <c r="I13" s="30">
        <v>1</v>
      </c>
      <c r="J13" s="30">
        <v>1</v>
      </c>
      <c r="K13" s="17">
        <v>0</v>
      </c>
      <c r="L13" s="17">
        <v>20.149999999999999</v>
      </c>
      <c r="M13" s="17">
        <v>8.0383999999999993</v>
      </c>
      <c r="N13" s="17">
        <v>425</v>
      </c>
      <c r="O13" s="17">
        <v>0</v>
      </c>
      <c r="P13" s="17">
        <v>0.14130000000000001</v>
      </c>
      <c r="Q13" s="17">
        <v>325</v>
      </c>
      <c r="R13" s="17">
        <v>0.16156762218461793</v>
      </c>
      <c r="S13" s="17">
        <v>325</v>
      </c>
      <c r="U13" s="25"/>
      <c r="V13" s="19">
        <v>0.15</v>
      </c>
      <c r="W13" s="16">
        <v>10</v>
      </c>
      <c r="X13" s="6"/>
      <c r="Y13" s="5">
        <v>2.6059293900744827</v>
      </c>
      <c r="Z13" s="5">
        <v>2.2790322580645164</v>
      </c>
      <c r="AA13" s="5">
        <v>0</v>
      </c>
      <c r="AB13" s="5">
        <v>169.54441687344914</v>
      </c>
      <c r="AD13" s="23">
        <v>132.64499999999998</v>
      </c>
      <c r="AE13" s="5">
        <f t="shared" si="0"/>
        <v>3.558723613487119</v>
      </c>
    </row>
    <row r="14" spans="1:31" ht="25.5" customHeight="1" x14ac:dyDescent="0.2">
      <c r="A14" s="56" t="s">
        <v>40</v>
      </c>
      <c r="B14" s="21" t="s">
        <v>41</v>
      </c>
      <c r="C14" s="3">
        <v>101.6</v>
      </c>
      <c r="D14" s="3">
        <v>1016</v>
      </c>
      <c r="E14" s="3">
        <v>1016</v>
      </c>
      <c r="F14" s="3">
        <v>1.2</v>
      </c>
      <c r="G14" s="3">
        <v>1</v>
      </c>
      <c r="H14" s="3">
        <v>1</v>
      </c>
      <c r="I14" s="3">
        <v>1</v>
      </c>
      <c r="J14" s="3">
        <v>1</v>
      </c>
      <c r="K14" s="3">
        <v>0</v>
      </c>
      <c r="L14" s="3">
        <v>46.2</v>
      </c>
      <c r="M14" s="13">
        <v>4.908738521234052</v>
      </c>
      <c r="N14" s="13">
        <v>660.51800800000001</v>
      </c>
      <c r="O14" s="13">
        <v>1.0305994700101315</v>
      </c>
      <c r="P14" s="13">
        <v>0.71233511892419799</v>
      </c>
      <c r="Q14" s="13">
        <v>660.51800800000001</v>
      </c>
      <c r="R14" s="3">
        <v>0.71</v>
      </c>
      <c r="S14" s="13">
        <v>660.51800800000001</v>
      </c>
      <c r="U14" s="3"/>
      <c r="V14" s="3">
        <v>0.1</v>
      </c>
      <c r="W14" s="3">
        <v>10</v>
      </c>
      <c r="X14" s="3"/>
      <c r="Y14" s="5">
        <v>10.15081787186147</v>
      </c>
      <c r="Z14" s="5">
        <v>10.184202895676501</v>
      </c>
      <c r="AA14" s="5">
        <v>4.4603104773498821</v>
      </c>
      <c r="AB14" s="5">
        <v>70.179874238926004</v>
      </c>
      <c r="AD14" s="23">
        <v>362.53</v>
      </c>
      <c r="AE14" s="5">
        <f t="shared" si="0"/>
        <v>6.2226653925953679</v>
      </c>
    </row>
    <row r="15" spans="1:31" ht="25.5" customHeight="1" x14ac:dyDescent="0.2">
      <c r="A15" s="56"/>
      <c r="B15" s="21" t="s">
        <v>42</v>
      </c>
      <c r="C15" s="3">
        <v>101.6</v>
      </c>
      <c r="D15" s="3">
        <v>1016</v>
      </c>
      <c r="E15" s="3">
        <v>1016</v>
      </c>
      <c r="F15" s="3">
        <v>1.2</v>
      </c>
      <c r="G15" s="3">
        <v>1</v>
      </c>
      <c r="H15" s="3">
        <v>1</v>
      </c>
      <c r="I15" s="3">
        <v>1</v>
      </c>
      <c r="J15" s="3">
        <v>1</v>
      </c>
      <c r="K15" s="3">
        <v>0</v>
      </c>
      <c r="L15" s="3">
        <v>46.2</v>
      </c>
      <c r="M15" s="13">
        <v>9.3572828061024111</v>
      </c>
      <c r="N15" s="26">
        <v>444.02254400000004</v>
      </c>
      <c r="O15" s="13">
        <v>1.0305994700101315</v>
      </c>
      <c r="P15" s="13">
        <v>0.83126541613985927</v>
      </c>
      <c r="Q15" s="13">
        <v>632.93896799999993</v>
      </c>
      <c r="R15" s="3">
        <v>0.83</v>
      </c>
      <c r="S15" s="13">
        <v>632.93896799999993</v>
      </c>
      <c r="U15" s="3"/>
      <c r="V15" s="3">
        <v>0.1</v>
      </c>
      <c r="W15" s="3">
        <v>10</v>
      </c>
      <c r="X15" s="3"/>
      <c r="Y15" s="5">
        <v>11.370981459740257</v>
      </c>
      <c r="Z15" s="5">
        <v>11.38831763258989</v>
      </c>
      <c r="AA15" s="5">
        <v>4.4603104773498821</v>
      </c>
      <c r="AB15" s="5">
        <v>89.931699491191594</v>
      </c>
      <c r="AD15" s="23">
        <v>445.21065096943175</v>
      </c>
      <c r="AE15" s="5">
        <f t="shared" si="0"/>
        <v>7.6418418067534768</v>
      </c>
    </row>
    <row r="16" spans="1:31" ht="25.5" customHeight="1" x14ac:dyDescent="0.2">
      <c r="A16" s="56"/>
      <c r="B16" s="21" t="s">
        <v>43</v>
      </c>
      <c r="C16" s="3">
        <v>101.6</v>
      </c>
      <c r="D16" s="3">
        <v>1016</v>
      </c>
      <c r="E16" s="3">
        <v>1320.8</v>
      </c>
      <c r="F16" s="3">
        <v>1.5</v>
      </c>
      <c r="G16" s="3">
        <v>1</v>
      </c>
      <c r="H16" s="3">
        <v>1</v>
      </c>
      <c r="I16" s="3">
        <v>1</v>
      </c>
      <c r="J16" s="3">
        <v>1</v>
      </c>
      <c r="K16" s="3">
        <v>0</v>
      </c>
      <c r="L16" s="3">
        <v>46.88</v>
      </c>
      <c r="M16" s="13">
        <v>9.3572828061024111</v>
      </c>
      <c r="N16" s="26">
        <v>481.25424799999996</v>
      </c>
      <c r="O16" s="13">
        <v>1.0305994700101315</v>
      </c>
      <c r="P16" s="13">
        <v>0.71233511892419799</v>
      </c>
      <c r="Q16" s="3">
        <v>670.86014799999998</v>
      </c>
      <c r="R16" s="3">
        <v>0.71</v>
      </c>
      <c r="S16" s="13">
        <v>670.86014799999998</v>
      </c>
      <c r="U16" s="3"/>
      <c r="V16" s="3">
        <v>0.1</v>
      </c>
      <c r="W16" s="3">
        <v>10</v>
      </c>
      <c r="X16" s="3"/>
      <c r="Y16" s="5">
        <v>10.160211285836176</v>
      </c>
      <c r="Z16" s="5">
        <v>10.193627203649424</v>
      </c>
      <c r="AA16" s="5">
        <v>4.3956131410743291</v>
      </c>
      <c r="AB16" s="5">
        <v>96.058705208492867</v>
      </c>
      <c r="AD16" s="23">
        <v>390.57697568558933</v>
      </c>
      <c r="AE16" s="5">
        <f t="shared" si="0"/>
        <v>6.6552798515064708</v>
      </c>
    </row>
    <row r="17" spans="1:31" ht="25.5" customHeight="1" x14ac:dyDescent="0.2">
      <c r="A17" s="56"/>
      <c r="B17" s="21" t="s">
        <v>44</v>
      </c>
      <c r="C17" s="16">
        <v>101.6</v>
      </c>
      <c r="D17" s="16">
        <v>1016</v>
      </c>
      <c r="E17" s="16">
        <v>1320.8</v>
      </c>
      <c r="F17" s="16">
        <v>1.5</v>
      </c>
      <c r="G17" s="16">
        <v>1.3</v>
      </c>
      <c r="H17" s="16">
        <v>1</v>
      </c>
      <c r="I17" s="16">
        <v>3</v>
      </c>
      <c r="J17" s="16">
        <v>1</v>
      </c>
      <c r="K17" s="16">
        <v>0</v>
      </c>
      <c r="L17" s="16">
        <v>42.75</v>
      </c>
      <c r="M17" s="17">
        <v>13.04</v>
      </c>
      <c r="N17" s="18">
        <v>463.33</v>
      </c>
      <c r="O17" s="17">
        <v>1.0305994700101315</v>
      </c>
      <c r="P17" s="17">
        <v>0.65</v>
      </c>
      <c r="Q17" s="16">
        <v>621.91</v>
      </c>
      <c r="R17" s="16">
        <v>0.66600000000000004</v>
      </c>
      <c r="S17" s="16">
        <v>621.91</v>
      </c>
      <c r="U17" s="16"/>
      <c r="V17" s="16">
        <v>0.1</v>
      </c>
      <c r="W17" s="16">
        <v>10</v>
      </c>
      <c r="X17" s="3"/>
      <c r="Y17" s="5">
        <v>9.6887031578947376</v>
      </c>
      <c r="Z17" s="5">
        <v>9.4559415204678352</v>
      </c>
      <c r="AA17" s="5">
        <v>4.8202653579781183</v>
      </c>
      <c r="AB17" s="5">
        <v>141.32919766081872</v>
      </c>
      <c r="AD17" s="19">
        <v>500.15</v>
      </c>
      <c r="AE17" s="5">
        <f t="shared" si="0"/>
        <v>8.9245370927775731</v>
      </c>
    </row>
    <row r="18" spans="1:31" ht="25.5" customHeight="1" x14ac:dyDescent="0.2">
      <c r="A18" s="55" t="s">
        <v>45</v>
      </c>
      <c r="B18" s="21" t="s">
        <v>46</v>
      </c>
      <c r="C18" s="22">
        <v>200</v>
      </c>
      <c r="D18" s="22">
        <v>1500</v>
      </c>
      <c r="E18" s="22">
        <v>3000</v>
      </c>
      <c r="F18" s="3">
        <v>2</v>
      </c>
      <c r="G18" s="13">
        <v>2</v>
      </c>
      <c r="H18" s="22">
        <v>1</v>
      </c>
      <c r="I18" s="22">
        <v>1</v>
      </c>
      <c r="J18" s="22">
        <v>1</v>
      </c>
      <c r="K18" s="13">
        <v>7.0045662100456624E-2</v>
      </c>
      <c r="L18" s="13">
        <v>36.5</v>
      </c>
      <c r="M18" s="13">
        <v>12.748504666666667</v>
      </c>
      <c r="N18" s="13">
        <v>617</v>
      </c>
      <c r="O18" s="13">
        <v>0</v>
      </c>
      <c r="P18" s="13">
        <v>0.92305046511627908</v>
      </c>
      <c r="Q18" s="13">
        <v>470</v>
      </c>
      <c r="R18" s="13">
        <v>1.1025324999999999</v>
      </c>
      <c r="S18" s="13">
        <v>470</v>
      </c>
      <c r="U18" s="35">
        <v>23</v>
      </c>
      <c r="V18" s="24">
        <v>0.2</v>
      </c>
      <c r="W18" s="3">
        <v>7.5</v>
      </c>
      <c r="X18" s="3"/>
      <c r="Y18" s="5">
        <v>14.196993835616436</v>
      </c>
      <c r="Z18" s="5">
        <v>11.885855304237017</v>
      </c>
      <c r="AA18" s="5">
        <v>0</v>
      </c>
      <c r="AB18" s="5">
        <v>215.50211998173518</v>
      </c>
      <c r="AD18" s="23">
        <v>2016.27</v>
      </c>
      <c r="AE18" s="5">
        <f t="shared" si="0"/>
        <v>13.397442524630904</v>
      </c>
    </row>
    <row r="19" spans="1:31" ht="25.5" customHeight="1" x14ac:dyDescent="0.2">
      <c r="A19" s="54"/>
      <c r="B19" s="21" t="s">
        <v>47</v>
      </c>
      <c r="C19" s="22">
        <v>200</v>
      </c>
      <c r="D19" s="22">
        <v>1500</v>
      </c>
      <c r="E19" s="22">
        <v>3000</v>
      </c>
      <c r="F19" s="3">
        <v>2</v>
      </c>
      <c r="G19" s="13">
        <v>2</v>
      </c>
      <c r="H19" s="22">
        <v>1</v>
      </c>
      <c r="I19" s="22">
        <v>1</v>
      </c>
      <c r="J19" s="22">
        <v>1</v>
      </c>
      <c r="K19" s="13">
        <v>7.0045662100456624E-2</v>
      </c>
      <c r="L19" s="13">
        <v>36.5</v>
      </c>
      <c r="M19" s="13">
        <v>6.3742523333333336</v>
      </c>
      <c r="N19" s="13">
        <v>617</v>
      </c>
      <c r="O19" s="13">
        <v>0</v>
      </c>
      <c r="P19" s="13">
        <v>0.67526746666666659</v>
      </c>
      <c r="Q19" s="13">
        <v>667</v>
      </c>
      <c r="R19" s="13">
        <v>0.56272288888888888</v>
      </c>
      <c r="S19" s="13">
        <v>667</v>
      </c>
      <c r="U19" s="35">
        <v>23</v>
      </c>
      <c r="V19" s="24">
        <v>0.2</v>
      </c>
      <c r="W19" s="3">
        <v>7.5</v>
      </c>
      <c r="X19" s="3"/>
      <c r="Y19" s="5">
        <v>10.283182654490107</v>
      </c>
      <c r="Z19" s="5">
        <v>12.339819185388126</v>
      </c>
      <c r="AA19" s="5">
        <v>0</v>
      </c>
      <c r="AB19" s="5">
        <v>107.75105999086759</v>
      </c>
      <c r="AD19" s="23">
        <v>1959.77</v>
      </c>
      <c r="AE19" s="5">
        <f t="shared" si="0"/>
        <v>13.022018844944331</v>
      </c>
    </row>
    <row r="20" spans="1:31" ht="25.5" customHeight="1" x14ac:dyDescent="0.2">
      <c r="A20" s="54"/>
      <c r="B20" s="21" t="s">
        <v>48</v>
      </c>
      <c r="C20" s="22">
        <v>200</v>
      </c>
      <c r="D20" s="22">
        <v>1500</v>
      </c>
      <c r="E20" s="22">
        <v>3000</v>
      </c>
      <c r="F20" s="3">
        <v>2</v>
      </c>
      <c r="G20" s="13">
        <v>2</v>
      </c>
      <c r="H20" s="22">
        <v>1</v>
      </c>
      <c r="I20" s="22">
        <v>1</v>
      </c>
      <c r="J20" s="22">
        <v>1</v>
      </c>
      <c r="K20" s="13">
        <v>7.0045662100456624E-2</v>
      </c>
      <c r="L20" s="13">
        <v>36.5</v>
      </c>
      <c r="M20" s="13">
        <v>9.5613785</v>
      </c>
      <c r="N20" s="13">
        <v>617</v>
      </c>
      <c r="O20" s="13">
        <v>0</v>
      </c>
      <c r="P20" s="13">
        <v>0.46152523255813954</v>
      </c>
      <c r="Q20" s="13">
        <v>470</v>
      </c>
      <c r="R20" s="13">
        <v>0.66151949999999993</v>
      </c>
      <c r="S20" s="13">
        <v>470</v>
      </c>
      <c r="U20" s="35">
        <v>23</v>
      </c>
      <c r="V20" s="24">
        <v>0.2</v>
      </c>
      <c r="W20" s="3">
        <v>7.5</v>
      </c>
      <c r="X20" s="3"/>
      <c r="Y20" s="5">
        <v>8.5181963013698621</v>
      </c>
      <c r="Z20" s="5">
        <v>5.9429276521185086</v>
      </c>
      <c r="AA20" s="5">
        <v>0</v>
      </c>
      <c r="AB20" s="5">
        <v>161.62658998630135</v>
      </c>
      <c r="AD20" s="23">
        <v>1336.9099999999999</v>
      </c>
      <c r="AE20" s="5">
        <f t="shared" si="0"/>
        <v>8.8833216214119624</v>
      </c>
    </row>
    <row r="21" spans="1:31" ht="25.5" customHeight="1" x14ac:dyDescent="0.2">
      <c r="A21" s="54"/>
      <c r="B21" s="21" t="s">
        <v>49</v>
      </c>
      <c r="C21" s="22">
        <v>200</v>
      </c>
      <c r="D21" s="22">
        <v>1500</v>
      </c>
      <c r="E21" s="22">
        <v>3000</v>
      </c>
      <c r="F21" s="3">
        <v>2</v>
      </c>
      <c r="G21" s="13">
        <v>2</v>
      </c>
      <c r="H21" s="22">
        <v>1</v>
      </c>
      <c r="I21" s="22">
        <v>1</v>
      </c>
      <c r="J21" s="22">
        <v>1</v>
      </c>
      <c r="K21" s="13">
        <v>7.0045662100456624E-2</v>
      </c>
      <c r="L21" s="13">
        <v>36.5</v>
      </c>
      <c r="M21" s="13">
        <v>9.5613785</v>
      </c>
      <c r="N21" s="13">
        <v>617</v>
      </c>
      <c r="O21" s="13">
        <v>0</v>
      </c>
      <c r="P21" s="13">
        <v>0.3376337333333333</v>
      </c>
      <c r="Q21" s="13">
        <v>667</v>
      </c>
      <c r="R21" s="13">
        <v>0.42204216666666666</v>
      </c>
      <c r="S21" s="13">
        <v>667</v>
      </c>
      <c r="U21" s="35">
        <v>23</v>
      </c>
      <c r="V21" s="24">
        <v>0.2</v>
      </c>
      <c r="W21" s="3">
        <v>7.5</v>
      </c>
      <c r="X21" s="3"/>
      <c r="Y21" s="5">
        <v>7.7123869908675795</v>
      </c>
      <c r="Z21" s="5">
        <v>6.1699095926940632</v>
      </c>
      <c r="AA21" s="5">
        <v>0</v>
      </c>
      <c r="AB21" s="5">
        <v>161.62658998630135</v>
      </c>
      <c r="AD21" s="23">
        <v>1447.31</v>
      </c>
      <c r="AE21" s="5">
        <f t="shared" si="0"/>
        <v>9.6168928468526307</v>
      </c>
    </row>
    <row r="22" spans="1:31" ht="25.5" customHeight="1" x14ac:dyDescent="0.2">
      <c r="A22" s="54"/>
      <c r="B22" s="21" t="s">
        <v>50</v>
      </c>
      <c r="C22" s="22">
        <v>200</v>
      </c>
      <c r="D22" s="22">
        <v>1500</v>
      </c>
      <c r="E22" s="22">
        <v>3000</v>
      </c>
      <c r="F22" s="3">
        <v>2</v>
      </c>
      <c r="G22" s="13">
        <v>2</v>
      </c>
      <c r="H22" s="22">
        <v>1</v>
      </c>
      <c r="I22" s="22">
        <v>2</v>
      </c>
      <c r="J22" s="22">
        <v>1</v>
      </c>
      <c r="K22" s="13">
        <v>6.9991251093613302E-2</v>
      </c>
      <c r="L22" s="13">
        <v>38.1</v>
      </c>
      <c r="M22" s="13">
        <v>10.553657749999999</v>
      </c>
      <c r="N22" s="13">
        <v>617</v>
      </c>
      <c r="O22" s="13">
        <v>0</v>
      </c>
      <c r="P22" s="13">
        <v>0.58889604651162786</v>
      </c>
      <c r="Q22" s="13">
        <v>667</v>
      </c>
      <c r="R22" s="13">
        <v>0.69096474422386056</v>
      </c>
      <c r="S22" s="13">
        <v>667</v>
      </c>
      <c r="U22" s="35">
        <v>23</v>
      </c>
      <c r="V22" s="24">
        <v>0.13333333333333333</v>
      </c>
      <c r="W22" s="3">
        <v>7.5</v>
      </c>
      <c r="X22" s="3"/>
      <c r="Y22" s="5">
        <v>12.096416913315354</v>
      </c>
      <c r="Z22" s="5">
        <v>10.309544961240308</v>
      </c>
      <c r="AA22" s="5">
        <v>0</v>
      </c>
      <c r="AB22" s="5">
        <v>170.90831579396323</v>
      </c>
      <c r="AD22" s="23">
        <v>1429.8400000000001</v>
      </c>
      <c r="AE22" s="5">
        <f t="shared" si="0"/>
        <v>9.2991788604486807</v>
      </c>
    </row>
    <row r="23" spans="1:31" ht="25.5" customHeight="1" x14ac:dyDescent="0.2">
      <c r="A23" s="54"/>
      <c r="B23" s="21" t="s">
        <v>51</v>
      </c>
      <c r="C23" s="22">
        <v>200</v>
      </c>
      <c r="D23" s="22">
        <v>1500</v>
      </c>
      <c r="E23" s="22">
        <v>3000</v>
      </c>
      <c r="F23" s="3">
        <v>2</v>
      </c>
      <c r="G23" s="13">
        <v>2</v>
      </c>
      <c r="H23" s="22">
        <v>1</v>
      </c>
      <c r="I23" s="22">
        <v>2</v>
      </c>
      <c r="J23" s="22">
        <v>1</v>
      </c>
      <c r="K23" s="13">
        <v>7.0027247956403263E-2</v>
      </c>
      <c r="L23" s="13">
        <v>36.700000000000003</v>
      </c>
      <c r="M23" s="13">
        <v>10.553657749999999</v>
      </c>
      <c r="N23" s="13">
        <v>617</v>
      </c>
      <c r="O23" s="13">
        <v>0</v>
      </c>
      <c r="P23" s="13">
        <v>0.67526746666666659</v>
      </c>
      <c r="Q23" s="13">
        <v>667</v>
      </c>
      <c r="R23" s="13">
        <v>0.6918724043715847</v>
      </c>
      <c r="S23" s="13">
        <v>667</v>
      </c>
      <c r="U23" s="35">
        <v>23</v>
      </c>
      <c r="V23" s="24">
        <v>0.13333333333333333</v>
      </c>
      <c r="W23" s="3">
        <v>7.5</v>
      </c>
      <c r="X23" s="3"/>
      <c r="Y23" s="5">
        <v>12.574356776998554</v>
      </c>
      <c r="Z23" s="5">
        <v>12.272572214350587</v>
      </c>
      <c r="AA23" s="5">
        <v>0</v>
      </c>
      <c r="AB23" s="5">
        <v>177.42797906675747</v>
      </c>
      <c r="AD23" s="23">
        <v>1492.1599999999999</v>
      </c>
      <c r="AE23" s="5">
        <f t="shared" si="0"/>
        <v>9.887853156816691</v>
      </c>
    </row>
    <row r="24" spans="1:31" ht="25.5" customHeight="1" x14ac:dyDescent="0.2">
      <c r="A24" s="54"/>
      <c r="B24" s="21" t="s">
        <v>52</v>
      </c>
      <c r="C24" s="22">
        <v>200</v>
      </c>
      <c r="D24" s="22">
        <v>1500</v>
      </c>
      <c r="E24" s="22">
        <v>3000</v>
      </c>
      <c r="F24" s="3">
        <v>2</v>
      </c>
      <c r="G24" s="13">
        <v>2</v>
      </c>
      <c r="H24" s="22">
        <v>1</v>
      </c>
      <c r="I24" s="22">
        <v>2</v>
      </c>
      <c r="J24" s="22">
        <v>1</v>
      </c>
      <c r="K24" s="13">
        <v>7.0069808027923217E-2</v>
      </c>
      <c r="L24" s="13">
        <v>38.200000000000003</v>
      </c>
      <c r="M24" s="13">
        <v>10.553657749999999</v>
      </c>
      <c r="N24" s="13">
        <v>617</v>
      </c>
      <c r="O24" s="13">
        <v>0</v>
      </c>
      <c r="P24" s="13">
        <v>0.79132906250000001</v>
      </c>
      <c r="Q24" s="13">
        <v>563</v>
      </c>
      <c r="R24" s="13">
        <v>0.80645</v>
      </c>
      <c r="S24" s="13">
        <v>563</v>
      </c>
      <c r="U24" s="35">
        <v>23</v>
      </c>
      <c r="V24" s="24">
        <v>0.13333333333333333</v>
      </c>
      <c r="W24" s="3">
        <v>7.5</v>
      </c>
      <c r="X24" s="3"/>
      <c r="Y24" s="5">
        <v>11.885637434554972</v>
      </c>
      <c r="Z24" s="5">
        <v>11.662781732657066</v>
      </c>
      <c r="AA24" s="5">
        <v>0</v>
      </c>
      <c r="AB24" s="5">
        <v>170.46091182591621</v>
      </c>
      <c r="AD24" s="23">
        <v>1400.06</v>
      </c>
      <c r="AE24" s="5">
        <f t="shared" si="0"/>
        <v>9.0935741605818219</v>
      </c>
    </row>
    <row r="25" spans="1:31" ht="25.5" customHeight="1" x14ac:dyDescent="0.2">
      <c r="A25" s="54"/>
      <c r="B25" s="21" t="s">
        <v>53</v>
      </c>
      <c r="C25" s="22">
        <v>200</v>
      </c>
      <c r="D25" s="22">
        <v>1500</v>
      </c>
      <c r="E25" s="22">
        <v>3000</v>
      </c>
      <c r="F25" s="3">
        <v>2</v>
      </c>
      <c r="G25" s="13">
        <v>2</v>
      </c>
      <c r="H25" s="22">
        <v>1</v>
      </c>
      <c r="I25" s="22">
        <v>2</v>
      </c>
      <c r="J25" s="22">
        <v>1</v>
      </c>
      <c r="K25" s="13">
        <v>6.998722860791827E-2</v>
      </c>
      <c r="L25" s="13">
        <v>26.1</v>
      </c>
      <c r="M25" s="13">
        <v>10.566178499999999</v>
      </c>
      <c r="N25" s="13">
        <v>617</v>
      </c>
      <c r="O25" s="13">
        <v>0</v>
      </c>
      <c r="P25" s="27">
        <v>0.41899999999999998</v>
      </c>
      <c r="Q25" s="13">
        <v>642</v>
      </c>
      <c r="R25" s="27">
        <v>0.62039999999999995</v>
      </c>
      <c r="S25" s="13">
        <v>642</v>
      </c>
      <c r="U25" s="35">
        <v>23</v>
      </c>
      <c r="V25" s="24">
        <v>0.13333333333333333</v>
      </c>
      <c r="W25" s="3">
        <v>7.5</v>
      </c>
      <c r="X25" s="3"/>
      <c r="Y25" s="5">
        <v>15.260413793103446</v>
      </c>
      <c r="Z25" s="5">
        <v>10.306436781609195</v>
      </c>
      <c r="AA25" s="5">
        <v>0</v>
      </c>
      <c r="AB25" s="5">
        <v>249.78284040229883</v>
      </c>
      <c r="AD25" s="23">
        <v>1401.4499999999998</v>
      </c>
      <c r="AE25" s="5">
        <f t="shared" si="0"/>
        <v>11.012273798417917</v>
      </c>
    </row>
    <row r="26" spans="1:31" ht="25.5" customHeight="1" x14ac:dyDescent="0.2">
      <c r="A26" s="55" t="s">
        <v>54</v>
      </c>
      <c r="B26" s="21" t="s">
        <v>55</v>
      </c>
      <c r="C26" s="22">
        <v>200</v>
      </c>
      <c r="D26" s="3">
        <v>1500</v>
      </c>
      <c r="E26" s="22">
        <v>1500</v>
      </c>
      <c r="F26" s="22">
        <v>1</v>
      </c>
      <c r="G26" s="13">
        <v>1</v>
      </c>
      <c r="H26" s="22">
        <v>1</v>
      </c>
      <c r="I26" s="22">
        <v>1</v>
      </c>
      <c r="J26" s="22">
        <v>1</v>
      </c>
      <c r="K26" s="13">
        <v>7.0006301197227477E-2</v>
      </c>
      <c r="L26" s="13">
        <v>52.9</v>
      </c>
      <c r="M26" s="13">
        <v>9.5613785</v>
      </c>
      <c r="N26" s="13">
        <v>617</v>
      </c>
      <c r="O26" s="13">
        <v>0</v>
      </c>
      <c r="P26" s="13">
        <v>0.92305046511627908</v>
      </c>
      <c r="Q26" s="13">
        <v>470</v>
      </c>
      <c r="R26" s="13">
        <v>1.1030917204917161</v>
      </c>
      <c r="S26" s="13">
        <v>470</v>
      </c>
      <c r="U26" s="35"/>
      <c r="V26" s="24">
        <v>0.2</v>
      </c>
      <c r="W26" s="3">
        <v>7.5</v>
      </c>
      <c r="X26" s="3"/>
      <c r="Y26" s="5">
        <v>9.8006258720436037</v>
      </c>
      <c r="Z26" s="5">
        <v>8.2010154745680754</v>
      </c>
      <c r="AA26" s="5">
        <v>0</v>
      </c>
      <c r="AB26" s="5">
        <v>111.51929176748583</v>
      </c>
      <c r="AD26" s="23">
        <v>2317.7150000000001</v>
      </c>
      <c r="AE26" s="5">
        <f t="shared" si="0"/>
        <v>12.792394440071085</v>
      </c>
    </row>
    <row r="27" spans="1:31" ht="25.5" customHeight="1" x14ac:dyDescent="0.2">
      <c r="A27" s="54"/>
      <c r="B27" s="21" t="s">
        <v>56</v>
      </c>
      <c r="C27" s="22">
        <v>200</v>
      </c>
      <c r="D27" s="3">
        <v>1500</v>
      </c>
      <c r="E27" s="22">
        <v>1500</v>
      </c>
      <c r="F27" s="22">
        <v>1</v>
      </c>
      <c r="G27" s="13">
        <v>1</v>
      </c>
      <c r="H27" s="22">
        <v>1</v>
      </c>
      <c r="I27" s="22">
        <v>1</v>
      </c>
      <c r="J27" s="22">
        <v>1</v>
      </c>
      <c r="K27" s="13">
        <v>7.0006301197227477E-2</v>
      </c>
      <c r="L27" s="13">
        <v>52.9</v>
      </c>
      <c r="M27" s="13">
        <v>9.5613785</v>
      </c>
      <c r="N27" s="13">
        <v>617</v>
      </c>
      <c r="O27" s="13">
        <v>0</v>
      </c>
      <c r="P27" s="13">
        <v>0.67707299465240633</v>
      </c>
      <c r="Q27" s="13">
        <v>667</v>
      </c>
      <c r="R27" s="13">
        <v>0.70376038763541349</v>
      </c>
      <c r="S27" s="13">
        <v>667</v>
      </c>
      <c r="U27" s="35"/>
      <c r="V27" s="24">
        <v>0.2</v>
      </c>
      <c r="W27" s="3">
        <v>7.5</v>
      </c>
      <c r="X27" s="3"/>
      <c r="Y27" s="5">
        <v>8.8735005397508662</v>
      </c>
      <c r="Z27" s="5">
        <v>8.5370073238781679</v>
      </c>
      <c r="AA27" s="5">
        <v>0</v>
      </c>
      <c r="AB27" s="5">
        <v>111.51929176748583</v>
      </c>
      <c r="AD27" s="23">
        <v>2143.69</v>
      </c>
      <c r="AE27" s="5">
        <f t="shared" si="0"/>
        <v>11.831880985037412</v>
      </c>
    </row>
    <row r="28" spans="1:31" ht="25.5" customHeight="1" x14ac:dyDescent="0.2">
      <c r="A28" s="54"/>
      <c r="B28" s="21" t="s">
        <v>57</v>
      </c>
      <c r="C28" s="22">
        <v>200</v>
      </c>
      <c r="D28" s="3">
        <v>1500</v>
      </c>
      <c r="E28" s="22">
        <v>1500</v>
      </c>
      <c r="F28" s="22">
        <v>1</v>
      </c>
      <c r="G28" s="13">
        <v>1</v>
      </c>
      <c r="H28" s="22">
        <v>1</v>
      </c>
      <c r="I28" s="22">
        <v>2</v>
      </c>
      <c r="J28" s="22">
        <v>1</v>
      </c>
      <c r="K28" s="13">
        <v>7.0006548788474135E-2</v>
      </c>
      <c r="L28" s="13">
        <v>50.9</v>
      </c>
      <c r="M28" s="13">
        <v>3.9691169999999998</v>
      </c>
      <c r="N28" s="13">
        <v>653</v>
      </c>
      <c r="O28" s="13">
        <v>0</v>
      </c>
      <c r="P28" s="13">
        <v>0.92305046511627908</v>
      </c>
      <c r="Q28" s="13">
        <v>470</v>
      </c>
      <c r="R28" s="13">
        <v>1.083037476550915</v>
      </c>
      <c r="S28" s="13">
        <v>470</v>
      </c>
      <c r="U28" s="35"/>
      <c r="V28" s="24">
        <v>0.13333333333333333</v>
      </c>
      <c r="W28" s="3">
        <v>7.5</v>
      </c>
      <c r="X28" s="3"/>
      <c r="Y28" s="5">
        <v>10.000542514320827</v>
      </c>
      <c r="Z28" s="5">
        <v>8.5232557682642671</v>
      </c>
      <c r="AA28" s="5">
        <v>0</v>
      </c>
      <c r="AB28" s="5">
        <v>50.920106110019645</v>
      </c>
      <c r="AD28" s="23">
        <v>1527.67</v>
      </c>
      <c r="AE28" s="5">
        <f t="shared" si="0"/>
        <v>8.5958792367343619</v>
      </c>
    </row>
    <row r="29" spans="1:31" ht="25.5" customHeight="1" x14ac:dyDescent="0.2">
      <c r="A29" s="54"/>
      <c r="B29" s="21" t="s">
        <v>58</v>
      </c>
      <c r="C29" s="22">
        <v>200</v>
      </c>
      <c r="D29" s="3">
        <v>1500</v>
      </c>
      <c r="E29" s="22">
        <v>1500</v>
      </c>
      <c r="F29" s="22">
        <v>1</v>
      </c>
      <c r="G29" s="13">
        <v>1</v>
      </c>
      <c r="H29" s="22">
        <v>1</v>
      </c>
      <c r="I29" s="22">
        <v>2</v>
      </c>
      <c r="J29" s="22">
        <v>1</v>
      </c>
      <c r="K29" s="13">
        <v>7.0006548788474135E-2</v>
      </c>
      <c r="L29" s="13">
        <v>50.9</v>
      </c>
      <c r="M29" s="13">
        <v>3.9691169999999998</v>
      </c>
      <c r="N29" s="13">
        <v>653</v>
      </c>
      <c r="O29" s="13">
        <v>0</v>
      </c>
      <c r="P29" s="13">
        <v>0.67707299465240633</v>
      </c>
      <c r="Q29" s="13">
        <v>667</v>
      </c>
      <c r="R29" s="13">
        <v>0.69096600052567969</v>
      </c>
      <c r="S29" s="13">
        <v>667</v>
      </c>
      <c r="U29" s="35"/>
      <c r="V29" s="24">
        <v>0.13333333333333333</v>
      </c>
      <c r="W29" s="3">
        <v>7.5</v>
      </c>
      <c r="X29" s="3"/>
      <c r="Y29" s="5">
        <v>9.0545053506999675</v>
      </c>
      <c r="Z29" s="5">
        <v>8.8724496548753446</v>
      </c>
      <c r="AA29" s="5">
        <v>0</v>
      </c>
      <c r="AB29" s="5">
        <v>50.920106110019645</v>
      </c>
      <c r="AD29" s="23">
        <v>1368.7150000000001</v>
      </c>
      <c r="AE29" s="5">
        <f t="shared" si="0"/>
        <v>7.7014727326627295</v>
      </c>
    </row>
    <row r="30" spans="1:31" ht="25.5" customHeight="1" x14ac:dyDescent="0.2">
      <c r="A30" s="54"/>
      <c r="B30" s="21" t="s">
        <v>59</v>
      </c>
      <c r="C30" s="22">
        <v>200</v>
      </c>
      <c r="D30" s="3">
        <v>1500</v>
      </c>
      <c r="E30" s="22">
        <v>1500</v>
      </c>
      <c r="F30" s="22">
        <v>1</v>
      </c>
      <c r="G30" s="13">
        <v>1</v>
      </c>
      <c r="H30" s="22">
        <v>1</v>
      </c>
      <c r="I30" s="22">
        <v>2</v>
      </c>
      <c r="J30" s="22">
        <v>1</v>
      </c>
      <c r="K30" s="13">
        <v>7.0006548788474135E-2</v>
      </c>
      <c r="L30" s="13">
        <v>50.9</v>
      </c>
      <c r="M30" s="13">
        <v>3.9691169999999998</v>
      </c>
      <c r="N30" s="13">
        <v>653</v>
      </c>
      <c r="O30" s="13">
        <v>3.17</v>
      </c>
      <c r="P30" s="13">
        <v>0.67707299465240633</v>
      </c>
      <c r="Q30" s="13">
        <v>667</v>
      </c>
      <c r="R30" s="13">
        <v>0.69096600052567969</v>
      </c>
      <c r="S30" s="13">
        <v>667</v>
      </c>
      <c r="U30" s="35"/>
      <c r="V30" s="24">
        <v>0.13333333333333333</v>
      </c>
      <c r="W30" s="3">
        <v>7.5</v>
      </c>
      <c r="X30" s="3"/>
      <c r="Y30" s="5">
        <v>9.0545053506999675</v>
      </c>
      <c r="Z30" s="5">
        <v>8.8724496548753446</v>
      </c>
      <c r="AA30" s="5">
        <v>41.540078585461686</v>
      </c>
      <c r="AB30" s="5">
        <v>50.920106110019645</v>
      </c>
      <c r="AD30" s="23">
        <v>1445.56</v>
      </c>
      <c r="AE30" s="5">
        <f t="shared" si="0"/>
        <v>8.1338634583736837</v>
      </c>
    </row>
    <row r="31" spans="1:31" ht="25.5" customHeight="1" x14ac:dyDescent="0.2">
      <c r="A31" s="54"/>
      <c r="B31" s="21" t="s">
        <v>60</v>
      </c>
      <c r="C31" s="22">
        <v>200</v>
      </c>
      <c r="D31" s="3">
        <v>1500</v>
      </c>
      <c r="E31" s="22">
        <v>1500</v>
      </c>
      <c r="F31" s="22">
        <v>1</v>
      </c>
      <c r="G31" s="13">
        <v>1</v>
      </c>
      <c r="H31" s="22">
        <v>1</v>
      </c>
      <c r="I31" s="22">
        <v>1</v>
      </c>
      <c r="J31" s="22">
        <v>1</v>
      </c>
      <c r="K31" s="13">
        <v>7.0006301197227477E-2</v>
      </c>
      <c r="L31" s="13">
        <v>52.9</v>
      </c>
      <c r="M31" s="13">
        <v>2.9768377500000001</v>
      </c>
      <c r="N31" s="13">
        <v>470</v>
      </c>
      <c r="O31" s="13">
        <v>9.57</v>
      </c>
      <c r="P31" s="13">
        <v>0.39691169999999998</v>
      </c>
      <c r="Q31" s="13">
        <v>470</v>
      </c>
      <c r="R31" s="13">
        <v>0.54151726140751388</v>
      </c>
      <c r="S31" s="13">
        <v>470</v>
      </c>
      <c r="U31" s="35"/>
      <c r="V31" s="24">
        <v>0.13333333333333333</v>
      </c>
      <c r="W31" s="3">
        <v>7.5</v>
      </c>
      <c r="X31" s="3"/>
      <c r="Y31" s="5">
        <v>4.8112119633559836</v>
      </c>
      <c r="Z31" s="5">
        <v>3.526436654064272</v>
      </c>
      <c r="AA31" s="5">
        <v>85.026465028355403</v>
      </c>
      <c r="AB31" s="5">
        <v>26.448274905482041</v>
      </c>
      <c r="AD31" s="23">
        <v>1113.3150000000001</v>
      </c>
      <c r="AE31" s="5">
        <f t="shared" si="0"/>
        <v>6.1448299795478469</v>
      </c>
    </row>
    <row r="32" spans="1:31" ht="25.5" customHeight="1" x14ac:dyDescent="0.2">
      <c r="A32" s="54"/>
      <c r="B32" s="21" t="s">
        <v>61</v>
      </c>
      <c r="C32" s="22">
        <v>200</v>
      </c>
      <c r="D32" s="3">
        <v>1500</v>
      </c>
      <c r="E32" s="22">
        <v>1500</v>
      </c>
      <c r="F32" s="26">
        <v>1</v>
      </c>
      <c r="G32" s="13">
        <v>1</v>
      </c>
      <c r="H32" s="22">
        <v>1</v>
      </c>
      <c r="I32" s="22">
        <v>1</v>
      </c>
      <c r="J32" s="22">
        <v>1</v>
      </c>
      <c r="K32" s="13">
        <v>7.0000000000000007E-2</v>
      </c>
      <c r="L32" s="13">
        <v>46</v>
      </c>
      <c r="M32" s="13">
        <v>1.9845584999999999</v>
      </c>
      <c r="N32" s="13">
        <v>653</v>
      </c>
      <c r="O32" s="13">
        <v>5.32</v>
      </c>
      <c r="P32" s="13">
        <v>0.25322529999999999</v>
      </c>
      <c r="Q32" s="13">
        <v>667</v>
      </c>
      <c r="R32" s="13">
        <v>0.3610118357972889</v>
      </c>
      <c r="S32" s="13">
        <v>653</v>
      </c>
      <c r="U32" s="35"/>
      <c r="V32" s="24">
        <v>0.13333333333333333</v>
      </c>
      <c r="W32" s="3">
        <v>7.5</v>
      </c>
      <c r="X32" s="3"/>
      <c r="Y32" s="5">
        <v>5.1247984516441232</v>
      </c>
      <c r="Z32" s="5">
        <v>3.67176685</v>
      </c>
      <c r="AA32" s="5">
        <v>77.14</v>
      </c>
      <c r="AB32" s="5">
        <v>28.172102184782606</v>
      </c>
      <c r="AD32" s="23">
        <v>1112.395</v>
      </c>
      <c r="AE32" s="5">
        <f t="shared" si="0"/>
        <v>6.584150642419706</v>
      </c>
    </row>
    <row r="33" spans="1:31" ht="25.5" customHeight="1" x14ac:dyDescent="0.2">
      <c r="A33" s="54"/>
      <c r="B33" s="21" t="s">
        <v>62</v>
      </c>
      <c r="C33" s="22">
        <v>200</v>
      </c>
      <c r="D33" s="3">
        <v>1500</v>
      </c>
      <c r="E33" s="22">
        <v>750</v>
      </c>
      <c r="F33" s="26">
        <v>0.5</v>
      </c>
      <c r="G33" s="13">
        <v>0.5</v>
      </c>
      <c r="H33" s="22">
        <v>1</v>
      </c>
      <c r="I33" s="22">
        <v>1</v>
      </c>
      <c r="J33" s="22">
        <v>1</v>
      </c>
      <c r="K33" s="13">
        <v>7.0029895366218231E-2</v>
      </c>
      <c r="L33" s="13">
        <v>44.6</v>
      </c>
      <c r="M33" s="13">
        <v>9.5613785</v>
      </c>
      <c r="N33" s="13">
        <v>617</v>
      </c>
      <c r="O33" s="13">
        <v>0</v>
      </c>
      <c r="P33" s="13">
        <v>0.92305046511627908</v>
      </c>
      <c r="Q33" s="13">
        <v>470</v>
      </c>
      <c r="R33" s="13">
        <v>0.91641325023427134</v>
      </c>
      <c r="S33" s="13">
        <v>470</v>
      </c>
      <c r="U33" s="35"/>
      <c r="V33" s="24">
        <v>6.6666666666666666E-2</v>
      </c>
      <c r="W33" s="3">
        <v>7.5</v>
      </c>
      <c r="X33" s="3"/>
      <c r="Y33" s="5">
        <v>9.6572696773566697</v>
      </c>
      <c r="Z33" s="5">
        <v>9.7272134216289494</v>
      </c>
      <c r="AA33" s="5">
        <v>0</v>
      </c>
      <c r="AB33" s="5">
        <v>132.27288193946188</v>
      </c>
      <c r="AD33" s="23">
        <v>2532.06</v>
      </c>
      <c r="AE33" s="5">
        <f t="shared" si="0"/>
        <v>15.220405033774288</v>
      </c>
    </row>
    <row r="34" spans="1:31" ht="25.5" customHeight="1" x14ac:dyDescent="0.2">
      <c r="A34" s="54"/>
      <c r="B34" s="21" t="s">
        <v>63</v>
      </c>
      <c r="C34" s="22">
        <v>200</v>
      </c>
      <c r="D34" s="3">
        <v>1500</v>
      </c>
      <c r="E34" s="22">
        <v>750</v>
      </c>
      <c r="F34" s="26">
        <v>0.5</v>
      </c>
      <c r="G34" s="13">
        <v>0.5</v>
      </c>
      <c r="H34" s="22">
        <v>1</v>
      </c>
      <c r="I34" s="22">
        <v>1</v>
      </c>
      <c r="J34" s="22">
        <v>1</v>
      </c>
      <c r="K34" s="13">
        <v>7.0053475935828877E-2</v>
      </c>
      <c r="L34" s="13">
        <v>37.4</v>
      </c>
      <c r="M34" s="13">
        <v>9.5613785</v>
      </c>
      <c r="N34" s="13">
        <v>617</v>
      </c>
      <c r="O34" s="13">
        <v>0</v>
      </c>
      <c r="P34" s="13">
        <v>0.67707299465240633</v>
      </c>
      <c r="Q34" s="13">
        <v>667</v>
      </c>
      <c r="R34" s="13">
        <v>0.58466157640237981</v>
      </c>
      <c r="S34" s="13">
        <v>667</v>
      </c>
      <c r="U34" s="35"/>
      <c r="V34" s="24">
        <v>6.6666666666666666E-2</v>
      </c>
      <c r="W34" s="3">
        <v>7.5</v>
      </c>
      <c r="X34" s="3"/>
      <c r="Y34" s="5">
        <v>10.426985867924795</v>
      </c>
      <c r="Z34" s="5">
        <v>12.075071856501472</v>
      </c>
      <c r="AA34" s="5">
        <v>0</v>
      </c>
      <c r="AB34" s="5">
        <v>157.73718006684493</v>
      </c>
      <c r="AD34" s="23">
        <v>2427.5699999999997</v>
      </c>
      <c r="AE34" s="5">
        <f t="shared" si="0"/>
        <v>15.935129867453179</v>
      </c>
    </row>
    <row r="35" spans="1:31" ht="25.5" customHeight="1" x14ac:dyDescent="0.2">
      <c r="A35" s="54"/>
      <c r="B35" s="21" t="s">
        <v>64</v>
      </c>
      <c r="C35" s="22">
        <v>200</v>
      </c>
      <c r="D35" s="3">
        <v>1500</v>
      </c>
      <c r="E35" s="22">
        <v>750</v>
      </c>
      <c r="F35" s="26">
        <v>0.5</v>
      </c>
      <c r="G35" s="13">
        <v>0.5</v>
      </c>
      <c r="H35" s="22">
        <v>1</v>
      </c>
      <c r="I35" s="22">
        <v>2</v>
      </c>
      <c r="J35" s="22">
        <v>1</v>
      </c>
      <c r="K35" s="13">
        <v>7.0198105081826015E-2</v>
      </c>
      <c r="L35" s="13">
        <v>38.700000000000003</v>
      </c>
      <c r="M35" s="13">
        <v>1.9845584999999999</v>
      </c>
      <c r="N35" s="13">
        <v>470</v>
      </c>
      <c r="O35" s="13">
        <v>0</v>
      </c>
      <c r="P35" s="13">
        <v>0.92305046511627908</v>
      </c>
      <c r="Q35" s="13">
        <v>470</v>
      </c>
      <c r="R35" s="13">
        <v>0.91641325023427134</v>
      </c>
      <c r="S35" s="13">
        <v>470</v>
      </c>
      <c r="U35" s="35"/>
      <c r="V35" s="24">
        <v>6.6666666666666666E-2</v>
      </c>
      <c r="W35" s="3">
        <v>7.5</v>
      </c>
      <c r="X35" s="3"/>
      <c r="Y35" s="5">
        <v>11.129566604912338</v>
      </c>
      <c r="Z35" s="5">
        <v>11.210173607355326</v>
      </c>
      <c r="AA35" s="5">
        <v>0</v>
      </c>
      <c r="AB35" s="5">
        <v>24.101873255813949</v>
      </c>
      <c r="AD35" s="23">
        <v>1430.9449999999999</v>
      </c>
      <c r="AE35" s="5">
        <f t="shared" si="0"/>
        <v>9.2339412158402894</v>
      </c>
    </row>
    <row r="36" spans="1:31" ht="25.5" customHeight="1" x14ac:dyDescent="0.2">
      <c r="A36" s="54"/>
      <c r="B36" s="21" t="s">
        <v>65</v>
      </c>
      <c r="C36" s="22">
        <v>200</v>
      </c>
      <c r="D36" s="3">
        <v>1500</v>
      </c>
      <c r="E36" s="22">
        <v>750</v>
      </c>
      <c r="F36" s="26">
        <v>0.5</v>
      </c>
      <c r="G36" s="13">
        <v>0.5</v>
      </c>
      <c r="H36" s="22">
        <v>1</v>
      </c>
      <c r="I36" s="22">
        <v>2</v>
      </c>
      <c r="J36" s="22">
        <v>1</v>
      </c>
      <c r="K36" s="13">
        <v>7.0198105081826015E-2</v>
      </c>
      <c r="L36" s="13">
        <v>38.700000000000003</v>
      </c>
      <c r="M36" s="13">
        <v>1.2661264999999999</v>
      </c>
      <c r="N36" s="13">
        <v>667</v>
      </c>
      <c r="O36" s="13">
        <v>0</v>
      </c>
      <c r="P36" s="13">
        <v>0.67707299465240633</v>
      </c>
      <c r="Q36" s="13">
        <v>667</v>
      </c>
      <c r="R36" s="13">
        <v>0.58466157640237981</v>
      </c>
      <c r="S36" s="13">
        <v>667</v>
      </c>
      <c r="U36" s="35"/>
      <c r="V36" s="24">
        <v>6.6666666666666666E-2</v>
      </c>
      <c r="W36" s="3">
        <v>7.5</v>
      </c>
      <c r="X36" s="3"/>
      <c r="Y36" s="5">
        <v>10.076725360733523</v>
      </c>
      <c r="Z36" s="5">
        <v>11.669449287678423</v>
      </c>
      <c r="AA36" s="5">
        <v>0</v>
      </c>
      <c r="AB36" s="5">
        <v>21.821870167958654</v>
      </c>
      <c r="AD36" s="23">
        <v>1404.13</v>
      </c>
      <c r="AE36" s="5">
        <f t="shared" si="0"/>
        <v>9.0609030252021032</v>
      </c>
    </row>
    <row r="37" spans="1:31" ht="25.5" customHeight="1" x14ac:dyDescent="0.2">
      <c r="A37" s="54"/>
      <c r="B37" s="21" t="s">
        <v>66</v>
      </c>
      <c r="C37" s="22">
        <v>200</v>
      </c>
      <c r="D37" s="3">
        <v>1500</v>
      </c>
      <c r="E37" s="22">
        <v>750</v>
      </c>
      <c r="F37" s="26">
        <v>0.5</v>
      </c>
      <c r="G37" s="13">
        <v>0.5</v>
      </c>
      <c r="H37" s="22">
        <v>1</v>
      </c>
      <c r="I37" s="22">
        <v>2</v>
      </c>
      <c r="J37" s="22">
        <v>1</v>
      </c>
      <c r="K37" s="13">
        <v>7.0053475935828877E-2</v>
      </c>
      <c r="L37" s="13">
        <v>37.4</v>
      </c>
      <c r="M37" s="13">
        <v>1.2661264999999999</v>
      </c>
      <c r="N37" s="13">
        <v>667</v>
      </c>
      <c r="O37" s="13">
        <v>3.41</v>
      </c>
      <c r="P37" s="13">
        <v>0.67707299465240633</v>
      </c>
      <c r="Q37" s="13">
        <v>667</v>
      </c>
      <c r="R37" s="13">
        <v>0.58466157640237981</v>
      </c>
      <c r="S37" s="13">
        <v>667</v>
      </c>
      <c r="U37" s="35"/>
      <c r="V37" s="24">
        <v>6.6666666666666666E-2</v>
      </c>
      <c r="W37" s="3">
        <v>7.5</v>
      </c>
      <c r="X37" s="3"/>
      <c r="Y37" s="5">
        <v>10.426985867924795</v>
      </c>
      <c r="Z37" s="5">
        <v>12.075071856501472</v>
      </c>
      <c r="AA37" s="5">
        <v>60.814705882352953</v>
      </c>
      <c r="AB37" s="5">
        <v>22.580384371657754</v>
      </c>
      <c r="AD37" s="23">
        <v>1454.1550000000002</v>
      </c>
      <c r="AE37" s="5">
        <f t="shared" si="0"/>
        <v>9.5454091014497564</v>
      </c>
    </row>
    <row r="38" spans="1:31" ht="25.5" customHeight="1" x14ac:dyDescent="0.2">
      <c r="A38" s="55" t="s">
        <v>67</v>
      </c>
      <c r="B38" s="21" t="s">
        <v>68</v>
      </c>
      <c r="C38" s="22">
        <v>180</v>
      </c>
      <c r="D38" s="3">
        <v>1250</v>
      </c>
      <c r="E38" s="22">
        <v>3125</v>
      </c>
      <c r="F38" s="13">
        <v>2.5</v>
      </c>
      <c r="G38" s="13">
        <v>2.5</v>
      </c>
      <c r="H38" s="22">
        <v>1</v>
      </c>
      <c r="I38" s="22">
        <v>1</v>
      </c>
      <c r="J38" s="22">
        <v>1</v>
      </c>
      <c r="K38" s="13">
        <v>0</v>
      </c>
      <c r="L38" s="13">
        <v>19.5</v>
      </c>
      <c r="M38" s="24">
        <v>8.1858514619883032</v>
      </c>
      <c r="N38" s="13">
        <v>636</v>
      </c>
      <c r="O38" s="13">
        <v>0</v>
      </c>
      <c r="P38" s="13">
        <v>0.25147938800705466</v>
      </c>
      <c r="Q38" s="13">
        <v>454</v>
      </c>
      <c r="R38" s="13">
        <v>0.17612485940272421</v>
      </c>
      <c r="S38" s="13">
        <v>454</v>
      </c>
      <c r="U38" s="35"/>
      <c r="V38" s="24">
        <v>0.152</v>
      </c>
      <c r="W38" s="3">
        <v>6.9444444444444446</v>
      </c>
      <c r="X38" s="3"/>
      <c r="Y38" s="5">
        <v>4.1005480086582971</v>
      </c>
      <c r="Z38" s="5">
        <v>5.8549560079591192</v>
      </c>
      <c r="AA38" s="5">
        <v>0</v>
      </c>
      <c r="AB38" s="5">
        <v>266.98469383715695</v>
      </c>
      <c r="AD38" s="23">
        <v>388.25</v>
      </c>
      <c r="AE38" s="5">
        <f t="shared" si="0"/>
        <v>4.7060067072800544</v>
      </c>
    </row>
    <row r="39" spans="1:31" ht="25.5" customHeight="1" x14ac:dyDescent="0.2">
      <c r="A39" s="54"/>
      <c r="B39" s="21" t="s">
        <v>69</v>
      </c>
      <c r="C39" s="22">
        <v>180</v>
      </c>
      <c r="D39" s="3">
        <v>1250</v>
      </c>
      <c r="E39" s="22">
        <v>3125</v>
      </c>
      <c r="F39" s="13">
        <v>2.5</v>
      </c>
      <c r="G39" s="13">
        <v>2.5</v>
      </c>
      <c r="H39" s="22">
        <v>1</v>
      </c>
      <c r="I39" s="22">
        <v>1</v>
      </c>
      <c r="J39" s="22">
        <v>1</v>
      </c>
      <c r="K39" s="13">
        <v>0.24615384615384617</v>
      </c>
      <c r="L39" s="13">
        <v>19.5</v>
      </c>
      <c r="M39" s="13">
        <v>7.1644333333333332</v>
      </c>
      <c r="N39" s="13">
        <v>644</v>
      </c>
      <c r="O39" s="13">
        <v>0</v>
      </c>
      <c r="P39" s="13">
        <v>0.25147938800705466</v>
      </c>
      <c r="Q39" s="13">
        <v>454</v>
      </c>
      <c r="R39" s="13">
        <v>0.17612485940272421</v>
      </c>
      <c r="S39" s="13">
        <v>454</v>
      </c>
      <c r="U39" s="35"/>
      <c r="V39" s="24">
        <v>0.14399999999999999</v>
      </c>
      <c r="W39" s="3">
        <v>6.9444444444444446</v>
      </c>
      <c r="X39" s="3"/>
      <c r="Y39" s="5">
        <v>4.1005480086582971</v>
      </c>
      <c r="Z39" s="5">
        <v>5.8549560079591192</v>
      </c>
      <c r="AA39" s="5">
        <v>0</v>
      </c>
      <c r="AB39" s="5">
        <v>236.61000341880344</v>
      </c>
      <c r="AD39" s="23">
        <v>482.85</v>
      </c>
      <c r="AE39" s="5">
        <f t="shared" si="0"/>
        <v>5.8526602411079836</v>
      </c>
    </row>
    <row r="40" spans="1:31" ht="25.5" customHeight="1" x14ac:dyDescent="0.2">
      <c r="A40" s="54"/>
      <c r="B40" s="21" t="s">
        <v>70</v>
      </c>
      <c r="C40" s="22">
        <v>180</v>
      </c>
      <c r="D40" s="3">
        <v>1250</v>
      </c>
      <c r="E40" s="22">
        <v>3125</v>
      </c>
      <c r="F40" s="13">
        <v>2.5</v>
      </c>
      <c r="G40" s="13">
        <v>2.5</v>
      </c>
      <c r="H40" s="22">
        <v>1</v>
      </c>
      <c r="I40" s="22">
        <v>1</v>
      </c>
      <c r="J40" s="22">
        <v>1</v>
      </c>
      <c r="K40" s="13">
        <v>0</v>
      </c>
      <c r="L40" s="13">
        <v>19.5</v>
      </c>
      <c r="M40" s="13">
        <v>8.8850982456140351</v>
      </c>
      <c r="N40" s="13">
        <v>636</v>
      </c>
      <c r="O40" s="13">
        <v>0</v>
      </c>
      <c r="P40" s="13">
        <v>0.20054685372714484</v>
      </c>
      <c r="Q40" s="13">
        <v>540</v>
      </c>
      <c r="R40" s="13">
        <v>0.17612485940272421</v>
      </c>
      <c r="S40" s="13">
        <v>540</v>
      </c>
      <c r="U40" s="35"/>
      <c r="V40" s="24">
        <v>0.152</v>
      </c>
      <c r="W40" s="3">
        <v>6.9444444444444446</v>
      </c>
      <c r="X40" s="3"/>
      <c r="Y40" s="5">
        <v>4.8773037988446708</v>
      </c>
      <c r="Z40" s="5">
        <v>5.5536051801363184</v>
      </c>
      <c r="AA40" s="5">
        <v>0</v>
      </c>
      <c r="AB40" s="5">
        <v>289.79089662618082</v>
      </c>
      <c r="AD40" s="23">
        <v>368.8</v>
      </c>
      <c r="AE40" s="5">
        <f t="shared" si="0"/>
        <v>4.4702518316674418</v>
      </c>
    </row>
    <row r="41" spans="1:31" ht="25.5" customHeight="1" x14ac:dyDescent="0.2">
      <c r="A41" s="54"/>
      <c r="B41" s="21" t="s">
        <v>71</v>
      </c>
      <c r="C41" s="22">
        <v>180</v>
      </c>
      <c r="D41" s="3">
        <v>1250</v>
      </c>
      <c r="E41" s="22">
        <v>3125</v>
      </c>
      <c r="F41" s="13">
        <v>2.5</v>
      </c>
      <c r="G41" s="13">
        <v>2.5</v>
      </c>
      <c r="H41" s="22">
        <v>1</v>
      </c>
      <c r="I41" s="22">
        <v>1</v>
      </c>
      <c r="J41" s="22">
        <v>1</v>
      </c>
      <c r="K41" s="13">
        <v>0.24615384615384617</v>
      </c>
      <c r="L41" s="13">
        <v>19.5</v>
      </c>
      <c r="M41" s="24">
        <v>7.4866046783625722</v>
      </c>
      <c r="N41" s="13">
        <v>636</v>
      </c>
      <c r="O41" s="13">
        <v>0</v>
      </c>
      <c r="P41" s="13">
        <v>0.20054685372714484</v>
      </c>
      <c r="Q41" s="13">
        <v>540</v>
      </c>
      <c r="R41" s="13">
        <v>0.17612485940272421</v>
      </c>
      <c r="S41" s="13">
        <v>540</v>
      </c>
      <c r="U41" s="35"/>
      <c r="V41" s="24">
        <v>0.152</v>
      </c>
      <c r="W41" s="3">
        <v>6.9444444444444446</v>
      </c>
      <c r="X41" s="3"/>
      <c r="Y41" s="5">
        <v>4.8773037988446708</v>
      </c>
      <c r="Z41" s="5">
        <v>5.5536051801363184</v>
      </c>
      <c r="AA41" s="5">
        <v>0</v>
      </c>
      <c r="AB41" s="5">
        <v>244.17849104813314</v>
      </c>
      <c r="AD41" s="23">
        <v>482.16999999999996</v>
      </c>
      <c r="AE41" s="5">
        <f t="shared" si="0"/>
        <v>5.8444179112665138</v>
      </c>
    </row>
    <row r="42" spans="1:31" ht="25.5" customHeight="1" x14ac:dyDescent="0.2">
      <c r="A42" s="54"/>
      <c r="B42" s="21" t="s">
        <v>72</v>
      </c>
      <c r="C42" s="22">
        <v>180</v>
      </c>
      <c r="D42" s="3">
        <v>1250</v>
      </c>
      <c r="E42" s="22">
        <v>3125</v>
      </c>
      <c r="F42" s="13">
        <v>2.5</v>
      </c>
      <c r="G42" s="13">
        <v>2.5</v>
      </c>
      <c r="H42" s="22">
        <v>1</v>
      </c>
      <c r="I42" s="22">
        <v>1</v>
      </c>
      <c r="J42" s="22">
        <v>1</v>
      </c>
      <c r="K42" s="13">
        <v>0.1414794848757113</v>
      </c>
      <c r="L42" s="13">
        <v>37.1</v>
      </c>
      <c r="M42" s="13">
        <v>7.1644333333333332</v>
      </c>
      <c r="N42" s="13">
        <v>644</v>
      </c>
      <c r="O42" s="13">
        <v>0</v>
      </c>
      <c r="P42" s="13">
        <v>0.25147938800705466</v>
      </c>
      <c r="Q42" s="13">
        <v>454</v>
      </c>
      <c r="R42" s="13">
        <v>0.17612485940272421</v>
      </c>
      <c r="S42" s="13">
        <v>454</v>
      </c>
      <c r="U42" s="35"/>
      <c r="V42" s="24">
        <v>0.14399999999999999</v>
      </c>
      <c r="W42" s="3">
        <v>6.9444444444444446</v>
      </c>
      <c r="X42" s="3"/>
      <c r="Y42" s="5">
        <v>2.1552745598069216</v>
      </c>
      <c r="Z42" s="5">
        <v>3.0774027535095096</v>
      </c>
      <c r="AA42" s="5">
        <v>0</v>
      </c>
      <c r="AB42" s="5">
        <v>124.36374842767296</v>
      </c>
      <c r="AD42" s="23">
        <v>583.95000000000005</v>
      </c>
      <c r="AE42" s="5">
        <f t="shared" si="0"/>
        <v>5.1315325858255081</v>
      </c>
    </row>
    <row r="43" spans="1:31" ht="25.5" customHeight="1" x14ac:dyDescent="0.2">
      <c r="A43" s="54"/>
      <c r="B43" s="21" t="s">
        <v>73</v>
      </c>
      <c r="C43" s="22">
        <v>180</v>
      </c>
      <c r="D43" s="3">
        <v>1250</v>
      </c>
      <c r="E43" s="22">
        <v>3125</v>
      </c>
      <c r="F43" s="13">
        <v>2.5</v>
      </c>
      <c r="G43" s="13">
        <v>2.5</v>
      </c>
      <c r="H43" s="22">
        <v>1</v>
      </c>
      <c r="I43" s="22">
        <v>2</v>
      </c>
      <c r="J43" s="22">
        <v>1</v>
      </c>
      <c r="K43" s="13">
        <v>0.1414794848757113</v>
      </c>
      <c r="L43" s="13">
        <v>37.1</v>
      </c>
      <c r="M43" s="13">
        <v>7.4866046783625722</v>
      </c>
      <c r="N43" s="13">
        <v>636</v>
      </c>
      <c r="O43" s="13">
        <v>0</v>
      </c>
      <c r="P43" s="13">
        <v>0.20054685372714484</v>
      </c>
      <c r="Q43" s="13">
        <v>540</v>
      </c>
      <c r="R43" s="13">
        <v>0.17612485940272421</v>
      </c>
      <c r="S43" s="13">
        <v>540</v>
      </c>
      <c r="U43" s="35"/>
      <c r="V43" s="24">
        <v>0.152</v>
      </c>
      <c r="W43" s="3">
        <v>6.9444444444444446</v>
      </c>
      <c r="X43" s="3"/>
      <c r="Y43" s="5">
        <v>2.5635424279641801</v>
      </c>
      <c r="Z43" s="5">
        <v>2.9190108089665285</v>
      </c>
      <c r="AA43" s="5">
        <v>0</v>
      </c>
      <c r="AB43" s="5">
        <v>128.34179448621552</v>
      </c>
      <c r="AD43" s="23">
        <v>574.29</v>
      </c>
      <c r="AE43" s="5">
        <f t="shared" si="0"/>
        <v>5.0466441454126754</v>
      </c>
    </row>
    <row r="44" spans="1:31" ht="25.5" customHeight="1" x14ac:dyDescent="0.2">
      <c r="A44" s="54"/>
      <c r="B44" s="21" t="s">
        <v>74</v>
      </c>
      <c r="C44" s="22">
        <v>180</v>
      </c>
      <c r="D44" s="3">
        <v>1250</v>
      </c>
      <c r="E44" s="22">
        <v>3125</v>
      </c>
      <c r="F44" s="13">
        <v>2.5</v>
      </c>
      <c r="G44" s="13">
        <v>2.5</v>
      </c>
      <c r="H44" s="22">
        <v>1</v>
      </c>
      <c r="I44" s="22">
        <v>2</v>
      </c>
      <c r="J44" s="22">
        <v>1</v>
      </c>
      <c r="K44" s="13">
        <v>0</v>
      </c>
      <c r="L44" s="13">
        <v>16.5</v>
      </c>
      <c r="M44" s="13">
        <v>2.2536090729166665</v>
      </c>
      <c r="N44" s="13">
        <v>555</v>
      </c>
      <c r="O44" s="13">
        <v>0</v>
      </c>
      <c r="P44" s="13">
        <v>0.20054685372714484</v>
      </c>
      <c r="Q44" s="13">
        <v>540</v>
      </c>
      <c r="R44" s="13">
        <v>0.17044341232521698</v>
      </c>
      <c r="S44" s="13">
        <v>540</v>
      </c>
      <c r="U44" s="35"/>
      <c r="V44" s="24">
        <v>0.128</v>
      </c>
      <c r="W44" s="3">
        <v>6.9444444444444446</v>
      </c>
      <c r="X44" s="3"/>
      <c r="Y44" s="5">
        <v>5.5781480397343737</v>
      </c>
      <c r="Z44" s="5">
        <v>6.5633515765247399</v>
      </c>
      <c r="AA44" s="5">
        <v>0</v>
      </c>
      <c r="AB44" s="5">
        <v>75.803214270833323</v>
      </c>
      <c r="AD44" s="23">
        <v>141.4</v>
      </c>
      <c r="AE44" s="5">
        <f t="shared" si="0"/>
        <v>1.863227221071631</v>
      </c>
    </row>
    <row r="45" spans="1:31" ht="25.5" customHeight="1" x14ac:dyDescent="0.2">
      <c r="A45" s="54"/>
      <c r="B45" s="21" t="s">
        <v>75</v>
      </c>
      <c r="C45" s="22">
        <v>180</v>
      </c>
      <c r="D45" s="3">
        <v>1250</v>
      </c>
      <c r="E45" s="22">
        <v>3125</v>
      </c>
      <c r="F45" s="13">
        <v>2.5</v>
      </c>
      <c r="G45" s="13">
        <v>2.5</v>
      </c>
      <c r="H45" s="22">
        <v>1</v>
      </c>
      <c r="I45" s="22">
        <v>3</v>
      </c>
      <c r="J45" s="22">
        <v>1</v>
      </c>
      <c r="K45" s="13">
        <v>0.29090909090909089</v>
      </c>
      <c r="L45" s="13">
        <v>16.5</v>
      </c>
      <c r="M45" s="13">
        <v>2.3446787037037038</v>
      </c>
      <c r="N45" s="13">
        <v>555</v>
      </c>
      <c r="O45" s="13">
        <v>0</v>
      </c>
      <c r="P45" s="13">
        <v>0.20054685372714484</v>
      </c>
      <c r="Q45" s="13">
        <v>540</v>
      </c>
      <c r="R45" s="13">
        <v>0.14027643669243522</v>
      </c>
      <c r="S45" s="13">
        <v>540</v>
      </c>
      <c r="U45" s="35"/>
      <c r="V45" s="24">
        <v>4.8000000000000001E-2</v>
      </c>
      <c r="W45" s="3">
        <v>6.9444444444444446</v>
      </c>
      <c r="X45" s="3"/>
      <c r="Y45" s="5">
        <v>4.5908652008433348</v>
      </c>
      <c r="Z45" s="5">
        <v>6.5633515765247399</v>
      </c>
      <c r="AA45" s="5">
        <v>0</v>
      </c>
      <c r="AB45" s="5">
        <v>78.866465488215496</v>
      </c>
      <c r="AD45" s="23">
        <v>229.34</v>
      </c>
      <c r="AE45" s="5">
        <f t="shared" si="0"/>
        <v>3.0220122410224031</v>
      </c>
    </row>
    <row r="46" spans="1:31" ht="25.5" customHeight="1" x14ac:dyDescent="0.2">
      <c r="A46" s="54"/>
      <c r="B46" s="21" t="s">
        <v>76</v>
      </c>
      <c r="C46" s="22">
        <v>180</v>
      </c>
      <c r="D46" s="3">
        <v>1250</v>
      </c>
      <c r="E46" s="22">
        <v>3125</v>
      </c>
      <c r="F46" s="13">
        <v>2.5</v>
      </c>
      <c r="G46" s="13">
        <v>2.5</v>
      </c>
      <c r="H46" s="22">
        <v>1</v>
      </c>
      <c r="I46" s="22">
        <v>3</v>
      </c>
      <c r="J46" s="22">
        <v>1</v>
      </c>
      <c r="K46" s="13">
        <v>0.29090909090909089</v>
      </c>
      <c r="L46" s="13">
        <v>16.5</v>
      </c>
      <c r="M46" s="13">
        <v>0.73298909814814817</v>
      </c>
      <c r="N46" s="13">
        <v>555</v>
      </c>
      <c r="O46" s="13">
        <v>1.2187078034188032</v>
      </c>
      <c r="P46" s="13">
        <v>0.20054685372714484</v>
      </c>
      <c r="Q46" s="13">
        <v>540</v>
      </c>
      <c r="R46" s="13">
        <v>0.24386518994223352</v>
      </c>
      <c r="S46" s="13">
        <v>540</v>
      </c>
      <c r="U46" s="35"/>
      <c r="V46" s="24">
        <v>0.24</v>
      </c>
      <c r="W46" s="3">
        <v>6.9444444444444446</v>
      </c>
      <c r="X46" s="3"/>
      <c r="Y46" s="5">
        <v>7.9810425799276423</v>
      </c>
      <c r="Z46" s="5">
        <v>6.5633515765247399</v>
      </c>
      <c r="AA46" s="5">
        <v>39.884982657342654</v>
      </c>
      <c r="AB46" s="5">
        <v>24.655087846801347</v>
      </c>
      <c r="AD46" s="23">
        <v>248.26999999999998</v>
      </c>
      <c r="AE46" s="5">
        <f t="shared" si="0"/>
        <v>3.2714527735180603</v>
      </c>
    </row>
    <row r="47" spans="1:31" ht="25.5" customHeight="1" x14ac:dyDescent="0.2">
      <c r="A47" s="54"/>
      <c r="B47" s="21" t="s">
        <v>77</v>
      </c>
      <c r="C47" s="22">
        <v>180</v>
      </c>
      <c r="D47" s="3">
        <v>1250</v>
      </c>
      <c r="E47" s="22">
        <v>3125</v>
      </c>
      <c r="F47" s="13">
        <v>2.5</v>
      </c>
      <c r="G47" s="13">
        <v>2.5</v>
      </c>
      <c r="H47" s="22">
        <v>1</v>
      </c>
      <c r="I47" s="22">
        <v>2</v>
      </c>
      <c r="J47" s="22">
        <v>1</v>
      </c>
      <c r="K47" s="13">
        <v>0</v>
      </c>
      <c r="L47" s="13">
        <v>16.5</v>
      </c>
      <c r="M47" s="13">
        <v>2.3446787037037038</v>
      </c>
      <c r="N47" s="13">
        <v>555</v>
      </c>
      <c r="O47" s="13">
        <v>0</v>
      </c>
      <c r="P47" s="13">
        <v>0.16166532086167801</v>
      </c>
      <c r="Q47" s="13">
        <v>540</v>
      </c>
      <c r="R47" s="13">
        <v>0.14027643669243522</v>
      </c>
      <c r="S47" s="13">
        <v>540</v>
      </c>
      <c r="U47" s="35"/>
      <c r="V47" s="24">
        <v>4.8000000000000001E-2</v>
      </c>
      <c r="W47" s="3">
        <v>6.9444444444444446</v>
      </c>
      <c r="X47" s="3"/>
      <c r="Y47" s="5">
        <v>4.5908652008433348</v>
      </c>
      <c r="Z47" s="5">
        <v>5.2908650463821898</v>
      </c>
      <c r="AA47" s="5">
        <v>0</v>
      </c>
      <c r="AB47" s="5">
        <v>78.866465488215496</v>
      </c>
      <c r="AD47" s="23">
        <v>76.989999999999995</v>
      </c>
      <c r="AE47" s="5">
        <f t="shared" si="0"/>
        <v>1.0144969147829199</v>
      </c>
    </row>
    <row r="48" spans="1:31" ht="25.5" customHeight="1" x14ac:dyDescent="0.2">
      <c r="A48" s="53" t="s">
        <v>78</v>
      </c>
      <c r="B48" s="36" t="s">
        <v>79</v>
      </c>
      <c r="C48" s="26">
        <v>101.6</v>
      </c>
      <c r="D48" s="22">
        <v>1905</v>
      </c>
      <c r="E48" s="22">
        <v>952.5</v>
      </c>
      <c r="F48" s="13">
        <v>0.5</v>
      </c>
      <c r="G48" s="13">
        <v>0.5</v>
      </c>
      <c r="H48" s="22">
        <v>3</v>
      </c>
      <c r="I48" s="22">
        <v>2</v>
      </c>
      <c r="J48" s="22">
        <v>1</v>
      </c>
      <c r="K48" s="13">
        <v>0</v>
      </c>
      <c r="L48" s="13">
        <v>27.03</v>
      </c>
      <c r="M48" s="13">
        <v>4.0698376727740273</v>
      </c>
      <c r="N48" s="13">
        <v>413.7</v>
      </c>
      <c r="O48" s="13">
        <v>0.91196592229250029</v>
      </c>
      <c r="P48" s="13">
        <v>0.50572655690765922</v>
      </c>
      <c r="Q48" s="13">
        <v>512.99</v>
      </c>
      <c r="R48" s="13">
        <v>0.4919</v>
      </c>
      <c r="S48" s="13">
        <v>544.71</v>
      </c>
      <c r="U48" s="6"/>
      <c r="V48" s="24">
        <v>0.20931058703848732</v>
      </c>
      <c r="W48" s="3">
        <v>18.75</v>
      </c>
      <c r="X48" s="6"/>
      <c r="Y48" s="5">
        <v>9.9127950055493894</v>
      </c>
      <c r="Z48" s="5">
        <v>9.5979528830210903</v>
      </c>
      <c r="AA48" s="5">
        <v>16.284141782999452</v>
      </c>
      <c r="AB48" s="5">
        <v>62.28974640128061</v>
      </c>
      <c r="AD48" s="23">
        <v>1074.5</v>
      </c>
      <c r="AE48" s="5">
        <f t="shared" si="0"/>
        <v>12.859841333422763</v>
      </c>
    </row>
    <row r="49" spans="1:31" ht="25.5" customHeight="1" x14ac:dyDescent="0.2">
      <c r="A49" s="54"/>
      <c r="B49" s="36" t="s">
        <v>80</v>
      </c>
      <c r="C49" s="26">
        <v>101.6</v>
      </c>
      <c r="D49" s="22">
        <v>1905</v>
      </c>
      <c r="E49" s="22">
        <v>952.5</v>
      </c>
      <c r="F49" s="13">
        <v>0.5</v>
      </c>
      <c r="G49" s="13">
        <v>0.5</v>
      </c>
      <c r="H49" s="22">
        <v>3</v>
      </c>
      <c r="I49" s="22">
        <v>2</v>
      </c>
      <c r="J49" s="22">
        <v>1</v>
      </c>
      <c r="K49" s="13">
        <v>0</v>
      </c>
      <c r="L49" s="13">
        <v>21.24</v>
      </c>
      <c r="M49" s="13">
        <v>4.0698376727740273</v>
      </c>
      <c r="N49" s="13">
        <v>528.85</v>
      </c>
      <c r="O49" s="13">
        <v>0.91196592229250029</v>
      </c>
      <c r="P49" s="13">
        <v>0.50572655690765922</v>
      </c>
      <c r="Q49" s="13">
        <v>496.44</v>
      </c>
      <c r="R49" s="13">
        <v>0.25286327845382961</v>
      </c>
      <c r="S49" s="13">
        <v>496.44</v>
      </c>
      <c r="U49" s="6"/>
      <c r="V49" s="24">
        <v>0.20931058703848732</v>
      </c>
      <c r="W49" s="3">
        <v>18.75</v>
      </c>
      <c r="X49" s="6"/>
      <c r="Y49" s="5">
        <v>5.9101434065734084</v>
      </c>
      <c r="Z49" s="5">
        <v>11.820286813146817</v>
      </c>
      <c r="AA49" s="5">
        <v>21.3152713023959</v>
      </c>
      <c r="AB49" s="5">
        <v>101.33397614155108</v>
      </c>
      <c r="AD49" s="23">
        <v>891.5</v>
      </c>
      <c r="AE49" s="5">
        <f t="shared" si="0"/>
        <v>12.036391479089767</v>
      </c>
    </row>
    <row r="50" spans="1:31" ht="25.5" customHeight="1" x14ac:dyDescent="0.2">
      <c r="A50" s="54"/>
      <c r="B50" s="36" t="s">
        <v>81</v>
      </c>
      <c r="C50" s="26">
        <v>101.6</v>
      </c>
      <c r="D50" s="22">
        <v>1905</v>
      </c>
      <c r="E50" s="22">
        <v>476.25</v>
      </c>
      <c r="F50" s="13">
        <v>0.25</v>
      </c>
      <c r="G50" s="13">
        <v>0.25</v>
      </c>
      <c r="H50" s="22">
        <v>3</v>
      </c>
      <c r="I50" s="22">
        <v>2</v>
      </c>
      <c r="J50" s="22">
        <v>1</v>
      </c>
      <c r="K50" s="13">
        <v>0</v>
      </c>
      <c r="L50" s="13">
        <v>25.72</v>
      </c>
      <c r="M50" s="13">
        <v>4.0698376727740273</v>
      </c>
      <c r="N50" s="13">
        <v>539.19000000000005</v>
      </c>
      <c r="O50" s="13">
        <v>0.91196592229250029</v>
      </c>
      <c r="P50" s="13">
        <v>0.50572655690765922</v>
      </c>
      <c r="Q50" s="13">
        <v>501.27</v>
      </c>
      <c r="R50" s="13">
        <v>0.50713135289906941</v>
      </c>
      <c r="S50" s="13">
        <v>530.91999999999996</v>
      </c>
      <c r="U50" s="6"/>
      <c r="V50" s="24">
        <v>0.20931058703848732</v>
      </c>
      <c r="W50" s="3">
        <v>18.75</v>
      </c>
      <c r="X50" s="6"/>
      <c r="Y50" s="5">
        <v>10.468358393513762</v>
      </c>
      <c r="Z50" s="5">
        <v>9.8563589106182867</v>
      </c>
      <c r="AA50" s="5">
        <v>17.773761969967403</v>
      </c>
      <c r="AB50" s="5">
        <v>85.319431367924892</v>
      </c>
      <c r="AD50" s="23">
        <v>1176.1500000000001</v>
      </c>
      <c r="AE50" s="5">
        <f t="shared" si="0"/>
        <v>14.430435701344228</v>
      </c>
    </row>
    <row r="51" spans="1:31" ht="25.5" customHeight="1" x14ac:dyDescent="0.2">
      <c r="A51" s="54"/>
      <c r="B51" s="36" t="s">
        <v>82</v>
      </c>
      <c r="C51" s="26">
        <v>101.6</v>
      </c>
      <c r="D51" s="22">
        <v>1905</v>
      </c>
      <c r="E51" s="22">
        <v>1905</v>
      </c>
      <c r="F51" s="13">
        <v>1</v>
      </c>
      <c r="G51" s="13">
        <v>1</v>
      </c>
      <c r="H51" s="22">
        <v>3</v>
      </c>
      <c r="I51" s="22">
        <v>1</v>
      </c>
      <c r="J51" s="22">
        <v>1</v>
      </c>
      <c r="K51" s="13">
        <v>0</v>
      </c>
      <c r="L51" s="13">
        <v>23.44</v>
      </c>
      <c r="M51" s="13">
        <v>4.0698376727740273</v>
      </c>
      <c r="N51" s="13">
        <v>488.86</v>
      </c>
      <c r="O51" s="13">
        <v>0.91196592229250029</v>
      </c>
      <c r="P51" s="13">
        <v>0.50572655690765922</v>
      </c>
      <c r="Q51" s="13">
        <v>495.75</v>
      </c>
      <c r="R51" s="13">
        <v>0.50713135289906941</v>
      </c>
      <c r="S51" s="13">
        <v>527.47</v>
      </c>
      <c r="U51" s="6"/>
      <c r="V51" s="24">
        <v>0.20931058703848732</v>
      </c>
      <c r="W51" s="3">
        <v>18.75</v>
      </c>
      <c r="X51" s="6"/>
      <c r="Y51" s="5">
        <v>11.411969910992838</v>
      </c>
      <c r="Z51" s="5">
        <v>10.695987226406658</v>
      </c>
      <c r="AA51" s="5">
        <v>18.590254137790208</v>
      </c>
      <c r="AB51" s="5">
        <v>84.879728869979132</v>
      </c>
      <c r="AD51" s="23">
        <v>913.68</v>
      </c>
      <c r="AE51" s="5">
        <f t="shared" si="0"/>
        <v>11.742688166520352</v>
      </c>
    </row>
    <row r="52" spans="1:31" ht="25.5" customHeight="1" x14ac:dyDescent="0.2">
      <c r="A52" s="20" t="s">
        <v>83</v>
      </c>
      <c r="B52" s="36" t="s">
        <v>84</v>
      </c>
      <c r="C52" s="26">
        <v>152.4</v>
      </c>
      <c r="D52" s="22">
        <v>1524</v>
      </c>
      <c r="E52" s="22">
        <v>3048</v>
      </c>
      <c r="F52" s="13">
        <v>2</v>
      </c>
      <c r="G52" s="13">
        <v>2</v>
      </c>
      <c r="H52" s="22">
        <v>1</v>
      </c>
      <c r="I52" s="22">
        <v>3</v>
      </c>
      <c r="J52" s="22">
        <v>1</v>
      </c>
      <c r="K52" s="3">
        <v>6.9978665598356832E-2</v>
      </c>
      <c r="L52" s="13">
        <v>26</v>
      </c>
      <c r="M52" s="13">
        <v>1.7035590277777777</v>
      </c>
      <c r="N52" s="13">
        <v>427.5</v>
      </c>
      <c r="O52" s="13">
        <v>0.9203884727313848</v>
      </c>
      <c r="P52" s="13">
        <v>0.20442708333333334</v>
      </c>
      <c r="Q52" s="13">
        <v>448.15899999999999</v>
      </c>
      <c r="R52" s="13">
        <v>1.136282065100475</v>
      </c>
      <c r="S52" s="13">
        <v>427.5</v>
      </c>
      <c r="U52" s="6"/>
      <c r="V52" s="24">
        <v>0.2</v>
      </c>
      <c r="W52" s="3">
        <v>10</v>
      </c>
      <c r="X52" s="6"/>
      <c r="Y52" s="5">
        <v>18.683099339632811</v>
      </c>
      <c r="Z52" s="5">
        <v>3.5236860476762826</v>
      </c>
      <c r="AA52" s="5">
        <v>15.86462990580095</v>
      </c>
      <c r="AB52" s="5">
        <v>28.01044170673077</v>
      </c>
      <c r="AD52" s="23">
        <v>360.3</v>
      </c>
      <c r="AE52" s="5">
        <f t="shared" si="0"/>
        <v>3.6639417060054735</v>
      </c>
    </row>
    <row r="53" spans="1:31" ht="25.5" customHeight="1" x14ac:dyDescent="0.2">
      <c r="A53" s="56" t="s">
        <v>85</v>
      </c>
      <c r="B53" s="36" t="s">
        <v>86</v>
      </c>
      <c r="C53" s="26">
        <v>300</v>
      </c>
      <c r="D53" s="22">
        <v>2100</v>
      </c>
      <c r="E53" s="22">
        <v>4700</v>
      </c>
      <c r="F53" s="13">
        <v>2.2380952380952381</v>
      </c>
      <c r="G53" s="13">
        <v>2.2380952380952381</v>
      </c>
      <c r="H53" s="22">
        <v>1</v>
      </c>
      <c r="I53" s="22">
        <v>3</v>
      </c>
      <c r="J53" s="22">
        <v>1</v>
      </c>
      <c r="K53" s="24">
        <v>0.14775533336032001</v>
      </c>
      <c r="L53" s="13">
        <v>35.29</v>
      </c>
      <c r="M53" s="13">
        <v>1.2404938271604937</v>
      </c>
      <c r="N53" s="13">
        <v>448.2</v>
      </c>
      <c r="O53" s="13">
        <v>0.83775804095727813</v>
      </c>
      <c r="P53" s="13">
        <v>0.3490658503988659</v>
      </c>
      <c r="Q53" s="13">
        <v>294.7</v>
      </c>
      <c r="R53" s="13">
        <v>0.35933249305765608</v>
      </c>
      <c r="S53" s="13">
        <v>294.7</v>
      </c>
      <c r="U53" s="6"/>
      <c r="V53" s="24">
        <v>0.25714285714285712</v>
      </c>
      <c r="W53" s="3">
        <v>7</v>
      </c>
      <c r="X53" s="6"/>
      <c r="Y53" s="5">
        <v>3.0007165118756371</v>
      </c>
      <c r="Z53" s="5">
        <v>2.9149817543934762</v>
      </c>
      <c r="AA53" s="5">
        <v>7.8315777192350815</v>
      </c>
      <c r="AB53" s="5">
        <v>15.754869179182016</v>
      </c>
      <c r="AD53" s="23">
        <v>900</v>
      </c>
      <c r="AE53" s="5">
        <f t="shared" si="0"/>
        <v>2.8961231958471902</v>
      </c>
    </row>
    <row r="54" spans="1:31" ht="25.5" customHeight="1" x14ac:dyDescent="0.2">
      <c r="A54" s="56"/>
      <c r="B54" s="36" t="s">
        <v>87</v>
      </c>
      <c r="C54" s="26">
        <v>300</v>
      </c>
      <c r="D54" s="22">
        <v>2100</v>
      </c>
      <c r="E54" s="22">
        <v>4700</v>
      </c>
      <c r="F54" s="13">
        <v>2.2380952380952381</v>
      </c>
      <c r="G54" s="13">
        <v>2.2380952380952381</v>
      </c>
      <c r="H54" s="22">
        <v>1</v>
      </c>
      <c r="I54" s="22">
        <v>3</v>
      </c>
      <c r="J54" s="22">
        <v>1</v>
      </c>
      <c r="K54" s="24">
        <v>0.10178599652283862</v>
      </c>
      <c r="L54" s="13">
        <v>35.15</v>
      </c>
      <c r="M54" s="13">
        <v>1.1483428571428571</v>
      </c>
      <c r="N54" s="13">
        <v>427.7</v>
      </c>
      <c r="O54" s="13">
        <v>0.83775804095727813</v>
      </c>
      <c r="P54" s="13">
        <v>0.3490658503988659</v>
      </c>
      <c r="Q54" s="13">
        <v>315.60000000000002</v>
      </c>
      <c r="R54" s="13">
        <v>0.33659921288462069</v>
      </c>
      <c r="S54" s="13">
        <v>315.60000000000002</v>
      </c>
      <c r="U54" s="6"/>
      <c r="V54" s="24">
        <v>0.16666666666666666</v>
      </c>
      <c r="W54" s="3">
        <v>7</v>
      </c>
      <c r="X54" s="6"/>
      <c r="Y54" s="5">
        <v>3.0222108559427112</v>
      </c>
      <c r="Z54" s="5">
        <v>3.1341445913479968</v>
      </c>
      <c r="AA54" s="5">
        <v>7.6101320761780631</v>
      </c>
      <c r="AB54" s="5">
        <v>13.972866002844951</v>
      </c>
      <c r="AD54" s="23">
        <v>750</v>
      </c>
      <c r="AE54" s="5">
        <f t="shared" si="0"/>
        <v>2.4182374939604023</v>
      </c>
    </row>
    <row r="55" spans="1:31" ht="25.5" customHeight="1" x14ac:dyDescent="0.2">
      <c r="A55" s="55" t="s">
        <v>88</v>
      </c>
      <c r="B55" s="28" t="s">
        <v>89</v>
      </c>
      <c r="C55" s="22">
        <v>150</v>
      </c>
      <c r="D55" s="22">
        <v>2000</v>
      </c>
      <c r="E55" s="22">
        <v>4560</v>
      </c>
      <c r="F55" s="3">
        <v>2.2799999999999998</v>
      </c>
      <c r="G55" s="13">
        <v>2.2799999999999998</v>
      </c>
      <c r="H55" s="22">
        <v>1</v>
      </c>
      <c r="I55" s="22">
        <v>3</v>
      </c>
      <c r="J55" s="22">
        <v>1</v>
      </c>
      <c r="K55" s="3">
        <v>4.3722673329169272E-2</v>
      </c>
      <c r="L55" s="13">
        <v>48.03</v>
      </c>
      <c r="M55" s="13">
        <v>1.57</v>
      </c>
      <c r="N55" s="13">
        <v>580</v>
      </c>
      <c r="O55" s="13">
        <v>0.50240000000000007</v>
      </c>
      <c r="P55" s="13">
        <v>0.25119999999999998</v>
      </c>
      <c r="Q55" s="13">
        <v>494.1</v>
      </c>
      <c r="R55" s="13">
        <v>0.28270000000000001</v>
      </c>
      <c r="S55" s="13">
        <v>494.1</v>
      </c>
      <c r="U55" s="35" t="s">
        <v>90</v>
      </c>
      <c r="V55" s="24">
        <v>0.1</v>
      </c>
      <c r="W55" s="3">
        <v>13.333333333333334</v>
      </c>
      <c r="X55" s="3"/>
      <c r="Y55" s="5">
        <v>2.9082254840724548</v>
      </c>
      <c r="Z55" s="5">
        <v>2.5841748906933164</v>
      </c>
      <c r="AA55" s="5">
        <v>5.2091442848219867</v>
      </c>
      <c r="AB55" s="5">
        <v>18.958983968353113</v>
      </c>
      <c r="AD55" s="23">
        <v>355.93762500000003</v>
      </c>
      <c r="AE55" s="5">
        <f t="shared" si="0"/>
        <v>2.0617559257394538</v>
      </c>
    </row>
    <row r="56" spans="1:31" ht="25.5" customHeight="1" x14ac:dyDescent="0.2">
      <c r="A56" s="54"/>
      <c r="B56" s="28" t="s">
        <v>91</v>
      </c>
      <c r="C56" s="22">
        <v>150</v>
      </c>
      <c r="D56" s="22">
        <v>2000</v>
      </c>
      <c r="E56" s="22">
        <v>4560</v>
      </c>
      <c r="F56" s="3">
        <v>2.2799999999999998</v>
      </c>
      <c r="G56" s="13">
        <v>2.2799999999999998</v>
      </c>
      <c r="H56" s="22">
        <v>1</v>
      </c>
      <c r="I56" s="22">
        <v>3</v>
      </c>
      <c r="J56" s="22">
        <v>1</v>
      </c>
      <c r="K56" s="3">
        <v>4.3740887315142682E-2</v>
      </c>
      <c r="L56" s="13">
        <v>48.01</v>
      </c>
      <c r="M56" s="13">
        <v>1.7390769230769232</v>
      </c>
      <c r="N56" s="13">
        <v>577.79999999999995</v>
      </c>
      <c r="O56" s="13">
        <v>0.50240000000000007</v>
      </c>
      <c r="P56" s="13">
        <v>0.25119999999999998</v>
      </c>
      <c r="Q56" s="13">
        <v>494.1</v>
      </c>
      <c r="R56" s="13">
        <v>0.49809999999999999</v>
      </c>
      <c r="S56" s="13">
        <v>519</v>
      </c>
      <c r="U56" s="35" t="s">
        <v>90</v>
      </c>
      <c r="V56" s="24">
        <v>0.13</v>
      </c>
      <c r="W56" s="3">
        <v>13.333333333333334</v>
      </c>
      <c r="X56" s="3"/>
      <c r="Y56" s="5">
        <v>5.3845844615705056</v>
      </c>
      <c r="Z56" s="5">
        <v>2.5852514059570924</v>
      </c>
      <c r="AA56" s="5">
        <v>5.1778279525098947</v>
      </c>
      <c r="AB56" s="5">
        <v>20.929778091102818</v>
      </c>
      <c r="AD56" s="23">
        <v>462.27456999999998</v>
      </c>
      <c r="AE56" s="5">
        <f t="shared" si="0"/>
        <v>2.6782665472122371</v>
      </c>
    </row>
    <row r="57" spans="1:31" ht="25.5" customHeight="1" x14ac:dyDescent="0.2">
      <c r="A57" s="54"/>
      <c r="B57" s="28" t="s">
        <v>92</v>
      </c>
      <c r="C57" s="22">
        <v>150</v>
      </c>
      <c r="D57" s="22">
        <v>2000</v>
      </c>
      <c r="E57" s="22">
        <v>4560</v>
      </c>
      <c r="F57" s="3">
        <v>2.2799999999999998</v>
      </c>
      <c r="G57" s="13">
        <v>2.2799999999999998</v>
      </c>
      <c r="H57" s="22">
        <v>1</v>
      </c>
      <c r="I57" s="22">
        <v>3</v>
      </c>
      <c r="J57" s="22">
        <v>1</v>
      </c>
      <c r="K57" s="3">
        <v>4.3740887315142682E-2</v>
      </c>
      <c r="L57" s="13">
        <v>48.01</v>
      </c>
      <c r="M57" s="13">
        <v>1.7390769230769232</v>
      </c>
      <c r="N57" s="13">
        <v>579.1</v>
      </c>
      <c r="O57" s="13">
        <v>0</v>
      </c>
      <c r="P57" s="13">
        <v>0.25119999999999998</v>
      </c>
      <c r="Q57" s="13">
        <v>494.1</v>
      </c>
      <c r="R57" s="13">
        <v>0.49809999999999999</v>
      </c>
      <c r="S57" s="13">
        <v>574.1</v>
      </c>
      <c r="U57" s="35" t="s">
        <v>90</v>
      </c>
      <c r="V57" s="24">
        <v>0.13</v>
      </c>
      <c r="W57" s="3">
        <v>13.333333333333334</v>
      </c>
      <c r="X57" s="3"/>
      <c r="Y57" s="5">
        <v>5.9562426577796295</v>
      </c>
      <c r="Z57" s="5">
        <v>2.5852514059570924</v>
      </c>
      <c r="AA57" s="5">
        <v>0</v>
      </c>
      <c r="AB57" s="5">
        <v>20.976868280646663</v>
      </c>
      <c r="AD57" s="23">
        <v>442.420165</v>
      </c>
      <c r="AE57" s="5">
        <f t="shared" si="0"/>
        <v>2.5632366663206634</v>
      </c>
    </row>
    <row r="58" spans="1:31" ht="25.5" customHeight="1" x14ac:dyDescent="0.2">
      <c r="A58" s="54"/>
      <c r="B58" s="28" t="s">
        <v>93</v>
      </c>
      <c r="C58" s="22">
        <v>150</v>
      </c>
      <c r="D58" s="22">
        <v>2000</v>
      </c>
      <c r="E58" s="22">
        <v>4520</v>
      </c>
      <c r="F58" s="3">
        <v>2.2599999999999998</v>
      </c>
      <c r="G58" s="13">
        <v>2.2599999999999998</v>
      </c>
      <c r="H58" s="22">
        <v>1</v>
      </c>
      <c r="I58" s="22">
        <v>3</v>
      </c>
      <c r="J58" s="22">
        <v>1</v>
      </c>
      <c r="K58" s="3">
        <v>9.2810457516339873E-2</v>
      </c>
      <c r="L58" s="13">
        <v>51</v>
      </c>
      <c r="M58" s="13">
        <v>1.3661754385964913</v>
      </c>
      <c r="N58" s="13">
        <v>579.1</v>
      </c>
      <c r="O58" s="13">
        <v>1.5071999999999999</v>
      </c>
      <c r="P58" s="13">
        <v>0.25119999999999998</v>
      </c>
      <c r="Q58" s="13">
        <v>494.1</v>
      </c>
      <c r="R58" s="13">
        <v>0.54049999999999998</v>
      </c>
      <c r="S58" s="13">
        <v>574.1</v>
      </c>
      <c r="U58" s="35" t="s">
        <v>90</v>
      </c>
      <c r="V58" s="24">
        <v>0.19</v>
      </c>
      <c r="W58" s="3">
        <v>13.333333333333334</v>
      </c>
      <c r="X58" s="3"/>
      <c r="Y58" s="5">
        <v>6.0843343137254893</v>
      </c>
      <c r="Z58" s="5">
        <v>2.433684705882353</v>
      </c>
      <c r="AA58" s="5">
        <v>15.719209411764703</v>
      </c>
      <c r="AB58" s="5">
        <v>15.512788166494669</v>
      </c>
      <c r="AD58" s="23">
        <v>596.36499000000003</v>
      </c>
      <c r="AE58" s="5">
        <f t="shared" si="0"/>
        <v>3.3523294971521249</v>
      </c>
    </row>
    <row r="59" spans="1:31" ht="25.5" customHeight="1" x14ac:dyDescent="0.2">
      <c r="A59" s="55" t="s">
        <v>94</v>
      </c>
      <c r="B59" s="21" t="s">
        <v>95</v>
      </c>
      <c r="C59" s="22">
        <v>203.2</v>
      </c>
      <c r="D59" s="22">
        <v>2032</v>
      </c>
      <c r="E59" s="22">
        <v>2032</v>
      </c>
      <c r="F59" s="3">
        <v>1</v>
      </c>
      <c r="G59" s="13">
        <v>1</v>
      </c>
      <c r="H59" s="22">
        <v>1</v>
      </c>
      <c r="I59" s="22">
        <v>2</v>
      </c>
      <c r="J59" s="22">
        <v>1</v>
      </c>
      <c r="K59" s="3">
        <v>0</v>
      </c>
      <c r="L59" s="13">
        <v>39</v>
      </c>
      <c r="M59" s="13">
        <v>4.0426599603199209</v>
      </c>
      <c r="N59" s="13">
        <v>440</v>
      </c>
      <c r="O59" s="13">
        <v>1.2167524335048672</v>
      </c>
      <c r="P59" s="13">
        <v>0.33798678708468533</v>
      </c>
      <c r="Q59" s="13">
        <v>453</v>
      </c>
      <c r="R59" s="13">
        <v>0.30430000000000001</v>
      </c>
      <c r="S59" s="13">
        <v>453</v>
      </c>
      <c r="U59" s="35" t="s">
        <v>90</v>
      </c>
      <c r="V59" s="24">
        <v>0.125</v>
      </c>
      <c r="W59" s="3">
        <v>10</v>
      </c>
      <c r="X59" s="3"/>
      <c r="Y59" s="5">
        <v>3.5345615384615385</v>
      </c>
      <c r="Z59" s="5">
        <v>3.9258465269067293</v>
      </c>
      <c r="AA59" s="5">
        <v>14.133047496864227</v>
      </c>
      <c r="AB59" s="5">
        <v>45.609496988224748</v>
      </c>
      <c r="AD59" s="23">
        <v>1098.5</v>
      </c>
      <c r="AE59" s="5">
        <f t="shared" si="0"/>
        <v>5.1305184264555441</v>
      </c>
    </row>
    <row r="60" spans="1:31" ht="25.5" customHeight="1" x14ac:dyDescent="0.2">
      <c r="A60" s="54"/>
      <c r="B60" s="21" t="s">
        <v>96</v>
      </c>
      <c r="C60" s="26">
        <v>203.2</v>
      </c>
      <c r="D60" s="22">
        <v>2032</v>
      </c>
      <c r="E60" s="22">
        <v>2032</v>
      </c>
      <c r="F60" s="3">
        <v>1</v>
      </c>
      <c r="G60" s="13">
        <v>1</v>
      </c>
      <c r="H60" s="22">
        <v>1</v>
      </c>
      <c r="I60" s="22">
        <v>2</v>
      </c>
      <c r="J60" s="22">
        <v>1</v>
      </c>
      <c r="K60" s="3">
        <v>0</v>
      </c>
      <c r="L60" s="13">
        <v>38</v>
      </c>
      <c r="M60" s="13">
        <v>2.3361646723293448</v>
      </c>
      <c r="N60" s="13">
        <v>770</v>
      </c>
      <c r="O60" s="13">
        <v>1.2167524335048672</v>
      </c>
      <c r="P60" s="13">
        <v>0.16899339354234266</v>
      </c>
      <c r="Q60" s="13">
        <v>786</v>
      </c>
      <c r="R60" s="13">
        <v>0.1522</v>
      </c>
      <c r="S60" s="13">
        <v>786</v>
      </c>
      <c r="U60" s="35">
        <v>23</v>
      </c>
      <c r="V60" s="24">
        <v>0.125</v>
      </c>
      <c r="W60" s="3">
        <v>10</v>
      </c>
      <c r="X60" s="3"/>
      <c r="Y60" s="5">
        <v>3.1481368421052629</v>
      </c>
      <c r="Z60" s="5">
        <v>3.4954949295863513</v>
      </c>
      <c r="AA60" s="5">
        <v>14.504969799413285</v>
      </c>
      <c r="AB60" s="5">
        <v>47.338073623515669</v>
      </c>
      <c r="AD60" s="23">
        <v>1073.5</v>
      </c>
      <c r="AE60" s="5">
        <f t="shared" si="0"/>
        <v>5.0792985967975062</v>
      </c>
    </row>
    <row r="61" spans="1:31" ht="25.5" customHeight="1" x14ac:dyDescent="0.2">
      <c r="A61" s="54"/>
      <c r="B61" s="21" t="s">
        <v>97</v>
      </c>
      <c r="C61" s="26">
        <v>203.2</v>
      </c>
      <c r="D61" s="22">
        <v>2032</v>
      </c>
      <c r="E61" s="22">
        <v>2032</v>
      </c>
      <c r="F61" s="3">
        <v>1</v>
      </c>
      <c r="G61" s="13">
        <v>1</v>
      </c>
      <c r="H61" s="22">
        <v>1</v>
      </c>
      <c r="I61" s="22">
        <v>2</v>
      </c>
      <c r="J61" s="22">
        <v>1</v>
      </c>
      <c r="K61" s="3">
        <v>0</v>
      </c>
      <c r="L61" s="13">
        <v>44</v>
      </c>
      <c r="M61" s="13">
        <v>6.6252170004340014</v>
      </c>
      <c r="N61" s="13">
        <v>450</v>
      </c>
      <c r="O61" s="13">
        <v>1.2167524335048672</v>
      </c>
      <c r="P61" s="13">
        <v>0.85679650525967721</v>
      </c>
      <c r="Q61" s="13">
        <v>475</v>
      </c>
      <c r="R61" s="13">
        <v>0.77149999999999996</v>
      </c>
      <c r="S61" s="13">
        <v>475</v>
      </c>
      <c r="U61" s="35">
        <v>23</v>
      </c>
      <c r="V61" s="24">
        <v>0.125</v>
      </c>
      <c r="W61" s="3">
        <v>10</v>
      </c>
      <c r="X61" s="3"/>
      <c r="Y61" s="5">
        <v>8.3286931818181813</v>
      </c>
      <c r="Z61" s="5">
        <v>9.2495077272351516</v>
      </c>
      <c r="AA61" s="5">
        <v>12.527019372220565</v>
      </c>
      <c r="AB61" s="5">
        <v>67.757901140802289</v>
      </c>
      <c r="AD61" s="23">
        <v>1817</v>
      </c>
      <c r="AE61" s="5">
        <f t="shared" si="0"/>
        <v>7.9895456596850005</v>
      </c>
    </row>
    <row r="62" spans="1:31" ht="25.5" customHeight="1" x14ac:dyDescent="0.2">
      <c r="A62" s="54"/>
      <c r="B62" s="21" t="s">
        <v>98</v>
      </c>
      <c r="C62" s="26">
        <v>203.2</v>
      </c>
      <c r="D62" s="22">
        <v>2032</v>
      </c>
      <c r="E62" s="22">
        <v>2032</v>
      </c>
      <c r="F62" s="3">
        <v>1</v>
      </c>
      <c r="G62" s="13">
        <v>1</v>
      </c>
      <c r="H62" s="22">
        <v>1</v>
      </c>
      <c r="I62" s="22">
        <v>2</v>
      </c>
      <c r="J62" s="22">
        <v>1</v>
      </c>
      <c r="K62" s="3">
        <v>0</v>
      </c>
      <c r="L62" s="13">
        <v>44</v>
      </c>
      <c r="M62" s="13">
        <v>3.5042470084940174</v>
      </c>
      <c r="N62" s="13">
        <v>770</v>
      </c>
      <c r="O62" s="13">
        <v>1.2167524335048672</v>
      </c>
      <c r="P62" s="13">
        <v>0.42839825262983861</v>
      </c>
      <c r="Q62" s="13">
        <v>806</v>
      </c>
      <c r="R62" s="13">
        <v>0.42859999999999998</v>
      </c>
      <c r="S62" s="13">
        <v>806</v>
      </c>
      <c r="U62" s="35">
        <v>23</v>
      </c>
      <c r="V62" s="24">
        <v>0.125</v>
      </c>
      <c r="W62" s="3">
        <v>10</v>
      </c>
      <c r="X62" s="3"/>
      <c r="Y62" s="5">
        <v>7.8511727272727265</v>
      </c>
      <c r="Z62" s="5">
        <v>7.8474770822647706</v>
      </c>
      <c r="AA62" s="5">
        <v>12.527019372220565</v>
      </c>
      <c r="AB62" s="5">
        <v>61.324322648645307</v>
      </c>
      <c r="AD62" s="23">
        <v>1765.5</v>
      </c>
      <c r="AE62" s="5">
        <f t="shared" si="0"/>
        <v>7.7630945856763161</v>
      </c>
    </row>
    <row r="63" spans="1:31" ht="25.5" customHeight="1" x14ac:dyDescent="0.2">
      <c r="A63" s="54"/>
      <c r="B63" s="21" t="s">
        <v>99</v>
      </c>
      <c r="C63" s="26">
        <v>203.2</v>
      </c>
      <c r="D63" s="22">
        <v>2032</v>
      </c>
      <c r="E63" s="22">
        <v>2032</v>
      </c>
      <c r="F63" s="3">
        <v>1</v>
      </c>
      <c r="G63" s="13">
        <v>1</v>
      </c>
      <c r="H63" s="22">
        <v>1</v>
      </c>
      <c r="I63" s="22">
        <v>2</v>
      </c>
      <c r="J63" s="22">
        <v>1</v>
      </c>
      <c r="K63" s="3">
        <v>0</v>
      </c>
      <c r="L63" s="13">
        <v>42</v>
      </c>
      <c r="M63" s="13">
        <v>6.6252170004340014</v>
      </c>
      <c r="N63" s="13">
        <v>450</v>
      </c>
      <c r="O63" s="13">
        <v>0.60837621675243359</v>
      </c>
      <c r="P63" s="13">
        <v>0.85679650525967721</v>
      </c>
      <c r="Q63" s="13">
        <v>475</v>
      </c>
      <c r="R63" s="13">
        <v>0.77149999999999996</v>
      </c>
      <c r="S63" s="13">
        <v>475</v>
      </c>
      <c r="U63" s="35">
        <v>23</v>
      </c>
      <c r="V63" s="24">
        <v>0.125</v>
      </c>
      <c r="W63" s="3">
        <v>10</v>
      </c>
      <c r="X63" s="3"/>
      <c r="Y63" s="5">
        <v>8.7252976190476179</v>
      </c>
      <c r="Z63" s="5">
        <v>9.6899604761511107</v>
      </c>
      <c r="AA63" s="5">
        <v>6.5617720521155336</v>
      </c>
      <c r="AB63" s="5">
        <v>70.984467861792865</v>
      </c>
      <c r="AD63" s="23">
        <v>1818.5</v>
      </c>
      <c r="AE63" s="5">
        <f t="shared" si="0"/>
        <v>8.1843115686949144</v>
      </c>
    </row>
    <row r="64" spans="1:31" ht="25.5" customHeight="1" x14ac:dyDescent="0.2">
      <c r="A64" s="20" t="s">
        <v>100</v>
      </c>
      <c r="B64" s="21" t="s">
        <v>101</v>
      </c>
      <c r="C64" s="26">
        <v>200</v>
      </c>
      <c r="D64" s="22">
        <v>1000</v>
      </c>
      <c r="E64" s="22">
        <v>2300</v>
      </c>
      <c r="F64" s="13">
        <v>2.2999999999999998</v>
      </c>
      <c r="G64" s="13">
        <v>2.2999999999999998</v>
      </c>
      <c r="H64" s="22">
        <v>1</v>
      </c>
      <c r="I64" s="22">
        <v>3</v>
      </c>
      <c r="J64" s="22">
        <v>1</v>
      </c>
      <c r="K64" s="27">
        <v>4.8449612403100771E-2</v>
      </c>
      <c r="L64" s="13">
        <v>30.960000000000004</v>
      </c>
      <c r="M64" s="13">
        <v>1.5072000000000001</v>
      </c>
      <c r="N64" s="13">
        <v>458.3</v>
      </c>
      <c r="O64" s="13">
        <v>0.50265482457436694</v>
      </c>
      <c r="P64" s="13">
        <v>0.50239999999999996</v>
      </c>
      <c r="Q64" s="13">
        <v>429.7</v>
      </c>
      <c r="R64" s="13">
        <v>0.27417535885874555</v>
      </c>
      <c r="S64" s="13">
        <v>429.7</v>
      </c>
      <c r="U64" s="35"/>
      <c r="V64" s="24">
        <v>0.22500000000000001</v>
      </c>
      <c r="W64" s="3"/>
      <c r="X64" s="3"/>
      <c r="Y64" s="5">
        <v>3.8053343572869167</v>
      </c>
      <c r="Z64" s="5">
        <v>6.9729095607235125</v>
      </c>
      <c r="AA64" s="5">
        <v>6.9764463216926824</v>
      </c>
      <c r="AB64" s="5">
        <v>22.311038759689922</v>
      </c>
      <c r="AD64" s="23">
        <v>200</v>
      </c>
      <c r="AE64" s="5">
        <f t="shared" si="0"/>
        <v>2.164414452566934</v>
      </c>
    </row>
    <row r="65" spans="1:31" ht="25.5" customHeight="1" x14ac:dyDescent="0.2">
      <c r="A65" s="20" t="s">
        <v>102</v>
      </c>
      <c r="B65" s="21" t="s">
        <v>103</v>
      </c>
      <c r="C65" s="22">
        <v>152</v>
      </c>
      <c r="D65" s="22">
        <v>1000</v>
      </c>
      <c r="E65" s="22">
        <v>3750</v>
      </c>
      <c r="F65" s="13">
        <v>3.75</v>
      </c>
      <c r="G65" s="13">
        <v>3.75</v>
      </c>
      <c r="H65" s="22">
        <v>1</v>
      </c>
      <c r="I65" s="22">
        <v>3</v>
      </c>
      <c r="J65" s="22">
        <v>1</v>
      </c>
      <c r="K65" s="13">
        <v>0.10199999999999999</v>
      </c>
      <c r="L65" s="13">
        <v>38.700000000000003</v>
      </c>
      <c r="M65" s="13">
        <v>6.85</v>
      </c>
      <c r="N65" s="13">
        <v>450</v>
      </c>
      <c r="O65" s="24">
        <v>0.48951409076018243</v>
      </c>
      <c r="P65" s="13">
        <v>0.65978612818565907</v>
      </c>
      <c r="Q65" s="13">
        <v>488</v>
      </c>
      <c r="R65" s="13">
        <v>0.49</v>
      </c>
      <c r="S65" s="13">
        <v>488</v>
      </c>
      <c r="U65" s="3" t="s">
        <v>104</v>
      </c>
      <c r="V65" s="24">
        <v>0.23050000000000001</v>
      </c>
      <c r="W65" s="3">
        <v>6.5789473684210522</v>
      </c>
      <c r="X65" s="6"/>
      <c r="Y65" s="5">
        <v>6.1788113695090434</v>
      </c>
      <c r="Z65" s="5">
        <v>8.3197837352610247</v>
      </c>
      <c r="AA65" s="5">
        <v>4.8192472501196253</v>
      </c>
      <c r="AB65" s="5">
        <v>79.651162790697668</v>
      </c>
      <c r="AD65" s="23">
        <v>330.81349999999998</v>
      </c>
      <c r="AE65" s="5">
        <f t="shared" si="0"/>
        <v>4.213325918232516</v>
      </c>
    </row>
    <row r="66" spans="1:31" ht="25.5" customHeight="1" x14ac:dyDescent="0.2">
      <c r="A66" s="20" t="s">
        <v>105</v>
      </c>
      <c r="B66" s="21" t="s">
        <v>106</v>
      </c>
      <c r="C66" s="22">
        <v>200</v>
      </c>
      <c r="D66" s="22">
        <v>1500</v>
      </c>
      <c r="E66" s="22">
        <v>2600</v>
      </c>
      <c r="F66" s="13">
        <v>3.75</v>
      </c>
      <c r="G66" s="13">
        <v>3.75</v>
      </c>
      <c r="H66" s="22">
        <v>1</v>
      </c>
      <c r="I66" s="22">
        <v>3</v>
      </c>
      <c r="J66" s="22">
        <v>1</v>
      </c>
      <c r="K66" s="3">
        <v>0.11019418664446461</v>
      </c>
      <c r="L66" s="13">
        <v>16.334799999999998</v>
      </c>
      <c r="M66" s="13">
        <v>0</v>
      </c>
      <c r="N66" s="13" t="s">
        <v>26</v>
      </c>
      <c r="O66" s="24">
        <v>0</v>
      </c>
      <c r="P66" s="13">
        <v>0.35665284029051653</v>
      </c>
      <c r="Q66" s="13">
        <v>491</v>
      </c>
      <c r="R66" s="13">
        <v>0.42225623258124811</v>
      </c>
      <c r="S66" s="13">
        <v>476</v>
      </c>
      <c r="U66" s="3"/>
      <c r="V66" s="24">
        <v>0</v>
      </c>
      <c r="W66" s="3">
        <v>7.5</v>
      </c>
      <c r="X66" s="6"/>
      <c r="Y66" s="5">
        <v>12.304648156614965</v>
      </c>
      <c r="Z66" s="5">
        <v>10.720458443485299</v>
      </c>
      <c r="AA66" s="5">
        <v>0</v>
      </c>
      <c r="AB66" s="5">
        <v>0</v>
      </c>
      <c r="AD66" s="23">
        <f>(298+305.4)/2</f>
        <v>301.7</v>
      </c>
      <c r="AE66" s="5">
        <f t="shared" si="0"/>
        <v>2.996663968333372</v>
      </c>
    </row>
    <row r="67" spans="1:31" ht="25.5" customHeight="1" x14ac:dyDescent="0.2">
      <c r="A67" s="20" t="s">
        <v>107</v>
      </c>
      <c r="B67" s="21" t="s">
        <v>108</v>
      </c>
      <c r="C67" s="22">
        <v>125</v>
      </c>
      <c r="D67" s="22">
        <v>750</v>
      </c>
      <c r="E67" s="22">
        <v>1400</v>
      </c>
      <c r="F67" s="3">
        <v>1.87</v>
      </c>
      <c r="G67" s="13">
        <v>1.8666666666666667</v>
      </c>
      <c r="H67" s="22">
        <v>1</v>
      </c>
      <c r="I67" s="22">
        <v>3</v>
      </c>
      <c r="J67" s="22">
        <v>1</v>
      </c>
      <c r="K67" s="3">
        <v>0</v>
      </c>
      <c r="L67" s="13">
        <v>25.37</v>
      </c>
      <c r="M67" s="13">
        <v>0</v>
      </c>
      <c r="N67" s="13" t="s">
        <v>26</v>
      </c>
      <c r="O67" s="13">
        <v>0</v>
      </c>
      <c r="P67" s="13">
        <v>0.11304</v>
      </c>
      <c r="Q67" s="13">
        <v>568</v>
      </c>
      <c r="R67" s="13">
        <v>1.2063715789784804</v>
      </c>
      <c r="S67" s="13">
        <v>580</v>
      </c>
      <c r="U67" s="35" t="s">
        <v>109</v>
      </c>
      <c r="V67" s="24">
        <v>0</v>
      </c>
      <c r="W67" s="3">
        <v>6</v>
      </c>
      <c r="X67" s="3"/>
      <c r="Y67" s="5">
        <v>27.579641931711414</v>
      </c>
      <c r="Z67" s="5">
        <v>2.5308127709893578</v>
      </c>
      <c r="AA67" s="5">
        <v>0</v>
      </c>
      <c r="AB67" s="5">
        <v>0</v>
      </c>
      <c r="AD67" s="24">
        <v>146.42075</v>
      </c>
      <c r="AE67" s="5">
        <f t="shared" si="0"/>
        <v>3.7343241932569247</v>
      </c>
    </row>
    <row r="68" spans="1:31" ht="25.5" customHeight="1" x14ac:dyDescent="0.2">
      <c r="A68" s="62" t="s">
        <v>110</v>
      </c>
      <c r="B68" s="29" t="s">
        <v>111</v>
      </c>
      <c r="C68" s="30">
        <v>125</v>
      </c>
      <c r="D68" s="30">
        <v>750</v>
      </c>
      <c r="E68" s="30">
        <v>1400</v>
      </c>
      <c r="F68" s="17">
        <v>1.8666666666666667</v>
      </c>
      <c r="G68" s="17">
        <v>1.8666666666666667</v>
      </c>
      <c r="H68" s="30">
        <v>1</v>
      </c>
      <c r="I68" s="30">
        <v>2</v>
      </c>
      <c r="J68" s="30">
        <v>1</v>
      </c>
      <c r="K68" s="16">
        <v>0</v>
      </c>
      <c r="L68" s="17">
        <v>31.12</v>
      </c>
      <c r="M68" s="17">
        <v>0</v>
      </c>
      <c r="N68" s="17">
        <v>604</v>
      </c>
      <c r="O68" s="17">
        <v>1.61</v>
      </c>
      <c r="P68" s="17">
        <v>0.66986666666666672</v>
      </c>
      <c r="Q68" s="17">
        <v>588</v>
      </c>
      <c r="R68" s="17">
        <v>0.82499999999999996</v>
      </c>
      <c r="S68" s="17">
        <v>588</v>
      </c>
      <c r="U68" s="46"/>
      <c r="V68" s="19">
        <v>0.24</v>
      </c>
      <c r="W68" s="16">
        <v>6</v>
      </c>
      <c r="X68" s="3"/>
      <c r="Y68" s="5">
        <v>15.588046272493571</v>
      </c>
      <c r="Z68" s="5">
        <v>12.656863753213369</v>
      </c>
      <c r="AA68" s="5">
        <v>30.420308483290491</v>
      </c>
      <c r="AB68" s="5">
        <v>0</v>
      </c>
      <c r="AD68" s="19">
        <v>175.51499999999999</v>
      </c>
      <c r="AE68" s="5">
        <f t="shared" si="0"/>
        <v>4.0416999507531663</v>
      </c>
    </row>
    <row r="69" spans="1:31" ht="25.5" customHeight="1" x14ac:dyDescent="0.2">
      <c r="A69" s="62"/>
      <c r="B69" s="29" t="s">
        <v>112</v>
      </c>
      <c r="C69" s="30">
        <v>125</v>
      </c>
      <c r="D69" s="30">
        <v>750</v>
      </c>
      <c r="E69" s="30">
        <v>1400</v>
      </c>
      <c r="F69" s="17">
        <v>1.8666666666666667</v>
      </c>
      <c r="G69" s="17">
        <v>1.8666666666666667</v>
      </c>
      <c r="H69" s="30">
        <v>1</v>
      </c>
      <c r="I69" s="30">
        <v>3</v>
      </c>
      <c r="J69" s="30">
        <v>1</v>
      </c>
      <c r="K69" s="16">
        <v>0</v>
      </c>
      <c r="L69" s="17">
        <v>31.12</v>
      </c>
      <c r="M69" s="17">
        <v>0</v>
      </c>
      <c r="N69" s="17">
        <v>580</v>
      </c>
      <c r="O69" s="19">
        <v>0.80500000000000005</v>
      </c>
      <c r="P69" s="17">
        <v>0.20100000000000001</v>
      </c>
      <c r="Q69" s="17">
        <v>588</v>
      </c>
      <c r="R69" s="17">
        <v>0.5</v>
      </c>
      <c r="S69" s="17">
        <v>580</v>
      </c>
      <c r="U69" s="46"/>
      <c r="V69" s="19">
        <v>0.25733333333333336</v>
      </c>
      <c r="W69" s="16">
        <v>6</v>
      </c>
      <c r="X69" s="3"/>
      <c r="Y69" s="5">
        <v>9.3187660668380463</v>
      </c>
      <c r="Z69" s="5">
        <v>3.797814910025707</v>
      </c>
      <c r="AA69" s="5">
        <v>15.210154241645245</v>
      </c>
      <c r="AB69" s="5">
        <v>0</v>
      </c>
      <c r="AD69" s="19">
        <v>156.41000000000003</v>
      </c>
      <c r="AE69" s="5">
        <f t="shared" si="0"/>
        <v>3.6017564840458247</v>
      </c>
    </row>
    <row r="70" spans="1:31" ht="25.5" customHeight="1" x14ac:dyDescent="0.2">
      <c r="A70" s="62"/>
      <c r="B70" s="29" t="s">
        <v>113</v>
      </c>
      <c r="C70" s="30">
        <v>125</v>
      </c>
      <c r="D70" s="30">
        <v>750</v>
      </c>
      <c r="E70" s="30">
        <v>1400</v>
      </c>
      <c r="F70" s="17">
        <v>1.8666666666666667</v>
      </c>
      <c r="G70" s="17">
        <v>1.8666666666666667</v>
      </c>
      <c r="H70" s="30">
        <v>1</v>
      </c>
      <c r="I70" s="30">
        <v>3</v>
      </c>
      <c r="J70" s="30">
        <v>1</v>
      </c>
      <c r="K70" s="16">
        <v>0</v>
      </c>
      <c r="L70" s="17">
        <v>31.12</v>
      </c>
      <c r="M70" s="17">
        <v>0</v>
      </c>
      <c r="N70" s="17">
        <v>580</v>
      </c>
      <c r="O70" s="19">
        <v>0.80500000000000005</v>
      </c>
      <c r="P70" s="17">
        <v>0.11</v>
      </c>
      <c r="Q70" s="17">
        <v>568</v>
      </c>
      <c r="R70" s="17">
        <v>0.5</v>
      </c>
      <c r="S70" s="17">
        <v>580</v>
      </c>
      <c r="U70" s="46"/>
      <c r="V70" s="19">
        <v>0.25733333333333336</v>
      </c>
      <c r="W70" s="16">
        <v>6</v>
      </c>
      <c r="X70" s="3"/>
      <c r="Y70" s="5">
        <v>9.3187660668380463</v>
      </c>
      <c r="Z70" s="5">
        <v>2.0077120822622105</v>
      </c>
      <c r="AA70" s="5">
        <v>14.692802056555269</v>
      </c>
      <c r="AB70" s="5">
        <v>0</v>
      </c>
      <c r="AD70" s="19">
        <v>153.65</v>
      </c>
      <c r="AE70" s="5">
        <f t="shared" ref="AE70:AE133" si="1">AD70*1000/C70/D70*145.038/SQRT(145.038*L70)</f>
        <v>3.5382001392087519</v>
      </c>
    </row>
    <row r="71" spans="1:31" ht="25.5" customHeight="1" x14ac:dyDescent="0.2">
      <c r="A71" s="55" t="s">
        <v>114</v>
      </c>
      <c r="B71" s="21" t="s">
        <v>115</v>
      </c>
      <c r="C71" s="22">
        <v>100</v>
      </c>
      <c r="D71" s="22">
        <v>2000</v>
      </c>
      <c r="E71" s="22">
        <v>1660</v>
      </c>
      <c r="F71" s="13">
        <v>0.83</v>
      </c>
      <c r="G71" s="13">
        <v>0.83</v>
      </c>
      <c r="H71" s="22">
        <v>1</v>
      </c>
      <c r="I71" s="22">
        <v>3</v>
      </c>
      <c r="J71" s="22">
        <v>1</v>
      </c>
      <c r="K71" s="13">
        <v>0</v>
      </c>
      <c r="L71" s="13">
        <v>29.5</v>
      </c>
      <c r="M71" s="13">
        <v>0</v>
      </c>
      <c r="N71" s="13" t="s">
        <v>26</v>
      </c>
      <c r="O71" s="24">
        <v>0</v>
      </c>
      <c r="P71" s="27">
        <v>0.21</v>
      </c>
      <c r="Q71" s="13">
        <v>579.15</v>
      </c>
      <c r="R71" s="13">
        <v>0.18</v>
      </c>
      <c r="S71" s="13">
        <v>579</v>
      </c>
      <c r="U71" s="3"/>
      <c r="V71" s="24">
        <v>0</v>
      </c>
      <c r="W71" s="3">
        <v>20</v>
      </c>
      <c r="X71" s="6"/>
      <c r="Y71" s="5">
        <v>3.5328813559322034</v>
      </c>
      <c r="Z71" s="5">
        <v>4.1227627118644063</v>
      </c>
      <c r="AA71" s="5">
        <v>0</v>
      </c>
      <c r="AB71" s="5">
        <v>0</v>
      </c>
      <c r="AD71" s="24">
        <v>146.31190000000001</v>
      </c>
      <c r="AE71" s="5">
        <f t="shared" si="1"/>
        <v>1.6221071837489527</v>
      </c>
    </row>
    <row r="72" spans="1:31" ht="25.5" customHeight="1" x14ac:dyDescent="0.2">
      <c r="A72" s="54"/>
      <c r="B72" s="21" t="s">
        <v>116</v>
      </c>
      <c r="C72" s="22">
        <v>100</v>
      </c>
      <c r="D72" s="22">
        <v>2000</v>
      </c>
      <c r="E72" s="22">
        <v>1660</v>
      </c>
      <c r="F72" s="13">
        <v>0.83</v>
      </c>
      <c r="G72" s="13">
        <v>0.83</v>
      </c>
      <c r="H72" s="22">
        <v>1</v>
      </c>
      <c r="I72" s="22">
        <v>2</v>
      </c>
      <c r="J72" s="22">
        <v>1</v>
      </c>
      <c r="K72" s="13">
        <v>0</v>
      </c>
      <c r="L72" s="13">
        <v>12.35</v>
      </c>
      <c r="M72" s="13">
        <v>0</v>
      </c>
      <c r="N72" s="13" t="s">
        <v>26</v>
      </c>
      <c r="O72" s="24">
        <v>0</v>
      </c>
      <c r="P72" s="27">
        <v>0.21</v>
      </c>
      <c r="Q72" s="13">
        <v>579.15</v>
      </c>
      <c r="R72" s="13">
        <v>0.18</v>
      </c>
      <c r="S72" s="13">
        <v>579</v>
      </c>
      <c r="U72" s="3"/>
      <c r="V72" s="24">
        <v>0</v>
      </c>
      <c r="W72" s="3">
        <v>20</v>
      </c>
      <c r="X72" s="6"/>
      <c r="Y72" s="5">
        <v>8.4388663967611333</v>
      </c>
      <c r="Z72" s="5">
        <v>9.8478947368421057</v>
      </c>
      <c r="AA72" s="5">
        <v>0</v>
      </c>
      <c r="AB72" s="5">
        <v>0</v>
      </c>
      <c r="AD72" s="24">
        <v>113.8415</v>
      </c>
      <c r="AE72" s="5">
        <f t="shared" si="1"/>
        <v>1.9506440898474722</v>
      </c>
    </row>
    <row r="73" spans="1:31" ht="25.5" customHeight="1" x14ac:dyDescent="0.2">
      <c r="A73" s="54"/>
      <c r="B73" s="21" t="s">
        <v>117</v>
      </c>
      <c r="C73" s="22">
        <v>125</v>
      </c>
      <c r="D73" s="22">
        <v>2000</v>
      </c>
      <c r="E73" s="22">
        <v>1660</v>
      </c>
      <c r="F73" s="13">
        <v>0.83</v>
      </c>
      <c r="G73" s="13">
        <v>0.83</v>
      </c>
      <c r="H73" s="22">
        <v>1</v>
      </c>
      <c r="I73" s="22">
        <v>3</v>
      </c>
      <c r="J73" s="22">
        <v>1</v>
      </c>
      <c r="K73" s="13">
        <v>0</v>
      </c>
      <c r="L73" s="13">
        <v>26</v>
      </c>
      <c r="M73" s="13">
        <v>1</v>
      </c>
      <c r="N73" s="13">
        <v>579</v>
      </c>
      <c r="O73" s="24">
        <v>0.51</v>
      </c>
      <c r="P73" s="27">
        <v>0.2</v>
      </c>
      <c r="Q73" s="13">
        <v>579.15</v>
      </c>
      <c r="R73" s="13">
        <v>0.18</v>
      </c>
      <c r="S73" s="13">
        <v>579</v>
      </c>
      <c r="U73" s="3"/>
      <c r="V73" s="24">
        <v>0.1125</v>
      </c>
      <c r="W73" s="3">
        <v>16</v>
      </c>
      <c r="X73" s="6"/>
      <c r="Y73" s="5">
        <v>4.0084615384615381</v>
      </c>
      <c r="Z73" s="5">
        <v>4.4550000000000001</v>
      </c>
      <c r="AA73" s="5">
        <v>11.357307692307693</v>
      </c>
      <c r="AB73" s="5">
        <v>22.26923076923077</v>
      </c>
      <c r="AD73" s="23">
        <v>240.58449999999999</v>
      </c>
      <c r="AE73" s="5">
        <f t="shared" si="1"/>
        <v>2.2729080271214173</v>
      </c>
    </row>
    <row r="74" spans="1:31" ht="25.5" customHeight="1" x14ac:dyDescent="0.2">
      <c r="A74" s="55" t="s">
        <v>118</v>
      </c>
      <c r="B74" s="21" t="s">
        <v>68</v>
      </c>
      <c r="C74" s="22">
        <v>75</v>
      </c>
      <c r="D74" s="22">
        <v>1000</v>
      </c>
      <c r="E74" s="22">
        <v>1000</v>
      </c>
      <c r="F74" s="3">
        <v>1</v>
      </c>
      <c r="G74" s="13">
        <v>1</v>
      </c>
      <c r="H74" s="22">
        <v>3</v>
      </c>
      <c r="I74" s="22">
        <v>1</v>
      </c>
      <c r="J74" s="22">
        <v>1</v>
      </c>
      <c r="K74" s="27">
        <v>0.10335917312661498</v>
      </c>
      <c r="L74" s="13">
        <v>86</v>
      </c>
      <c r="M74" s="13">
        <v>6.43072</v>
      </c>
      <c r="N74" s="13">
        <v>535</v>
      </c>
      <c r="O74" s="13">
        <v>0.13397333333333333</v>
      </c>
      <c r="P74" s="13">
        <v>0.45125748502994012</v>
      </c>
      <c r="Q74" s="13">
        <v>536</v>
      </c>
      <c r="R74" s="13">
        <v>0.47099999999999997</v>
      </c>
      <c r="S74" s="13">
        <v>536</v>
      </c>
      <c r="U74" s="41" t="s">
        <v>119</v>
      </c>
      <c r="V74" s="24">
        <v>0.27777777777777779</v>
      </c>
      <c r="W74" s="3">
        <v>13.333333333333334</v>
      </c>
      <c r="X74" s="3"/>
      <c r="Y74" s="5">
        <v>2.9355348837209303</v>
      </c>
      <c r="Z74" s="5">
        <v>2.8124885113493945</v>
      </c>
      <c r="AA74" s="5">
        <v>0.45566511627906975</v>
      </c>
      <c r="AB74" s="5">
        <v>40.00506046511628</v>
      </c>
      <c r="AD74" s="23">
        <v>994.5</v>
      </c>
      <c r="AE74" s="5">
        <f t="shared" si="1"/>
        <v>17.220081384622528</v>
      </c>
    </row>
    <row r="75" spans="1:31" ht="25.5" customHeight="1" x14ac:dyDescent="0.2">
      <c r="A75" s="54"/>
      <c r="B75" s="21" t="s">
        <v>69</v>
      </c>
      <c r="C75" s="22">
        <v>75</v>
      </c>
      <c r="D75" s="22">
        <v>1000</v>
      </c>
      <c r="E75" s="22">
        <v>1000</v>
      </c>
      <c r="F75" s="3">
        <v>1</v>
      </c>
      <c r="G75" s="13">
        <v>1</v>
      </c>
      <c r="H75" s="22">
        <v>3</v>
      </c>
      <c r="I75" s="22">
        <v>1</v>
      </c>
      <c r="J75" s="22">
        <v>1</v>
      </c>
      <c r="K75" s="27">
        <v>0.10335917312661498</v>
      </c>
      <c r="L75" s="13">
        <v>86</v>
      </c>
      <c r="M75" s="13">
        <v>6.43072</v>
      </c>
      <c r="N75" s="13">
        <v>535</v>
      </c>
      <c r="O75" s="13">
        <v>0.13397333333333333</v>
      </c>
      <c r="P75" s="13">
        <v>1.3397333333333334</v>
      </c>
      <c r="Q75" s="13">
        <v>498</v>
      </c>
      <c r="R75" s="13">
        <v>1.3397333333333334</v>
      </c>
      <c r="S75" s="13">
        <v>498</v>
      </c>
      <c r="U75" s="41">
        <v>22</v>
      </c>
      <c r="V75" s="24">
        <v>0.27777777777777779</v>
      </c>
      <c r="W75" s="3">
        <v>13.333333333333334</v>
      </c>
      <c r="X75" s="3"/>
      <c r="Y75" s="5">
        <v>7.7579906976744191</v>
      </c>
      <c r="Z75" s="5">
        <v>7.7579906976744191</v>
      </c>
      <c r="AA75" s="5">
        <v>0.45566511627906975</v>
      </c>
      <c r="AB75" s="5">
        <v>40.00506046511628</v>
      </c>
      <c r="AD75" s="23">
        <v>1189</v>
      </c>
      <c r="AE75" s="5">
        <f t="shared" si="1"/>
        <v>20.587910272816679</v>
      </c>
    </row>
    <row r="76" spans="1:31" ht="25.5" customHeight="1" x14ac:dyDescent="0.2">
      <c r="A76" s="54"/>
      <c r="B76" s="21" t="s">
        <v>70</v>
      </c>
      <c r="C76" s="22">
        <v>75</v>
      </c>
      <c r="D76" s="22">
        <v>1000</v>
      </c>
      <c r="E76" s="22">
        <v>1000</v>
      </c>
      <c r="F76" s="3">
        <v>1</v>
      </c>
      <c r="G76" s="13">
        <v>1</v>
      </c>
      <c r="H76" s="22">
        <v>3</v>
      </c>
      <c r="I76" s="22">
        <v>1</v>
      </c>
      <c r="J76" s="22">
        <v>1</v>
      </c>
      <c r="K76" s="27">
        <v>9.2592592592592587E-2</v>
      </c>
      <c r="L76" s="13">
        <v>96</v>
      </c>
      <c r="M76" s="13">
        <v>6.43072</v>
      </c>
      <c r="N76" s="13">
        <v>535</v>
      </c>
      <c r="O76" s="13">
        <v>0.13397333333333333</v>
      </c>
      <c r="P76" s="13">
        <v>0.75360000000000005</v>
      </c>
      <c r="Q76" s="13">
        <v>536</v>
      </c>
      <c r="R76" s="13">
        <v>0.83733333333333337</v>
      </c>
      <c r="S76" s="13">
        <v>498</v>
      </c>
      <c r="U76" s="41">
        <v>22</v>
      </c>
      <c r="V76" s="24">
        <v>0.27777777777777779</v>
      </c>
      <c r="W76" s="3">
        <v>13.333333333333334</v>
      </c>
      <c r="X76" s="3"/>
      <c r="Y76" s="5">
        <v>4.3436666666666666</v>
      </c>
      <c r="Z76" s="5">
        <v>4.2076000000000002</v>
      </c>
      <c r="AA76" s="5">
        <v>0.40819999999999995</v>
      </c>
      <c r="AB76" s="5">
        <v>35.837866666666663</v>
      </c>
      <c r="AD76" s="23">
        <v>1103</v>
      </c>
      <c r="AE76" s="5">
        <f t="shared" si="1"/>
        <v>18.07671594959168</v>
      </c>
    </row>
    <row r="77" spans="1:31" ht="25.5" customHeight="1" x14ac:dyDescent="0.2">
      <c r="A77" s="54"/>
      <c r="B77" s="21" t="s">
        <v>71</v>
      </c>
      <c r="C77" s="22">
        <v>75</v>
      </c>
      <c r="D77" s="22">
        <v>1000</v>
      </c>
      <c r="E77" s="22">
        <v>1000</v>
      </c>
      <c r="F77" s="3">
        <v>1</v>
      </c>
      <c r="G77" s="13">
        <v>1</v>
      </c>
      <c r="H77" s="22">
        <v>3</v>
      </c>
      <c r="I77" s="22">
        <v>1</v>
      </c>
      <c r="J77" s="22">
        <v>1</v>
      </c>
      <c r="K77" s="27">
        <v>0</v>
      </c>
      <c r="L77" s="13">
        <v>96</v>
      </c>
      <c r="M77" s="13">
        <v>6.43072</v>
      </c>
      <c r="N77" s="13">
        <v>535</v>
      </c>
      <c r="O77" s="13">
        <v>0.13397333333333333</v>
      </c>
      <c r="P77" s="13">
        <v>0.75360000000000005</v>
      </c>
      <c r="Q77" s="13">
        <v>536</v>
      </c>
      <c r="R77" s="13">
        <v>0.83733333333333337</v>
      </c>
      <c r="S77" s="13">
        <v>498</v>
      </c>
      <c r="U77" s="41">
        <v>22</v>
      </c>
      <c r="V77" s="24">
        <v>0.27777777777777779</v>
      </c>
      <c r="W77" s="3">
        <v>13.333333333333334</v>
      </c>
      <c r="X77" s="3"/>
      <c r="Y77" s="5">
        <v>4.3436666666666666</v>
      </c>
      <c r="Z77" s="5">
        <v>4.2076000000000002</v>
      </c>
      <c r="AA77" s="5">
        <v>0.40819999999999995</v>
      </c>
      <c r="AB77" s="5">
        <v>35.837866666666663</v>
      </c>
      <c r="AD77" s="23">
        <v>728.5</v>
      </c>
      <c r="AE77" s="5">
        <f t="shared" si="1"/>
        <v>11.939154641230772</v>
      </c>
    </row>
    <row r="78" spans="1:31" ht="25.5" customHeight="1" x14ac:dyDescent="0.2">
      <c r="A78" s="54"/>
      <c r="B78" s="21" t="s">
        <v>72</v>
      </c>
      <c r="C78" s="22">
        <v>75</v>
      </c>
      <c r="D78" s="22">
        <v>1000</v>
      </c>
      <c r="E78" s="22">
        <v>1000</v>
      </c>
      <c r="F78" s="3">
        <v>1</v>
      </c>
      <c r="G78" s="13">
        <v>1</v>
      </c>
      <c r="H78" s="22">
        <v>3</v>
      </c>
      <c r="I78" s="22">
        <v>1</v>
      </c>
      <c r="J78" s="22">
        <v>1</v>
      </c>
      <c r="K78" s="27">
        <v>0.107095046854083</v>
      </c>
      <c r="L78" s="13">
        <v>83</v>
      </c>
      <c r="M78" s="13">
        <v>6.43072</v>
      </c>
      <c r="N78" s="13">
        <v>535</v>
      </c>
      <c r="O78" s="13">
        <v>0.13397333333333333</v>
      </c>
      <c r="P78" s="13">
        <v>0.45125748502994012</v>
      </c>
      <c r="Q78" s="13">
        <v>536</v>
      </c>
      <c r="R78" s="13">
        <v>1.3397333333333334</v>
      </c>
      <c r="S78" s="13">
        <v>498</v>
      </c>
      <c r="U78" s="41">
        <v>22</v>
      </c>
      <c r="V78" s="24">
        <v>0.27777777777777779</v>
      </c>
      <c r="W78" s="3">
        <v>13.333333333333334</v>
      </c>
      <c r="X78" s="3"/>
      <c r="Y78" s="5">
        <v>8.0384000000000011</v>
      </c>
      <c r="Z78" s="5">
        <v>2.9141447226029871</v>
      </c>
      <c r="AA78" s="5">
        <v>0.47213493975903609</v>
      </c>
      <c r="AB78" s="5">
        <v>41.451026506024093</v>
      </c>
      <c r="AD78" s="23">
        <v>1096</v>
      </c>
      <c r="AE78" s="5">
        <f t="shared" si="1"/>
        <v>19.317510002097176</v>
      </c>
    </row>
    <row r="79" spans="1:31" ht="25.5" customHeight="1" x14ac:dyDescent="0.2">
      <c r="A79" s="54"/>
      <c r="B79" s="21" t="s">
        <v>73</v>
      </c>
      <c r="C79" s="22">
        <v>75</v>
      </c>
      <c r="D79" s="22">
        <v>1000</v>
      </c>
      <c r="E79" s="22">
        <v>1000</v>
      </c>
      <c r="F79" s="3">
        <v>1</v>
      </c>
      <c r="G79" s="13">
        <v>1</v>
      </c>
      <c r="H79" s="22">
        <v>3</v>
      </c>
      <c r="I79" s="22">
        <v>1</v>
      </c>
      <c r="J79" s="22">
        <v>1</v>
      </c>
      <c r="K79" s="27">
        <v>0.107095046854083</v>
      </c>
      <c r="L79" s="13">
        <v>83</v>
      </c>
      <c r="M79" s="13">
        <v>6.43072</v>
      </c>
      <c r="N79" s="13">
        <v>535</v>
      </c>
      <c r="O79" s="13">
        <v>0.13397333333333333</v>
      </c>
      <c r="P79" s="13">
        <v>0.93687645687645693</v>
      </c>
      <c r="Q79" s="13">
        <v>498</v>
      </c>
      <c r="R79" s="13">
        <v>1.0073182957393483</v>
      </c>
      <c r="S79" s="13">
        <v>498</v>
      </c>
      <c r="U79" s="41">
        <v>22</v>
      </c>
      <c r="V79" s="24">
        <v>0.27777777777777779</v>
      </c>
      <c r="W79" s="3">
        <v>13.333333333333334</v>
      </c>
      <c r="X79" s="3"/>
      <c r="Y79" s="5">
        <v>6.0439097744360897</v>
      </c>
      <c r="Z79" s="5">
        <v>5.6212587412587416</v>
      </c>
      <c r="AA79" s="5">
        <v>0.47213493975903609</v>
      </c>
      <c r="AB79" s="5">
        <v>41.451026506024093</v>
      </c>
      <c r="AD79" s="23">
        <v>1110.1500000000001</v>
      </c>
      <c r="AE79" s="5">
        <f t="shared" si="1"/>
        <v>19.566910336522064</v>
      </c>
    </row>
    <row r="80" spans="1:31" ht="25.5" customHeight="1" x14ac:dyDescent="0.2">
      <c r="A80" s="53" t="s">
        <v>120</v>
      </c>
      <c r="B80" s="36" t="s">
        <v>121</v>
      </c>
      <c r="C80" s="22">
        <v>150</v>
      </c>
      <c r="D80" s="22">
        <v>2000</v>
      </c>
      <c r="E80" s="22">
        <v>4560</v>
      </c>
      <c r="F80" s="13">
        <v>2.2799999999999998</v>
      </c>
      <c r="G80" s="13">
        <v>2.2799999999999998</v>
      </c>
      <c r="H80" s="22">
        <v>1</v>
      </c>
      <c r="I80" s="22">
        <v>3</v>
      </c>
      <c r="J80" s="22">
        <v>1</v>
      </c>
      <c r="K80" s="31">
        <v>5.0999999999999997E-2</v>
      </c>
      <c r="L80" s="13">
        <v>45</v>
      </c>
      <c r="M80" s="13">
        <v>1.57</v>
      </c>
      <c r="N80" s="13">
        <v>547.29999999999995</v>
      </c>
      <c r="O80" s="13">
        <v>0.50240000000000007</v>
      </c>
      <c r="P80" s="13">
        <v>0.25119999999999998</v>
      </c>
      <c r="Q80" s="13">
        <v>583.6</v>
      </c>
      <c r="R80" s="13">
        <v>0.25130000000000002</v>
      </c>
      <c r="S80" s="13">
        <v>518.9</v>
      </c>
      <c r="U80" s="35" t="s">
        <v>122</v>
      </c>
      <c r="V80" s="24">
        <v>0.1</v>
      </c>
      <c r="W80" s="3">
        <v>13.333333333333334</v>
      </c>
      <c r="X80" s="3"/>
      <c r="Y80" s="5">
        <v>2.8977682222222225</v>
      </c>
      <c r="Z80" s="5">
        <v>3.2577848888888883</v>
      </c>
      <c r="AA80" s="5">
        <v>6.5155697777777792</v>
      </c>
      <c r="AB80" s="5">
        <v>19.094688888888889</v>
      </c>
      <c r="AD80" s="23">
        <v>346.86436500000002</v>
      </c>
      <c r="AE80" s="5">
        <f t="shared" si="1"/>
        <v>2.0757405748623841</v>
      </c>
    </row>
    <row r="81" spans="1:31" ht="25.5" customHeight="1" x14ac:dyDescent="0.2">
      <c r="A81" s="54"/>
      <c r="B81" s="36" t="s">
        <v>123</v>
      </c>
      <c r="C81" s="22">
        <v>150</v>
      </c>
      <c r="D81" s="22">
        <v>2000</v>
      </c>
      <c r="E81" s="22">
        <v>4560</v>
      </c>
      <c r="F81" s="13">
        <v>2.2799999999999998</v>
      </c>
      <c r="G81" s="13">
        <v>2.2799999999999998</v>
      </c>
      <c r="H81" s="22">
        <v>1</v>
      </c>
      <c r="I81" s="22">
        <v>3</v>
      </c>
      <c r="J81" s="22">
        <v>1</v>
      </c>
      <c r="K81" s="13">
        <v>5.7000000000000002E-2</v>
      </c>
      <c r="L81" s="13">
        <v>40.5</v>
      </c>
      <c r="M81" s="13">
        <v>1.57</v>
      </c>
      <c r="N81" s="13">
        <v>583.1</v>
      </c>
      <c r="O81" s="13">
        <v>0.50240000000000007</v>
      </c>
      <c r="P81" s="13">
        <v>0.25119999999999998</v>
      </c>
      <c r="Q81" s="13">
        <v>484.9</v>
      </c>
      <c r="R81" s="13">
        <v>0.25130000000000002</v>
      </c>
      <c r="S81" s="13">
        <v>518.9</v>
      </c>
      <c r="U81" s="35">
        <v>22</v>
      </c>
      <c r="V81" s="24">
        <v>0.1</v>
      </c>
      <c r="W81" s="3">
        <v>13.333333333333334</v>
      </c>
      <c r="X81" s="6"/>
      <c r="Y81" s="5">
        <v>3.2197424691358028</v>
      </c>
      <c r="Z81" s="5">
        <v>3.0075772839506167</v>
      </c>
      <c r="AA81" s="5">
        <v>6.0151545679012353</v>
      </c>
      <c r="AB81" s="5">
        <v>22.604123456790127</v>
      </c>
      <c r="AD81" s="23">
        <v>355.43304499999999</v>
      </c>
      <c r="AE81" s="5">
        <f t="shared" si="1"/>
        <v>2.2420739722054628</v>
      </c>
    </row>
    <row r="82" spans="1:31" ht="25.5" customHeight="1" x14ac:dyDescent="0.2">
      <c r="A82" s="54"/>
      <c r="B82" s="36" t="s">
        <v>124</v>
      </c>
      <c r="C82" s="22">
        <v>150</v>
      </c>
      <c r="D82" s="22">
        <v>2000</v>
      </c>
      <c r="E82" s="22">
        <v>4560</v>
      </c>
      <c r="F82" s="13">
        <v>2.2799999999999998</v>
      </c>
      <c r="G82" s="13">
        <v>2.2799999999999998</v>
      </c>
      <c r="H82" s="22">
        <v>1</v>
      </c>
      <c r="I82" s="22">
        <v>3</v>
      </c>
      <c r="J82" s="22">
        <v>1</v>
      </c>
      <c r="K82" s="13">
        <v>5.8000000000000003E-2</v>
      </c>
      <c r="L82" s="13">
        <v>39.200000000000003</v>
      </c>
      <c r="M82" s="13">
        <v>1.7390769230769232</v>
      </c>
      <c r="N82" s="13">
        <v>601</v>
      </c>
      <c r="O82" s="13">
        <v>0.50240000000000007</v>
      </c>
      <c r="P82" s="13">
        <v>0.25119999999999998</v>
      </c>
      <c r="Q82" s="13">
        <v>489</v>
      </c>
      <c r="R82" s="13">
        <v>0.40960000000000002</v>
      </c>
      <c r="S82" s="13">
        <v>569.20000000000005</v>
      </c>
      <c r="U82" s="35">
        <v>22</v>
      </c>
      <c r="V82" s="24">
        <v>0.13</v>
      </c>
      <c r="W82" s="3">
        <v>13.333333333333334</v>
      </c>
      <c r="X82" s="6"/>
      <c r="Y82" s="5">
        <v>5.9475591836734694</v>
      </c>
      <c r="Z82" s="5">
        <v>3.1335918367346935</v>
      </c>
      <c r="AA82" s="5">
        <v>6.267183673469388</v>
      </c>
      <c r="AB82" s="5">
        <v>26.6628885400314</v>
      </c>
      <c r="AD82" s="23">
        <v>447.00584500000002</v>
      </c>
      <c r="AE82" s="5">
        <f t="shared" si="1"/>
        <v>2.8660899412383087</v>
      </c>
    </row>
    <row r="83" spans="1:31" ht="25.5" customHeight="1" x14ac:dyDescent="0.2">
      <c r="A83" s="54"/>
      <c r="B83" s="36" t="s">
        <v>125</v>
      </c>
      <c r="C83" s="22">
        <v>150</v>
      </c>
      <c r="D83" s="22">
        <v>2000</v>
      </c>
      <c r="E83" s="22">
        <v>4560</v>
      </c>
      <c r="F83" s="13">
        <v>2.2799999999999998</v>
      </c>
      <c r="G83" s="13">
        <v>2.2799999999999998</v>
      </c>
      <c r="H83" s="22">
        <v>1</v>
      </c>
      <c r="I83" s="22">
        <v>3</v>
      </c>
      <c r="J83" s="22">
        <v>1</v>
      </c>
      <c r="K83" s="13">
        <v>5.7000000000000002E-2</v>
      </c>
      <c r="L83" s="13">
        <v>40.9</v>
      </c>
      <c r="M83" s="13">
        <v>1.7390769230769232</v>
      </c>
      <c r="N83" s="13">
        <v>576</v>
      </c>
      <c r="O83" s="13">
        <v>0</v>
      </c>
      <c r="P83" s="13">
        <v>0.25119999999999998</v>
      </c>
      <c r="Q83" s="13">
        <v>518.9</v>
      </c>
      <c r="R83" s="13">
        <v>0.40960000000000002</v>
      </c>
      <c r="S83" s="13">
        <v>583.70000000000005</v>
      </c>
      <c r="U83" s="35">
        <v>22</v>
      </c>
      <c r="V83" s="24">
        <v>0.13</v>
      </c>
      <c r="W83" s="3">
        <v>13.333333333333334</v>
      </c>
      <c r="X83" s="6"/>
      <c r="Y83" s="5">
        <v>5.8455628361858194</v>
      </c>
      <c r="Z83" s="5">
        <v>3.1869848410757946</v>
      </c>
      <c r="AA83" s="5">
        <v>0</v>
      </c>
      <c r="AB83" s="5">
        <v>24.491645664848601</v>
      </c>
      <c r="AD83" s="23">
        <v>437.02657999999997</v>
      </c>
      <c r="AE83" s="5">
        <f t="shared" si="1"/>
        <v>2.7432528817888859</v>
      </c>
    </row>
    <row r="84" spans="1:31" ht="25.5" customHeight="1" x14ac:dyDescent="0.2">
      <c r="A84" s="54"/>
      <c r="B84" s="36" t="s">
        <v>126</v>
      </c>
      <c r="C84" s="22">
        <v>150</v>
      </c>
      <c r="D84" s="22">
        <v>2000</v>
      </c>
      <c r="E84" s="22">
        <v>4560</v>
      </c>
      <c r="F84" s="13">
        <v>2.2799999999999998</v>
      </c>
      <c r="G84" s="13">
        <v>2.2799999999999998</v>
      </c>
      <c r="H84" s="22">
        <v>1</v>
      </c>
      <c r="I84" s="22">
        <v>3</v>
      </c>
      <c r="J84" s="22">
        <v>1</v>
      </c>
      <c r="K84" s="13">
        <v>0.128</v>
      </c>
      <c r="L84" s="13">
        <v>38.299999999999997</v>
      </c>
      <c r="M84" s="13">
        <v>0.77292307692307693</v>
      </c>
      <c r="N84" s="13">
        <v>583.70000000000005</v>
      </c>
      <c r="O84" s="13">
        <v>0.73852799999999996</v>
      </c>
      <c r="P84" s="13">
        <v>0.25119999999999998</v>
      </c>
      <c r="Q84" s="13">
        <v>518.9</v>
      </c>
      <c r="R84" s="13">
        <v>0.2094</v>
      </c>
      <c r="S84" s="13">
        <v>518.9</v>
      </c>
      <c r="U84" s="35">
        <v>22</v>
      </c>
      <c r="V84" s="24">
        <v>0.13</v>
      </c>
      <c r="W84" s="3">
        <v>13.333333333333334</v>
      </c>
      <c r="X84" s="6"/>
      <c r="Y84" s="5">
        <v>2.8370146214099217</v>
      </c>
      <c r="Z84" s="5">
        <v>3.4033336814621413</v>
      </c>
      <c r="AA84" s="5">
        <v>10.840742600522194</v>
      </c>
      <c r="AB84" s="5">
        <v>11.779509138381203</v>
      </c>
      <c r="AD84" s="23">
        <v>427.65084999999999</v>
      </c>
      <c r="AE84" s="5">
        <f t="shared" si="1"/>
        <v>2.7740200713922536</v>
      </c>
    </row>
    <row r="85" spans="1:31" ht="25.5" customHeight="1" x14ac:dyDescent="0.2">
      <c r="A85" s="54"/>
      <c r="B85" s="36" t="s">
        <v>127</v>
      </c>
      <c r="C85" s="22">
        <v>150</v>
      </c>
      <c r="D85" s="22">
        <v>2000</v>
      </c>
      <c r="E85" s="22">
        <v>4520</v>
      </c>
      <c r="F85" s="13">
        <v>2.2599999999999998</v>
      </c>
      <c r="G85" s="13">
        <v>2.2599999999999998</v>
      </c>
      <c r="H85" s="22">
        <v>1</v>
      </c>
      <c r="I85" s="22">
        <v>3</v>
      </c>
      <c r="J85" s="22">
        <v>1</v>
      </c>
      <c r="K85" s="13">
        <v>0.108</v>
      </c>
      <c r="L85" s="13">
        <v>45.6</v>
      </c>
      <c r="M85" s="13">
        <v>1.7390769230769232</v>
      </c>
      <c r="N85" s="13">
        <v>576</v>
      </c>
      <c r="O85" s="13">
        <v>1.5071999999999999</v>
      </c>
      <c r="P85" s="13">
        <v>0.25119999999999998</v>
      </c>
      <c r="Q85" s="13">
        <v>518.9</v>
      </c>
      <c r="R85" s="13">
        <v>0.40960000000000002</v>
      </c>
      <c r="S85" s="13">
        <v>583.70000000000005</v>
      </c>
      <c r="U85" s="35">
        <v>22</v>
      </c>
      <c r="V85" s="24">
        <v>0.13</v>
      </c>
      <c r="W85" s="3">
        <v>13.333333333333334</v>
      </c>
      <c r="X85" s="6"/>
      <c r="Y85" s="5">
        <v>5.2430596491228076</v>
      </c>
      <c r="Z85" s="5">
        <v>2.8585017543859648</v>
      </c>
      <c r="AA85" s="5">
        <v>17.151010526315787</v>
      </c>
      <c r="AB85" s="5">
        <v>21.96728744939271</v>
      </c>
      <c r="AD85" s="23">
        <v>591.989105</v>
      </c>
      <c r="AE85" s="5">
        <f t="shared" si="1"/>
        <v>3.5192566439354902</v>
      </c>
    </row>
    <row r="86" spans="1:31" ht="25.5" customHeight="1" x14ac:dyDescent="0.2">
      <c r="A86" s="55" t="s">
        <v>128</v>
      </c>
      <c r="B86" s="21" t="s">
        <v>129</v>
      </c>
      <c r="C86" s="22">
        <v>100</v>
      </c>
      <c r="D86" s="3">
        <v>1000</v>
      </c>
      <c r="E86" s="3">
        <v>2100</v>
      </c>
      <c r="F86" s="13">
        <v>2.1</v>
      </c>
      <c r="G86" s="13">
        <v>2.1</v>
      </c>
      <c r="H86" s="22">
        <v>1</v>
      </c>
      <c r="I86" s="22">
        <v>3</v>
      </c>
      <c r="J86" s="22">
        <v>1</v>
      </c>
      <c r="K86" s="13">
        <v>0.17</v>
      </c>
      <c r="L86" s="13">
        <v>61.43</v>
      </c>
      <c r="M86" s="13">
        <v>3.0510000000000002</v>
      </c>
      <c r="N86" s="13">
        <v>433.3</v>
      </c>
      <c r="O86" s="24">
        <v>0.83775804095727824</v>
      </c>
      <c r="P86" s="13">
        <v>0.66332500000000005</v>
      </c>
      <c r="Q86" s="13">
        <v>361.6</v>
      </c>
      <c r="R86" s="13">
        <v>0.22800000000000001</v>
      </c>
      <c r="S86" s="13">
        <v>836</v>
      </c>
      <c r="U86" s="3" t="s">
        <v>130</v>
      </c>
      <c r="V86" s="24">
        <v>0.17</v>
      </c>
      <c r="W86" s="3">
        <v>10</v>
      </c>
      <c r="X86" s="6"/>
      <c r="Y86" s="5">
        <v>3.1028487709588148</v>
      </c>
      <c r="Z86" s="5">
        <v>3.9045795214064793</v>
      </c>
      <c r="AA86" s="5">
        <v>11.401037314671735</v>
      </c>
      <c r="AB86" s="5">
        <v>21.520402083672476</v>
      </c>
      <c r="AD86" s="23">
        <v>315.64999999999998</v>
      </c>
      <c r="AE86" s="5">
        <f t="shared" si="1"/>
        <v>4.8501641501268775</v>
      </c>
    </row>
    <row r="87" spans="1:31" ht="25.5" customHeight="1" x14ac:dyDescent="0.2">
      <c r="A87" s="54"/>
      <c r="B87" s="21" t="s">
        <v>131</v>
      </c>
      <c r="C87" s="22">
        <v>100</v>
      </c>
      <c r="D87" s="3">
        <v>1000</v>
      </c>
      <c r="E87" s="3">
        <v>2100</v>
      </c>
      <c r="F87" s="13">
        <v>2.1</v>
      </c>
      <c r="G87" s="13">
        <v>2.1</v>
      </c>
      <c r="H87" s="22">
        <v>1</v>
      </c>
      <c r="I87" s="22">
        <v>3</v>
      </c>
      <c r="J87" s="22">
        <v>1</v>
      </c>
      <c r="K87" s="13">
        <v>0.17</v>
      </c>
      <c r="L87" s="13">
        <v>73.56</v>
      </c>
      <c r="M87" s="13">
        <v>2.34</v>
      </c>
      <c r="N87" s="13">
        <v>433.3</v>
      </c>
      <c r="O87" s="24">
        <v>1.9634954084936207</v>
      </c>
      <c r="P87" s="13">
        <v>0.66332500000000005</v>
      </c>
      <c r="Q87" s="13">
        <v>361.6</v>
      </c>
      <c r="R87" s="13">
        <v>0.20100000000000001</v>
      </c>
      <c r="S87" s="13">
        <v>836</v>
      </c>
      <c r="U87" s="3" t="s">
        <v>130</v>
      </c>
      <c r="V87" s="24">
        <v>0.25</v>
      </c>
      <c r="W87" s="3">
        <v>10</v>
      </c>
      <c r="X87" s="6"/>
      <c r="Y87" s="5">
        <v>2.2843393148450244</v>
      </c>
      <c r="Z87" s="5">
        <v>3.2607166938553562</v>
      </c>
      <c r="AA87" s="5">
        <v>19.031705087764429</v>
      </c>
      <c r="AB87" s="5">
        <v>13.783605220228383</v>
      </c>
      <c r="AD87" s="23">
        <v>324.8</v>
      </c>
      <c r="AE87" s="5">
        <f t="shared" si="1"/>
        <v>4.5607478440025853</v>
      </c>
    </row>
    <row r="88" spans="1:31" ht="25.5" customHeight="1" x14ac:dyDescent="0.2">
      <c r="A88" s="54"/>
      <c r="B88" s="21" t="s">
        <v>132</v>
      </c>
      <c r="C88" s="22">
        <v>100</v>
      </c>
      <c r="D88" s="3">
        <v>1000</v>
      </c>
      <c r="E88" s="3">
        <v>2100</v>
      </c>
      <c r="F88" s="13">
        <v>2.1</v>
      </c>
      <c r="G88" s="13">
        <v>2.1</v>
      </c>
      <c r="H88" s="22">
        <v>1</v>
      </c>
      <c r="I88" s="22">
        <v>3</v>
      </c>
      <c r="J88" s="22">
        <v>1</v>
      </c>
      <c r="K88" s="13">
        <v>0.17</v>
      </c>
      <c r="L88" s="13">
        <v>75.349999999999994</v>
      </c>
      <c r="M88" s="13">
        <v>2.98</v>
      </c>
      <c r="N88" s="13">
        <v>433.3</v>
      </c>
      <c r="O88" s="24">
        <v>2.5918139392115793</v>
      </c>
      <c r="P88" s="13">
        <v>1.0047999999999999</v>
      </c>
      <c r="Q88" s="13">
        <v>361.6</v>
      </c>
      <c r="R88" s="13">
        <v>0.20100000000000001</v>
      </c>
      <c r="S88" s="13">
        <v>836</v>
      </c>
      <c r="U88" s="3" t="s">
        <v>130</v>
      </c>
      <c r="V88" s="24">
        <v>0.25</v>
      </c>
      <c r="W88" s="3">
        <v>10</v>
      </c>
      <c r="X88" s="6"/>
      <c r="Y88" s="5">
        <v>2.2300729927007299</v>
      </c>
      <c r="Z88" s="5">
        <v>4.8219731917717317</v>
      </c>
      <c r="AA88" s="5">
        <v>28.755891880303654</v>
      </c>
      <c r="AB88" s="5">
        <v>17.136483078964829</v>
      </c>
      <c r="AD88" s="23">
        <v>384.8</v>
      </c>
      <c r="AE88" s="5">
        <f t="shared" si="1"/>
        <v>5.338685484904369</v>
      </c>
    </row>
    <row r="89" spans="1:31" ht="25.5" customHeight="1" x14ac:dyDescent="0.2">
      <c r="A89" s="54"/>
      <c r="B89" s="21" t="s">
        <v>133</v>
      </c>
      <c r="C89" s="22">
        <v>100</v>
      </c>
      <c r="D89" s="3">
        <v>1000</v>
      </c>
      <c r="E89" s="3">
        <v>2100</v>
      </c>
      <c r="F89" s="13">
        <v>2.1</v>
      </c>
      <c r="G89" s="13">
        <v>2.1</v>
      </c>
      <c r="H89" s="22">
        <v>1</v>
      </c>
      <c r="I89" s="22">
        <v>3</v>
      </c>
      <c r="J89" s="22">
        <v>1</v>
      </c>
      <c r="K89" s="13">
        <v>0.17</v>
      </c>
      <c r="L89" s="13">
        <v>86.02</v>
      </c>
      <c r="M89" s="13">
        <v>2.31</v>
      </c>
      <c r="N89" s="13">
        <v>433.3</v>
      </c>
      <c r="O89" s="24">
        <v>4.437499623195583</v>
      </c>
      <c r="P89" s="13">
        <v>1.0047999999999999</v>
      </c>
      <c r="Q89" s="13">
        <v>361.6</v>
      </c>
      <c r="R89" s="13">
        <v>0.14799999999999999</v>
      </c>
      <c r="S89" s="13">
        <v>836</v>
      </c>
      <c r="U89" s="3" t="s">
        <v>130</v>
      </c>
      <c r="V89" s="24">
        <v>0.33</v>
      </c>
      <c r="W89" s="3">
        <v>10</v>
      </c>
      <c r="X89" s="6"/>
      <c r="Y89" s="5">
        <v>1.4383631713554987</v>
      </c>
      <c r="Z89" s="5">
        <v>4.2238511973959545</v>
      </c>
      <c r="AA89" s="5">
        <v>43.126594803435339</v>
      </c>
      <c r="AB89" s="5">
        <v>11.635933503836318</v>
      </c>
      <c r="AD89" s="23">
        <v>383.1</v>
      </c>
      <c r="AE89" s="5">
        <f t="shared" si="1"/>
        <v>4.9745446588709612</v>
      </c>
    </row>
    <row r="90" spans="1:31" ht="25.5" customHeight="1" x14ac:dyDescent="0.2">
      <c r="A90" s="3" t="s">
        <v>134</v>
      </c>
      <c r="B90" s="21" t="s">
        <v>135</v>
      </c>
      <c r="C90" s="22">
        <v>200</v>
      </c>
      <c r="D90" s="3">
        <v>1500</v>
      </c>
      <c r="E90" s="3">
        <v>4000</v>
      </c>
      <c r="F90" s="13">
        <v>2.6666666666666665</v>
      </c>
      <c r="G90" s="13">
        <v>2.6666666666666665</v>
      </c>
      <c r="H90" s="22">
        <v>1</v>
      </c>
      <c r="I90" s="22">
        <v>3</v>
      </c>
      <c r="J90" s="22">
        <v>1</v>
      </c>
      <c r="K90" s="24">
        <v>0.17788461538461539</v>
      </c>
      <c r="L90" s="13">
        <v>37.477477477477478</v>
      </c>
      <c r="M90" s="13">
        <v>0.89582047943946574</v>
      </c>
      <c r="N90" s="13">
        <v>477.7</v>
      </c>
      <c r="O90" s="24">
        <v>1.0053096491487339</v>
      </c>
      <c r="P90" s="24">
        <v>0.33493333333333336</v>
      </c>
      <c r="Q90" s="13">
        <v>424</v>
      </c>
      <c r="R90" s="13">
        <v>0.30774785178022462</v>
      </c>
      <c r="S90" s="13">
        <v>424</v>
      </c>
      <c r="U90" s="3"/>
      <c r="V90" s="24">
        <v>0.11</v>
      </c>
      <c r="W90" s="3">
        <v>7.5</v>
      </c>
      <c r="X90" s="6"/>
      <c r="Y90" s="5">
        <v>3.4816934846597332</v>
      </c>
      <c r="Z90" s="5">
        <v>3.7892553846153851</v>
      </c>
      <c r="AA90" s="5">
        <v>11.373532049888464</v>
      </c>
      <c r="AB90" s="5">
        <v>11.418416388493711</v>
      </c>
      <c r="AD90" s="23">
        <v>381.24</v>
      </c>
      <c r="AE90" s="5">
        <f t="shared" si="1"/>
        <v>2.4999592605659213</v>
      </c>
    </row>
    <row r="91" spans="1:31" ht="25.5" customHeight="1" x14ac:dyDescent="0.2">
      <c r="A91" s="56" t="s">
        <v>136</v>
      </c>
      <c r="B91" s="21" t="s">
        <v>137</v>
      </c>
      <c r="C91" s="47">
        <v>150</v>
      </c>
      <c r="D91" s="47">
        <v>800</v>
      </c>
      <c r="E91" s="3">
        <v>1500</v>
      </c>
      <c r="F91" s="13">
        <v>1.875</v>
      </c>
      <c r="G91" s="13">
        <v>1.875</v>
      </c>
      <c r="H91" s="22">
        <v>1</v>
      </c>
      <c r="I91" s="22">
        <v>3</v>
      </c>
      <c r="J91" s="22">
        <v>1</v>
      </c>
      <c r="K91" s="24">
        <v>2.6041666666666668E-2</v>
      </c>
      <c r="L91" s="13">
        <v>32</v>
      </c>
      <c r="M91" s="13">
        <v>1.1810498697705989</v>
      </c>
      <c r="N91" s="13">
        <v>500</v>
      </c>
      <c r="O91" s="24">
        <v>0.44680428851054838</v>
      </c>
      <c r="P91" s="13">
        <v>0.4465777777777778</v>
      </c>
      <c r="Q91" s="13">
        <v>500</v>
      </c>
      <c r="R91" s="24">
        <v>0.39074535492410362</v>
      </c>
      <c r="S91" s="13">
        <v>500</v>
      </c>
      <c r="U91" s="3"/>
      <c r="V91" s="24">
        <v>0.33250000000000002</v>
      </c>
      <c r="W91" s="3">
        <v>5.333333333333333</v>
      </c>
      <c r="X91" s="6"/>
      <c r="Y91" s="5">
        <v>6.1053961706891187</v>
      </c>
      <c r="Z91" s="5">
        <v>6.9777777777777779</v>
      </c>
      <c r="AA91" s="5">
        <v>6.9813170079773181</v>
      </c>
      <c r="AB91" s="5">
        <v>18.453904215165608</v>
      </c>
      <c r="AD91" s="23">
        <v>166</v>
      </c>
      <c r="AE91" s="5">
        <f t="shared" si="1"/>
        <v>2.9450505531173268</v>
      </c>
    </row>
    <row r="92" spans="1:31" ht="25.5" customHeight="1" x14ac:dyDescent="0.2">
      <c r="A92" s="56"/>
      <c r="B92" s="21" t="s">
        <v>138</v>
      </c>
      <c r="C92" s="47">
        <v>150</v>
      </c>
      <c r="D92" s="47">
        <v>800</v>
      </c>
      <c r="E92" s="3">
        <v>1500</v>
      </c>
      <c r="F92" s="13">
        <v>1.875</v>
      </c>
      <c r="G92" s="13">
        <v>1.875</v>
      </c>
      <c r="H92" s="22">
        <v>1</v>
      </c>
      <c r="I92" s="22">
        <v>3</v>
      </c>
      <c r="J92" s="22">
        <v>1</v>
      </c>
      <c r="K92" s="24">
        <v>2.6041666666666668E-2</v>
      </c>
      <c r="L92" s="13">
        <v>32</v>
      </c>
      <c r="M92" s="13">
        <v>1.9139790448836693</v>
      </c>
      <c r="N92" s="13">
        <v>500</v>
      </c>
      <c r="O92" s="24">
        <v>0.44680428851054838</v>
      </c>
      <c r="P92" s="13">
        <v>0.44362030905077265</v>
      </c>
      <c r="Q92" s="13">
        <v>500</v>
      </c>
      <c r="R92" s="24">
        <v>0.39368328992353296</v>
      </c>
      <c r="S92" s="13">
        <v>500</v>
      </c>
      <c r="U92" s="3"/>
      <c r="V92" s="24">
        <v>0.33374999999999999</v>
      </c>
      <c r="W92" s="3">
        <v>5.333333333333333</v>
      </c>
      <c r="X92" s="6"/>
      <c r="Y92" s="5">
        <v>6.1513014050552028</v>
      </c>
      <c r="Z92" s="5">
        <v>6.9315673289183231</v>
      </c>
      <c r="AA92" s="5">
        <v>6.9813170079773181</v>
      </c>
      <c r="AB92" s="5">
        <v>29.905922576307333</v>
      </c>
      <c r="AD92" s="23">
        <v>203.5</v>
      </c>
      <c r="AE92" s="5">
        <f t="shared" si="1"/>
        <v>3.610348117827566</v>
      </c>
    </row>
    <row r="93" spans="1:31" ht="25.5" customHeight="1" x14ac:dyDescent="0.2">
      <c r="A93" s="56" t="s">
        <v>139</v>
      </c>
      <c r="B93" s="21" t="s">
        <v>140</v>
      </c>
      <c r="C93" s="22">
        <v>140</v>
      </c>
      <c r="D93" s="3">
        <v>1200</v>
      </c>
      <c r="E93" s="3">
        <v>2400</v>
      </c>
      <c r="F93" s="13">
        <v>2</v>
      </c>
      <c r="G93" s="13">
        <v>2</v>
      </c>
      <c r="H93" s="22">
        <v>1</v>
      </c>
      <c r="I93" s="22">
        <v>3</v>
      </c>
      <c r="J93" s="22">
        <v>1</v>
      </c>
      <c r="K93" s="13">
        <v>0.14955357142857101</v>
      </c>
      <c r="L93" s="13">
        <v>46</v>
      </c>
      <c r="M93" s="13">
        <v>2.6076453980801801</v>
      </c>
      <c r="N93" s="13">
        <v>406.6</v>
      </c>
      <c r="O93" s="13">
        <v>1.4361566416410483</v>
      </c>
      <c r="P93" s="13">
        <v>1.1214285714285714</v>
      </c>
      <c r="Q93" s="13">
        <v>425.54</v>
      </c>
      <c r="R93" s="13">
        <v>0.80835529024289832</v>
      </c>
      <c r="S93" s="13">
        <v>425.54</v>
      </c>
      <c r="U93" s="3"/>
      <c r="V93" s="24">
        <v>0.21083333333333334</v>
      </c>
      <c r="W93" s="3">
        <v>8.5714285714285712</v>
      </c>
      <c r="X93" s="6"/>
      <c r="Y93" s="5">
        <v>7.4779893523904999</v>
      </c>
      <c r="Z93" s="5">
        <v>10.374189440993788</v>
      </c>
      <c r="AA93" s="5">
        <v>12.817385818680782</v>
      </c>
      <c r="AB93" s="5">
        <v>23.049317801291334</v>
      </c>
      <c r="AD93" s="24">
        <v>421.6</v>
      </c>
      <c r="AE93" s="5">
        <f t="shared" si="1"/>
        <v>4.4560833524001113</v>
      </c>
    </row>
    <row r="94" spans="1:31" ht="25.5" customHeight="1" x14ac:dyDescent="0.2">
      <c r="A94" s="56"/>
      <c r="B94" s="21" t="s">
        <v>141</v>
      </c>
      <c r="C94" s="3">
        <v>140</v>
      </c>
      <c r="D94" s="3">
        <v>1200</v>
      </c>
      <c r="E94" s="3">
        <v>2400</v>
      </c>
      <c r="F94" s="13">
        <v>2</v>
      </c>
      <c r="G94" s="13">
        <v>2</v>
      </c>
      <c r="H94" s="22">
        <v>1</v>
      </c>
      <c r="I94" s="22">
        <v>3</v>
      </c>
      <c r="J94" s="22">
        <v>1</v>
      </c>
      <c r="K94" s="13">
        <v>0.269196428571428</v>
      </c>
      <c r="L94" s="13">
        <v>46.800000000000004</v>
      </c>
      <c r="M94" s="13">
        <v>2.6076453980801801</v>
      </c>
      <c r="N94" s="13">
        <v>406.6</v>
      </c>
      <c r="O94" s="13">
        <v>1.4361566416410483</v>
      </c>
      <c r="P94" s="13">
        <v>1.1214285714285714</v>
      </c>
      <c r="Q94" s="13">
        <v>425.54</v>
      </c>
      <c r="R94" s="13">
        <v>0.80835529024289832</v>
      </c>
      <c r="S94" s="13">
        <v>425.54</v>
      </c>
      <c r="U94" s="3"/>
      <c r="V94" s="24">
        <v>0.21083333333333334</v>
      </c>
      <c r="W94" s="3">
        <v>8.5714285714285712</v>
      </c>
      <c r="X94" s="6"/>
      <c r="Y94" s="5">
        <v>7.3501604745718581</v>
      </c>
      <c r="Z94" s="5">
        <v>10.196852869352869</v>
      </c>
      <c r="AA94" s="5">
        <v>12.598285206395639</v>
      </c>
      <c r="AB94" s="5">
        <v>22.655312368790625</v>
      </c>
      <c r="AD94" s="24">
        <v>494.94</v>
      </c>
      <c r="AE94" s="5">
        <f t="shared" si="1"/>
        <v>5.1863431360153047</v>
      </c>
    </row>
    <row r="95" spans="1:31" ht="25.5" customHeight="1" x14ac:dyDescent="0.2">
      <c r="A95" s="3" t="s">
        <v>142</v>
      </c>
      <c r="B95" s="21" t="s">
        <v>143</v>
      </c>
      <c r="C95" s="3">
        <v>100</v>
      </c>
      <c r="D95" s="3">
        <v>1200</v>
      </c>
      <c r="E95" s="3">
        <v>2400</v>
      </c>
      <c r="F95" s="13">
        <v>2</v>
      </c>
      <c r="G95" s="13">
        <v>2</v>
      </c>
      <c r="H95" s="22">
        <v>2</v>
      </c>
      <c r="I95" s="22">
        <v>3</v>
      </c>
      <c r="J95" s="22">
        <v>1</v>
      </c>
      <c r="K95" s="13">
        <v>0.26919782608695653</v>
      </c>
      <c r="L95" s="13">
        <v>46</v>
      </c>
      <c r="M95" s="13">
        <v>2.7646015351590179</v>
      </c>
      <c r="N95" s="13">
        <v>402.94</v>
      </c>
      <c r="O95" s="13">
        <v>0.83779999999999999</v>
      </c>
      <c r="P95" s="13">
        <v>1.57</v>
      </c>
      <c r="Q95" s="13">
        <v>425.54</v>
      </c>
      <c r="R95" s="13">
        <v>0.7539822368615503</v>
      </c>
      <c r="S95" s="13">
        <v>410.54</v>
      </c>
      <c r="U95" s="3"/>
      <c r="V95" s="24">
        <v>0.33333333333333331</v>
      </c>
      <c r="W95" s="3">
        <v>12</v>
      </c>
      <c r="X95" s="6"/>
      <c r="Y95" s="5">
        <v>6.7291275548074108</v>
      </c>
      <c r="Z95" s="5">
        <v>14.523865217391304</v>
      </c>
      <c r="AA95" s="5">
        <v>7.477182869565218</v>
      </c>
      <c r="AB95" s="5">
        <v>24.216707447325536</v>
      </c>
      <c r="AD95" s="24">
        <v>588.29</v>
      </c>
      <c r="AE95" s="5">
        <f t="shared" si="1"/>
        <v>8.7050687512733536</v>
      </c>
    </row>
    <row r="96" spans="1:31" ht="25.5" customHeight="1" x14ac:dyDescent="0.2">
      <c r="A96" s="55" t="s">
        <v>144</v>
      </c>
      <c r="B96" s="21" t="s">
        <v>145</v>
      </c>
      <c r="C96" s="22">
        <v>90</v>
      </c>
      <c r="D96" s="22">
        <v>1802</v>
      </c>
      <c r="E96" s="22">
        <v>3990</v>
      </c>
      <c r="F96" s="3">
        <v>2.21</v>
      </c>
      <c r="G96" s="13">
        <v>2.2142064372918977</v>
      </c>
      <c r="H96" s="22">
        <v>1</v>
      </c>
      <c r="I96" s="22">
        <v>3</v>
      </c>
      <c r="J96" s="22">
        <v>1</v>
      </c>
      <c r="K96" s="27">
        <v>3.856466248076669E-2</v>
      </c>
      <c r="L96" s="13">
        <v>28.3</v>
      </c>
      <c r="M96" s="13">
        <v>1.5867576552930882</v>
      </c>
      <c r="N96" s="13">
        <v>480</v>
      </c>
      <c r="O96" s="13">
        <v>1.3040691358024692</v>
      </c>
      <c r="P96" s="13">
        <v>0.6520345679012346</v>
      </c>
      <c r="Q96" s="13">
        <v>510</v>
      </c>
      <c r="R96" s="13">
        <v>1.1716175710594314</v>
      </c>
      <c r="S96" s="13">
        <v>480</v>
      </c>
      <c r="U96" s="3">
        <v>3</v>
      </c>
      <c r="V96" s="24">
        <v>7.047724750277469E-2</v>
      </c>
      <c r="W96" s="3">
        <v>20.022222222222222</v>
      </c>
      <c r="X96" s="3"/>
      <c r="Y96" s="5">
        <v>19.87195880242145</v>
      </c>
      <c r="Z96" s="5">
        <v>11.750446276665357</v>
      </c>
      <c r="AA96" s="5">
        <v>23.500892553330715</v>
      </c>
      <c r="AB96" s="5">
        <v>26.913204047373934</v>
      </c>
      <c r="AD96" s="23">
        <v>201.12290000000002</v>
      </c>
      <c r="AE96" s="5">
        <f t="shared" si="1"/>
        <v>2.8074492213322393</v>
      </c>
    </row>
    <row r="97" spans="1:31" ht="25.5" customHeight="1" x14ac:dyDescent="0.2">
      <c r="A97" s="54"/>
      <c r="B97" s="21" t="s">
        <v>146</v>
      </c>
      <c r="C97" s="22">
        <v>90</v>
      </c>
      <c r="D97" s="22">
        <v>1802</v>
      </c>
      <c r="E97" s="22">
        <v>3990</v>
      </c>
      <c r="F97" s="3">
        <v>2.21</v>
      </c>
      <c r="G97" s="13">
        <v>2.2142064372918977</v>
      </c>
      <c r="H97" s="22">
        <v>3</v>
      </c>
      <c r="I97" s="22">
        <v>3</v>
      </c>
      <c r="J97" s="22">
        <v>1</v>
      </c>
      <c r="K97" s="27">
        <v>3.1610660120386325E-2</v>
      </c>
      <c r="L97" s="13">
        <v>28.3</v>
      </c>
      <c r="M97" s="13">
        <v>1.4292072498029944</v>
      </c>
      <c r="N97" s="13">
        <v>480</v>
      </c>
      <c r="O97" s="13">
        <v>0.83238455476753348</v>
      </c>
      <c r="P97" s="13">
        <v>0.53348282828282834</v>
      </c>
      <c r="Q97" s="13">
        <v>510</v>
      </c>
      <c r="R97" s="13">
        <v>0.39122074074074076</v>
      </c>
      <c r="S97" s="13">
        <v>510</v>
      </c>
      <c r="U97" s="3">
        <v>3</v>
      </c>
      <c r="V97" s="24">
        <v>0.12900274473924978</v>
      </c>
      <c r="W97" s="3">
        <v>20.022222222222222</v>
      </c>
      <c r="X97" s="3"/>
      <c r="Y97" s="5">
        <v>7.050267765999215</v>
      </c>
      <c r="Z97" s="5">
        <v>9.6140014990898379</v>
      </c>
      <c r="AA97" s="5">
        <v>15.000569714891945</v>
      </c>
      <c r="AB97" s="5">
        <v>24.240971021393541</v>
      </c>
      <c r="AD97" s="32">
        <v>185</v>
      </c>
      <c r="AE97" s="5">
        <f t="shared" si="1"/>
        <v>2.5823916915799461</v>
      </c>
    </row>
    <row r="98" spans="1:31" ht="25.5" customHeight="1" x14ac:dyDescent="0.2">
      <c r="A98" s="54"/>
      <c r="B98" s="21" t="s">
        <v>103</v>
      </c>
      <c r="C98" s="22">
        <v>90</v>
      </c>
      <c r="D98" s="22">
        <v>1802</v>
      </c>
      <c r="E98" s="22">
        <v>3990</v>
      </c>
      <c r="F98" s="3">
        <v>2.21</v>
      </c>
      <c r="G98" s="13">
        <v>2.2142064372918977</v>
      </c>
      <c r="H98" s="22">
        <v>2</v>
      </c>
      <c r="I98" s="22">
        <v>3</v>
      </c>
      <c r="J98" s="22">
        <v>1</v>
      </c>
      <c r="K98" s="27">
        <v>3.1603221690892087E-2</v>
      </c>
      <c r="L98" s="13">
        <v>36.4</v>
      </c>
      <c r="M98" s="13">
        <v>1.324809349890431</v>
      </c>
      <c r="N98" s="13">
        <v>480</v>
      </c>
      <c r="O98" s="13">
        <v>1.2688240240240241</v>
      </c>
      <c r="P98" s="13">
        <v>0.53348282828282834</v>
      </c>
      <c r="Q98" s="13">
        <v>510</v>
      </c>
      <c r="R98" s="13">
        <v>0.39122074074074076</v>
      </c>
      <c r="S98" s="13">
        <v>510</v>
      </c>
      <c r="U98" s="3">
        <v>3</v>
      </c>
      <c r="V98" s="24">
        <v>0.17344042973698881</v>
      </c>
      <c r="W98" s="3">
        <v>20.022222222222222</v>
      </c>
      <c r="X98" s="3"/>
      <c r="Y98" s="5">
        <v>5.4813894993895005</v>
      </c>
      <c r="Z98" s="5">
        <v>7.4746220446220448</v>
      </c>
      <c r="AA98" s="5">
        <v>17.777479457479458</v>
      </c>
      <c r="AB98" s="5">
        <v>17.470013405148542</v>
      </c>
      <c r="AD98" s="23">
        <v>177.0744</v>
      </c>
      <c r="AE98" s="5">
        <f t="shared" si="1"/>
        <v>2.1794589434694736</v>
      </c>
    </row>
    <row r="99" spans="1:31" ht="25.5" customHeight="1" x14ac:dyDescent="0.2">
      <c r="A99" s="54"/>
      <c r="B99" s="21" t="s">
        <v>147</v>
      </c>
      <c r="C99" s="22">
        <v>90</v>
      </c>
      <c r="D99" s="22">
        <v>1802</v>
      </c>
      <c r="E99" s="22">
        <v>3990</v>
      </c>
      <c r="F99" s="3">
        <v>2.21</v>
      </c>
      <c r="G99" s="13">
        <v>2.2142064372918977</v>
      </c>
      <c r="H99" s="22">
        <v>1</v>
      </c>
      <c r="I99" s="22">
        <v>2</v>
      </c>
      <c r="J99" s="22">
        <v>1</v>
      </c>
      <c r="K99" s="27">
        <v>2.661902312696823E-2</v>
      </c>
      <c r="L99" s="13">
        <v>41</v>
      </c>
      <c r="M99" s="13">
        <v>3.8399051490514906</v>
      </c>
      <c r="N99" s="13">
        <v>420</v>
      </c>
      <c r="O99" s="13">
        <v>1.3040691358024692</v>
      </c>
      <c r="P99" s="13">
        <v>1.3040691358024692</v>
      </c>
      <c r="Q99" s="13">
        <v>510</v>
      </c>
      <c r="R99" s="13">
        <v>2.8624747474747476</v>
      </c>
      <c r="S99" s="13">
        <v>420</v>
      </c>
      <c r="U99" s="3">
        <v>3</v>
      </c>
      <c r="V99" s="24">
        <v>4.5504994450610431E-2</v>
      </c>
      <c r="W99" s="3">
        <v>20.022222222222222</v>
      </c>
      <c r="X99" s="3"/>
      <c r="Y99" s="5">
        <v>29.322912047302292</v>
      </c>
      <c r="Z99" s="5">
        <v>16.221347786811201</v>
      </c>
      <c r="AA99" s="5">
        <v>16.221347786811201</v>
      </c>
      <c r="AB99" s="5">
        <v>39.335613721990882</v>
      </c>
      <c r="AD99" s="23">
        <v>345.62979999999999</v>
      </c>
      <c r="AE99" s="5">
        <f t="shared" si="1"/>
        <v>4.0083243482560293</v>
      </c>
    </row>
    <row r="100" spans="1:31" ht="25.5" customHeight="1" x14ac:dyDescent="0.2">
      <c r="A100" s="54"/>
      <c r="B100" s="21" t="s">
        <v>148</v>
      </c>
      <c r="C100" s="22">
        <v>90</v>
      </c>
      <c r="D100" s="22">
        <v>1802</v>
      </c>
      <c r="E100" s="22">
        <v>3990</v>
      </c>
      <c r="F100" s="3">
        <v>2.21</v>
      </c>
      <c r="G100" s="13">
        <v>2.2142064372918977</v>
      </c>
      <c r="H100" s="22">
        <v>3</v>
      </c>
      <c r="I100" s="22">
        <v>2</v>
      </c>
      <c r="J100" s="22">
        <v>1</v>
      </c>
      <c r="K100" s="27">
        <v>2.1695093437668136E-2</v>
      </c>
      <c r="L100" s="13">
        <v>41</v>
      </c>
      <c r="M100" s="13">
        <v>2.2331363278171787</v>
      </c>
      <c r="N100" s="13">
        <v>420</v>
      </c>
      <c r="O100" s="13">
        <v>0.83238455476753348</v>
      </c>
      <c r="P100" s="13">
        <v>1.0669656565656567</v>
      </c>
      <c r="Q100" s="13">
        <v>510</v>
      </c>
      <c r="R100" s="13">
        <v>1.3434548148148149</v>
      </c>
      <c r="S100" s="13">
        <v>480</v>
      </c>
      <c r="U100" s="3">
        <v>3</v>
      </c>
      <c r="V100" s="24">
        <v>0.12900274473924978</v>
      </c>
      <c r="W100" s="3">
        <v>20.022222222222222</v>
      </c>
      <c r="X100" s="3"/>
      <c r="Y100" s="5">
        <v>15.728251490514905</v>
      </c>
      <c r="Z100" s="5">
        <v>13.2720118255728</v>
      </c>
      <c r="AA100" s="5">
        <v>10.354051778815659</v>
      </c>
      <c r="AB100" s="5">
        <v>22.876030675200369</v>
      </c>
      <c r="AD100" s="23">
        <v>322</v>
      </c>
      <c r="AE100" s="5">
        <f t="shared" si="1"/>
        <v>3.7342857593252705</v>
      </c>
    </row>
    <row r="101" spans="1:31" ht="25.5" customHeight="1" x14ac:dyDescent="0.2">
      <c r="A101" s="54"/>
      <c r="B101" s="21" t="s">
        <v>149</v>
      </c>
      <c r="C101" s="22">
        <v>90</v>
      </c>
      <c r="D101" s="22">
        <v>1802</v>
      </c>
      <c r="E101" s="22">
        <v>3990</v>
      </c>
      <c r="F101" s="3">
        <v>2.21</v>
      </c>
      <c r="G101" s="13">
        <v>2.2142064372918977</v>
      </c>
      <c r="H101" s="22">
        <v>2</v>
      </c>
      <c r="I101" s="22">
        <v>2</v>
      </c>
      <c r="J101" s="22">
        <v>1</v>
      </c>
      <c r="K101" s="27">
        <v>2.1630226944341101E-2</v>
      </c>
      <c r="L101" s="13">
        <v>41</v>
      </c>
      <c r="M101" s="13">
        <v>2.0700146092037985</v>
      </c>
      <c r="N101" s="13">
        <v>420</v>
      </c>
      <c r="O101" s="13">
        <v>1.038128746928747</v>
      </c>
      <c r="P101" s="13">
        <v>1.0669656565656567</v>
      </c>
      <c r="Q101" s="13">
        <v>510</v>
      </c>
      <c r="R101" s="13">
        <v>1.439415873015873</v>
      </c>
      <c r="S101" s="13">
        <v>480</v>
      </c>
      <c r="U101" s="3">
        <v>3</v>
      </c>
      <c r="V101" s="24">
        <v>0.17344042973698881</v>
      </c>
      <c r="W101" s="3">
        <v>20.022222222222222</v>
      </c>
      <c r="X101" s="3"/>
      <c r="Y101" s="5">
        <v>16.851698025551684</v>
      </c>
      <c r="Z101" s="5">
        <v>13.2720118255728</v>
      </c>
      <c r="AA101" s="5">
        <v>12.913308803260025</v>
      </c>
      <c r="AB101" s="5">
        <v>21.205027704038912</v>
      </c>
      <c r="AD101" s="23">
        <v>323.87479999999999</v>
      </c>
      <c r="AE101" s="5">
        <f t="shared" si="1"/>
        <v>3.7560281162867089</v>
      </c>
    </row>
    <row r="102" spans="1:31" ht="25.5" customHeight="1" x14ac:dyDescent="0.2">
      <c r="A102" s="20" t="s">
        <v>150</v>
      </c>
      <c r="B102" s="21" t="s">
        <v>68</v>
      </c>
      <c r="C102" s="22">
        <v>200</v>
      </c>
      <c r="D102" s="22">
        <v>800</v>
      </c>
      <c r="E102" s="22">
        <v>2500</v>
      </c>
      <c r="F102" s="13">
        <v>3.125</v>
      </c>
      <c r="G102" s="13">
        <v>3.125</v>
      </c>
      <c r="H102" s="22">
        <v>1</v>
      </c>
      <c r="I102" s="22">
        <v>3</v>
      </c>
      <c r="J102" s="22">
        <v>1</v>
      </c>
      <c r="K102" s="27">
        <v>0</v>
      </c>
      <c r="L102" s="13">
        <v>32.4</v>
      </c>
      <c r="M102" s="13">
        <v>0</v>
      </c>
      <c r="N102" s="13" t="s">
        <v>26</v>
      </c>
      <c r="O102" s="13">
        <v>0</v>
      </c>
      <c r="P102" s="13">
        <v>0.40192</v>
      </c>
      <c r="Q102" s="13">
        <v>280.8</v>
      </c>
      <c r="R102" s="13">
        <v>0.706858125</v>
      </c>
      <c r="S102" s="13">
        <v>468</v>
      </c>
      <c r="U102" s="3"/>
      <c r="V102" s="24">
        <v>0</v>
      </c>
      <c r="W102" s="3">
        <v>4</v>
      </c>
      <c r="X102" s="3"/>
      <c r="Y102" s="5">
        <v>10.210172916666666</v>
      </c>
      <c r="Z102" s="5">
        <v>3.483306666666667</v>
      </c>
      <c r="AA102" s="5">
        <v>0</v>
      </c>
      <c r="AB102" s="5">
        <v>0</v>
      </c>
      <c r="AD102" s="23">
        <f>(95.98+98.39)/2</f>
        <v>97.185000000000002</v>
      </c>
      <c r="AE102" s="5">
        <f t="shared" si="1"/>
        <v>1.2851317476723256</v>
      </c>
    </row>
    <row r="103" spans="1:31" ht="25.25" customHeight="1" x14ac:dyDescent="0.2">
      <c r="A103" s="20" t="s">
        <v>151</v>
      </c>
      <c r="B103" s="21" t="s">
        <v>152</v>
      </c>
      <c r="C103" s="22">
        <v>60</v>
      </c>
      <c r="D103" s="22">
        <v>600</v>
      </c>
      <c r="E103" s="22">
        <v>1200</v>
      </c>
      <c r="F103" s="3">
        <v>2</v>
      </c>
      <c r="G103" s="13">
        <v>2</v>
      </c>
      <c r="H103" s="22">
        <v>1</v>
      </c>
      <c r="I103" s="22">
        <v>3</v>
      </c>
      <c r="J103" s="22">
        <v>1</v>
      </c>
      <c r="K103" s="13">
        <v>0</v>
      </c>
      <c r="L103" s="13">
        <v>48.4</v>
      </c>
      <c r="M103" s="13">
        <v>2.5373737373737373</v>
      </c>
      <c r="N103" s="13">
        <v>450</v>
      </c>
      <c r="O103" s="13">
        <v>1.0902777777777777</v>
      </c>
      <c r="P103" s="13">
        <v>1.0902777777777777</v>
      </c>
      <c r="Q103" s="13">
        <v>450</v>
      </c>
      <c r="R103" s="13">
        <v>0.56071428571428572</v>
      </c>
      <c r="S103" s="13">
        <v>450</v>
      </c>
      <c r="U103" s="3"/>
      <c r="V103" s="24">
        <v>0.22</v>
      </c>
      <c r="W103" s="3">
        <v>10</v>
      </c>
      <c r="X103" s="3"/>
      <c r="Y103" s="5">
        <v>5.2132526564344754</v>
      </c>
      <c r="Z103" s="5">
        <v>10.136880165289256</v>
      </c>
      <c r="AA103" s="5">
        <v>10.136880165289256</v>
      </c>
      <c r="AB103" s="5">
        <v>23.59128474830954</v>
      </c>
      <c r="AD103" s="23">
        <v>127.12524000000001</v>
      </c>
      <c r="AE103" s="5">
        <f t="shared" si="1"/>
        <v>6.11290301456786</v>
      </c>
    </row>
    <row r="104" spans="1:31" ht="25.25" customHeight="1" x14ac:dyDescent="0.2">
      <c r="A104" s="33" t="s">
        <v>153</v>
      </c>
      <c r="B104" s="21" t="s">
        <v>154</v>
      </c>
      <c r="C104" s="22">
        <v>304.8</v>
      </c>
      <c r="D104" s="22">
        <v>2438.4</v>
      </c>
      <c r="E104" s="22">
        <v>4876.8</v>
      </c>
      <c r="F104" s="13">
        <v>2</v>
      </c>
      <c r="G104" s="13">
        <v>2</v>
      </c>
      <c r="H104" s="22">
        <v>1</v>
      </c>
      <c r="I104" s="22">
        <v>3</v>
      </c>
      <c r="J104" s="22">
        <v>1</v>
      </c>
      <c r="K104" s="13">
        <v>7.7106832672109604E-2</v>
      </c>
      <c r="L104" s="13">
        <v>38.81</v>
      </c>
      <c r="M104" s="13">
        <v>1.7662500000000001</v>
      </c>
      <c r="N104" s="13">
        <v>505.04097000000002</v>
      </c>
      <c r="O104" s="13">
        <v>1.2271846303085128</v>
      </c>
      <c r="P104" s="13">
        <v>0.54541539124822791</v>
      </c>
      <c r="Q104" s="13">
        <v>510.14299999999997</v>
      </c>
      <c r="R104" s="13">
        <v>0.88105563201636805</v>
      </c>
      <c r="S104" s="13">
        <v>505.04097000000002</v>
      </c>
      <c r="U104" s="3"/>
      <c r="V104" s="24"/>
      <c r="W104" s="3">
        <v>8</v>
      </c>
      <c r="X104" s="3"/>
      <c r="Y104" s="5">
        <v>11.465323138817562</v>
      </c>
      <c r="Z104" s="5">
        <v>7.1692822452343394</v>
      </c>
      <c r="AA104" s="5">
        <v>16.130885051777263</v>
      </c>
      <c r="AB104" s="5">
        <v>22.984504335544965</v>
      </c>
      <c r="AD104" s="24">
        <v>1445.7</v>
      </c>
      <c r="AE104" s="5">
        <f t="shared" si="1"/>
        <v>3.7603420267551466</v>
      </c>
    </row>
    <row r="105" spans="1:31" ht="25.25" customHeight="1" x14ac:dyDescent="0.2">
      <c r="A105" s="39" t="s">
        <v>155</v>
      </c>
      <c r="B105" s="44" t="s">
        <v>156</v>
      </c>
      <c r="C105" s="16">
        <v>150</v>
      </c>
      <c r="D105" s="16">
        <v>1800</v>
      </c>
      <c r="E105" s="16">
        <v>1800</v>
      </c>
      <c r="F105" s="16">
        <v>1</v>
      </c>
      <c r="G105" s="16">
        <v>1</v>
      </c>
      <c r="H105" s="16">
        <v>1</v>
      </c>
      <c r="I105" s="16">
        <v>3</v>
      </c>
      <c r="J105" s="16">
        <v>1</v>
      </c>
      <c r="K105" s="16">
        <v>0</v>
      </c>
      <c r="L105" s="16">
        <v>61</v>
      </c>
      <c r="M105" s="17">
        <v>2.06</v>
      </c>
      <c r="N105" s="18">
        <v>414</v>
      </c>
      <c r="O105" s="17">
        <v>1.94</v>
      </c>
      <c r="P105" s="17">
        <v>1.04</v>
      </c>
      <c r="Q105" s="18">
        <v>414</v>
      </c>
      <c r="R105" s="16">
        <v>0.81</v>
      </c>
      <c r="S105" s="18">
        <v>414</v>
      </c>
      <c r="U105" s="16"/>
      <c r="V105" s="19">
        <v>0.14444444444444443</v>
      </c>
      <c r="W105" s="16">
        <v>12</v>
      </c>
      <c r="X105" s="3"/>
      <c r="Y105" s="5">
        <v>5.4973770491803284</v>
      </c>
      <c r="Z105" s="5">
        <v>7.0583606557377045</v>
      </c>
      <c r="AA105" s="5">
        <v>13.16655737704918</v>
      </c>
      <c r="AB105" s="5">
        <v>13.980983606557377</v>
      </c>
      <c r="AD105" s="23">
        <v>574.20000000000005</v>
      </c>
      <c r="AE105" s="5">
        <f t="shared" si="1"/>
        <v>3.2792566484068026</v>
      </c>
    </row>
    <row r="106" spans="1:31" ht="25.5" customHeight="1" x14ac:dyDescent="0.2">
      <c r="A106" s="55" t="s">
        <v>157</v>
      </c>
      <c r="B106" s="34" t="s">
        <v>158</v>
      </c>
      <c r="C106" s="22">
        <v>200</v>
      </c>
      <c r="D106" s="22">
        <v>1300</v>
      </c>
      <c r="E106" s="22">
        <v>2700</v>
      </c>
      <c r="F106" s="3">
        <v>2.08</v>
      </c>
      <c r="G106" s="3">
        <v>2.08</v>
      </c>
      <c r="H106" s="22">
        <v>1</v>
      </c>
      <c r="I106" s="22">
        <v>2</v>
      </c>
      <c r="J106" s="22">
        <v>1</v>
      </c>
      <c r="K106" s="13">
        <v>0</v>
      </c>
      <c r="L106" s="13">
        <v>28.3</v>
      </c>
      <c r="M106" s="3">
        <v>3.8519999999999999</v>
      </c>
      <c r="N106" s="20">
        <v>412</v>
      </c>
      <c r="O106" s="27">
        <v>1.0028749148422018</v>
      </c>
      <c r="P106" s="27">
        <v>0.67020643276582259</v>
      </c>
      <c r="Q106" s="3">
        <v>452</v>
      </c>
      <c r="R106" s="3">
        <v>0.68100000000000005</v>
      </c>
      <c r="S106" s="3">
        <v>448</v>
      </c>
      <c r="U106" s="3"/>
      <c r="V106" s="24">
        <v>0.15923076923076923</v>
      </c>
      <c r="W106" s="3">
        <v>6.5</v>
      </c>
      <c r="X106" s="3"/>
      <c r="Y106" s="5">
        <v>10.780494699646644</v>
      </c>
      <c r="Z106" s="5">
        <v>10.704357159369321</v>
      </c>
      <c r="AA106" s="5">
        <v>16.584645234846306</v>
      </c>
      <c r="AB106" s="5">
        <v>56.078586572438155</v>
      </c>
      <c r="AD106" s="23">
        <v>421.57550000000003</v>
      </c>
      <c r="AE106" s="5">
        <f t="shared" si="1"/>
        <v>3.6707068245587617</v>
      </c>
    </row>
    <row r="107" spans="1:31" ht="25.5" customHeight="1" x14ac:dyDescent="0.2">
      <c r="A107" s="54"/>
      <c r="B107" s="34" t="s">
        <v>159</v>
      </c>
      <c r="C107" s="22">
        <v>84</v>
      </c>
      <c r="D107" s="22">
        <v>548</v>
      </c>
      <c r="E107" s="22">
        <v>1140</v>
      </c>
      <c r="F107" s="3">
        <v>2.08</v>
      </c>
      <c r="G107" s="3">
        <v>2.08</v>
      </c>
      <c r="H107" s="22">
        <v>1</v>
      </c>
      <c r="I107" s="22">
        <v>2</v>
      </c>
      <c r="J107" s="22">
        <v>1</v>
      </c>
      <c r="K107" s="13">
        <v>0</v>
      </c>
      <c r="L107" s="13">
        <v>47</v>
      </c>
      <c r="M107" s="3">
        <v>4.0880000000000001</v>
      </c>
      <c r="N107" s="3">
        <v>450</v>
      </c>
      <c r="O107" s="27">
        <v>1.0258261726007489</v>
      </c>
      <c r="P107" s="27">
        <v>0.66793906306791917</v>
      </c>
      <c r="Q107" s="3">
        <v>450</v>
      </c>
      <c r="R107" s="3">
        <v>0.66600000000000004</v>
      </c>
      <c r="S107" s="3">
        <v>450</v>
      </c>
      <c r="U107" s="3"/>
      <c r="V107" s="24">
        <v>0.15145985401459855</v>
      </c>
      <c r="W107" s="3">
        <v>6.5238095238095237</v>
      </c>
      <c r="X107" s="3"/>
      <c r="Y107" s="5">
        <v>6.3765957446808512</v>
      </c>
      <c r="Z107" s="5">
        <v>6.3951612421396522</v>
      </c>
      <c r="AA107" s="5">
        <v>10.546584358774636</v>
      </c>
      <c r="AB107" s="5">
        <v>39.140425531914893</v>
      </c>
      <c r="AD107" s="23">
        <v>75.502499999999998</v>
      </c>
      <c r="AE107" s="5">
        <f t="shared" si="1"/>
        <v>2.8813330428223645</v>
      </c>
    </row>
    <row r="108" spans="1:31" ht="25.5" customHeight="1" x14ac:dyDescent="0.2">
      <c r="A108" s="53" t="s">
        <v>160</v>
      </c>
      <c r="B108" s="36" t="s">
        <v>161</v>
      </c>
      <c r="C108" s="22">
        <v>100</v>
      </c>
      <c r="D108" s="22">
        <v>1000</v>
      </c>
      <c r="E108" s="22">
        <v>690</v>
      </c>
      <c r="F108" s="13">
        <v>0.69</v>
      </c>
      <c r="G108" s="13">
        <v>0.69</v>
      </c>
      <c r="H108" s="22">
        <v>1</v>
      </c>
      <c r="I108" s="22">
        <v>2</v>
      </c>
      <c r="J108" s="22">
        <v>1</v>
      </c>
      <c r="K108" s="13">
        <v>2.1999999999999999E-2</v>
      </c>
      <c r="L108" s="13">
        <v>50.7</v>
      </c>
      <c r="M108" s="13">
        <v>0</v>
      </c>
      <c r="N108" s="13" t="s">
        <v>26</v>
      </c>
      <c r="O108" s="13">
        <v>0</v>
      </c>
      <c r="P108" s="13">
        <v>0.29747368421052633</v>
      </c>
      <c r="Q108" s="13">
        <v>504</v>
      </c>
      <c r="R108" s="13">
        <v>0.29747368421052633</v>
      </c>
      <c r="S108" s="13">
        <v>504</v>
      </c>
      <c r="U108" s="6"/>
      <c r="V108" s="24">
        <v>0</v>
      </c>
      <c r="W108" s="3">
        <v>10</v>
      </c>
      <c r="X108" s="6"/>
      <c r="Y108" s="5">
        <v>2.9571348489567111</v>
      </c>
      <c r="Z108" s="5">
        <v>2.9571348489567111</v>
      </c>
      <c r="AA108" s="5">
        <v>0</v>
      </c>
      <c r="AB108" s="5">
        <v>0</v>
      </c>
      <c r="AD108" s="23">
        <v>211.1</v>
      </c>
      <c r="AE108" s="5">
        <f t="shared" si="1"/>
        <v>3.5704680801818736</v>
      </c>
    </row>
    <row r="109" spans="1:31" ht="25.5" customHeight="1" x14ac:dyDescent="0.2">
      <c r="A109" s="54"/>
      <c r="B109" s="36" t="s">
        <v>162</v>
      </c>
      <c r="C109" s="22">
        <v>100</v>
      </c>
      <c r="D109" s="22">
        <v>1000</v>
      </c>
      <c r="E109" s="22">
        <v>690</v>
      </c>
      <c r="F109" s="13">
        <v>0.69</v>
      </c>
      <c r="G109" s="13">
        <v>0.69</v>
      </c>
      <c r="H109" s="22">
        <v>1</v>
      </c>
      <c r="I109" s="22">
        <v>2</v>
      </c>
      <c r="J109" s="22">
        <v>1</v>
      </c>
      <c r="K109" s="13">
        <v>2.1999999999999999E-2</v>
      </c>
      <c r="L109" s="13">
        <v>51</v>
      </c>
      <c r="M109" s="13">
        <v>0</v>
      </c>
      <c r="N109" s="13" t="s">
        <v>26</v>
      </c>
      <c r="O109" s="13">
        <v>0</v>
      </c>
      <c r="P109" s="13">
        <v>0.29747368421052633</v>
      </c>
      <c r="Q109" s="13">
        <v>504</v>
      </c>
      <c r="R109" s="13">
        <v>0.29747368421052633</v>
      </c>
      <c r="S109" s="13">
        <v>504</v>
      </c>
      <c r="U109" s="6"/>
      <c r="V109" s="24">
        <v>0</v>
      </c>
      <c r="W109" s="3">
        <v>10</v>
      </c>
      <c r="X109" s="6"/>
      <c r="Y109" s="5">
        <v>2.9397399380804954</v>
      </c>
      <c r="Z109" s="5">
        <v>2.9397399380804954</v>
      </c>
      <c r="AA109" s="5">
        <v>0</v>
      </c>
      <c r="AB109" s="5">
        <v>0</v>
      </c>
      <c r="AD109" s="23">
        <v>205.42400000000001</v>
      </c>
      <c r="AE109" s="5">
        <f t="shared" si="1"/>
        <v>3.4642322042897487</v>
      </c>
    </row>
    <row r="110" spans="1:31" ht="25.5" customHeight="1" x14ac:dyDescent="0.2">
      <c r="A110" s="54"/>
      <c r="B110" s="36" t="s">
        <v>163</v>
      </c>
      <c r="C110" s="22">
        <v>80</v>
      </c>
      <c r="D110" s="22">
        <v>900</v>
      </c>
      <c r="E110" s="22">
        <v>690</v>
      </c>
      <c r="F110" s="13">
        <v>0.77</v>
      </c>
      <c r="G110" s="13">
        <v>0.76666666666666672</v>
      </c>
      <c r="H110" s="22">
        <v>1</v>
      </c>
      <c r="I110" s="22">
        <v>2</v>
      </c>
      <c r="J110" s="22">
        <v>1</v>
      </c>
      <c r="K110" s="27">
        <v>9.3974571586511887E-2</v>
      </c>
      <c r="L110" s="13">
        <v>20.100000000000001</v>
      </c>
      <c r="M110" s="13">
        <v>0</v>
      </c>
      <c r="N110" s="13" t="s">
        <v>26</v>
      </c>
      <c r="O110" s="13">
        <v>0</v>
      </c>
      <c r="P110" s="13">
        <v>0.25737704918032789</v>
      </c>
      <c r="Q110" s="13">
        <v>745</v>
      </c>
      <c r="R110" s="13">
        <v>0.32260273972602738</v>
      </c>
      <c r="S110" s="13">
        <v>504</v>
      </c>
      <c r="U110" s="6"/>
      <c r="V110" s="24">
        <v>0</v>
      </c>
      <c r="W110" s="3">
        <v>11.25</v>
      </c>
      <c r="X110" s="6"/>
      <c r="Y110" s="5">
        <v>8.0891433244735218</v>
      </c>
      <c r="Z110" s="5">
        <v>9.5395970964847887</v>
      </c>
      <c r="AA110" s="5">
        <v>0</v>
      </c>
      <c r="AB110" s="5">
        <v>0</v>
      </c>
      <c r="AD110" s="23">
        <v>174.58949999999999</v>
      </c>
      <c r="AE110" s="5">
        <f t="shared" si="1"/>
        <v>6.5137111708460989</v>
      </c>
    </row>
    <row r="111" spans="1:31" ht="25.5" customHeight="1" x14ac:dyDescent="0.2">
      <c r="A111" s="54"/>
      <c r="B111" s="36" t="s">
        <v>164</v>
      </c>
      <c r="C111" s="22">
        <v>80</v>
      </c>
      <c r="D111" s="22">
        <v>900</v>
      </c>
      <c r="E111" s="22">
        <v>690</v>
      </c>
      <c r="F111" s="13">
        <v>0.77</v>
      </c>
      <c r="G111" s="13">
        <v>0.76666666666666672</v>
      </c>
      <c r="H111" s="22">
        <v>1</v>
      </c>
      <c r="I111" s="22">
        <v>1</v>
      </c>
      <c r="J111" s="22">
        <v>1</v>
      </c>
      <c r="K111" s="27">
        <v>0.10018214936247723</v>
      </c>
      <c r="L111" s="13">
        <v>24.4</v>
      </c>
      <c r="M111" s="13">
        <v>0</v>
      </c>
      <c r="N111" s="13" t="s">
        <v>26</v>
      </c>
      <c r="O111" s="13">
        <v>0</v>
      </c>
      <c r="P111" s="13">
        <v>0.25737704918032789</v>
      </c>
      <c r="Q111" s="13">
        <v>745</v>
      </c>
      <c r="R111" s="13">
        <v>0.32260273972602738</v>
      </c>
      <c r="S111" s="13">
        <v>504</v>
      </c>
      <c r="U111" s="6"/>
      <c r="V111" s="24">
        <v>0</v>
      </c>
      <c r="W111" s="3">
        <v>11.25</v>
      </c>
      <c r="X111" s="6"/>
      <c r="Y111" s="5">
        <v>6.6635975746687635</v>
      </c>
      <c r="Z111" s="5">
        <v>7.8584385917764052</v>
      </c>
      <c r="AA111" s="5">
        <v>0</v>
      </c>
      <c r="AB111" s="5">
        <v>0</v>
      </c>
      <c r="AD111" s="23">
        <v>134.64999999999998</v>
      </c>
      <c r="AE111" s="5">
        <f t="shared" si="1"/>
        <v>4.5595276043288342</v>
      </c>
    </row>
    <row r="112" spans="1:31" ht="25.5" customHeight="1" x14ac:dyDescent="0.2">
      <c r="A112" s="20" t="s">
        <v>165</v>
      </c>
      <c r="B112" s="21" t="s">
        <v>166</v>
      </c>
      <c r="C112" s="22">
        <v>200</v>
      </c>
      <c r="D112" s="22">
        <v>1500</v>
      </c>
      <c r="E112" s="22">
        <v>2700</v>
      </c>
      <c r="F112" s="3">
        <v>1.8</v>
      </c>
      <c r="G112" s="13">
        <v>1.8</v>
      </c>
      <c r="H112" s="22">
        <v>1</v>
      </c>
      <c r="I112" s="22">
        <v>3</v>
      </c>
      <c r="J112" s="22">
        <v>1</v>
      </c>
      <c r="K112" s="13">
        <v>9.4171544922372119E-2</v>
      </c>
      <c r="L112" s="13">
        <v>35.396396396396391</v>
      </c>
      <c r="M112" s="13">
        <v>0.90432000000000001</v>
      </c>
      <c r="N112" s="13">
        <v>454</v>
      </c>
      <c r="O112" s="13">
        <v>0.25120000000000003</v>
      </c>
      <c r="P112" s="13">
        <v>0.39250000000000002</v>
      </c>
      <c r="Q112" s="13">
        <v>478</v>
      </c>
      <c r="R112" s="13">
        <v>0.31415926535897931</v>
      </c>
      <c r="S112" s="13">
        <v>478</v>
      </c>
      <c r="U112" s="35" t="s">
        <v>167</v>
      </c>
      <c r="V112" s="24">
        <v>0.16666666666666666</v>
      </c>
      <c r="W112" s="3">
        <v>7.5</v>
      </c>
      <c r="X112" s="3"/>
      <c r="Y112" s="5">
        <v>4.2424694073343669</v>
      </c>
      <c r="Z112" s="5">
        <v>5.3003983201832536</v>
      </c>
      <c r="AA112" s="5">
        <v>3.3212872486637832</v>
      </c>
      <c r="AB112" s="5">
        <v>11.598957006871979</v>
      </c>
      <c r="AD112" s="23">
        <v>363.01220000000001</v>
      </c>
      <c r="AE112" s="5">
        <f t="shared" si="1"/>
        <v>2.4494091868769989</v>
      </c>
    </row>
    <row r="113" spans="1:31" ht="25.5" customHeight="1" x14ac:dyDescent="0.2">
      <c r="A113" s="56" t="s">
        <v>168</v>
      </c>
      <c r="B113" s="34" t="s">
        <v>146</v>
      </c>
      <c r="C113" s="22">
        <v>200</v>
      </c>
      <c r="D113" s="22">
        <v>1500</v>
      </c>
      <c r="E113" s="22">
        <v>2000</v>
      </c>
      <c r="F113" s="13">
        <v>2</v>
      </c>
      <c r="G113" s="13">
        <v>1.3333333333333333</v>
      </c>
      <c r="H113" s="22">
        <v>1</v>
      </c>
      <c r="I113" s="22">
        <v>3</v>
      </c>
      <c r="J113" s="22">
        <v>2</v>
      </c>
      <c r="K113" s="3">
        <v>8.0701754385964913E-2</v>
      </c>
      <c r="L113" s="13">
        <v>34.200000000000003</v>
      </c>
      <c r="M113" s="13">
        <v>1.2987372304274087</v>
      </c>
      <c r="N113" s="3">
        <v>395</v>
      </c>
      <c r="O113" s="13">
        <v>0.35647203249999998</v>
      </c>
      <c r="P113" s="13">
        <v>0.28517762599999996</v>
      </c>
      <c r="Q113" s="3">
        <v>335</v>
      </c>
      <c r="R113" s="13">
        <v>0.28532227223241324</v>
      </c>
      <c r="S113" s="3">
        <v>335</v>
      </c>
      <c r="U113" s="6"/>
      <c r="V113" s="24">
        <v>0.16666666666666666</v>
      </c>
      <c r="W113" s="3">
        <v>7.5</v>
      </c>
      <c r="X113" s="6"/>
      <c r="Y113" s="5">
        <v>2.7948234268379659</v>
      </c>
      <c r="Z113" s="5">
        <v>2.7934065704678357</v>
      </c>
      <c r="AA113" s="5">
        <v>3.4917582130847951</v>
      </c>
      <c r="AB113" s="5">
        <v>15.000035263708375</v>
      </c>
      <c r="AD113" s="24">
        <v>414.5</v>
      </c>
      <c r="AE113" s="5">
        <f t="shared" si="1"/>
        <v>2.8453200771825182</v>
      </c>
    </row>
    <row r="114" spans="1:31" ht="25.5" customHeight="1" x14ac:dyDescent="0.2">
      <c r="A114" s="56"/>
      <c r="B114" s="34" t="s">
        <v>103</v>
      </c>
      <c r="C114" s="22">
        <v>200</v>
      </c>
      <c r="D114" s="22">
        <v>1500</v>
      </c>
      <c r="E114" s="22">
        <v>2000</v>
      </c>
      <c r="F114" s="13">
        <v>3</v>
      </c>
      <c r="G114" s="13">
        <v>1.3333333333333333</v>
      </c>
      <c r="H114" s="22">
        <v>1</v>
      </c>
      <c r="I114" s="22">
        <v>3</v>
      </c>
      <c r="J114" s="22">
        <v>2</v>
      </c>
      <c r="K114" s="3">
        <v>7.4796747967479676E-2</v>
      </c>
      <c r="L114" s="13">
        <v>36.9</v>
      </c>
      <c r="M114" s="13">
        <v>1.2987372304274087</v>
      </c>
      <c r="N114" s="3">
        <v>395</v>
      </c>
      <c r="O114" s="13">
        <v>0.35647203249999998</v>
      </c>
      <c r="P114" s="13">
        <v>0.28517762599999996</v>
      </c>
      <c r="Q114" s="3">
        <v>335</v>
      </c>
      <c r="R114" s="13">
        <v>0.28532227223241324</v>
      </c>
      <c r="S114" s="3">
        <v>335</v>
      </c>
      <c r="U114" s="6"/>
      <c r="V114" s="24">
        <v>0.16666666666666666</v>
      </c>
      <c r="W114" s="3">
        <v>7.5</v>
      </c>
      <c r="X114" s="6"/>
      <c r="Y114" s="5">
        <v>2.5903241517034807</v>
      </c>
      <c r="Z114" s="5">
        <v>2.5890109677506774</v>
      </c>
      <c r="AA114" s="5">
        <v>3.2362637096883469</v>
      </c>
      <c r="AB114" s="5">
        <v>13.902471707827276</v>
      </c>
      <c r="AD114" s="24">
        <v>316.5</v>
      </c>
      <c r="AE114" s="5">
        <f t="shared" si="1"/>
        <v>2.0916074389956134</v>
      </c>
    </row>
    <row r="115" spans="1:31" ht="25.5" customHeight="1" x14ac:dyDescent="0.2">
      <c r="A115" s="55" t="s">
        <v>169</v>
      </c>
      <c r="B115" s="21" t="s">
        <v>170</v>
      </c>
      <c r="C115" s="22">
        <v>130</v>
      </c>
      <c r="D115" s="22">
        <v>850</v>
      </c>
      <c r="E115" s="22">
        <v>580</v>
      </c>
      <c r="F115" s="13">
        <v>0.68235294117647061</v>
      </c>
      <c r="G115" s="13">
        <v>0.68235294117647061</v>
      </c>
      <c r="H115" s="22">
        <v>3</v>
      </c>
      <c r="I115" s="22">
        <v>1</v>
      </c>
      <c r="J115" s="22">
        <v>1</v>
      </c>
      <c r="K115" s="13">
        <v>0.20143036764222574</v>
      </c>
      <c r="L115" s="13">
        <v>26.1</v>
      </c>
      <c r="M115" s="13">
        <v>0.88</v>
      </c>
      <c r="N115" s="13">
        <v>411</v>
      </c>
      <c r="O115" s="13">
        <v>0.628</v>
      </c>
      <c r="P115" s="13">
        <v>0.69563076923076927</v>
      </c>
      <c r="Q115" s="13">
        <v>400</v>
      </c>
      <c r="R115" s="13">
        <v>0.34781538461538464</v>
      </c>
      <c r="S115" s="13">
        <v>414</v>
      </c>
      <c r="U115" s="35"/>
      <c r="V115" s="24">
        <v>0.28776978417266186</v>
      </c>
      <c r="W115" s="3">
        <v>6.5384615384615383</v>
      </c>
      <c r="X115" s="3"/>
      <c r="Y115" s="5">
        <v>5.5170716180371349</v>
      </c>
      <c r="Z115" s="5">
        <v>10.661007957559681</v>
      </c>
      <c r="AA115" s="5">
        <v>8.1327203065134093</v>
      </c>
      <c r="AB115" s="5">
        <v>13.857471264367815</v>
      </c>
      <c r="AD115" s="23">
        <v>645.46424999999999</v>
      </c>
      <c r="AE115" s="5">
        <f t="shared" si="1"/>
        <v>13.769892911024392</v>
      </c>
    </row>
    <row r="116" spans="1:31" ht="25.5" customHeight="1" x14ac:dyDescent="0.2">
      <c r="A116" s="54"/>
      <c r="B116" s="21" t="s">
        <v>171</v>
      </c>
      <c r="C116" s="22">
        <v>130</v>
      </c>
      <c r="D116" s="22">
        <v>850</v>
      </c>
      <c r="E116" s="22">
        <v>580</v>
      </c>
      <c r="F116" s="13">
        <v>0.68235294117647061</v>
      </c>
      <c r="G116" s="13">
        <v>0.68235294117647061</v>
      </c>
      <c r="H116" s="22">
        <v>3</v>
      </c>
      <c r="I116" s="22">
        <v>1</v>
      </c>
      <c r="J116" s="22">
        <v>1</v>
      </c>
      <c r="K116" s="13">
        <v>0.20143036764222574</v>
      </c>
      <c r="L116" s="13">
        <v>26.1</v>
      </c>
      <c r="M116" s="13">
        <v>1.98</v>
      </c>
      <c r="N116" s="13">
        <v>457</v>
      </c>
      <c r="O116" s="13">
        <v>0.628</v>
      </c>
      <c r="P116" s="13">
        <v>0.69563076923076927</v>
      </c>
      <c r="Q116" s="13">
        <v>400</v>
      </c>
      <c r="R116" s="13">
        <v>0.34781538461538464</v>
      </c>
      <c r="S116" s="13">
        <v>414</v>
      </c>
      <c r="U116" s="35"/>
      <c r="V116" s="24">
        <v>0.28776978417266186</v>
      </c>
      <c r="W116" s="3">
        <v>6.5384615384615383</v>
      </c>
      <c r="X116" s="3"/>
      <c r="Y116" s="5">
        <v>5.5170716180371349</v>
      </c>
      <c r="Z116" s="5">
        <v>10.661007957559681</v>
      </c>
      <c r="AA116" s="5">
        <v>8.1327203065134093</v>
      </c>
      <c r="AB116" s="5">
        <v>34.668965517241375</v>
      </c>
      <c r="AD116" s="23">
        <v>924.91654999999992</v>
      </c>
      <c r="AE116" s="5">
        <f t="shared" si="1"/>
        <v>19.731537176743927</v>
      </c>
    </row>
    <row r="117" spans="1:31" ht="25.5" customHeight="1" x14ac:dyDescent="0.2">
      <c r="A117" s="54"/>
      <c r="B117" s="21" t="s">
        <v>172</v>
      </c>
      <c r="C117" s="22">
        <v>130</v>
      </c>
      <c r="D117" s="22">
        <v>850</v>
      </c>
      <c r="E117" s="22">
        <v>580</v>
      </c>
      <c r="F117" s="13">
        <v>0.68235294117647061</v>
      </c>
      <c r="G117" s="13">
        <v>0.68235294117647061</v>
      </c>
      <c r="H117" s="22">
        <v>3</v>
      </c>
      <c r="I117" s="22">
        <v>1</v>
      </c>
      <c r="J117" s="22">
        <v>1</v>
      </c>
      <c r="K117" s="13">
        <v>0.49827511995708473</v>
      </c>
      <c r="L117" s="13">
        <v>26.1</v>
      </c>
      <c r="M117" s="13">
        <v>0.88</v>
      </c>
      <c r="N117" s="13">
        <v>411</v>
      </c>
      <c r="O117" s="13">
        <v>0.628</v>
      </c>
      <c r="P117" s="13">
        <v>0.69563076923076927</v>
      </c>
      <c r="Q117" s="13">
        <v>400</v>
      </c>
      <c r="R117" s="13">
        <v>0.34781538461538464</v>
      </c>
      <c r="S117" s="13">
        <v>414</v>
      </c>
      <c r="U117" s="35"/>
      <c r="V117" s="24">
        <v>0.28776978417266186</v>
      </c>
      <c r="W117" s="3">
        <v>6.5384615384615383</v>
      </c>
      <c r="X117" s="3"/>
      <c r="Y117" s="5">
        <v>5.5170716180371349</v>
      </c>
      <c r="Z117" s="5">
        <v>10.661007957559681</v>
      </c>
      <c r="AA117" s="5">
        <v>8.1327203065134093</v>
      </c>
      <c r="AB117" s="5">
        <v>13.857471264367815</v>
      </c>
      <c r="AD117" s="23">
        <v>968.0802000000001</v>
      </c>
      <c r="AE117" s="5">
        <f t="shared" si="1"/>
        <v>20.652360968532456</v>
      </c>
    </row>
    <row r="118" spans="1:31" ht="25.5" customHeight="1" x14ac:dyDescent="0.2">
      <c r="A118" s="54"/>
      <c r="B118" s="21" t="s">
        <v>173</v>
      </c>
      <c r="C118" s="22">
        <v>130</v>
      </c>
      <c r="D118" s="22">
        <v>850</v>
      </c>
      <c r="E118" s="22">
        <v>580</v>
      </c>
      <c r="F118" s="13">
        <v>0.68235294117647061</v>
      </c>
      <c r="G118" s="13">
        <v>0.68235294117647061</v>
      </c>
      <c r="H118" s="22">
        <v>3</v>
      </c>
      <c r="I118" s="22">
        <v>1</v>
      </c>
      <c r="J118" s="22">
        <v>1</v>
      </c>
      <c r="K118" s="13">
        <v>0.49827511995708473</v>
      </c>
      <c r="L118" s="13">
        <v>26.1</v>
      </c>
      <c r="M118" s="13">
        <v>1.98</v>
      </c>
      <c r="N118" s="13">
        <v>457</v>
      </c>
      <c r="O118" s="13">
        <v>0.628</v>
      </c>
      <c r="P118" s="13">
        <v>0.69563076923076927</v>
      </c>
      <c r="Q118" s="13">
        <v>400</v>
      </c>
      <c r="R118" s="13">
        <v>0.34781538461538464</v>
      </c>
      <c r="S118" s="13">
        <v>414</v>
      </c>
      <c r="U118" s="35"/>
      <c r="V118" s="24">
        <v>0.28776978417266186</v>
      </c>
      <c r="W118" s="3">
        <v>6.5384615384615383</v>
      </c>
      <c r="X118" s="3"/>
      <c r="Y118" s="5">
        <v>5.5170716180371349</v>
      </c>
      <c r="Z118" s="5">
        <v>10.661007957559681</v>
      </c>
      <c r="AA118" s="5">
        <v>8.1327203065134093</v>
      </c>
      <c r="AB118" s="5">
        <v>34.668965517241375</v>
      </c>
      <c r="AD118" s="23">
        <v>1053.2375999999999</v>
      </c>
      <c r="AE118" s="5">
        <f t="shared" si="1"/>
        <v>22.469050705541541</v>
      </c>
    </row>
    <row r="119" spans="1:31" ht="25.5" customHeight="1" x14ac:dyDescent="0.2">
      <c r="A119" s="54"/>
      <c r="B119" s="21" t="s">
        <v>174</v>
      </c>
      <c r="C119" s="22">
        <v>130</v>
      </c>
      <c r="D119" s="22">
        <v>850</v>
      </c>
      <c r="E119" s="22">
        <v>920</v>
      </c>
      <c r="F119" s="13">
        <v>1.0823529411764705</v>
      </c>
      <c r="G119" s="13">
        <v>1.0823529411764705</v>
      </c>
      <c r="H119" s="22">
        <v>3</v>
      </c>
      <c r="I119" s="22">
        <v>1</v>
      </c>
      <c r="J119" s="22">
        <v>1</v>
      </c>
      <c r="K119" s="13">
        <v>0.20143036764222574</v>
      </c>
      <c r="L119" s="13">
        <v>26.1</v>
      </c>
      <c r="M119" s="13">
        <v>0.88</v>
      </c>
      <c r="N119" s="13">
        <v>411</v>
      </c>
      <c r="O119" s="13">
        <v>0.628</v>
      </c>
      <c r="P119" s="13">
        <v>0.69563076923076927</v>
      </c>
      <c r="Q119" s="13">
        <v>400</v>
      </c>
      <c r="R119" s="13">
        <v>0.34781538461538464</v>
      </c>
      <c r="S119" s="13">
        <v>414</v>
      </c>
      <c r="U119" s="35"/>
      <c r="V119" s="24">
        <v>0.28776978417266186</v>
      </c>
      <c r="W119" s="3">
        <v>6.5384615384615383</v>
      </c>
      <c r="X119" s="3"/>
      <c r="Y119" s="5">
        <v>5.5170716180371349</v>
      </c>
      <c r="Z119" s="5">
        <v>10.661007957559681</v>
      </c>
      <c r="AA119" s="5">
        <v>8.1327203065134093</v>
      </c>
      <c r="AB119" s="5">
        <v>13.857471264367815</v>
      </c>
      <c r="AD119" s="23">
        <v>471.36005</v>
      </c>
      <c r="AE119" s="5">
        <f t="shared" si="1"/>
        <v>10.055672968774186</v>
      </c>
    </row>
    <row r="120" spans="1:31" ht="25.5" customHeight="1" x14ac:dyDescent="0.2">
      <c r="A120" s="54"/>
      <c r="B120" s="21" t="s">
        <v>175</v>
      </c>
      <c r="C120" s="22">
        <v>130</v>
      </c>
      <c r="D120" s="22">
        <v>850</v>
      </c>
      <c r="E120" s="22">
        <v>920</v>
      </c>
      <c r="F120" s="13">
        <v>1.0823529411764705</v>
      </c>
      <c r="G120" s="13">
        <v>1.0823529411764705</v>
      </c>
      <c r="H120" s="22">
        <v>3</v>
      </c>
      <c r="I120" s="22">
        <v>1</v>
      </c>
      <c r="J120" s="22">
        <v>1</v>
      </c>
      <c r="K120" s="13">
        <v>0.20143036764222574</v>
      </c>
      <c r="L120" s="13">
        <v>26.1</v>
      </c>
      <c r="M120" s="13">
        <v>1.98</v>
      </c>
      <c r="N120" s="13">
        <v>457</v>
      </c>
      <c r="O120" s="13">
        <v>0.628</v>
      </c>
      <c r="P120" s="13">
        <v>0.69563076923076927</v>
      </c>
      <c r="Q120" s="13">
        <v>400</v>
      </c>
      <c r="R120" s="13">
        <v>0.34781538461538464</v>
      </c>
      <c r="S120" s="13">
        <v>414</v>
      </c>
      <c r="U120" s="35"/>
      <c r="V120" s="24">
        <v>0.28776978417266186</v>
      </c>
      <c r="W120" s="3">
        <v>6.5384615384615383</v>
      </c>
      <c r="X120" s="3"/>
      <c r="Y120" s="5">
        <v>5.5170716180371349</v>
      </c>
      <c r="Z120" s="5">
        <v>10.661007957559681</v>
      </c>
      <c r="AA120" s="5">
        <v>8.1327203065134093</v>
      </c>
      <c r="AB120" s="5">
        <v>34.668965517241375</v>
      </c>
      <c r="AD120" s="23">
        <v>649.95775000000003</v>
      </c>
      <c r="AE120" s="5">
        <f t="shared" si="1"/>
        <v>13.865754167160093</v>
      </c>
    </row>
    <row r="121" spans="1:31" ht="25.5" customHeight="1" x14ac:dyDescent="0.2">
      <c r="A121" s="54"/>
      <c r="B121" s="21" t="s">
        <v>176</v>
      </c>
      <c r="C121" s="22">
        <v>130</v>
      </c>
      <c r="D121" s="22">
        <v>850</v>
      </c>
      <c r="E121" s="22">
        <v>920</v>
      </c>
      <c r="F121" s="13">
        <v>1.0823529411764705</v>
      </c>
      <c r="G121" s="13">
        <v>1.0823529411764705</v>
      </c>
      <c r="H121" s="22">
        <v>3</v>
      </c>
      <c r="I121" s="22">
        <v>1</v>
      </c>
      <c r="J121" s="22">
        <v>1</v>
      </c>
      <c r="K121" s="13">
        <v>0.49827511995708473</v>
      </c>
      <c r="L121" s="13">
        <v>26.1</v>
      </c>
      <c r="M121" s="13">
        <v>0.88</v>
      </c>
      <c r="N121" s="13">
        <v>411</v>
      </c>
      <c r="O121" s="13">
        <v>0.628</v>
      </c>
      <c r="P121" s="13">
        <v>0.69563076923076927</v>
      </c>
      <c r="Q121" s="13">
        <v>400</v>
      </c>
      <c r="R121" s="13">
        <v>0.34781538461538464</v>
      </c>
      <c r="S121" s="13">
        <v>414</v>
      </c>
      <c r="U121" s="35"/>
      <c r="V121" s="24">
        <v>0.28776978417266186</v>
      </c>
      <c r="W121" s="3">
        <v>6.5384615384615383</v>
      </c>
      <c r="X121" s="3"/>
      <c r="Y121" s="5">
        <v>5.5170716180371349</v>
      </c>
      <c r="Z121" s="5">
        <v>10.661007957559681</v>
      </c>
      <c r="AA121" s="5">
        <v>8.1327203065134093</v>
      </c>
      <c r="AB121" s="5">
        <v>13.857471264367815</v>
      </c>
      <c r="AD121" s="23">
        <v>702.64585</v>
      </c>
      <c r="AE121" s="5">
        <f t="shared" si="1"/>
        <v>14.989766061986712</v>
      </c>
    </row>
    <row r="122" spans="1:31" ht="25.5" customHeight="1" x14ac:dyDescent="0.2">
      <c r="A122" s="54"/>
      <c r="B122" s="21" t="s">
        <v>177</v>
      </c>
      <c r="C122" s="22">
        <v>130</v>
      </c>
      <c r="D122" s="22">
        <v>850</v>
      </c>
      <c r="E122" s="22">
        <v>920</v>
      </c>
      <c r="F122" s="13">
        <v>1.0823529411764705</v>
      </c>
      <c r="G122" s="13">
        <v>1.0823529411764705</v>
      </c>
      <c r="H122" s="22">
        <v>3</v>
      </c>
      <c r="I122" s="22">
        <v>1</v>
      </c>
      <c r="J122" s="22">
        <v>1</v>
      </c>
      <c r="K122" s="13">
        <v>0.49827511995708473</v>
      </c>
      <c r="L122" s="13">
        <v>26.1</v>
      </c>
      <c r="M122" s="13">
        <v>1.98</v>
      </c>
      <c r="N122" s="13">
        <v>457</v>
      </c>
      <c r="O122" s="13">
        <v>0.628</v>
      </c>
      <c r="P122" s="13">
        <v>0.69563076923076927</v>
      </c>
      <c r="Q122" s="13">
        <v>400</v>
      </c>
      <c r="R122" s="13">
        <v>0.34781538461538464</v>
      </c>
      <c r="S122" s="13">
        <v>414</v>
      </c>
      <c r="U122" s="35"/>
      <c r="V122" s="24">
        <v>0.28776978417266186</v>
      </c>
      <c r="W122" s="3">
        <v>6.5384615384615383</v>
      </c>
      <c r="X122" s="3"/>
      <c r="Y122" s="5">
        <v>5.5170716180371349</v>
      </c>
      <c r="Z122" s="5">
        <v>10.661007957559681</v>
      </c>
      <c r="AA122" s="5">
        <v>8.1327203065134093</v>
      </c>
      <c r="AB122" s="5">
        <v>34.668965517241375</v>
      </c>
      <c r="AD122" s="23">
        <v>828.47239999999999</v>
      </c>
      <c r="AE122" s="5">
        <f t="shared" si="1"/>
        <v>17.674063633639452</v>
      </c>
    </row>
    <row r="123" spans="1:31" ht="25.5" customHeight="1" x14ac:dyDescent="0.2">
      <c r="A123" s="54"/>
      <c r="B123" s="21" t="s">
        <v>178</v>
      </c>
      <c r="C123" s="22">
        <v>130</v>
      </c>
      <c r="D123" s="22">
        <v>850</v>
      </c>
      <c r="E123" s="22">
        <v>1300</v>
      </c>
      <c r="F123" s="13">
        <v>1.5294117647058822</v>
      </c>
      <c r="G123" s="13">
        <v>1.5294117647058822</v>
      </c>
      <c r="H123" s="22">
        <v>3</v>
      </c>
      <c r="I123" s="22">
        <v>2</v>
      </c>
      <c r="J123" s="22">
        <v>1</v>
      </c>
      <c r="K123" s="13">
        <v>0.19624235145435207</v>
      </c>
      <c r="L123" s="13">
        <v>28.2</v>
      </c>
      <c r="M123" s="13">
        <v>1.55</v>
      </c>
      <c r="N123" s="13">
        <v>584</v>
      </c>
      <c r="O123" s="13">
        <v>0.94200000000000006</v>
      </c>
      <c r="P123" s="13">
        <v>0.6183384615384615</v>
      </c>
      <c r="Q123" s="13">
        <v>383</v>
      </c>
      <c r="R123" s="13">
        <v>0.34781538461538464</v>
      </c>
      <c r="S123" s="13">
        <v>414</v>
      </c>
      <c r="U123" s="35"/>
      <c r="V123" s="24">
        <v>0.28776978417266186</v>
      </c>
      <c r="W123" s="3">
        <v>6.5384615384615383</v>
      </c>
      <c r="X123" s="3"/>
      <c r="Y123" s="5">
        <v>5.1062258592471359</v>
      </c>
      <c r="Z123" s="5">
        <v>8.3980010911074743</v>
      </c>
      <c r="AA123" s="5">
        <v>12.793829787234042</v>
      </c>
      <c r="AB123" s="5">
        <v>32.09929078014185</v>
      </c>
      <c r="AD123" s="23">
        <v>361.29764999999998</v>
      </c>
      <c r="AE123" s="5">
        <f t="shared" si="1"/>
        <v>7.4151374520067019</v>
      </c>
    </row>
    <row r="124" spans="1:31" ht="25.5" customHeight="1" x14ac:dyDescent="0.2">
      <c r="A124" s="54"/>
      <c r="B124" s="21" t="s">
        <v>179</v>
      </c>
      <c r="C124" s="22">
        <v>130</v>
      </c>
      <c r="D124" s="22">
        <v>850</v>
      </c>
      <c r="E124" s="22">
        <v>1300</v>
      </c>
      <c r="F124" s="13">
        <v>1.5294117647058822</v>
      </c>
      <c r="G124" s="13">
        <v>1.5294117647058822</v>
      </c>
      <c r="H124" s="22">
        <v>3</v>
      </c>
      <c r="I124" s="22">
        <v>2</v>
      </c>
      <c r="J124" s="22">
        <v>1</v>
      </c>
      <c r="K124" s="13">
        <v>0.19624235145435207</v>
      </c>
      <c r="L124" s="13">
        <v>28.2</v>
      </c>
      <c r="M124" s="13">
        <v>2.42</v>
      </c>
      <c r="N124" s="13">
        <v>462</v>
      </c>
      <c r="O124" s="13">
        <v>0.94200000000000006</v>
      </c>
      <c r="P124" s="13">
        <v>0.6183384615384615</v>
      </c>
      <c r="Q124" s="13">
        <v>383</v>
      </c>
      <c r="R124" s="13">
        <v>0.34781538461538464</v>
      </c>
      <c r="S124" s="13">
        <v>414</v>
      </c>
      <c r="U124" s="35"/>
      <c r="V124" s="24">
        <v>0.28776978417266186</v>
      </c>
      <c r="W124" s="3">
        <v>6.5384615384615383</v>
      </c>
      <c r="X124" s="3"/>
      <c r="Y124" s="5">
        <v>5.1062258592471359</v>
      </c>
      <c r="Z124" s="5">
        <v>8.3980010911074743</v>
      </c>
      <c r="AA124" s="5">
        <v>12.793829787234042</v>
      </c>
      <c r="AB124" s="5">
        <v>39.646808510638294</v>
      </c>
      <c r="AD124" s="23">
        <v>442.20645000000002</v>
      </c>
      <c r="AE124" s="5">
        <f t="shared" si="1"/>
        <v>9.0756793156942202</v>
      </c>
    </row>
    <row r="125" spans="1:31" ht="25.5" customHeight="1" x14ac:dyDescent="0.2">
      <c r="A125" s="54"/>
      <c r="B125" s="21" t="s">
        <v>180</v>
      </c>
      <c r="C125" s="22">
        <v>130</v>
      </c>
      <c r="D125" s="22">
        <v>850</v>
      </c>
      <c r="E125" s="22">
        <v>1300</v>
      </c>
      <c r="F125" s="13">
        <v>1.5294117647058822</v>
      </c>
      <c r="G125" s="13">
        <v>1.5294117647058822</v>
      </c>
      <c r="H125" s="22">
        <v>3</v>
      </c>
      <c r="I125" s="22">
        <v>2</v>
      </c>
      <c r="J125" s="22">
        <v>1</v>
      </c>
      <c r="K125" s="13">
        <v>0.50041799620859773</v>
      </c>
      <c r="L125" s="13">
        <v>28.2</v>
      </c>
      <c r="M125" s="13">
        <v>1.55</v>
      </c>
      <c r="N125" s="13">
        <v>584</v>
      </c>
      <c r="O125" s="13">
        <v>0.94200000000000006</v>
      </c>
      <c r="P125" s="13">
        <v>0.6183384615384615</v>
      </c>
      <c r="Q125" s="13">
        <v>383</v>
      </c>
      <c r="R125" s="13">
        <v>0.34781538461538464</v>
      </c>
      <c r="S125" s="13">
        <v>414</v>
      </c>
      <c r="U125" s="35"/>
      <c r="V125" s="24">
        <v>0.28776978417266186</v>
      </c>
      <c r="W125" s="3">
        <v>6.5384615384615383</v>
      </c>
      <c r="X125" s="3"/>
      <c r="Y125" s="5">
        <v>5.1062258592471359</v>
      </c>
      <c r="Z125" s="5">
        <v>8.3980010911074743</v>
      </c>
      <c r="AA125" s="5">
        <v>12.793829787234042</v>
      </c>
      <c r="AB125" s="5">
        <v>32.09929078014185</v>
      </c>
      <c r="AD125" s="23">
        <v>535.5</v>
      </c>
      <c r="AE125" s="5">
        <f t="shared" si="1"/>
        <v>10.990401143073003</v>
      </c>
    </row>
    <row r="126" spans="1:31" ht="25.5" customHeight="1" x14ac:dyDescent="0.2">
      <c r="A126" s="54"/>
      <c r="B126" s="21" t="s">
        <v>181</v>
      </c>
      <c r="C126" s="22">
        <v>130</v>
      </c>
      <c r="D126" s="22">
        <v>850</v>
      </c>
      <c r="E126" s="22">
        <v>1300</v>
      </c>
      <c r="F126" s="13">
        <v>1.5294117647058822</v>
      </c>
      <c r="G126" s="13">
        <v>1.5294117647058822</v>
      </c>
      <c r="H126" s="22">
        <v>3</v>
      </c>
      <c r="I126" s="22">
        <v>2</v>
      </c>
      <c r="J126" s="22">
        <v>1</v>
      </c>
      <c r="K126" s="13">
        <v>0.50041799620859773</v>
      </c>
      <c r="L126" s="13">
        <v>28.2</v>
      </c>
      <c r="M126" s="13">
        <v>2.42</v>
      </c>
      <c r="N126" s="13">
        <v>462</v>
      </c>
      <c r="O126" s="13">
        <v>0.94200000000000006</v>
      </c>
      <c r="P126" s="13">
        <v>0.6183384615384615</v>
      </c>
      <c r="Q126" s="13">
        <v>383</v>
      </c>
      <c r="R126" s="13">
        <v>0.34781538461538464</v>
      </c>
      <c r="S126" s="13">
        <v>414</v>
      </c>
      <c r="U126" s="35"/>
      <c r="V126" s="24">
        <v>0.28776978417266186</v>
      </c>
      <c r="W126" s="3">
        <v>6.5384615384615383</v>
      </c>
      <c r="X126" s="3"/>
      <c r="Y126" s="5">
        <v>5.1062258592471359</v>
      </c>
      <c r="Z126" s="5">
        <v>8.3980010911074743</v>
      </c>
      <c r="AA126" s="5">
        <v>12.793829787234042</v>
      </c>
      <c r="AB126" s="5">
        <v>39.646808510638294</v>
      </c>
      <c r="AD126" s="23">
        <v>603.25</v>
      </c>
      <c r="AE126" s="5">
        <f t="shared" si="1"/>
        <v>12.380876731202219</v>
      </c>
    </row>
    <row r="127" spans="1:31" ht="25.5" customHeight="1" x14ac:dyDescent="0.2">
      <c r="A127" s="54"/>
      <c r="B127" s="21" t="s">
        <v>182</v>
      </c>
      <c r="C127" s="22">
        <v>130</v>
      </c>
      <c r="D127" s="22">
        <v>850</v>
      </c>
      <c r="E127" s="22">
        <v>1700</v>
      </c>
      <c r="F127" s="13">
        <v>2</v>
      </c>
      <c r="G127" s="13">
        <v>2</v>
      </c>
      <c r="H127" s="22">
        <v>3</v>
      </c>
      <c r="I127" s="22">
        <v>3</v>
      </c>
      <c r="J127" s="22">
        <v>1</v>
      </c>
      <c r="K127" s="13">
        <v>0.19624235145435207</v>
      </c>
      <c r="L127" s="13">
        <v>28.2</v>
      </c>
      <c r="M127" s="13">
        <v>1.55</v>
      </c>
      <c r="N127" s="13">
        <v>584</v>
      </c>
      <c r="O127" s="13">
        <v>0.94200000000000006</v>
      </c>
      <c r="P127" s="13">
        <v>0.6183384615384615</v>
      </c>
      <c r="Q127" s="13">
        <v>383</v>
      </c>
      <c r="R127" s="13">
        <v>0.34781538461538464</v>
      </c>
      <c r="S127" s="13">
        <v>414</v>
      </c>
      <c r="U127" s="35"/>
      <c r="V127" s="24">
        <v>0.28776978417266186</v>
      </c>
      <c r="W127" s="3">
        <v>6.5384615384615383</v>
      </c>
      <c r="X127" s="3"/>
      <c r="Y127" s="5">
        <v>5.1062258592471359</v>
      </c>
      <c r="Z127" s="5">
        <v>8.3980010911074743</v>
      </c>
      <c r="AA127" s="5">
        <v>12.793829787234042</v>
      </c>
      <c r="AB127" s="5">
        <v>32.09929078014185</v>
      </c>
      <c r="AD127" s="23">
        <v>301.5</v>
      </c>
      <c r="AE127" s="5">
        <f t="shared" si="1"/>
        <v>6.1878729124864789</v>
      </c>
    </row>
    <row r="128" spans="1:31" ht="25.5" customHeight="1" x14ac:dyDescent="0.2">
      <c r="A128" s="54"/>
      <c r="B128" s="21" t="s">
        <v>183</v>
      </c>
      <c r="C128" s="22">
        <v>130</v>
      </c>
      <c r="D128" s="22">
        <v>850</v>
      </c>
      <c r="E128" s="22">
        <v>1700</v>
      </c>
      <c r="F128" s="13">
        <v>2</v>
      </c>
      <c r="G128" s="13">
        <v>2</v>
      </c>
      <c r="H128" s="22">
        <v>3</v>
      </c>
      <c r="I128" s="22">
        <v>3</v>
      </c>
      <c r="J128" s="22">
        <v>1</v>
      </c>
      <c r="K128" s="13">
        <v>0.19624235145435207</v>
      </c>
      <c r="L128" s="13">
        <v>28.2</v>
      </c>
      <c r="M128" s="13">
        <v>2.42</v>
      </c>
      <c r="N128" s="13">
        <v>462</v>
      </c>
      <c r="O128" s="13">
        <v>0.94200000000000006</v>
      </c>
      <c r="P128" s="13">
        <v>0.6183384615384615</v>
      </c>
      <c r="Q128" s="13">
        <v>383</v>
      </c>
      <c r="R128" s="13">
        <v>0.34781538461538464</v>
      </c>
      <c r="S128" s="13">
        <v>414</v>
      </c>
      <c r="U128" s="35"/>
      <c r="V128" s="24">
        <v>0.28776978417266186</v>
      </c>
      <c r="W128" s="3">
        <v>6.5384615384615383</v>
      </c>
      <c r="X128" s="3"/>
      <c r="Y128" s="5">
        <v>5.1062258592471359</v>
      </c>
      <c r="Z128" s="5">
        <v>8.3980010911074743</v>
      </c>
      <c r="AA128" s="5">
        <v>12.793829787234042</v>
      </c>
      <c r="AB128" s="5">
        <v>39.646808510638294</v>
      </c>
      <c r="AD128" s="23">
        <v>372.5</v>
      </c>
      <c r="AE128" s="5">
        <f t="shared" si="1"/>
        <v>7.6450502815960659</v>
      </c>
    </row>
    <row r="129" spans="1:31" ht="25.5" customHeight="1" x14ac:dyDescent="0.2">
      <c r="A129" s="54"/>
      <c r="B129" s="21" t="s">
        <v>184</v>
      </c>
      <c r="C129" s="22">
        <v>130</v>
      </c>
      <c r="D129" s="22">
        <v>850</v>
      </c>
      <c r="E129" s="22">
        <v>1700</v>
      </c>
      <c r="F129" s="13">
        <v>2</v>
      </c>
      <c r="G129" s="13">
        <v>2</v>
      </c>
      <c r="H129" s="22">
        <v>3</v>
      </c>
      <c r="I129" s="22">
        <v>2</v>
      </c>
      <c r="J129" s="22">
        <v>1</v>
      </c>
      <c r="K129" s="13">
        <v>0.50041799620859773</v>
      </c>
      <c r="L129" s="13">
        <v>28.2</v>
      </c>
      <c r="M129" s="13">
        <v>1.55</v>
      </c>
      <c r="N129" s="13">
        <v>584</v>
      </c>
      <c r="O129" s="13">
        <v>0.94200000000000006</v>
      </c>
      <c r="P129" s="13">
        <v>0.6183384615384615</v>
      </c>
      <c r="Q129" s="13">
        <v>383</v>
      </c>
      <c r="R129" s="13">
        <v>0.34781538461538464</v>
      </c>
      <c r="S129" s="13">
        <v>414</v>
      </c>
      <c r="U129" s="35"/>
      <c r="V129" s="24">
        <v>0.28776978417266186</v>
      </c>
      <c r="W129" s="3">
        <v>6.5384615384615383</v>
      </c>
      <c r="X129" s="3"/>
      <c r="Y129" s="5">
        <v>5.1062258592471359</v>
      </c>
      <c r="Z129" s="5">
        <v>8.3980010911074743</v>
      </c>
      <c r="AA129" s="5">
        <v>12.793829787234042</v>
      </c>
      <c r="AB129" s="5">
        <v>32.09929078014185</v>
      </c>
      <c r="AD129" s="23">
        <v>445.6</v>
      </c>
      <c r="AE129" s="5">
        <f t="shared" si="1"/>
        <v>9.1453272630314277</v>
      </c>
    </row>
    <row r="130" spans="1:31" ht="25.5" customHeight="1" x14ac:dyDescent="0.2">
      <c r="A130" s="54"/>
      <c r="B130" s="21" t="s">
        <v>185</v>
      </c>
      <c r="C130" s="22">
        <v>130</v>
      </c>
      <c r="D130" s="22">
        <v>850</v>
      </c>
      <c r="E130" s="22">
        <v>1700</v>
      </c>
      <c r="F130" s="13">
        <v>2</v>
      </c>
      <c r="G130" s="13">
        <v>2</v>
      </c>
      <c r="H130" s="22">
        <v>3</v>
      </c>
      <c r="I130" s="22">
        <v>2</v>
      </c>
      <c r="J130" s="22">
        <v>1</v>
      </c>
      <c r="K130" s="13">
        <v>0.50041799620859773</v>
      </c>
      <c r="L130" s="13">
        <v>28.2</v>
      </c>
      <c r="M130" s="13">
        <v>2.42</v>
      </c>
      <c r="N130" s="13">
        <v>462</v>
      </c>
      <c r="O130" s="13">
        <v>0.94200000000000006</v>
      </c>
      <c r="P130" s="13">
        <v>0.6183384615384615</v>
      </c>
      <c r="Q130" s="13">
        <v>383</v>
      </c>
      <c r="R130" s="13">
        <v>0.34781538461538464</v>
      </c>
      <c r="S130" s="13">
        <v>414</v>
      </c>
      <c r="U130" s="35"/>
      <c r="V130" s="24">
        <v>0.28776978417266186</v>
      </c>
      <c r="W130" s="3">
        <v>6.5384615384615383</v>
      </c>
      <c r="X130" s="3"/>
      <c r="Y130" s="5">
        <v>5.1062258592471359</v>
      </c>
      <c r="Z130" s="5">
        <v>8.3980010911074743</v>
      </c>
      <c r="AA130" s="5">
        <v>12.793829787234042</v>
      </c>
      <c r="AB130" s="5">
        <v>39.646808510638294</v>
      </c>
      <c r="AD130" s="23">
        <v>517.85</v>
      </c>
      <c r="AE130" s="5">
        <f t="shared" si="1"/>
        <v>10.628159163287309</v>
      </c>
    </row>
    <row r="131" spans="1:31" ht="25.5" customHeight="1" x14ac:dyDescent="0.2">
      <c r="A131" s="54"/>
      <c r="B131" s="21" t="s">
        <v>186</v>
      </c>
      <c r="C131" s="22">
        <v>130</v>
      </c>
      <c r="D131" s="22">
        <v>850</v>
      </c>
      <c r="E131" s="22">
        <v>2200</v>
      </c>
      <c r="F131" s="13">
        <v>2.5882352941176472</v>
      </c>
      <c r="G131" s="13">
        <v>2.5882352941176472</v>
      </c>
      <c r="H131" s="22">
        <v>3</v>
      </c>
      <c r="I131" s="22">
        <v>3</v>
      </c>
      <c r="J131" s="22">
        <v>1</v>
      </c>
      <c r="K131" s="13">
        <v>0.19624235145435207</v>
      </c>
      <c r="L131" s="13">
        <v>28.2</v>
      </c>
      <c r="M131" s="13">
        <v>1.55</v>
      </c>
      <c r="N131" s="13">
        <v>584</v>
      </c>
      <c r="O131" s="13">
        <v>0.94200000000000006</v>
      </c>
      <c r="P131" s="13">
        <v>0.6183384615384615</v>
      </c>
      <c r="Q131" s="13">
        <v>383</v>
      </c>
      <c r="R131" s="13">
        <v>0.34781538461538464</v>
      </c>
      <c r="S131" s="13">
        <v>414</v>
      </c>
      <c r="U131" s="35"/>
      <c r="V131" s="24">
        <v>0.28776978417266186</v>
      </c>
      <c r="W131" s="3">
        <v>6.5384615384615383</v>
      </c>
      <c r="X131" s="3"/>
      <c r="Y131" s="5">
        <v>5.1062258592471359</v>
      </c>
      <c r="Z131" s="5">
        <v>8.3980010911074743</v>
      </c>
      <c r="AA131" s="5">
        <v>12.793829787234042</v>
      </c>
      <c r="AB131" s="5">
        <v>32.09929078014185</v>
      </c>
      <c r="AD131" s="23">
        <v>243</v>
      </c>
      <c r="AE131" s="5">
        <f t="shared" si="1"/>
        <v>4.9872408548398504</v>
      </c>
    </row>
    <row r="132" spans="1:31" ht="25.5" customHeight="1" x14ac:dyDescent="0.2">
      <c r="A132" s="54"/>
      <c r="B132" s="21" t="s">
        <v>187</v>
      </c>
      <c r="C132" s="22">
        <v>130</v>
      </c>
      <c r="D132" s="22">
        <v>850</v>
      </c>
      <c r="E132" s="22">
        <v>2200</v>
      </c>
      <c r="F132" s="13">
        <v>2.5882352941176472</v>
      </c>
      <c r="G132" s="13">
        <v>2.5882352941176472</v>
      </c>
      <c r="H132" s="22">
        <v>3</v>
      </c>
      <c r="I132" s="22">
        <v>3</v>
      </c>
      <c r="J132" s="22">
        <v>1</v>
      </c>
      <c r="K132" s="13">
        <v>0.19624235145435207</v>
      </c>
      <c r="L132" s="13">
        <v>28.2</v>
      </c>
      <c r="M132" s="13">
        <v>2.42</v>
      </c>
      <c r="N132" s="13">
        <v>462</v>
      </c>
      <c r="O132" s="13">
        <v>0.94200000000000006</v>
      </c>
      <c r="P132" s="13">
        <v>0.6183384615384615</v>
      </c>
      <c r="Q132" s="13">
        <v>383</v>
      </c>
      <c r="R132" s="13">
        <v>0.34781538461538464</v>
      </c>
      <c r="S132" s="13">
        <v>414</v>
      </c>
      <c r="U132" s="35"/>
      <c r="V132" s="24">
        <v>0.28776978417266186</v>
      </c>
      <c r="W132" s="3">
        <v>6.5384615384615383</v>
      </c>
      <c r="X132" s="3"/>
      <c r="Y132" s="5">
        <v>5.1062258592471359</v>
      </c>
      <c r="Z132" s="5">
        <v>8.3980010911074743</v>
      </c>
      <c r="AA132" s="5">
        <v>12.793829787234042</v>
      </c>
      <c r="AB132" s="5">
        <v>39.646808510638294</v>
      </c>
      <c r="AD132" s="23">
        <v>301.5</v>
      </c>
      <c r="AE132" s="5">
        <f t="shared" si="1"/>
        <v>6.1878729124864789</v>
      </c>
    </row>
    <row r="133" spans="1:31" ht="25.5" customHeight="1" x14ac:dyDescent="0.2">
      <c r="A133" s="54"/>
      <c r="B133" s="21" t="s">
        <v>188</v>
      </c>
      <c r="C133" s="22">
        <v>130</v>
      </c>
      <c r="D133" s="22">
        <v>850</v>
      </c>
      <c r="E133" s="22">
        <v>2200</v>
      </c>
      <c r="F133" s="13">
        <v>2.5882352941176472</v>
      </c>
      <c r="G133" s="13">
        <v>2.5882352941176472</v>
      </c>
      <c r="H133" s="22">
        <v>3</v>
      </c>
      <c r="I133" s="22">
        <v>3</v>
      </c>
      <c r="J133" s="22">
        <v>1</v>
      </c>
      <c r="K133" s="13">
        <v>0.50041799620859773</v>
      </c>
      <c r="L133" s="13">
        <v>28.2</v>
      </c>
      <c r="M133" s="13">
        <v>1.55</v>
      </c>
      <c r="N133" s="13">
        <v>584</v>
      </c>
      <c r="O133" s="13">
        <v>0.94200000000000006</v>
      </c>
      <c r="P133" s="13">
        <v>0.6183384615384615</v>
      </c>
      <c r="Q133" s="13">
        <v>383</v>
      </c>
      <c r="R133" s="13">
        <v>0.34781538461538464</v>
      </c>
      <c r="S133" s="13">
        <v>414</v>
      </c>
      <c r="U133" s="35"/>
      <c r="V133" s="24">
        <v>0.28776978417266186</v>
      </c>
      <c r="W133" s="3">
        <v>6.5384615384615383</v>
      </c>
      <c r="X133" s="3"/>
      <c r="Y133" s="5">
        <v>5.1062258592471359</v>
      </c>
      <c r="Z133" s="5">
        <v>8.3980010911074743</v>
      </c>
      <c r="AA133" s="5">
        <v>12.793829787234042</v>
      </c>
      <c r="AB133" s="5">
        <v>32.09929078014185</v>
      </c>
      <c r="AD133" s="23">
        <v>353.15</v>
      </c>
      <c r="AE133" s="5">
        <f t="shared" si="1"/>
        <v>7.2479181394514098</v>
      </c>
    </row>
    <row r="134" spans="1:31" ht="25.5" customHeight="1" x14ac:dyDescent="0.2">
      <c r="A134" s="54"/>
      <c r="B134" s="21" t="s">
        <v>189</v>
      </c>
      <c r="C134" s="22">
        <v>130</v>
      </c>
      <c r="D134" s="22">
        <v>850</v>
      </c>
      <c r="E134" s="22">
        <v>2200</v>
      </c>
      <c r="F134" s="13">
        <v>2.5882352941176472</v>
      </c>
      <c r="G134" s="13">
        <v>2.5882352941176472</v>
      </c>
      <c r="H134" s="22">
        <v>3</v>
      </c>
      <c r="I134" s="22">
        <v>3</v>
      </c>
      <c r="J134" s="22">
        <v>1</v>
      </c>
      <c r="K134" s="13">
        <v>0.50041799620859773</v>
      </c>
      <c r="L134" s="13">
        <v>28.2</v>
      </c>
      <c r="M134" s="13">
        <v>2.42</v>
      </c>
      <c r="N134" s="13">
        <v>462</v>
      </c>
      <c r="O134" s="13">
        <v>0.94200000000000006</v>
      </c>
      <c r="P134" s="13">
        <v>0.6183384615384615</v>
      </c>
      <c r="Q134" s="13">
        <v>383</v>
      </c>
      <c r="R134" s="13">
        <v>0.34781538461538464</v>
      </c>
      <c r="S134" s="13">
        <v>414</v>
      </c>
      <c r="U134" s="35"/>
      <c r="V134" s="24">
        <v>0.28776978417266186</v>
      </c>
      <c r="W134" s="3">
        <v>6.5384615384615383</v>
      </c>
      <c r="X134" s="3"/>
      <c r="Y134" s="5">
        <v>5.1062258592471359</v>
      </c>
      <c r="Z134" s="5">
        <v>8.3980010911074743</v>
      </c>
      <c r="AA134" s="5">
        <v>12.793829787234042</v>
      </c>
      <c r="AB134" s="5">
        <v>39.646808510638294</v>
      </c>
      <c r="AD134" s="23">
        <v>372.65</v>
      </c>
      <c r="AE134" s="5">
        <f t="shared" ref="AE134:AE197" si="2">AD134*1000/C134/D134*145.038/SQRT(145.038*L134)</f>
        <v>7.6481288253336208</v>
      </c>
    </row>
    <row r="135" spans="1:31" ht="25.5" customHeight="1" x14ac:dyDescent="0.2">
      <c r="A135" s="53" t="s">
        <v>190</v>
      </c>
      <c r="B135" s="36" t="s">
        <v>191</v>
      </c>
      <c r="C135" s="22">
        <v>120</v>
      </c>
      <c r="D135" s="22">
        <v>1000</v>
      </c>
      <c r="E135" s="22">
        <v>2000</v>
      </c>
      <c r="F135" s="13">
        <v>1</v>
      </c>
      <c r="G135" s="13">
        <v>2</v>
      </c>
      <c r="H135" s="22">
        <v>1</v>
      </c>
      <c r="I135" s="22">
        <v>1</v>
      </c>
      <c r="J135" s="22">
        <v>2</v>
      </c>
      <c r="K135" s="13">
        <v>0</v>
      </c>
      <c r="L135" s="13">
        <v>19.399999999999999</v>
      </c>
      <c r="M135" s="13">
        <v>9.7785467128027683</v>
      </c>
      <c r="N135" s="13">
        <v>392</v>
      </c>
      <c r="O135" s="13">
        <v>0</v>
      </c>
      <c r="P135" s="13">
        <v>0.13100000000000001</v>
      </c>
      <c r="Q135" s="13">
        <v>392</v>
      </c>
      <c r="R135" s="13">
        <v>0.251</v>
      </c>
      <c r="S135" s="13">
        <v>392</v>
      </c>
      <c r="U135" s="6"/>
      <c r="V135" s="24">
        <v>8.9436765009284089E-2</v>
      </c>
      <c r="W135" s="3">
        <v>8.3333333333333339</v>
      </c>
      <c r="X135" s="6"/>
      <c r="Y135" s="5">
        <v>5.0717525773195877</v>
      </c>
      <c r="Z135" s="5">
        <v>2.6470103092783508</v>
      </c>
      <c r="AA135" s="5">
        <v>0</v>
      </c>
      <c r="AB135" s="5">
        <v>197.58712945457142</v>
      </c>
      <c r="AD135" s="24">
        <v>196.4579</v>
      </c>
      <c r="AE135" s="5">
        <f t="shared" si="2"/>
        <v>4.476393821401067</v>
      </c>
    </row>
    <row r="136" spans="1:31" ht="25.5" customHeight="1" x14ac:dyDescent="0.2">
      <c r="A136" s="54"/>
      <c r="B136" s="36" t="s">
        <v>192</v>
      </c>
      <c r="C136" s="22">
        <v>120</v>
      </c>
      <c r="D136" s="22">
        <v>1000</v>
      </c>
      <c r="E136" s="22">
        <v>2000</v>
      </c>
      <c r="F136" s="13">
        <v>1</v>
      </c>
      <c r="G136" s="13">
        <v>2</v>
      </c>
      <c r="H136" s="22">
        <v>1</v>
      </c>
      <c r="I136" s="22">
        <v>1</v>
      </c>
      <c r="J136" s="22">
        <v>2</v>
      </c>
      <c r="K136" s="13">
        <v>0</v>
      </c>
      <c r="L136" s="13">
        <v>19.600000000000001</v>
      </c>
      <c r="M136" s="13">
        <v>9.7785467128027683</v>
      </c>
      <c r="N136" s="13">
        <v>402</v>
      </c>
      <c r="O136" s="13">
        <v>0</v>
      </c>
      <c r="P136" s="13">
        <v>0.245</v>
      </c>
      <c r="Q136" s="13">
        <v>402</v>
      </c>
      <c r="R136" s="13">
        <v>0.251</v>
      </c>
      <c r="S136" s="13">
        <v>402</v>
      </c>
      <c r="U136" s="6"/>
      <c r="V136" s="24">
        <v>8.9436765009284089E-2</v>
      </c>
      <c r="W136" s="3">
        <v>8.3333333333333339</v>
      </c>
      <c r="X136" s="6"/>
      <c r="Y136" s="5">
        <v>5.1480612244897959</v>
      </c>
      <c r="Z136" s="5">
        <v>5.0249999999999995</v>
      </c>
      <c r="AA136" s="5">
        <v>0</v>
      </c>
      <c r="AB136" s="5">
        <v>200.55998870136287</v>
      </c>
      <c r="AD136" s="24">
        <v>268.30990000000003</v>
      </c>
      <c r="AE136" s="5">
        <f t="shared" si="2"/>
        <v>6.0823067176113925</v>
      </c>
    </row>
    <row r="137" spans="1:31" ht="25.5" customHeight="1" x14ac:dyDescent="0.2">
      <c r="A137" s="54"/>
      <c r="B137" s="36" t="s">
        <v>193</v>
      </c>
      <c r="C137" s="22">
        <v>120</v>
      </c>
      <c r="D137" s="22">
        <v>1000</v>
      </c>
      <c r="E137" s="22">
        <v>2000</v>
      </c>
      <c r="F137" s="13">
        <v>1</v>
      </c>
      <c r="G137" s="13">
        <v>2</v>
      </c>
      <c r="H137" s="22">
        <v>1</v>
      </c>
      <c r="I137" s="22">
        <v>1</v>
      </c>
      <c r="J137" s="22">
        <v>2</v>
      </c>
      <c r="K137" s="13">
        <v>0</v>
      </c>
      <c r="L137" s="13">
        <v>19.5</v>
      </c>
      <c r="M137" s="13">
        <v>12.072279892349096</v>
      </c>
      <c r="N137" s="13">
        <v>402</v>
      </c>
      <c r="O137" s="13">
        <v>0</v>
      </c>
      <c r="P137" s="13">
        <v>0.38100000000000001</v>
      </c>
      <c r="Q137" s="13">
        <v>402</v>
      </c>
      <c r="R137" s="13">
        <v>0.251</v>
      </c>
      <c r="S137" s="13">
        <v>402</v>
      </c>
      <c r="U137" s="6"/>
      <c r="V137" s="24">
        <v>8.9436765009284089E-2</v>
      </c>
      <c r="W137" s="3">
        <v>8.3333333333333339</v>
      </c>
      <c r="X137" s="6"/>
      <c r="Y137" s="5">
        <v>5.1744615384615384</v>
      </c>
      <c r="Z137" s="5">
        <v>7.854461538461539</v>
      </c>
      <c r="AA137" s="5">
        <v>0</v>
      </c>
      <c r="AB137" s="5">
        <v>248.87469316535061</v>
      </c>
      <c r="AD137" s="24">
        <v>321.43370000000004</v>
      </c>
      <c r="AE137" s="5">
        <f t="shared" si="2"/>
        <v>7.3052276954886279</v>
      </c>
    </row>
    <row r="138" spans="1:31" ht="25.5" customHeight="1" x14ac:dyDescent="0.2">
      <c r="A138" s="54"/>
      <c r="B138" s="36" t="s">
        <v>194</v>
      </c>
      <c r="C138" s="22">
        <v>120</v>
      </c>
      <c r="D138" s="22">
        <v>1300</v>
      </c>
      <c r="E138" s="22">
        <v>1800</v>
      </c>
      <c r="F138" s="13">
        <v>0.69</v>
      </c>
      <c r="G138" s="13">
        <v>1.3846153846153846</v>
      </c>
      <c r="H138" s="22">
        <v>1</v>
      </c>
      <c r="I138" s="22">
        <v>1</v>
      </c>
      <c r="J138" s="22">
        <v>2</v>
      </c>
      <c r="K138" s="13">
        <v>0</v>
      </c>
      <c r="L138" s="13">
        <v>17.600000000000001</v>
      </c>
      <c r="M138" s="13">
        <v>9.7785467128027683</v>
      </c>
      <c r="N138" s="13">
        <v>314</v>
      </c>
      <c r="O138" s="13">
        <v>0</v>
      </c>
      <c r="P138" s="13">
        <v>0.13100000000000001</v>
      </c>
      <c r="Q138" s="13">
        <v>314</v>
      </c>
      <c r="R138" s="13">
        <v>0.25900000000000001</v>
      </c>
      <c r="S138" s="13">
        <v>314</v>
      </c>
      <c r="U138" s="6"/>
      <c r="V138" s="24">
        <v>6.8299984244524978E-2</v>
      </c>
      <c r="W138" s="3">
        <v>10.833333333333334</v>
      </c>
      <c r="X138" s="6"/>
      <c r="Y138" s="5">
        <v>4.6207954545454548</v>
      </c>
      <c r="Z138" s="5">
        <v>2.3371590909090907</v>
      </c>
      <c r="AA138" s="5">
        <v>0</v>
      </c>
      <c r="AB138" s="5">
        <v>174.45816294432208</v>
      </c>
      <c r="AD138" s="24">
        <v>309.46825000000001</v>
      </c>
      <c r="AE138" s="5">
        <f t="shared" si="2"/>
        <v>5.6947684198316706</v>
      </c>
    </row>
    <row r="139" spans="1:31" ht="25.5" customHeight="1" x14ac:dyDescent="0.2">
      <c r="A139" s="54"/>
      <c r="B139" s="36" t="s">
        <v>195</v>
      </c>
      <c r="C139" s="22">
        <v>120</v>
      </c>
      <c r="D139" s="22">
        <v>1300</v>
      </c>
      <c r="E139" s="22">
        <v>1800</v>
      </c>
      <c r="F139" s="13">
        <v>0.69</v>
      </c>
      <c r="G139" s="13">
        <v>1.3846153846153846</v>
      </c>
      <c r="H139" s="22">
        <v>1</v>
      </c>
      <c r="I139" s="22">
        <v>1</v>
      </c>
      <c r="J139" s="22">
        <v>2</v>
      </c>
      <c r="K139" s="13">
        <v>0</v>
      </c>
      <c r="L139" s="13">
        <v>18.100000000000001</v>
      </c>
      <c r="M139" s="13">
        <v>9.7785467128027683</v>
      </c>
      <c r="N139" s="13">
        <v>471</v>
      </c>
      <c r="O139" s="13">
        <v>0</v>
      </c>
      <c r="P139" s="13">
        <v>0.246</v>
      </c>
      <c r="Q139" s="13">
        <v>471</v>
      </c>
      <c r="R139" s="13">
        <v>0.125</v>
      </c>
      <c r="S139" s="13">
        <v>471</v>
      </c>
      <c r="U139" s="6"/>
      <c r="V139" s="24">
        <v>6.8299984244524978E-2</v>
      </c>
      <c r="W139" s="3">
        <v>10.833333333333334</v>
      </c>
      <c r="X139" s="6"/>
      <c r="Y139" s="5">
        <v>3.2527624309392262</v>
      </c>
      <c r="Z139" s="5">
        <v>6.4014364640883974</v>
      </c>
      <c r="AA139" s="5">
        <v>0</v>
      </c>
      <c r="AB139" s="5">
        <v>254.45831501271292</v>
      </c>
      <c r="AD139" s="24">
        <v>359.63760000000002</v>
      </c>
      <c r="AE139" s="5">
        <f t="shared" si="2"/>
        <v>6.5259254194953709</v>
      </c>
    </row>
    <row r="140" spans="1:31" ht="25.5" customHeight="1" x14ac:dyDescent="0.2">
      <c r="A140" s="54"/>
      <c r="B140" s="36" t="s">
        <v>196</v>
      </c>
      <c r="C140" s="22">
        <v>120</v>
      </c>
      <c r="D140" s="22">
        <v>1300</v>
      </c>
      <c r="E140" s="22">
        <v>1800</v>
      </c>
      <c r="F140" s="13">
        <v>0.69</v>
      </c>
      <c r="G140" s="13">
        <v>1.3846153846153846</v>
      </c>
      <c r="H140" s="22">
        <v>1</v>
      </c>
      <c r="I140" s="22">
        <v>1</v>
      </c>
      <c r="J140" s="22">
        <v>2</v>
      </c>
      <c r="K140" s="13">
        <v>0</v>
      </c>
      <c r="L140" s="13">
        <v>15.7</v>
      </c>
      <c r="M140" s="13">
        <v>9.7785467128027683</v>
      </c>
      <c r="N140" s="13">
        <v>471</v>
      </c>
      <c r="O140" s="13">
        <v>0</v>
      </c>
      <c r="P140" s="13">
        <v>0.246</v>
      </c>
      <c r="Q140" s="13">
        <v>471</v>
      </c>
      <c r="R140" s="13">
        <v>0.25900000000000001</v>
      </c>
      <c r="S140" s="13">
        <v>471</v>
      </c>
      <c r="U140" s="6"/>
      <c r="V140" s="24">
        <v>6.8299984244524978E-2</v>
      </c>
      <c r="W140" s="3">
        <v>10.833333333333334</v>
      </c>
      <c r="X140" s="6"/>
      <c r="Y140" s="5">
        <v>7.7700000000000005</v>
      </c>
      <c r="Z140" s="5">
        <v>7.38</v>
      </c>
      <c r="AA140" s="5">
        <v>0</v>
      </c>
      <c r="AB140" s="5">
        <v>293.35640138408309</v>
      </c>
      <c r="AD140" s="24">
        <v>371.65129999999999</v>
      </c>
      <c r="AE140" s="5">
        <f t="shared" si="2"/>
        <v>7.2410597802957781</v>
      </c>
    </row>
    <row r="141" spans="1:31" ht="25.5" customHeight="1" x14ac:dyDescent="0.2">
      <c r="A141" s="54"/>
      <c r="B141" s="36" t="s">
        <v>197</v>
      </c>
      <c r="C141" s="22">
        <v>100</v>
      </c>
      <c r="D141" s="22">
        <v>1300</v>
      </c>
      <c r="E141" s="22">
        <v>1800</v>
      </c>
      <c r="F141" s="13">
        <v>0.69</v>
      </c>
      <c r="G141" s="13">
        <v>1.3846153846153846</v>
      </c>
      <c r="H141" s="22">
        <v>1</v>
      </c>
      <c r="I141" s="22">
        <v>1</v>
      </c>
      <c r="J141" s="22">
        <v>2</v>
      </c>
      <c r="K141" s="13">
        <v>0</v>
      </c>
      <c r="L141" s="13">
        <v>17.600000000000001</v>
      </c>
      <c r="M141" s="13">
        <v>9.7785467128027683</v>
      </c>
      <c r="N141" s="13">
        <v>366</v>
      </c>
      <c r="O141" s="13">
        <v>0</v>
      </c>
      <c r="P141" s="13">
        <v>0.255</v>
      </c>
      <c r="Q141" s="13">
        <v>366</v>
      </c>
      <c r="R141" s="13">
        <v>0.255</v>
      </c>
      <c r="S141" s="13">
        <v>366</v>
      </c>
      <c r="U141" s="6"/>
      <c r="V141" s="24">
        <v>7.9780381571682712E-2</v>
      </c>
      <c r="W141" s="3">
        <v>13</v>
      </c>
      <c r="X141" s="6"/>
      <c r="Y141" s="5">
        <v>5.302840909090909</v>
      </c>
      <c r="Z141" s="5">
        <v>5.302840909090909</v>
      </c>
      <c r="AA141" s="5">
        <v>0</v>
      </c>
      <c r="AB141" s="5">
        <v>203.34932368669394</v>
      </c>
      <c r="AD141" s="24">
        <v>271.00514999999996</v>
      </c>
      <c r="AE141" s="5">
        <f t="shared" si="2"/>
        <v>5.9843744351741854</v>
      </c>
    </row>
    <row r="142" spans="1:31" ht="25.5" customHeight="1" x14ac:dyDescent="0.2">
      <c r="A142" s="54"/>
      <c r="B142" s="36" t="s">
        <v>198</v>
      </c>
      <c r="C142" s="22">
        <v>80</v>
      </c>
      <c r="D142" s="22">
        <v>1300</v>
      </c>
      <c r="E142" s="22">
        <v>1800</v>
      </c>
      <c r="F142" s="13">
        <v>0.69</v>
      </c>
      <c r="G142" s="13">
        <v>1.3846153846153846</v>
      </c>
      <c r="H142" s="22">
        <v>1</v>
      </c>
      <c r="I142" s="22">
        <v>1</v>
      </c>
      <c r="J142" s="22">
        <v>2</v>
      </c>
      <c r="K142" s="13">
        <v>0</v>
      </c>
      <c r="L142" s="13">
        <v>16.399999999999999</v>
      </c>
      <c r="M142" s="13">
        <v>7.7262591311034221</v>
      </c>
      <c r="N142" s="13">
        <v>367</v>
      </c>
      <c r="O142" s="13">
        <v>0</v>
      </c>
      <c r="P142" s="13">
        <v>0.25</v>
      </c>
      <c r="Q142" s="13">
        <v>367</v>
      </c>
      <c r="R142" s="13">
        <v>0.25</v>
      </c>
      <c r="S142" s="13">
        <v>367</v>
      </c>
      <c r="U142" s="6"/>
      <c r="V142" s="24">
        <v>9.5900007374087451E-2</v>
      </c>
      <c r="W142" s="3">
        <v>16.25</v>
      </c>
      <c r="X142" s="6"/>
      <c r="Y142" s="5">
        <v>5.5945121951219514</v>
      </c>
      <c r="Z142" s="5">
        <v>5.5945121951219514</v>
      </c>
      <c r="AA142" s="5">
        <v>0</v>
      </c>
      <c r="AB142" s="5">
        <v>172.89860372652171</v>
      </c>
      <c r="AD142" s="24">
        <v>199</v>
      </c>
      <c r="AE142" s="5">
        <f t="shared" si="2"/>
        <v>5.6903465233338553</v>
      </c>
    </row>
    <row r="143" spans="1:31" ht="25.5" customHeight="1" x14ac:dyDescent="0.2">
      <c r="A143" s="54"/>
      <c r="B143" s="36" t="s">
        <v>199</v>
      </c>
      <c r="C143" s="22">
        <v>100</v>
      </c>
      <c r="D143" s="22">
        <v>1400</v>
      </c>
      <c r="E143" s="22">
        <v>1400</v>
      </c>
      <c r="F143" s="13">
        <v>0.5</v>
      </c>
      <c r="G143" s="13">
        <v>1</v>
      </c>
      <c r="H143" s="22">
        <v>1</v>
      </c>
      <c r="I143" s="22">
        <v>1</v>
      </c>
      <c r="J143" s="22">
        <v>2</v>
      </c>
      <c r="K143" s="13">
        <v>0</v>
      </c>
      <c r="L143" s="13">
        <v>16.3</v>
      </c>
      <c r="M143" s="13">
        <v>7.7262591311034221</v>
      </c>
      <c r="N143" s="13">
        <v>362</v>
      </c>
      <c r="O143" s="13">
        <v>0</v>
      </c>
      <c r="P143" s="13">
        <v>0.127</v>
      </c>
      <c r="Q143" s="13">
        <v>362</v>
      </c>
      <c r="R143" s="13">
        <v>0.255</v>
      </c>
      <c r="S143" s="13">
        <v>362</v>
      </c>
      <c r="U143" s="6"/>
      <c r="V143" s="24">
        <v>7.4098341974816254E-2</v>
      </c>
      <c r="W143" s="3">
        <v>14</v>
      </c>
      <c r="X143" s="6"/>
      <c r="Y143" s="5">
        <v>5.6631901840490793</v>
      </c>
      <c r="Z143" s="5">
        <v>2.8204907975460123</v>
      </c>
      <c r="AA143" s="5">
        <v>0</v>
      </c>
      <c r="AB143" s="5">
        <v>171.58931321837048</v>
      </c>
      <c r="AD143" s="24">
        <v>249.36567754250001</v>
      </c>
      <c r="AE143" s="5">
        <f t="shared" si="2"/>
        <v>5.3131948217114218</v>
      </c>
    </row>
    <row r="144" spans="1:31" ht="25.5" customHeight="1" x14ac:dyDescent="0.2">
      <c r="A144" s="54"/>
      <c r="B144" s="36" t="s">
        <v>200</v>
      </c>
      <c r="C144" s="22">
        <v>100</v>
      </c>
      <c r="D144" s="22">
        <v>1400</v>
      </c>
      <c r="E144" s="22">
        <v>1400</v>
      </c>
      <c r="F144" s="13">
        <v>0.5</v>
      </c>
      <c r="G144" s="13">
        <v>1</v>
      </c>
      <c r="H144" s="22">
        <v>1</v>
      </c>
      <c r="I144" s="22">
        <v>1</v>
      </c>
      <c r="J144" s="22">
        <v>2</v>
      </c>
      <c r="K144" s="13">
        <v>0</v>
      </c>
      <c r="L144" s="13">
        <v>17</v>
      </c>
      <c r="M144" s="13">
        <v>7.7262591311034221</v>
      </c>
      <c r="N144" s="13">
        <v>366</v>
      </c>
      <c r="O144" s="13">
        <v>0</v>
      </c>
      <c r="P144" s="13">
        <v>0.255</v>
      </c>
      <c r="Q144" s="13">
        <v>366</v>
      </c>
      <c r="R144" s="13">
        <v>0.127</v>
      </c>
      <c r="S144" s="13">
        <v>366</v>
      </c>
      <c r="U144" s="6"/>
      <c r="V144" s="24">
        <v>7.4098341974816254E-2</v>
      </c>
      <c r="W144" s="3">
        <v>14</v>
      </c>
      <c r="X144" s="6"/>
      <c r="Y144" s="5">
        <v>2.7342352941176471</v>
      </c>
      <c r="Z144" s="5">
        <v>5.49</v>
      </c>
      <c r="AA144" s="5">
        <v>0</v>
      </c>
      <c r="AB144" s="5">
        <v>166.34181423434427</v>
      </c>
      <c r="AD144" s="24">
        <v>319.5420178425</v>
      </c>
      <c r="AE144" s="5">
        <f t="shared" si="2"/>
        <v>6.6667839038147703</v>
      </c>
    </row>
    <row r="145" spans="1:31" ht="25.5" customHeight="1" x14ac:dyDescent="0.2">
      <c r="A145" s="54"/>
      <c r="B145" s="36" t="s">
        <v>201</v>
      </c>
      <c r="C145" s="22">
        <v>100</v>
      </c>
      <c r="D145" s="22">
        <v>1400</v>
      </c>
      <c r="E145" s="22">
        <v>1400</v>
      </c>
      <c r="F145" s="13">
        <v>0.5</v>
      </c>
      <c r="G145" s="13">
        <v>1</v>
      </c>
      <c r="H145" s="22">
        <v>1</v>
      </c>
      <c r="I145" s="22">
        <v>1</v>
      </c>
      <c r="J145" s="22">
        <v>2</v>
      </c>
      <c r="K145" s="13">
        <v>0</v>
      </c>
      <c r="L145" s="13">
        <v>18.100000000000001</v>
      </c>
      <c r="M145" s="13">
        <v>7.7262591311034221</v>
      </c>
      <c r="N145" s="13">
        <v>370</v>
      </c>
      <c r="O145" s="13">
        <v>0</v>
      </c>
      <c r="P145" s="13">
        <v>0.255</v>
      </c>
      <c r="Q145" s="13">
        <v>370</v>
      </c>
      <c r="R145" s="13">
        <v>0.255</v>
      </c>
      <c r="S145" s="13">
        <v>370</v>
      </c>
      <c r="U145" s="6"/>
      <c r="V145" s="24">
        <v>7.4098341974816254E-2</v>
      </c>
      <c r="W145" s="3">
        <v>14</v>
      </c>
      <c r="X145" s="6"/>
      <c r="Y145" s="5">
        <v>5.2127071823204423</v>
      </c>
      <c r="Z145" s="5">
        <v>5.2127071823204423</v>
      </c>
      <c r="AA145" s="5">
        <v>0</v>
      </c>
      <c r="AB145" s="5">
        <v>157.94010378498706</v>
      </c>
      <c r="AD145" s="24">
        <v>300.85000000000002</v>
      </c>
      <c r="AE145" s="5">
        <f t="shared" si="2"/>
        <v>6.0830809233479242</v>
      </c>
    </row>
    <row r="146" spans="1:31" ht="25.5" customHeight="1" x14ac:dyDescent="0.2">
      <c r="A146" s="54"/>
      <c r="B146" s="36" t="s">
        <v>202</v>
      </c>
      <c r="C146" s="22">
        <v>80</v>
      </c>
      <c r="D146" s="22">
        <v>1700</v>
      </c>
      <c r="E146" s="22">
        <v>1200</v>
      </c>
      <c r="F146" s="13">
        <v>0.35</v>
      </c>
      <c r="G146" s="13">
        <v>0.70588235294117652</v>
      </c>
      <c r="H146" s="22">
        <v>1</v>
      </c>
      <c r="I146" s="22">
        <v>1</v>
      </c>
      <c r="J146" s="22">
        <v>2</v>
      </c>
      <c r="K146" s="13">
        <v>0</v>
      </c>
      <c r="L146" s="13">
        <v>17.100000000000001</v>
      </c>
      <c r="M146" s="13">
        <v>5.9154171472510573</v>
      </c>
      <c r="N146" s="13">
        <v>366</v>
      </c>
      <c r="O146" s="13">
        <v>0</v>
      </c>
      <c r="P146" s="13">
        <v>0.125</v>
      </c>
      <c r="Q146" s="13">
        <v>366</v>
      </c>
      <c r="R146" s="13">
        <v>0.25</v>
      </c>
      <c r="S146" s="13">
        <v>366</v>
      </c>
      <c r="U146" s="6"/>
      <c r="V146" s="24">
        <v>7.4056147144240081E-2</v>
      </c>
      <c r="W146" s="3">
        <v>21.25</v>
      </c>
      <c r="X146" s="6"/>
      <c r="Y146" s="5">
        <v>5.3508771929824555</v>
      </c>
      <c r="Z146" s="5">
        <v>2.6754385964912277</v>
      </c>
      <c r="AA146" s="5">
        <v>0</v>
      </c>
      <c r="AB146" s="5">
        <v>126.6106828008121</v>
      </c>
      <c r="AD146" s="24">
        <v>257.5</v>
      </c>
      <c r="AE146" s="5">
        <f t="shared" si="2"/>
        <v>5.5141829494926098</v>
      </c>
    </row>
    <row r="147" spans="1:31" ht="25.5" customHeight="1" x14ac:dyDescent="0.2">
      <c r="A147" s="54"/>
      <c r="B147" s="36" t="s">
        <v>203</v>
      </c>
      <c r="C147" s="22">
        <v>80</v>
      </c>
      <c r="D147" s="22">
        <v>1700</v>
      </c>
      <c r="E147" s="22">
        <v>1200</v>
      </c>
      <c r="F147" s="13">
        <v>0.35</v>
      </c>
      <c r="G147" s="13">
        <v>0.70588235294117652</v>
      </c>
      <c r="H147" s="22">
        <v>1</v>
      </c>
      <c r="I147" s="22">
        <v>1</v>
      </c>
      <c r="J147" s="22">
        <v>2</v>
      </c>
      <c r="K147" s="13">
        <v>0</v>
      </c>
      <c r="L147" s="13">
        <v>19</v>
      </c>
      <c r="M147" s="13">
        <v>5.9154171472510573</v>
      </c>
      <c r="N147" s="13">
        <v>366</v>
      </c>
      <c r="O147" s="13">
        <v>0</v>
      </c>
      <c r="P147" s="13">
        <v>0.25</v>
      </c>
      <c r="Q147" s="13">
        <v>366</v>
      </c>
      <c r="R147" s="13">
        <v>0.125</v>
      </c>
      <c r="S147" s="13">
        <v>366</v>
      </c>
      <c r="U147" s="6"/>
      <c r="V147" s="24">
        <v>7.4056147144240081E-2</v>
      </c>
      <c r="W147" s="3">
        <v>21.25</v>
      </c>
      <c r="X147" s="6"/>
      <c r="Y147" s="5">
        <v>2.4078947368421053</v>
      </c>
      <c r="Z147" s="5">
        <v>4.8157894736842106</v>
      </c>
      <c r="AA147" s="5">
        <v>0</v>
      </c>
      <c r="AB147" s="5">
        <v>113.94961452073089</v>
      </c>
      <c r="AD147" s="24">
        <v>373.25976715249999</v>
      </c>
      <c r="AE147" s="5">
        <f t="shared" si="2"/>
        <v>7.582918236148279</v>
      </c>
    </row>
    <row r="148" spans="1:31" ht="25.5" customHeight="1" x14ac:dyDescent="0.2">
      <c r="A148" s="54"/>
      <c r="B148" s="36" t="s">
        <v>204</v>
      </c>
      <c r="C148" s="22">
        <v>80</v>
      </c>
      <c r="D148" s="22">
        <v>1700</v>
      </c>
      <c r="E148" s="22">
        <v>1200</v>
      </c>
      <c r="F148" s="13">
        <v>0.35</v>
      </c>
      <c r="G148" s="13">
        <v>0.70588235294117652</v>
      </c>
      <c r="H148" s="22">
        <v>1</v>
      </c>
      <c r="I148" s="22">
        <v>1</v>
      </c>
      <c r="J148" s="22">
        <v>2</v>
      </c>
      <c r="K148" s="13">
        <v>0</v>
      </c>
      <c r="L148" s="13">
        <v>18.8</v>
      </c>
      <c r="M148" s="13">
        <v>5.9154171472510573</v>
      </c>
      <c r="N148" s="13">
        <v>366</v>
      </c>
      <c r="O148" s="13">
        <v>0</v>
      </c>
      <c r="P148" s="13">
        <v>0.25</v>
      </c>
      <c r="Q148" s="13">
        <v>366</v>
      </c>
      <c r="R148" s="13">
        <v>0.25</v>
      </c>
      <c r="S148" s="13">
        <v>366</v>
      </c>
      <c r="U148" s="6"/>
      <c r="V148" s="24">
        <v>7.4056147144240081E-2</v>
      </c>
      <c r="W148" s="3">
        <v>21.25</v>
      </c>
      <c r="X148" s="6"/>
      <c r="Y148" s="5">
        <v>4.8670212765957448</v>
      </c>
      <c r="Z148" s="5">
        <v>4.8670212765957448</v>
      </c>
      <c r="AA148" s="5">
        <v>0</v>
      </c>
      <c r="AB148" s="5">
        <v>115.1618444624408</v>
      </c>
      <c r="AD148" s="24">
        <v>375.96554779999997</v>
      </c>
      <c r="AE148" s="5">
        <f t="shared" si="2"/>
        <v>7.6784068088276545</v>
      </c>
    </row>
    <row r="149" spans="1:31" ht="25.5" customHeight="1" x14ac:dyDescent="0.2">
      <c r="A149" s="20" t="s">
        <v>205</v>
      </c>
      <c r="B149" s="36" t="s">
        <v>206</v>
      </c>
      <c r="C149" s="22">
        <v>160</v>
      </c>
      <c r="D149" s="22">
        <v>1300</v>
      </c>
      <c r="E149" s="22">
        <v>2600</v>
      </c>
      <c r="F149" s="13">
        <v>2</v>
      </c>
      <c r="G149" s="13">
        <v>2</v>
      </c>
      <c r="H149" s="22">
        <v>1</v>
      </c>
      <c r="I149" s="22">
        <v>3</v>
      </c>
      <c r="J149" s="22">
        <v>1</v>
      </c>
      <c r="K149" s="13">
        <v>0.16254438474107591</v>
      </c>
      <c r="L149" s="13">
        <v>48.960000000000008</v>
      </c>
      <c r="M149" s="13">
        <v>1.5642066420664207</v>
      </c>
      <c r="N149" s="13">
        <v>468</v>
      </c>
      <c r="O149" s="13">
        <v>0.83775804095727824</v>
      </c>
      <c r="P149" s="13">
        <v>1.2566370614359172</v>
      </c>
      <c r="Q149" s="13">
        <v>475</v>
      </c>
      <c r="R149" s="13">
        <v>0.33156650697517609</v>
      </c>
      <c r="S149" s="13">
        <v>475</v>
      </c>
      <c r="U149" s="6"/>
      <c r="V149" s="24">
        <v>0.20846153846153845</v>
      </c>
      <c r="W149" s="3">
        <v>8.125</v>
      </c>
      <c r="X149" s="6"/>
      <c r="Y149" s="5">
        <v>3.2167910705312215</v>
      </c>
      <c r="Z149" s="5">
        <v>12.19163815731333</v>
      </c>
      <c r="AA149" s="5">
        <v>8.1277587715422204</v>
      </c>
      <c r="AB149" s="5">
        <v>14.951975255046667</v>
      </c>
      <c r="AD149" s="24">
        <v>600</v>
      </c>
      <c r="AE149" s="5">
        <f t="shared" si="2"/>
        <v>4.9648726366814779</v>
      </c>
    </row>
    <row r="150" spans="1:31" ht="25.5" customHeight="1" x14ac:dyDescent="0.2">
      <c r="A150" s="53" t="s">
        <v>207</v>
      </c>
      <c r="B150" s="36" t="s">
        <v>208</v>
      </c>
      <c r="C150" s="22">
        <v>75</v>
      </c>
      <c r="D150" s="22">
        <v>700</v>
      </c>
      <c r="E150" s="22">
        <v>1600</v>
      </c>
      <c r="F150" s="13">
        <v>2.5</v>
      </c>
      <c r="G150" s="13">
        <v>2.2857142857142856</v>
      </c>
      <c r="H150" s="22">
        <v>1</v>
      </c>
      <c r="I150" s="22">
        <v>2</v>
      </c>
      <c r="J150" s="22">
        <v>1</v>
      </c>
      <c r="K150" s="13">
        <v>0.15</v>
      </c>
      <c r="L150" s="13">
        <v>27.4</v>
      </c>
      <c r="M150" s="13">
        <v>3.3912</v>
      </c>
      <c r="N150" s="13">
        <v>469.2</v>
      </c>
      <c r="O150" s="13">
        <v>0</v>
      </c>
      <c r="P150" s="13">
        <v>0.46157999999999999</v>
      </c>
      <c r="Q150" s="13">
        <v>523.9</v>
      </c>
      <c r="R150" s="13">
        <v>0.80420000000000003</v>
      </c>
      <c r="S150" s="13">
        <v>445.6</v>
      </c>
      <c r="U150" s="6"/>
      <c r="V150" s="24">
        <v>0.14285714285714285</v>
      </c>
      <c r="W150" s="3">
        <v>9.3333333333333339</v>
      </c>
      <c r="X150" s="6"/>
      <c r="Y150" s="5">
        <v>13.078522627737229</v>
      </c>
      <c r="Z150" s="5">
        <v>8.8256117518248178</v>
      </c>
      <c r="AA150" s="5">
        <v>0</v>
      </c>
      <c r="AB150" s="5">
        <v>58.071205839416059</v>
      </c>
      <c r="AD150" s="24">
        <v>110.51133575424478</v>
      </c>
      <c r="AE150" s="5">
        <f t="shared" si="2"/>
        <v>4.8429852313802932</v>
      </c>
    </row>
    <row r="151" spans="1:31" ht="25.5" customHeight="1" x14ac:dyDescent="0.2">
      <c r="A151" s="54"/>
      <c r="B151" s="36" t="s">
        <v>209</v>
      </c>
      <c r="C151" s="22">
        <v>100</v>
      </c>
      <c r="D151" s="22">
        <v>700</v>
      </c>
      <c r="E151" s="22">
        <v>1180</v>
      </c>
      <c r="F151" s="13">
        <v>1.9</v>
      </c>
      <c r="G151" s="13">
        <v>1.6857142857142857</v>
      </c>
      <c r="H151" s="22">
        <v>1</v>
      </c>
      <c r="I151" s="22">
        <v>2</v>
      </c>
      <c r="J151" s="22">
        <v>1</v>
      </c>
      <c r="K151" s="13">
        <v>0.15</v>
      </c>
      <c r="L151" s="13">
        <v>27.4</v>
      </c>
      <c r="M151" s="13">
        <v>3.14</v>
      </c>
      <c r="N151" s="13">
        <v>469.2</v>
      </c>
      <c r="O151" s="13">
        <v>0</v>
      </c>
      <c r="P151" s="13">
        <v>0.43611111111111112</v>
      </c>
      <c r="Q151" s="13">
        <v>608.9</v>
      </c>
      <c r="R151" s="13">
        <v>0.60319999999999996</v>
      </c>
      <c r="S151" s="13">
        <v>445.6</v>
      </c>
      <c r="U151" s="6"/>
      <c r="V151" s="24">
        <v>0.14285714285714285</v>
      </c>
      <c r="W151" s="3">
        <v>7</v>
      </c>
      <c r="X151" s="6"/>
      <c r="Y151" s="5">
        <v>9.8097051094890499</v>
      </c>
      <c r="Z151" s="5">
        <v>9.6915348742903493</v>
      </c>
      <c r="AA151" s="5">
        <v>0</v>
      </c>
      <c r="AB151" s="5">
        <v>53.769635036496354</v>
      </c>
      <c r="AD151" s="24">
        <v>189.87633722642065</v>
      </c>
      <c r="AE151" s="5">
        <f t="shared" si="2"/>
        <v>6.2407735643138667</v>
      </c>
    </row>
    <row r="152" spans="1:31" ht="25.5" customHeight="1" x14ac:dyDescent="0.2">
      <c r="A152" s="54"/>
      <c r="B152" s="36" t="s">
        <v>210</v>
      </c>
      <c r="C152" s="22">
        <v>100</v>
      </c>
      <c r="D152" s="22">
        <v>700</v>
      </c>
      <c r="E152" s="22">
        <v>1600</v>
      </c>
      <c r="F152" s="13">
        <v>2.5</v>
      </c>
      <c r="G152" s="13">
        <v>2.2857142857142856</v>
      </c>
      <c r="H152" s="22">
        <v>1</v>
      </c>
      <c r="I152" s="22">
        <v>2</v>
      </c>
      <c r="J152" s="22">
        <v>1</v>
      </c>
      <c r="K152" s="13">
        <v>0.15</v>
      </c>
      <c r="L152" s="13">
        <v>27.4</v>
      </c>
      <c r="M152" s="13">
        <v>0</v>
      </c>
      <c r="N152" s="13" t="s">
        <v>26</v>
      </c>
      <c r="O152" s="13">
        <v>0</v>
      </c>
      <c r="P152" s="13">
        <v>0.43611111111111112</v>
      </c>
      <c r="Q152" s="13">
        <v>608.9</v>
      </c>
      <c r="R152" s="13">
        <v>1.4361999999999999</v>
      </c>
      <c r="S152" s="13">
        <v>445.6</v>
      </c>
      <c r="U152" s="6"/>
      <c r="V152" s="24">
        <v>0</v>
      </c>
      <c r="W152" s="3">
        <v>7</v>
      </c>
      <c r="X152" s="6"/>
      <c r="Y152" s="5">
        <v>23.356595620437957</v>
      </c>
      <c r="Z152" s="5">
        <v>9.6915348742903493</v>
      </c>
      <c r="AA152" s="5">
        <v>0</v>
      </c>
      <c r="AB152" s="5">
        <v>0</v>
      </c>
      <c r="AD152" s="24">
        <v>132.13269211895181</v>
      </c>
      <c r="AE152" s="5">
        <f t="shared" si="2"/>
        <v>4.3428803399249265</v>
      </c>
    </row>
    <row r="153" spans="1:31" ht="25.5" customHeight="1" x14ac:dyDescent="0.2">
      <c r="A153" s="54"/>
      <c r="B153" s="36" t="s">
        <v>211</v>
      </c>
      <c r="C153" s="22">
        <v>100</v>
      </c>
      <c r="D153" s="22">
        <v>700</v>
      </c>
      <c r="E153" s="22">
        <v>1600</v>
      </c>
      <c r="F153" s="13">
        <v>2.5</v>
      </c>
      <c r="G153" s="13">
        <v>2.2857142857142856</v>
      </c>
      <c r="H153" s="22">
        <v>1</v>
      </c>
      <c r="I153" s="22">
        <v>2</v>
      </c>
      <c r="J153" s="22">
        <v>1</v>
      </c>
      <c r="K153" s="13">
        <v>0.15</v>
      </c>
      <c r="L153" s="13">
        <v>27.4</v>
      </c>
      <c r="M153" s="13">
        <v>3.14</v>
      </c>
      <c r="N153" s="13">
        <v>469.2</v>
      </c>
      <c r="O153" s="13">
        <v>0</v>
      </c>
      <c r="P153" s="13">
        <v>0.43611111111111112</v>
      </c>
      <c r="Q153" s="13">
        <v>608.9</v>
      </c>
      <c r="R153" s="13">
        <v>0.60319999999999996</v>
      </c>
      <c r="S153" s="13">
        <v>445.6</v>
      </c>
      <c r="U153" s="6"/>
      <c r="V153" s="24">
        <v>0.14285714285714285</v>
      </c>
      <c r="W153" s="3">
        <v>7</v>
      </c>
      <c r="X153" s="6"/>
      <c r="Y153" s="5">
        <v>9.8097051094890499</v>
      </c>
      <c r="Z153" s="5">
        <v>9.6915348742903493</v>
      </c>
      <c r="AA153" s="5">
        <v>0</v>
      </c>
      <c r="AB153" s="5">
        <v>53.769635036496354</v>
      </c>
      <c r="AD153" s="24">
        <v>144.76396113455687</v>
      </c>
      <c r="AE153" s="5">
        <f t="shared" si="2"/>
        <v>4.7580394424639865</v>
      </c>
    </row>
    <row r="154" spans="1:31" ht="25.5" customHeight="1" x14ac:dyDescent="0.2">
      <c r="A154" s="54"/>
      <c r="B154" s="36" t="s">
        <v>212</v>
      </c>
      <c r="C154" s="22">
        <v>100</v>
      </c>
      <c r="D154" s="22">
        <v>700</v>
      </c>
      <c r="E154" s="22">
        <v>1600</v>
      </c>
      <c r="F154" s="13">
        <v>2.5</v>
      </c>
      <c r="G154" s="13">
        <v>2.2857142857142856</v>
      </c>
      <c r="H154" s="22">
        <v>1</v>
      </c>
      <c r="I154" s="22">
        <v>2</v>
      </c>
      <c r="J154" s="22">
        <v>1</v>
      </c>
      <c r="K154" s="13">
        <v>0.15</v>
      </c>
      <c r="L154" s="13">
        <v>27.4</v>
      </c>
      <c r="M154" s="13">
        <v>3.14</v>
      </c>
      <c r="N154" s="13">
        <v>469.2</v>
      </c>
      <c r="O154" s="13">
        <v>0.43611111111111112</v>
      </c>
      <c r="P154" s="13">
        <v>0.43611111111111112</v>
      </c>
      <c r="Q154" s="13">
        <v>608.9</v>
      </c>
      <c r="R154" s="13">
        <v>0.60319999999999996</v>
      </c>
      <c r="S154" s="13">
        <v>445.6</v>
      </c>
      <c r="U154" s="6"/>
      <c r="V154" s="24">
        <v>0.14285714285714285</v>
      </c>
      <c r="W154" s="3">
        <v>7</v>
      </c>
      <c r="X154" s="6"/>
      <c r="Y154" s="5">
        <v>9.8097051094890499</v>
      </c>
      <c r="Z154" s="5">
        <v>9.6915348742903493</v>
      </c>
      <c r="AA154" s="5">
        <v>9.6915348742903493</v>
      </c>
      <c r="AB154" s="5">
        <v>53.769635036496354</v>
      </c>
      <c r="AD154" s="24">
        <v>159.13810000000001</v>
      </c>
      <c r="AE154" s="5">
        <f t="shared" si="2"/>
        <v>5.2304824395830192</v>
      </c>
    </row>
    <row r="155" spans="1:31" ht="25.5" customHeight="1" x14ac:dyDescent="0.2">
      <c r="A155" s="54"/>
      <c r="B155" s="36" t="s">
        <v>213</v>
      </c>
      <c r="C155" s="22">
        <v>100</v>
      </c>
      <c r="D155" s="22">
        <v>700</v>
      </c>
      <c r="E155" s="22">
        <v>1600</v>
      </c>
      <c r="F155" s="13">
        <v>2.5</v>
      </c>
      <c r="G155" s="13">
        <v>2.2857142857142856</v>
      </c>
      <c r="H155" s="22">
        <v>1</v>
      </c>
      <c r="I155" s="22">
        <v>2</v>
      </c>
      <c r="J155" s="22">
        <v>1</v>
      </c>
      <c r="K155" s="13">
        <v>0.15</v>
      </c>
      <c r="L155" s="13">
        <v>27.4</v>
      </c>
      <c r="M155" s="13">
        <v>3.14</v>
      </c>
      <c r="N155" s="13">
        <v>469.2</v>
      </c>
      <c r="O155" s="13">
        <v>0</v>
      </c>
      <c r="P155" s="13">
        <v>0.43611111111111112</v>
      </c>
      <c r="Q155" s="13">
        <v>608.9</v>
      </c>
      <c r="R155" s="13">
        <v>0.60319999999999996</v>
      </c>
      <c r="S155" s="13">
        <v>445.6</v>
      </c>
      <c r="U155" s="6"/>
      <c r="V155" s="24">
        <v>0.14285714285714285</v>
      </c>
      <c r="W155" s="3">
        <v>7</v>
      </c>
      <c r="X155" s="6"/>
      <c r="Y155" s="5">
        <v>9.8097051094890499</v>
      </c>
      <c r="Z155" s="5">
        <v>9.6915348742903493</v>
      </c>
      <c r="AA155" s="5">
        <v>0</v>
      </c>
      <c r="AB155" s="5">
        <v>53.769635036496354</v>
      </c>
      <c r="AD155" s="24">
        <v>143.82176857395228</v>
      </c>
      <c r="AE155" s="5">
        <f t="shared" si="2"/>
        <v>4.7270718637198144</v>
      </c>
    </row>
    <row r="156" spans="1:31" ht="25.5" customHeight="1" x14ac:dyDescent="0.2">
      <c r="A156" s="55" t="s">
        <v>214</v>
      </c>
      <c r="B156" s="21" t="s">
        <v>215</v>
      </c>
      <c r="C156" s="22">
        <v>120</v>
      </c>
      <c r="D156" s="22">
        <v>3500</v>
      </c>
      <c r="E156" s="22">
        <v>1800</v>
      </c>
      <c r="F156" s="13">
        <v>0.51400000000000001</v>
      </c>
      <c r="G156" s="13">
        <v>0.51400000000000001</v>
      </c>
      <c r="H156" s="22">
        <v>2</v>
      </c>
      <c r="I156" s="22">
        <v>1</v>
      </c>
      <c r="J156" s="22">
        <v>1</v>
      </c>
      <c r="K156" s="13">
        <v>0</v>
      </c>
      <c r="L156" s="13">
        <v>13.9</v>
      </c>
      <c r="M156" s="13">
        <v>1.89</v>
      </c>
      <c r="N156" s="13">
        <v>571</v>
      </c>
      <c r="O156" s="24">
        <v>1.0556405814531202</v>
      </c>
      <c r="P156" s="13">
        <v>0.19689495624061029</v>
      </c>
      <c r="Q156" s="13">
        <v>364</v>
      </c>
      <c r="R156" s="13">
        <v>0.19800000000000001</v>
      </c>
      <c r="S156" s="13">
        <v>364</v>
      </c>
      <c r="U156" s="35" t="s">
        <v>216</v>
      </c>
      <c r="V156" s="24">
        <v>0.25</v>
      </c>
      <c r="W156" s="3">
        <v>29.166666666666668</v>
      </c>
      <c r="X156" s="6"/>
      <c r="Y156" s="5">
        <v>5.1850359712230221</v>
      </c>
      <c r="Z156" s="5">
        <v>5.1560981346461974</v>
      </c>
      <c r="AA156" s="5">
        <v>33.643796948469948</v>
      </c>
      <c r="AB156" s="5">
        <v>77.639568345323738</v>
      </c>
      <c r="AD156" s="19">
        <v>1145</v>
      </c>
      <c r="AE156" s="5">
        <f t="shared" si="2"/>
        <v>8.8062233743764793</v>
      </c>
    </row>
    <row r="157" spans="1:31" ht="25.5" customHeight="1" x14ac:dyDescent="0.2">
      <c r="A157" s="54"/>
      <c r="B157" s="21" t="s">
        <v>217</v>
      </c>
      <c r="C157" s="22">
        <v>150</v>
      </c>
      <c r="D157" s="22">
        <v>3500</v>
      </c>
      <c r="E157" s="22">
        <v>1800</v>
      </c>
      <c r="F157" s="13">
        <v>0.51400000000000001</v>
      </c>
      <c r="G157" s="13">
        <v>0.51400000000000001</v>
      </c>
      <c r="H157" s="22">
        <v>2</v>
      </c>
      <c r="I157" s="22">
        <v>1</v>
      </c>
      <c r="J157" s="22">
        <v>1</v>
      </c>
      <c r="K157" s="13">
        <v>0</v>
      </c>
      <c r="L157" s="13">
        <v>22.6</v>
      </c>
      <c r="M157" s="13">
        <v>1.89</v>
      </c>
      <c r="N157" s="13">
        <v>571</v>
      </c>
      <c r="O157" s="24">
        <v>1.0556405814531202</v>
      </c>
      <c r="P157" s="13">
        <v>0.23627394748873234</v>
      </c>
      <c r="Q157" s="13">
        <v>443</v>
      </c>
      <c r="R157" s="13">
        <v>0.84499999999999997</v>
      </c>
      <c r="S157" s="13">
        <v>443</v>
      </c>
      <c r="U157" s="35" t="s">
        <v>216</v>
      </c>
      <c r="V157" s="24">
        <v>0.22222222222222221</v>
      </c>
      <c r="W157" s="3">
        <v>23.333333333333332</v>
      </c>
      <c r="X157" s="6"/>
      <c r="Y157" s="5">
        <v>16.563495575221236</v>
      </c>
      <c r="Z157" s="5">
        <v>4.6313875547570102</v>
      </c>
      <c r="AA157" s="5">
        <v>20.692423786890807</v>
      </c>
      <c r="AB157" s="5">
        <v>47.751769911504425</v>
      </c>
      <c r="AD157" s="19">
        <v>2131</v>
      </c>
      <c r="AE157" s="5">
        <f t="shared" si="2"/>
        <v>10.282786718877221</v>
      </c>
    </row>
    <row r="158" spans="1:31" ht="25.5" customHeight="1" x14ac:dyDescent="0.2">
      <c r="A158" s="56" t="s">
        <v>218</v>
      </c>
      <c r="B158" s="21" t="s">
        <v>219</v>
      </c>
      <c r="C158" s="22">
        <v>60</v>
      </c>
      <c r="D158" s="22">
        <v>1000</v>
      </c>
      <c r="E158" s="22">
        <v>3000</v>
      </c>
      <c r="F158" s="13">
        <v>3</v>
      </c>
      <c r="G158" s="13">
        <v>3</v>
      </c>
      <c r="H158" s="22">
        <v>1</v>
      </c>
      <c r="I158" s="22">
        <v>3</v>
      </c>
      <c r="J158" s="22">
        <v>1</v>
      </c>
      <c r="K158" s="13">
        <v>0.25</v>
      </c>
      <c r="L158" s="13">
        <v>15.4</v>
      </c>
      <c r="M158" s="13">
        <v>9.42</v>
      </c>
      <c r="N158" s="13">
        <v>365</v>
      </c>
      <c r="O158" s="13">
        <v>1.3955555555555557</v>
      </c>
      <c r="P158" s="13">
        <v>0.41866666666666669</v>
      </c>
      <c r="Q158" s="13">
        <v>452</v>
      </c>
      <c r="R158" s="13">
        <v>0.41866666666666669</v>
      </c>
      <c r="S158" s="13">
        <v>452</v>
      </c>
      <c r="U158" s="6"/>
      <c r="V158" s="24">
        <v>0.12</v>
      </c>
      <c r="W158" s="3">
        <v>16.666666666666668</v>
      </c>
      <c r="X158" s="6"/>
      <c r="Y158" s="5">
        <v>12.288138528138528</v>
      </c>
      <c r="Z158" s="5">
        <v>12.288138528138528</v>
      </c>
      <c r="AA158" s="5">
        <v>40.960461760461762</v>
      </c>
      <c r="AB158" s="5">
        <v>223.26623376623377</v>
      </c>
      <c r="AD158" s="24">
        <v>86.85</v>
      </c>
      <c r="AE158" s="5">
        <f t="shared" si="2"/>
        <v>4.4422102839668138</v>
      </c>
    </row>
    <row r="159" spans="1:31" ht="25.5" customHeight="1" x14ac:dyDescent="0.2">
      <c r="A159" s="54"/>
      <c r="B159" s="21" t="s">
        <v>220</v>
      </c>
      <c r="C159" s="22">
        <v>60</v>
      </c>
      <c r="D159" s="22">
        <v>1000</v>
      </c>
      <c r="E159" s="22">
        <v>3000</v>
      </c>
      <c r="F159" s="13">
        <v>3</v>
      </c>
      <c r="G159" s="13">
        <v>3</v>
      </c>
      <c r="H159" s="22">
        <v>2</v>
      </c>
      <c r="I159" s="22">
        <v>3</v>
      </c>
      <c r="J159" s="22">
        <v>1</v>
      </c>
      <c r="K159" s="13">
        <v>0.2</v>
      </c>
      <c r="L159" s="13">
        <v>15.4</v>
      </c>
      <c r="M159" s="13">
        <v>4.71</v>
      </c>
      <c r="N159" s="13">
        <v>365</v>
      </c>
      <c r="O159" s="13">
        <v>0.69777777777777783</v>
      </c>
      <c r="P159" s="13">
        <v>0.41866666666666669</v>
      </c>
      <c r="Q159" s="13">
        <v>452</v>
      </c>
      <c r="R159" s="13">
        <v>0.41866666666666669</v>
      </c>
      <c r="S159" s="13">
        <v>452</v>
      </c>
      <c r="U159" s="6"/>
      <c r="V159" s="24">
        <v>0.19354838709677419</v>
      </c>
      <c r="W159" s="3">
        <v>16.666666666666668</v>
      </c>
      <c r="X159" s="6"/>
      <c r="Y159" s="5">
        <v>12.288138528138528</v>
      </c>
      <c r="Z159" s="5">
        <v>12.288138528138528</v>
      </c>
      <c r="AA159" s="5">
        <v>20.480230880230881</v>
      </c>
      <c r="AB159" s="5">
        <v>111.63311688311688</v>
      </c>
      <c r="AD159" s="24">
        <v>110.85</v>
      </c>
      <c r="AE159" s="5">
        <f t="shared" si="2"/>
        <v>5.6697640757365724</v>
      </c>
    </row>
    <row r="160" spans="1:31" ht="25.5" customHeight="1" x14ac:dyDescent="0.2">
      <c r="A160" s="56" t="s">
        <v>221</v>
      </c>
      <c r="B160" s="21" t="s">
        <v>222</v>
      </c>
      <c r="C160" s="22">
        <v>75</v>
      </c>
      <c r="D160" s="22">
        <v>1000</v>
      </c>
      <c r="E160" s="22">
        <v>2800</v>
      </c>
      <c r="F160" s="13">
        <v>2.8</v>
      </c>
      <c r="G160" s="13">
        <v>2.8</v>
      </c>
      <c r="H160" s="22">
        <v>1</v>
      </c>
      <c r="I160" s="22">
        <v>3</v>
      </c>
      <c r="J160" s="22">
        <v>1</v>
      </c>
      <c r="K160" s="13">
        <v>0.1</v>
      </c>
      <c r="L160" s="13">
        <v>24.1</v>
      </c>
      <c r="M160" s="13">
        <v>2.5269523809523808</v>
      </c>
      <c r="N160" s="13">
        <v>289</v>
      </c>
      <c r="O160" s="13">
        <v>0.98270370370370375</v>
      </c>
      <c r="P160" s="13">
        <v>1.1055416666666666</v>
      </c>
      <c r="Q160" s="13">
        <v>289</v>
      </c>
      <c r="R160" s="13">
        <v>1.1055416666666666</v>
      </c>
      <c r="S160" s="13">
        <v>289</v>
      </c>
      <c r="U160" s="6"/>
      <c r="V160" s="24">
        <v>0.14000000000000001</v>
      </c>
      <c r="W160" s="3">
        <v>13.333333333333334</v>
      </c>
      <c r="X160" s="6"/>
      <c r="Y160" s="5">
        <v>13.25732538035961</v>
      </c>
      <c r="Z160" s="5">
        <v>13.25732538035961</v>
      </c>
      <c r="AA160" s="5">
        <v>11.784289226986324</v>
      </c>
      <c r="AB160" s="5">
        <v>30.30245801225054</v>
      </c>
      <c r="AD160" s="19">
        <v>121.55</v>
      </c>
      <c r="AE160" s="5">
        <f t="shared" si="2"/>
        <v>3.9758141927775008</v>
      </c>
    </row>
    <row r="161" spans="1:31" ht="25.5" customHeight="1" x14ac:dyDescent="0.2">
      <c r="A161" s="54"/>
      <c r="B161" s="21" t="s">
        <v>223</v>
      </c>
      <c r="C161" s="22">
        <v>75</v>
      </c>
      <c r="D161" s="22">
        <v>1000</v>
      </c>
      <c r="E161" s="22">
        <v>2800</v>
      </c>
      <c r="F161" s="13">
        <v>2.8</v>
      </c>
      <c r="G161" s="13">
        <v>2.8</v>
      </c>
      <c r="H161" s="22">
        <v>1</v>
      </c>
      <c r="I161" s="22">
        <v>3</v>
      </c>
      <c r="J161" s="22">
        <v>1</v>
      </c>
      <c r="K161" s="13">
        <v>0.1</v>
      </c>
      <c r="L161" s="13">
        <v>24.9</v>
      </c>
      <c r="M161" s="13">
        <v>2.5269523809523808</v>
      </c>
      <c r="N161" s="13">
        <v>289</v>
      </c>
      <c r="O161" s="13">
        <v>0.98270370370370375</v>
      </c>
      <c r="P161" s="13">
        <v>1.1055416666666666</v>
      </c>
      <c r="Q161" s="13">
        <v>289</v>
      </c>
      <c r="R161" s="13">
        <v>1.1055416666666666</v>
      </c>
      <c r="S161" s="13">
        <v>289</v>
      </c>
      <c r="U161" s="6"/>
      <c r="V161" s="24">
        <v>0.14000000000000001</v>
      </c>
      <c r="W161" s="3">
        <v>13.333333333333334</v>
      </c>
      <c r="X161" s="6"/>
      <c r="Y161" s="5">
        <v>12.831387215528782</v>
      </c>
      <c r="Z161" s="5">
        <v>12.831387215528782</v>
      </c>
      <c r="AA161" s="5">
        <v>11.405677524914475</v>
      </c>
      <c r="AB161" s="5">
        <v>29.328885064065787</v>
      </c>
      <c r="AD161" s="19">
        <v>89.682500000000005</v>
      </c>
      <c r="AE161" s="5">
        <f t="shared" si="2"/>
        <v>2.8859424773224762</v>
      </c>
    </row>
    <row r="162" spans="1:31" ht="25.5" customHeight="1" x14ac:dyDescent="0.2">
      <c r="A162" s="55" t="s">
        <v>224</v>
      </c>
      <c r="B162" s="21" t="s">
        <v>68</v>
      </c>
      <c r="C162" s="22">
        <v>100</v>
      </c>
      <c r="D162" s="22">
        <v>1000</v>
      </c>
      <c r="E162" s="22">
        <v>2000</v>
      </c>
      <c r="F162" s="13">
        <v>2</v>
      </c>
      <c r="G162" s="13">
        <v>2</v>
      </c>
      <c r="H162" s="22">
        <v>3</v>
      </c>
      <c r="I162" s="22">
        <v>3</v>
      </c>
      <c r="J162" s="22">
        <v>1</v>
      </c>
      <c r="K162" s="13">
        <v>0.1</v>
      </c>
      <c r="L162" s="13">
        <v>23</v>
      </c>
      <c r="M162" s="13">
        <v>1.25</v>
      </c>
      <c r="N162" s="13">
        <v>435.2</v>
      </c>
      <c r="O162" s="24">
        <v>0.5309291584566751</v>
      </c>
      <c r="P162" s="13">
        <v>0.66366144807084382</v>
      </c>
      <c r="Q162" s="13">
        <v>450.1</v>
      </c>
      <c r="R162" s="13">
        <v>0.66</v>
      </c>
      <c r="S162" s="13">
        <v>450.1</v>
      </c>
      <c r="U162" s="35" t="s">
        <v>225</v>
      </c>
      <c r="V162" s="24">
        <v>0.27777777777777779</v>
      </c>
      <c r="W162" s="3">
        <v>10</v>
      </c>
      <c r="X162" s="6"/>
      <c r="Y162" s="5">
        <v>12.915913043478263</v>
      </c>
      <c r="Z162" s="5">
        <v>12.987565990290731</v>
      </c>
      <c r="AA162" s="5">
        <v>10.390052792232586</v>
      </c>
      <c r="AB162" s="5">
        <v>23.652173913043477</v>
      </c>
      <c r="AD162" s="19">
        <v>278.89499999999998</v>
      </c>
      <c r="AE162" s="5">
        <f t="shared" si="2"/>
        <v>7.0035415825398646</v>
      </c>
    </row>
    <row r="163" spans="1:31" ht="25.5" customHeight="1" x14ac:dyDescent="0.2">
      <c r="A163" s="54"/>
      <c r="B163" s="21" t="s">
        <v>69</v>
      </c>
      <c r="C163" s="22">
        <v>100</v>
      </c>
      <c r="D163" s="22">
        <v>1000</v>
      </c>
      <c r="E163" s="22">
        <v>2000</v>
      </c>
      <c r="F163" s="13">
        <v>2</v>
      </c>
      <c r="G163" s="13">
        <v>2</v>
      </c>
      <c r="H163" s="22">
        <v>3</v>
      </c>
      <c r="I163" s="22">
        <v>3</v>
      </c>
      <c r="J163" s="22">
        <v>1</v>
      </c>
      <c r="K163" s="13">
        <v>0.2</v>
      </c>
      <c r="L163" s="13">
        <v>23</v>
      </c>
      <c r="M163" s="13">
        <v>1.25</v>
      </c>
      <c r="N163" s="13">
        <v>435.2</v>
      </c>
      <c r="O163" s="24">
        <v>0.5309291584566751</v>
      </c>
      <c r="P163" s="13">
        <v>0.66366144807084382</v>
      </c>
      <c r="Q163" s="13">
        <v>450.1</v>
      </c>
      <c r="R163" s="13">
        <v>0.66</v>
      </c>
      <c r="S163" s="13">
        <v>450.1</v>
      </c>
      <c r="U163" s="3" t="s">
        <v>225</v>
      </c>
      <c r="V163" s="24">
        <v>0.27777777777777779</v>
      </c>
      <c r="W163" s="3">
        <v>10</v>
      </c>
      <c r="X163" s="6"/>
      <c r="Y163" s="5">
        <v>12.915913043478263</v>
      </c>
      <c r="Z163" s="5">
        <v>12.987565990290731</v>
      </c>
      <c r="AA163" s="5">
        <v>10.390052792232586</v>
      </c>
      <c r="AB163" s="5">
        <v>23.652173913043477</v>
      </c>
      <c r="AD163" s="19">
        <v>391</v>
      </c>
      <c r="AE163" s="5">
        <f t="shared" si="2"/>
        <v>9.818694342935828</v>
      </c>
    </row>
    <row r="164" spans="1:31" ht="25.5" customHeight="1" x14ac:dyDescent="0.2">
      <c r="A164" s="54"/>
      <c r="B164" s="21" t="s">
        <v>70</v>
      </c>
      <c r="C164" s="22">
        <v>100</v>
      </c>
      <c r="D164" s="22">
        <v>1000</v>
      </c>
      <c r="E164" s="22">
        <v>2000</v>
      </c>
      <c r="F164" s="13">
        <v>2</v>
      </c>
      <c r="G164" s="13">
        <v>2</v>
      </c>
      <c r="H164" s="22">
        <v>3</v>
      </c>
      <c r="I164" s="22">
        <v>3</v>
      </c>
      <c r="J164" s="22">
        <v>1</v>
      </c>
      <c r="K164" s="13">
        <v>0.3</v>
      </c>
      <c r="L164" s="13">
        <v>23</v>
      </c>
      <c r="M164" s="13">
        <v>1.25</v>
      </c>
      <c r="N164" s="13">
        <v>435.2</v>
      </c>
      <c r="O164" s="24">
        <v>0.5309291584566751</v>
      </c>
      <c r="P164" s="13">
        <v>0.66366144807084382</v>
      </c>
      <c r="Q164" s="13">
        <v>450.1</v>
      </c>
      <c r="R164" s="13">
        <v>0.66</v>
      </c>
      <c r="S164" s="13">
        <v>450.1</v>
      </c>
      <c r="U164" s="3" t="s">
        <v>225</v>
      </c>
      <c r="V164" s="24">
        <v>0.27777777777777779</v>
      </c>
      <c r="W164" s="3">
        <v>10</v>
      </c>
      <c r="X164" s="6"/>
      <c r="Y164" s="5">
        <v>12.915913043478263</v>
      </c>
      <c r="Z164" s="5">
        <v>12.987565990290731</v>
      </c>
      <c r="AA164" s="5">
        <v>10.390052792232586</v>
      </c>
      <c r="AB164" s="5">
        <v>23.652173913043477</v>
      </c>
      <c r="AD164" s="19">
        <v>473.815</v>
      </c>
      <c r="AE164" s="5">
        <f t="shared" si="2"/>
        <v>11.898323938869918</v>
      </c>
    </row>
    <row r="165" spans="1:31" ht="25.5" customHeight="1" x14ac:dyDescent="0.2">
      <c r="A165" s="54"/>
      <c r="B165" s="21" t="s">
        <v>71</v>
      </c>
      <c r="C165" s="22">
        <v>100</v>
      </c>
      <c r="D165" s="22">
        <v>1000</v>
      </c>
      <c r="E165" s="22">
        <v>2000</v>
      </c>
      <c r="F165" s="13">
        <v>2</v>
      </c>
      <c r="G165" s="13">
        <v>2</v>
      </c>
      <c r="H165" s="22">
        <v>3</v>
      </c>
      <c r="I165" s="22">
        <v>3</v>
      </c>
      <c r="J165" s="22">
        <v>1</v>
      </c>
      <c r="K165" s="13">
        <v>0.3</v>
      </c>
      <c r="L165" s="13">
        <v>23</v>
      </c>
      <c r="M165" s="13">
        <v>1.25</v>
      </c>
      <c r="N165" s="13">
        <v>435.2</v>
      </c>
      <c r="O165" s="24">
        <v>0.66758843888783093</v>
      </c>
      <c r="P165" s="13">
        <v>0.66366144807084382</v>
      </c>
      <c r="Q165" s="13">
        <v>450.1</v>
      </c>
      <c r="R165" s="13">
        <v>0.66</v>
      </c>
      <c r="S165" s="13">
        <v>450.1</v>
      </c>
      <c r="U165" s="3" t="s">
        <v>225</v>
      </c>
      <c r="V165" s="24">
        <v>0.27777777777777779</v>
      </c>
      <c r="W165" s="3">
        <v>10</v>
      </c>
      <c r="X165" s="6"/>
      <c r="Y165" s="5">
        <v>12.915913043478263</v>
      </c>
      <c r="Z165" s="5">
        <v>12.987565990290731</v>
      </c>
      <c r="AA165" s="5">
        <v>13.940988139035879</v>
      </c>
      <c r="AB165" s="5">
        <v>23.652173913043477</v>
      </c>
      <c r="AD165" s="19">
        <v>464.70000000000005</v>
      </c>
      <c r="AE165" s="5">
        <f t="shared" si="2"/>
        <v>11.6694303354534</v>
      </c>
    </row>
    <row r="166" spans="1:31" ht="25.5" customHeight="1" x14ac:dyDescent="0.2">
      <c r="A166" s="54"/>
      <c r="B166" s="21" t="s">
        <v>72</v>
      </c>
      <c r="C166" s="22">
        <v>100</v>
      </c>
      <c r="D166" s="22">
        <v>1000</v>
      </c>
      <c r="E166" s="22">
        <v>2000</v>
      </c>
      <c r="F166" s="13">
        <v>2</v>
      </c>
      <c r="G166" s="13">
        <v>2</v>
      </c>
      <c r="H166" s="22">
        <v>3</v>
      </c>
      <c r="I166" s="22">
        <v>3</v>
      </c>
      <c r="J166" s="22">
        <v>1</v>
      </c>
      <c r="K166" s="13">
        <v>0.3</v>
      </c>
      <c r="L166" s="13">
        <v>23</v>
      </c>
      <c r="M166" s="13">
        <v>1.25</v>
      </c>
      <c r="N166" s="13">
        <v>435.2</v>
      </c>
      <c r="O166" s="24">
        <v>0.26546457922833755</v>
      </c>
      <c r="P166" s="13">
        <v>0.66366144807084382</v>
      </c>
      <c r="Q166" s="13">
        <v>450.1</v>
      </c>
      <c r="R166" s="13">
        <v>0.66</v>
      </c>
      <c r="S166" s="13">
        <v>450.1</v>
      </c>
      <c r="U166" s="3" t="s">
        <v>225</v>
      </c>
      <c r="V166" s="24">
        <v>0.27777777777777779</v>
      </c>
      <c r="W166" s="3">
        <v>10</v>
      </c>
      <c r="X166" s="6"/>
      <c r="Y166" s="5">
        <v>12.915913043478263</v>
      </c>
      <c r="Z166" s="5">
        <v>12.987565990290731</v>
      </c>
      <c r="AA166" s="5">
        <v>5.195026396116293</v>
      </c>
      <c r="AB166" s="5">
        <v>23.652173913043477</v>
      </c>
      <c r="AD166" s="19">
        <v>456.11924999999997</v>
      </c>
      <c r="AE166" s="5">
        <f t="shared" si="2"/>
        <v>11.45395268460136</v>
      </c>
    </row>
    <row r="167" spans="1:31" ht="25.5" customHeight="1" x14ac:dyDescent="0.2">
      <c r="A167" s="54"/>
      <c r="B167" s="21" t="s">
        <v>226</v>
      </c>
      <c r="C167" s="22">
        <v>100</v>
      </c>
      <c r="D167" s="22">
        <v>1000</v>
      </c>
      <c r="E167" s="22">
        <v>2000</v>
      </c>
      <c r="F167" s="13">
        <v>2</v>
      </c>
      <c r="G167" s="13">
        <v>2</v>
      </c>
      <c r="H167" s="22">
        <v>1</v>
      </c>
      <c r="I167" s="22">
        <v>3</v>
      </c>
      <c r="J167" s="22">
        <v>1</v>
      </c>
      <c r="K167" s="13">
        <v>0.3</v>
      </c>
      <c r="L167" s="13">
        <v>23</v>
      </c>
      <c r="M167" s="13">
        <v>1.51</v>
      </c>
      <c r="N167" s="13">
        <v>435.2</v>
      </c>
      <c r="O167" s="24">
        <v>1.3273228961416876</v>
      </c>
      <c r="P167" s="13">
        <v>0.66366144807084382</v>
      </c>
      <c r="Q167" s="13">
        <v>450.1</v>
      </c>
      <c r="R167" s="13">
        <v>0.66</v>
      </c>
      <c r="S167" s="13">
        <v>450.1</v>
      </c>
      <c r="U167" s="3" t="s">
        <v>225</v>
      </c>
      <c r="V167" s="24">
        <v>0.24</v>
      </c>
      <c r="W167" s="3">
        <v>10</v>
      </c>
      <c r="X167" s="6"/>
      <c r="Y167" s="5">
        <v>12.915913043478263</v>
      </c>
      <c r="Z167" s="5">
        <v>12.987565990290731</v>
      </c>
      <c r="AA167" s="5">
        <v>25.975131980581462</v>
      </c>
      <c r="AB167" s="5">
        <v>28.57182608695652</v>
      </c>
      <c r="AD167" s="19">
        <v>210</v>
      </c>
      <c r="AE167" s="5">
        <f t="shared" si="2"/>
        <v>5.2734675499143826</v>
      </c>
    </row>
    <row r="168" spans="1:31" ht="25.5" customHeight="1" x14ac:dyDescent="0.2">
      <c r="A168" s="20" t="s">
        <v>227</v>
      </c>
      <c r="B168" s="21" t="s">
        <v>228</v>
      </c>
      <c r="C168" s="22">
        <v>120</v>
      </c>
      <c r="D168" s="22">
        <v>1000</v>
      </c>
      <c r="E168" s="22">
        <v>1950</v>
      </c>
      <c r="F168" s="13">
        <v>1.95</v>
      </c>
      <c r="G168" s="13">
        <v>1.95</v>
      </c>
      <c r="H168" s="22">
        <v>1</v>
      </c>
      <c r="I168" s="22">
        <v>2</v>
      </c>
      <c r="J168" s="22">
        <v>1</v>
      </c>
      <c r="K168" s="24">
        <v>7.2530864197530867E-2</v>
      </c>
      <c r="L168" s="13">
        <v>27</v>
      </c>
      <c r="M168" s="13">
        <v>1.9224894018611256</v>
      </c>
      <c r="N168" s="13">
        <v>490</v>
      </c>
      <c r="O168" s="24">
        <v>1.1752174518303817</v>
      </c>
      <c r="P168" s="13">
        <v>0.83775804095727824</v>
      </c>
      <c r="Q168" s="13">
        <v>338.8</v>
      </c>
      <c r="R168" s="13">
        <v>0.7775532069346256</v>
      </c>
      <c r="S168" s="13">
        <v>338.8</v>
      </c>
      <c r="U168" s="3"/>
      <c r="V168" s="24">
        <v>0.1229</v>
      </c>
      <c r="W168" s="3">
        <v>8.3333333333333339</v>
      </c>
      <c r="X168" s="6"/>
      <c r="Y168" s="5">
        <v>9.7568528336833769</v>
      </c>
      <c r="Z168" s="5">
        <v>10.512312010234291</v>
      </c>
      <c r="AA168" s="5">
        <v>16.144005662366244</v>
      </c>
      <c r="AB168" s="5">
        <v>34.889622478220424</v>
      </c>
      <c r="AD168" s="19">
        <v>200</v>
      </c>
      <c r="AE168" s="5">
        <f t="shared" si="2"/>
        <v>3.8628493289632209</v>
      </c>
    </row>
    <row r="169" spans="1:31" ht="25.5" customHeight="1" x14ac:dyDescent="0.2">
      <c r="A169" s="53" t="s">
        <v>229</v>
      </c>
      <c r="B169" s="36" t="s">
        <v>230</v>
      </c>
      <c r="C169" s="22">
        <v>80</v>
      </c>
      <c r="D169" s="22">
        <v>1700</v>
      </c>
      <c r="E169" s="22">
        <v>3000</v>
      </c>
      <c r="F169" s="13">
        <v>2</v>
      </c>
      <c r="G169" s="13">
        <v>1.7647058823529411</v>
      </c>
      <c r="H169" s="22">
        <v>2</v>
      </c>
      <c r="I169" s="22">
        <v>3</v>
      </c>
      <c r="J169" s="22">
        <v>1</v>
      </c>
      <c r="K169" s="13">
        <v>0.15</v>
      </c>
      <c r="L169" s="13">
        <v>87.6</v>
      </c>
      <c r="M169" s="13">
        <v>2.1365884687499999</v>
      </c>
      <c r="N169" s="13">
        <v>776</v>
      </c>
      <c r="O169" s="17">
        <v>2.3739871875</v>
      </c>
      <c r="P169" s="17">
        <v>0.52755270833333334</v>
      </c>
      <c r="Q169" s="13">
        <v>1001</v>
      </c>
      <c r="R169" s="13">
        <v>0.52755270833333334</v>
      </c>
      <c r="S169" s="13">
        <v>1001</v>
      </c>
      <c r="U169" s="6"/>
      <c r="V169" s="24">
        <v>0.21739130434782608</v>
      </c>
      <c r="W169" s="3">
        <v>21.25</v>
      </c>
      <c r="X169" s="6"/>
      <c r="Y169" s="5">
        <v>6.0283134822108071</v>
      </c>
      <c r="Z169" s="5">
        <v>6.0283134822108071</v>
      </c>
      <c r="AA169" s="5">
        <v>34.200591673801377</v>
      </c>
      <c r="AB169" s="5">
        <v>18.926856755136985</v>
      </c>
      <c r="AD169" s="24">
        <v>1027.2249999999999</v>
      </c>
      <c r="AE169" s="5">
        <f t="shared" si="2"/>
        <v>9.7188643425928536</v>
      </c>
    </row>
    <row r="170" spans="1:31" ht="25.5" customHeight="1" x14ac:dyDescent="0.2">
      <c r="A170" s="53"/>
      <c r="B170" s="36" t="s">
        <v>231</v>
      </c>
      <c r="C170" s="22">
        <v>80</v>
      </c>
      <c r="D170" s="22">
        <v>1700</v>
      </c>
      <c r="E170" s="22">
        <v>2000</v>
      </c>
      <c r="F170" s="13">
        <v>1.33</v>
      </c>
      <c r="G170" s="13">
        <v>1.1764705882352942</v>
      </c>
      <c r="H170" s="22">
        <v>2</v>
      </c>
      <c r="I170" s="22">
        <v>2</v>
      </c>
      <c r="J170" s="22">
        <v>1</v>
      </c>
      <c r="K170" s="13">
        <v>0.14000000000000001</v>
      </c>
      <c r="L170" s="13">
        <v>93.6</v>
      </c>
      <c r="M170" s="13">
        <v>2.138832195</v>
      </c>
      <c r="N170" s="13">
        <v>776</v>
      </c>
      <c r="O170" s="17">
        <v>2.3739871875</v>
      </c>
      <c r="P170" s="17">
        <v>0.52755270833333334</v>
      </c>
      <c r="Q170" s="13">
        <v>1001</v>
      </c>
      <c r="R170" s="13">
        <v>0.52755270833333334</v>
      </c>
      <c r="S170" s="13">
        <v>1001</v>
      </c>
      <c r="U170" s="6"/>
      <c r="V170" s="24">
        <v>0.21739130434782608</v>
      </c>
      <c r="W170" s="3">
        <v>21.25</v>
      </c>
      <c r="X170" s="6"/>
      <c r="Y170" s="5">
        <v>5.6418831307870372</v>
      </c>
      <c r="Z170" s="5">
        <v>5.6418831307870372</v>
      </c>
      <c r="AA170" s="5">
        <v>32.008246053685902</v>
      </c>
      <c r="AB170" s="5">
        <v>17.732198539743589</v>
      </c>
      <c r="AD170" s="24">
        <v>1468</v>
      </c>
      <c r="AE170" s="5">
        <f t="shared" si="2"/>
        <v>13.436622752509541</v>
      </c>
    </row>
    <row r="171" spans="1:31" ht="25.5" customHeight="1" x14ac:dyDescent="0.2">
      <c r="A171" s="53"/>
      <c r="B171" s="36" t="s">
        <v>232</v>
      </c>
      <c r="C171" s="22">
        <v>80</v>
      </c>
      <c r="D171" s="22">
        <v>1700</v>
      </c>
      <c r="E171" s="22">
        <v>3000</v>
      </c>
      <c r="F171" s="13">
        <v>2</v>
      </c>
      <c r="G171" s="13">
        <v>1.7647058823529411</v>
      </c>
      <c r="H171" s="22">
        <v>2</v>
      </c>
      <c r="I171" s="22">
        <v>2</v>
      </c>
      <c r="J171" s="22">
        <v>2</v>
      </c>
      <c r="K171" s="13">
        <v>0.18</v>
      </c>
      <c r="L171" s="13">
        <v>55.5</v>
      </c>
      <c r="M171" s="13">
        <v>2.138832195</v>
      </c>
      <c r="N171" s="13">
        <v>840</v>
      </c>
      <c r="O171" s="17">
        <v>1.471875</v>
      </c>
      <c r="P171" s="17">
        <v>0.26377635416666667</v>
      </c>
      <c r="Q171" s="13">
        <v>753</v>
      </c>
      <c r="R171" s="13">
        <v>0.26377635416666667</v>
      </c>
      <c r="S171" s="13">
        <v>753</v>
      </c>
      <c r="U171" s="6"/>
      <c r="V171" s="24">
        <v>0.21739130434782608</v>
      </c>
      <c r="W171" s="3">
        <v>21.25</v>
      </c>
      <c r="X171" s="6"/>
      <c r="Y171" s="5">
        <v>3.578803507882883</v>
      </c>
      <c r="Z171" s="5">
        <v>3.578803507882883</v>
      </c>
      <c r="AA171" s="5">
        <v>32.699493243243246</v>
      </c>
      <c r="AB171" s="5">
        <v>32.371514302702707</v>
      </c>
      <c r="AD171" s="24">
        <v>708.23050000000001</v>
      </c>
      <c r="AE171" s="5">
        <f t="shared" si="2"/>
        <v>8.4184110420015426</v>
      </c>
    </row>
    <row r="172" spans="1:31" ht="25.5" customHeight="1" x14ac:dyDescent="0.2">
      <c r="A172" s="53"/>
      <c r="B172" s="36" t="s">
        <v>233</v>
      </c>
      <c r="C172" s="22">
        <v>80</v>
      </c>
      <c r="D172" s="22">
        <v>1700</v>
      </c>
      <c r="E172" s="22">
        <v>3000</v>
      </c>
      <c r="F172" s="13">
        <v>2</v>
      </c>
      <c r="G172" s="13">
        <v>1.7647058823529411</v>
      </c>
      <c r="H172" s="22">
        <v>2</v>
      </c>
      <c r="I172" s="22">
        <v>2</v>
      </c>
      <c r="J172" s="22">
        <v>2</v>
      </c>
      <c r="K172" s="13">
        <v>0.21</v>
      </c>
      <c r="L172" s="13">
        <v>54.6</v>
      </c>
      <c r="M172" s="13">
        <v>2.8517762599999998</v>
      </c>
      <c r="N172" s="13">
        <v>840</v>
      </c>
      <c r="O172" s="17">
        <v>1.471875</v>
      </c>
      <c r="P172" s="17">
        <v>0.26377635416666667</v>
      </c>
      <c r="Q172" s="13">
        <v>753</v>
      </c>
      <c r="R172" s="13">
        <v>0.26377635416666667</v>
      </c>
      <c r="S172" s="13">
        <v>753</v>
      </c>
      <c r="U172" s="6"/>
      <c r="V172" s="24">
        <v>0.21739130434782608</v>
      </c>
      <c r="W172" s="3">
        <v>21.25</v>
      </c>
      <c r="X172" s="6"/>
      <c r="Y172" s="5">
        <v>3.6377947744963368</v>
      </c>
      <c r="Z172" s="5">
        <v>3.6377947744963368</v>
      </c>
      <c r="AA172" s="5">
        <v>33.238495879120883</v>
      </c>
      <c r="AB172" s="5">
        <v>43.873480923076919</v>
      </c>
      <c r="AD172" s="24">
        <v>784</v>
      </c>
      <c r="AE172" s="5">
        <f t="shared" si="2"/>
        <v>9.3955397479146807</v>
      </c>
    </row>
    <row r="173" spans="1:31" ht="25.5" customHeight="1" x14ac:dyDescent="0.2">
      <c r="A173" s="53"/>
      <c r="B173" s="36" t="s">
        <v>234</v>
      </c>
      <c r="C173" s="22">
        <v>80</v>
      </c>
      <c r="D173" s="22">
        <v>1700</v>
      </c>
      <c r="E173" s="22">
        <v>3000</v>
      </c>
      <c r="F173" s="13">
        <v>2</v>
      </c>
      <c r="G173" s="13">
        <v>1.7647058823529411</v>
      </c>
      <c r="H173" s="22">
        <v>2</v>
      </c>
      <c r="I173" s="22">
        <v>2</v>
      </c>
      <c r="J173" s="22">
        <v>2</v>
      </c>
      <c r="K173" s="13">
        <v>0.12</v>
      </c>
      <c r="L173" s="13">
        <v>60.3</v>
      </c>
      <c r="M173" s="13">
        <v>2.8517762599999998</v>
      </c>
      <c r="N173" s="13">
        <v>840</v>
      </c>
      <c r="O173" s="17">
        <v>1.471875</v>
      </c>
      <c r="P173" s="17">
        <v>0.52755270833333334</v>
      </c>
      <c r="Q173" s="13">
        <v>753</v>
      </c>
      <c r="R173" s="13">
        <v>0.52755270833333334</v>
      </c>
      <c r="S173" s="13">
        <v>753</v>
      </c>
      <c r="U173" s="6"/>
      <c r="V173" s="24">
        <v>0.21739130434782608</v>
      </c>
      <c r="W173" s="3">
        <v>21.25</v>
      </c>
      <c r="X173" s="6"/>
      <c r="Y173" s="5">
        <v>6.5878472533167498</v>
      </c>
      <c r="Z173" s="5">
        <v>6.5878472533167498</v>
      </c>
      <c r="AA173" s="5">
        <v>30.096548507462689</v>
      </c>
      <c r="AB173" s="5">
        <v>39.726236457711437</v>
      </c>
      <c r="AD173" s="24">
        <v>898.36950000000002</v>
      </c>
      <c r="AE173" s="5">
        <f t="shared" si="2"/>
        <v>10.244678546012043</v>
      </c>
    </row>
    <row r="174" spans="1:31" ht="25.5" customHeight="1" x14ac:dyDescent="0.2">
      <c r="A174" s="53"/>
      <c r="B174" s="36" t="s">
        <v>235</v>
      </c>
      <c r="C174" s="22">
        <v>80</v>
      </c>
      <c r="D174" s="22">
        <v>1700</v>
      </c>
      <c r="E174" s="22">
        <v>3000</v>
      </c>
      <c r="F174" s="13">
        <v>2</v>
      </c>
      <c r="G174" s="13">
        <v>1.7647058823529411</v>
      </c>
      <c r="H174" s="22">
        <v>2</v>
      </c>
      <c r="I174" s="22">
        <v>2</v>
      </c>
      <c r="J174" s="22">
        <v>2</v>
      </c>
      <c r="K174" s="13">
        <v>0.18</v>
      </c>
      <c r="L174" s="13">
        <v>65.2</v>
      </c>
      <c r="M174" s="13">
        <v>3.7983794999999998</v>
      </c>
      <c r="N174" s="13">
        <v>776</v>
      </c>
      <c r="O174" s="17">
        <v>1.471875</v>
      </c>
      <c r="P174" s="17">
        <v>0.52755270833333334</v>
      </c>
      <c r="Q174" s="13">
        <v>753</v>
      </c>
      <c r="R174" s="13">
        <v>0.52755270833333334</v>
      </c>
      <c r="S174" s="13">
        <v>753</v>
      </c>
      <c r="U174" s="6"/>
      <c r="V174" s="24">
        <v>0.21739130434782608</v>
      </c>
      <c r="W174" s="3">
        <v>21.25</v>
      </c>
      <c r="X174" s="6"/>
      <c r="Y174" s="5">
        <v>6.0927483032975456</v>
      </c>
      <c r="Z174" s="5">
        <v>6.0927483032975456</v>
      </c>
      <c r="AA174" s="5">
        <v>27.834691334355828</v>
      </c>
      <c r="AB174" s="5">
        <v>45.207706932515336</v>
      </c>
      <c r="AD174" s="24">
        <v>1034.22</v>
      </c>
      <c r="AE174" s="5">
        <f t="shared" si="2"/>
        <v>11.342038757111267</v>
      </c>
    </row>
    <row r="175" spans="1:31" ht="25.5" customHeight="1" x14ac:dyDescent="0.2">
      <c r="A175" s="53"/>
      <c r="B175" s="21" t="s">
        <v>236</v>
      </c>
      <c r="C175" s="22">
        <v>80</v>
      </c>
      <c r="D175" s="22">
        <v>1700</v>
      </c>
      <c r="E175" s="22">
        <v>2000</v>
      </c>
      <c r="F175" s="13">
        <v>0.66</v>
      </c>
      <c r="G175" s="13">
        <v>1.1764705882352942</v>
      </c>
      <c r="H175" s="22">
        <v>2</v>
      </c>
      <c r="I175" s="22">
        <v>1</v>
      </c>
      <c r="J175" s="22">
        <v>2</v>
      </c>
      <c r="K175" s="13">
        <v>0.13</v>
      </c>
      <c r="L175" s="13">
        <v>103.3</v>
      </c>
      <c r="M175" s="13">
        <v>2.138832195</v>
      </c>
      <c r="N175" s="13">
        <v>761</v>
      </c>
      <c r="O175" s="17">
        <v>2.3739871875</v>
      </c>
      <c r="P175" s="17">
        <v>0.52755270833333334</v>
      </c>
      <c r="Q175" s="13">
        <v>1079</v>
      </c>
      <c r="R175" s="13">
        <v>0.52755270833333334</v>
      </c>
      <c r="S175" s="13">
        <v>1079</v>
      </c>
      <c r="U175" s="6"/>
      <c r="V175" s="24">
        <v>0.21739130434782608</v>
      </c>
      <c r="W175" s="3">
        <v>21.25</v>
      </c>
      <c r="X175" s="6"/>
      <c r="Y175" s="5">
        <v>5.5104489089222328</v>
      </c>
      <c r="Z175" s="5">
        <v>5.5104489089222328</v>
      </c>
      <c r="AA175" s="5">
        <v>31.530594590997097</v>
      </c>
      <c r="AB175" s="5">
        <v>15.756546954453048</v>
      </c>
      <c r="AD175" s="24">
        <v>1717.2236503856002</v>
      </c>
      <c r="AE175" s="5">
        <f t="shared" si="2"/>
        <v>14.961622516154442</v>
      </c>
    </row>
    <row r="176" spans="1:31" ht="25.5" customHeight="1" x14ac:dyDescent="0.2">
      <c r="A176" s="53"/>
      <c r="B176" s="21" t="s">
        <v>237</v>
      </c>
      <c r="C176" s="22">
        <v>80</v>
      </c>
      <c r="D176" s="22">
        <v>1700</v>
      </c>
      <c r="E176" s="22">
        <v>2000</v>
      </c>
      <c r="F176" s="13">
        <v>0.66</v>
      </c>
      <c r="G176" s="13">
        <v>1.1764705882352942</v>
      </c>
      <c r="H176" s="22">
        <v>2</v>
      </c>
      <c r="I176" s="22">
        <v>1</v>
      </c>
      <c r="J176" s="22">
        <v>2</v>
      </c>
      <c r="K176" s="13">
        <v>0.12</v>
      </c>
      <c r="L176" s="13">
        <v>137.5</v>
      </c>
      <c r="M176" s="13">
        <v>2.138832195</v>
      </c>
      <c r="N176" s="13">
        <v>761</v>
      </c>
      <c r="O176" s="17">
        <v>2.3739871875</v>
      </c>
      <c r="P176" s="17">
        <v>0.52755270833333334</v>
      </c>
      <c r="Q176" s="13">
        <v>1079</v>
      </c>
      <c r="R176" s="13">
        <v>0.52755270833333334</v>
      </c>
      <c r="S176" s="13">
        <v>1079</v>
      </c>
      <c r="U176" s="6"/>
      <c r="V176" s="24">
        <v>0.21739130434782608</v>
      </c>
      <c r="W176" s="3">
        <v>21.25</v>
      </c>
      <c r="X176" s="6"/>
      <c r="Y176" s="5">
        <v>4.1398499803030306</v>
      </c>
      <c r="Z176" s="5">
        <v>4.1398499803030306</v>
      </c>
      <c r="AA176" s="5">
        <v>23.688075790909089</v>
      </c>
      <c r="AB176" s="5">
        <v>11.837464002872727</v>
      </c>
      <c r="AD176" s="24">
        <v>1760.36866359447</v>
      </c>
      <c r="AE176" s="5">
        <f t="shared" si="2"/>
        <v>13.293957095884485</v>
      </c>
    </row>
    <row r="177" spans="1:31" ht="25.5" customHeight="1" x14ac:dyDescent="0.2">
      <c r="A177" s="53"/>
      <c r="B177" s="36" t="s">
        <v>238</v>
      </c>
      <c r="C177" s="22">
        <v>80</v>
      </c>
      <c r="D177" s="22">
        <v>1700</v>
      </c>
      <c r="E177" s="22">
        <v>2000</v>
      </c>
      <c r="F177" s="13">
        <v>1.33</v>
      </c>
      <c r="G177" s="13">
        <v>1.1764705882352942</v>
      </c>
      <c r="H177" s="22">
        <v>2</v>
      </c>
      <c r="I177" s="22">
        <v>1</v>
      </c>
      <c r="J177" s="22">
        <v>1</v>
      </c>
      <c r="K177" s="13">
        <v>0.18</v>
      </c>
      <c r="L177" s="13">
        <v>65.099999999999994</v>
      </c>
      <c r="M177" s="13">
        <v>5.0645059999999997</v>
      </c>
      <c r="N177" s="13">
        <v>1009</v>
      </c>
      <c r="O177" s="17">
        <v>2.3739871875</v>
      </c>
      <c r="P177" s="17">
        <v>0.197832265625</v>
      </c>
      <c r="Q177" s="13">
        <v>792</v>
      </c>
      <c r="R177" s="13">
        <v>0.197832265625</v>
      </c>
      <c r="S177" s="13">
        <v>792</v>
      </c>
      <c r="U177" s="6"/>
      <c r="V177" s="24">
        <v>0.21739130434782608</v>
      </c>
      <c r="W177" s="3">
        <v>21.25</v>
      </c>
      <c r="X177" s="6"/>
      <c r="Y177" s="5">
        <v>2.4068072868663597</v>
      </c>
      <c r="Z177" s="5">
        <v>2.4068072868663597</v>
      </c>
      <c r="AA177" s="5">
        <v>50.871154017857151</v>
      </c>
      <c r="AB177" s="5">
        <v>78.495953210445464</v>
      </c>
      <c r="AD177" s="24">
        <v>1101</v>
      </c>
      <c r="AE177" s="5">
        <f t="shared" si="2"/>
        <v>12.083668919622994</v>
      </c>
    </row>
    <row r="178" spans="1:31" ht="25.5" customHeight="1" x14ac:dyDescent="0.2">
      <c r="A178" s="53"/>
      <c r="B178" s="36" t="s">
        <v>239</v>
      </c>
      <c r="C178" s="22">
        <v>80</v>
      </c>
      <c r="D178" s="22">
        <v>1700</v>
      </c>
      <c r="E178" s="22">
        <v>2000</v>
      </c>
      <c r="F178" s="13">
        <v>1.33</v>
      </c>
      <c r="G178" s="13">
        <v>1.1764705882352942</v>
      </c>
      <c r="H178" s="22">
        <v>2</v>
      </c>
      <c r="I178" s="22">
        <v>1</v>
      </c>
      <c r="J178" s="22">
        <v>1</v>
      </c>
      <c r="K178" s="13">
        <v>0.16</v>
      </c>
      <c r="L178" s="13">
        <v>70.8</v>
      </c>
      <c r="M178" s="13">
        <v>5.0645059999999997</v>
      </c>
      <c r="N178" s="13">
        <v>1009</v>
      </c>
      <c r="O178" s="17">
        <v>2.3739871875</v>
      </c>
      <c r="P178" s="17">
        <v>0.34405611413043474</v>
      </c>
      <c r="Q178" s="13">
        <v>792</v>
      </c>
      <c r="R178" s="13">
        <v>0.34405611413043474</v>
      </c>
      <c r="S178" s="13">
        <v>792</v>
      </c>
      <c r="U178" s="6"/>
      <c r="V178" s="24">
        <v>0.21739130434782608</v>
      </c>
      <c r="W178" s="3">
        <v>21.25</v>
      </c>
      <c r="X178" s="6"/>
      <c r="Y178" s="5">
        <v>3.8487633106116435</v>
      </c>
      <c r="Z178" s="5">
        <v>3.8487633106116435</v>
      </c>
      <c r="AA178" s="5">
        <v>46.775595007944915</v>
      </c>
      <c r="AB178" s="5">
        <v>72.176363757062148</v>
      </c>
      <c r="AD178" s="24">
        <v>1255</v>
      </c>
      <c r="AE178" s="5">
        <f t="shared" si="2"/>
        <v>13.207757600927389</v>
      </c>
    </row>
    <row r="179" spans="1:31" ht="25.5" customHeight="1" x14ac:dyDescent="0.2">
      <c r="A179" s="53"/>
      <c r="B179" s="36" t="s">
        <v>240</v>
      </c>
      <c r="C179" s="22">
        <v>80</v>
      </c>
      <c r="D179" s="22">
        <v>1700</v>
      </c>
      <c r="E179" s="22">
        <v>2000</v>
      </c>
      <c r="F179" s="13">
        <v>1.33</v>
      </c>
      <c r="G179" s="13">
        <v>1.1764705882352942</v>
      </c>
      <c r="H179" s="22">
        <v>2</v>
      </c>
      <c r="I179" s="22">
        <v>1</v>
      </c>
      <c r="J179" s="22">
        <v>1</v>
      </c>
      <c r="K179" s="13">
        <v>0.16</v>
      </c>
      <c r="L179" s="13">
        <v>71.8</v>
      </c>
      <c r="M179" s="13">
        <v>5.0645059999999997</v>
      </c>
      <c r="N179" s="13">
        <v>1009</v>
      </c>
      <c r="O179" s="17">
        <v>2.3739871875</v>
      </c>
      <c r="P179" s="17">
        <v>0.52755270833333334</v>
      </c>
      <c r="Q179" s="13">
        <v>792</v>
      </c>
      <c r="R179" s="13">
        <v>0.52755270833333334</v>
      </c>
      <c r="S179" s="13">
        <v>792</v>
      </c>
      <c r="U179" s="6"/>
      <c r="V179" s="24">
        <v>0.21739130434782608</v>
      </c>
      <c r="W179" s="3">
        <v>21.25</v>
      </c>
      <c r="X179" s="6"/>
      <c r="Y179" s="5">
        <v>5.8192443593314769</v>
      </c>
      <c r="Z179" s="5">
        <v>5.8192443593314769</v>
      </c>
      <c r="AA179" s="5">
        <v>46.124124325383015</v>
      </c>
      <c r="AB179" s="5">
        <v>71.171121922005568</v>
      </c>
      <c r="AD179" s="24">
        <v>1382</v>
      </c>
      <c r="AE179" s="5">
        <f t="shared" si="2"/>
        <v>14.442680827257423</v>
      </c>
    </row>
    <row r="180" spans="1:31" ht="25.5" customHeight="1" x14ac:dyDescent="0.2">
      <c r="A180" s="53"/>
      <c r="B180" s="36" t="s">
        <v>241</v>
      </c>
      <c r="C180" s="22">
        <v>80</v>
      </c>
      <c r="D180" s="22">
        <v>1700</v>
      </c>
      <c r="E180" s="22">
        <v>2000</v>
      </c>
      <c r="F180" s="13">
        <v>1.33</v>
      </c>
      <c r="G180" s="13">
        <v>1.1764705882352942</v>
      </c>
      <c r="H180" s="22">
        <v>2</v>
      </c>
      <c r="I180" s="22">
        <v>1</v>
      </c>
      <c r="J180" s="22">
        <v>1</v>
      </c>
      <c r="K180" s="13">
        <v>0.19</v>
      </c>
      <c r="L180" s="13">
        <v>103.4</v>
      </c>
      <c r="M180" s="13">
        <v>5.0645059999999997</v>
      </c>
      <c r="N180" s="13">
        <v>1009</v>
      </c>
      <c r="O180" s="17">
        <v>2.3739871875</v>
      </c>
      <c r="P180" s="17">
        <v>0.52755270833333334</v>
      </c>
      <c r="Q180" s="13">
        <v>792</v>
      </c>
      <c r="R180" s="13">
        <v>0.52755270833333334</v>
      </c>
      <c r="S180" s="13">
        <v>792</v>
      </c>
      <c r="U180" s="6"/>
      <c r="V180" s="24">
        <v>0.21739130434782608</v>
      </c>
      <c r="W180" s="3">
        <v>21.25</v>
      </c>
      <c r="X180" s="6"/>
      <c r="Y180" s="5">
        <v>4.0408292553191485</v>
      </c>
      <c r="Z180" s="5">
        <v>4.0408292553191485</v>
      </c>
      <c r="AA180" s="5">
        <v>32.028163699830756</v>
      </c>
      <c r="AB180" s="5">
        <v>49.420566286266919</v>
      </c>
      <c r="AD180" s="24">
        <v>1697</v>
      </c>
      <c r="AE180" s="5">
        <f t="shared" si="2"/>
        <v>14.778268941661864</v>
      </c>
    </row>
    <row r="181" spans="1:31" ht="25.5" customHeight="1" x14ac:dyDescent="0.2">
      <c r="A181" s="53"/>
      <c r="B181" s="36" t="s">
        <v>242</v>
      </c>
      <c r="C181" s="22">
        <v>80</v>
      </c>
      <c r="D181" s="22">
        <v>1700</v>
      </c>
      <c r="E181" s="22">
        <v>3000</v>
      </c>
      <c r="F181" s="13">
        <v>2</v>
      </c>
      <c r="G181" s="13">
        <v>1.7647058823529411</v>
      </c>
      <c r="H181" s="22">
        <v>2</v>
      </c>
      <c r="I181" s="22">
        <v>2</v>
      </c>
      <c r="J181" s="22">
        <v>1</v>
      </c>
      <c r="K181" s="13">
        <v>0.15</v>
      </c>
      <c r="L181" s="13">
        <v>76.7</v>
      </c>
      <c r="M181" s="13">
        <v>5.0645059999999997</v>
      </c>
      <c r="N181" s="13">
        <v>1009</v>
      </c>
      <c r="O181" s="17">
        <v>2.3739871875</v>
      </c>
      <c r="P181" s="17">
        <v>0.52755270833333334</v>
      </c>
      <c r="Q181" s="13">
        <v>792</v>
      </c>
      <c r="R181" s="13">
        <v>0.52755270833333334</v>
      </c>
      <c r="S181" s="13">
        <v>792</v>
      </c>
      <c r="U181" s="6"/>
      <c r="V181" s="24">
        <v>0.21739130434782608</v>
      </c>
      <c r="W181" s="3">
        <v>21.25</v>
      </c>
      <c r="X181" s="6"/>
      <c r="Y181" s="5">
        <v>5.44748037809648</v>
      </c>
      <c r="Z181" s="5">
        <v>5.44748037809648</v>
      </c>
      <c r="AA181" s="5">
        <v>43.177472315026073</v>
      </c>
      <c r="AB181" s="5">
        <v>66.624335775749671</v>
      </c>
      <c r="AD181" s="24">
        <v>1159</v>
      </c>
      <c r="AE181" s="5">
        <f t="shared" si="2"/>
        <v>11.71892424472219</v>
      </c>
    </row>
    <row r="182" spans="1:31" ht="25.5" customHeight="1" x14ac:dyDescent="0.2">
      <c r="A182" s="53"/>
      <c r="B182" s="36" t="s">
        <v>243</v>
      </c>
      <c r="C182" s="22">
        <v>80</v>
      </c>
      <c r="D182" s="22">
        <v>1700</v>
      </c>
      <c r="E182" s="22">
        <v>2000</v>
      </c>
      <c r="F182" s="13">
        <v>1.33</v>
      </c>
      <c r="G182" s="13">
        <v>1.1764705882352942</v>
      </c>
      <c r="H182" s="22">
        <v>2</v>
      </c>
      <c r="I182" s="22">
        <v>1</v>
      </c>
      <c r="J182" s="22">
        <v>1</v>
      </c>
      <c r="K182" s="13">
        <v>0.16</v>
      </c>
      <c r="L182" s="13">
        <v>74.099999999999994</v>
      </c>
      <c r="M182" s="13">
        <v>5.0645059999999997</v>
      </c>
      <c r="N182" s="13">
        <v>1009</v>
      </c>
      <c r="O182" s="17">
        <v>2.3739871875</v>
      </c>
      <c r="P182" s="17">
        <v>0.64863037909836063</v>
      </c>
      <c r="Q182" s="13">
        <v>1420</v>
      </c>
      <c r="R182" s="13">
        <v>0.64863037909836063</v>
      </c>
      <c r="S182" s="13">
        <v>1420</v>
      </c>
      <c r="U182" s="6"/>
      <c r="V182" s="24">
        <v>0.21739130434782608</v>
      </c>
      <c r="W182" s="3">
        <v>21.25</v>
      </c>
      <c r="X182" s="6"/>
      <c r="Y182" s="5">
        <v>12.429893904449017</v>
      </c>
      <c r="Z182" s="5">
        <v>12.429893904449017</v>
      </c>
      <c r="AA182" s="5">
        <v>44.692471343623488</v>
      </c>
      <c r="AB182" s="5">
        <v>68.962031767881243</v>
      </c>
      <c r="AD182" s="24">
        <v>1412</v>
      </c>
      <c r="AE182" s="5">
        <f t="shared" si="2"/>
        <v>14.525382767177328</v>
      </c>
    </row>
    <row r="183" spans="1:31" ht="25.5" customHeight="1" x14ac:dyDescent="0.2">
      <c r="A183" s="53"/>
      <c r="B183" s="36" t="s">
        <v>244</v>
      </c>
      <c r="C183" s="22">
        <v>80</v>
      </c>
      <c r="D183" s="22">
        <v>1700</v>
      </c>
      <c r="E183" s="22">
        <v>2000</v>
      </c>
      <c r="F183" s="13">
        <v>1.33</v>
      </c>
      <c r="G183" s="13">
        <v>1.1764705882352942</v>
      </c>
      <c r="H183" s="22">
        <v>2</v>
      </c>
      <c r="I183" s="22">
        <v>1</v>
      </c>
      <c r="J183" s="22">
        <v>1</v>
      </c>
      <c r="K183" s="13">
        <v>0.16</v>
      </c>
      <c r="L183" s="13">
        <v>71.5</v>
      </c>
      <c r="M183" s="13">
        <v>5.0645059999999997</v>
      </c>
      <c r="N183" s="13">
        <v>1009</v>
      </c>
      <c r="O183" s="17">
        <v>2.3739871875</v>
      </c>
      <c r="P183" s="17">
        <v>0.98916132812499991</v>
      </c>
      <c r="Q183" s="13">
        <v>792</v>
      </c>
      <c r="R183" s="13">
        <v>0.98916132812499991</v>
      </c>
      <c r="S183" s="13">
        <v>792</v>
      </c>
      <c r="U183" s="6"/>
      <c r="V183" s="24">
        <v>0.21739130434782608</v>
      </c>
      <c r="W183" s="3">
        <v>21.25</v>
      </c>
      <c r="X183" s="6"/>
      <c r="Y183" s="5">
        <v>10.956863942307692</v>
      </c>
      <c r="Z183" s="5">
        <v>10.956863942307692</v>
      </c>
      <c r="AA183" s="5">
        <v>46.317652119755245</v>
      </c>
      <c r="AB183" s="5">
        <v>71.469742013986007</v>
      </c>
      <c r="AD183" s="24">
        <v>1499</v>
      </c>
      <c r="AE183" s="5">
        <f t="shared" si="2"/>
        <v>15.698227000026417</v>
      </c>
    </row>
    <row r="184" spans="1:31" ht="25.5" customHeight="1" x14ac:dyDescent="0.2">
      <c r="A184" s="53"/>
      <c r="B184" s="36" t="s">
        <v>245</v>
      </c>
      <c r="C184" s="22">
        <v>80</v>
      </c>
      <c r="D184" s="22">
        <v>1700</v>
      </c>
      <c r="E184" s="22">
        <v>2000</v>
      </c>
      <c r="F184" s="13">
        <v>1.33</v>
      </c>
      <c r="G184" s="13">
        <v>1.1764705882352942</v>
      </c>
      <c r="H184" s="22">
        <v>2</v>
      </c>
      <c r="I184" s="22">
        <v>1</v>
      </c>
      <c r="J184" s="22">
        <v>1</v>
      </c>
      <c r="K184" s="13">
        <v>0.15</v>
      </c>
      <c r="L184" s="13">
        <v>76.099999999999994</v>
      </c>
      <c r="M184" s="13">
        <v>5.0645059999999997</v>
      </c>
      <c r="N184" s="13">
        <v>1009</v>
      </c>
      <c r="O184" s="17">
        <v>2.3739871875</v>
      </c>
      <c r="P184" s="17">
        <v>1.4387801136363636</v>
      </c>
      <c r="Q184" s="13">
        <v>792</v>
      </c>
      <c r="R184" s="13">
        <v>1.4387801136363636</v>
      </c>
      <c r="S184" s="13">
        <v>792</v>
      </c>
      <c r="U184" s="6"/>
      <c r="V184" s="24">
        <v>0.21739130434782608</v>
      </c>
      <c r="W184" s="3">
        <v>21.25</v>
      </c>
      <c r="X184" s="6"/>
      <c r="Y184" s="5">
        <v>14.97390078843627</v>
      </c>
      <c r="Z184" s="5">
        <v>14.97390078843627</v>
      </c>
      <c r="AA184" s="5">
        <v>43.517899166392908</v>
      </c>
      <c r="AB184" s="5">
        <v>67.149626202365312</v>
      </c>
      <c r="AD184" s="24">
        <v>1639</v>
      </c>
      <c r="AE184" s="5">
        <f t="shared" si="2"/>
        <v>16.637521052752057</v>
      </c>
    </row>
    <row r="185" spans="1:31" ht="25.5" customHeight="1" x14ac:dyDescent="0.2">
      <c r="A185" s="53"/>
      <c r="B185" s="36" t="s">
        <v>246</v>
      </c>
      <c r="C185" s="22">
        <v>85</v>
      </c>
      <c r="D185" s="22">
        <v>1900</v>
      </c>
      <c r="E185" s="22">
        <v>2700</v>
      </c>
      <c r="F185" s="13">
        <v>1.8</v>
      </c>
      <c r="G185" s="13">
        <v>1.4210526315789473</v>
      </c>
      <c r="H185" s="22">
        <v>2</v>
      </c>
      <c r="I185" s="22">
        <v>1</v>
      </c>
      <c r="J185" s="22">
        <v>1</v>
      </c>
      <c r="K185" s="13">
        <v>0.14000000000000001</v>
      </c>
      <c r="L185" s="13">
        <v>62.3</v>
      </c>
      <c r="M185" s="13">
        <v>3.7983794999999998</v>
      </c>
      <c r="N185" s="13">
        <v>360</v>
      </c>
      <c r="O185" s="17">
        <v>0.90576923076923077</v>
      </c>
      <c r="P185" s="17">
        <v>1.1458158371040723</v>
      </c>
      <c r="Q185" s="13">
        <v>413</v>
      </c>
      <c r="R185" s="13">
        <v>1.1458158371040723</v>
      </c>
      <c r="S185" s="13">
        <v>413</v>
      </c>
      <c r="U185" s="6"/>
      <c r="V185" s="24">
        <v>0.19277108433734941</v>
      </c>
      <c r="W185" s="3">
        <v>22.352941176470587</v>
      </c>
      <c r="X185" s="6"/>
      <c r="Y185" s="5">
        <v>7.5958577965326146</v>
      </c>
      <c r="Z185" s="5">
        <v>7.5958577965326146</v>
      </c>
      <c r="AA185" s="5">
        <v>13.419341894060995</v>
      </c>
      <c r="AB185" s="5">
        <v>21.948902407704654</v>
      </c>
      <c r="AD185" s="24">
        <v>966.43525</v>
      </c>
      <c r="AE185" s="5">
        <f t="shared" si="2"/>
        <v>9.1305536641368228</v>
      </c>
    </row>
    <row r="186" spans="1:31" ht="25.5" customHeight="1" x14ac:dyDescent="0.2">
      <c r="A186" s="53"/>
      <c r="B186" s="36" t="s">
        <v>247</v>
      </c>
      <c r="C186" s="22">
        <v>85</v>
      </c>
      <c r="D186" s="22">
        <v>1900</v>
      </c>
      <c r="E186" s="22">
        <v>2700</v>
      </c>
      <c r="F186" s="13">
        <v>1.8</v>
      </c>
      <c r="G186" s="13">
        <v>1.4210526315789473</v>
      </c>
      <c r="H186" s="22">
        <v>2</v>
      </c>
      <c r="I186" s="22">
        <v>1</v>
      </c>
      <c r="J186" s="22">
        <v>1</v>
      </c>
      <c r="K186" s="13">
        <v>0.14000000000000001</v>
      </c>
      <c r="L186" s="13">
        <v>62.3</v>
      </c>
      <c r="M186" s="13">
        <v>3.7983794999999998</v>
      </c>
      <c r="N186" s="13">
        <v>360</v>
      </c>
      <c r="O186" s="17">
        <v>0.90576923076923077</v>
      </c>
      <c r="P186" s="17">
        <v>1.6550673202614379</v>
      </c>
      <c r="Q186" s="13">
        <v>413</v>
      </c>
      <c r="R186" s="13">
        <v>1.6550673202614379</v>
      </c>
      <c r="S186" s="13">
        <v>413</v>
      </c>
      <c r="U186" s="6"/>
      <c r="V186" s="24">
        <v>0.19277108433734941</v>
      </c>
      <c r="W186" s="3">
        <v>22.352941176470587</v>
      </c>
      <c r="X186" s="6"/>
      <c r="Y186" s="5">
        <v>10.971794594991554</v>
      </c>
      <c r="Z186" s="5">
        <v>10.971794594991554</v>
      </c>
      <c r="AA186" s="5">
        <v>13.419341894060995</v>
      </c>
      <c r="AB186" s="5">
        <v>21.948902407704654</v>
      </c>
      <c r="AD186" s="24">
        <v>957.52175</v>
      </c>
      <c r="AE186" s="5">
        <f t="shared" si="2"/>
        <v>9.0463419281873279</v>
      </c>
    </row>
    <row r="187" spans="1:31" ht="25.5" customHeight="1" x14ac:dyDescent="0.2">
      <c r="A187" s="53"/>
      <c r="B187" s="36" t="s">
        <v>248</v>
      </c>
      <c r="C187" s="22">
        <v>85</v>
      </c>
      <c r="D187" s="22">
        <v>1900</v>
      </c>
      <c r="E187" s="22">
        <v>2700</v>
      </c>
      <c r="F187" s="13">
        <v>1.2</v>
      </c>
      <c r="G187" s="13">
        <v>1.4210526315789473</v>
      </c>
      <c r="H187" s="22">
        <v>2</v>
      </c>
      <c r="I187" s="22">
        <v>1</v>
      </c>
      <c r="J187" s="22">
        <v>1</v>
      </c>
      <c r="K187" s="13">
        <v>0.14000000000000001</v>
      </c>
      <c r="L187" s="13">
        <v>62.3</v>
      </c>
      <c r="M187" s="13">
        <v>3.7983794999999998</v>
      </c>
      <c r="N187" s="13">
        <v>360</v>
      </c>
      <c r="O187" s="17">
        <v>0.90576923076923077</v>
      </c>
      <c r="P187" s="17">
        <v>1.1458158371040723</v>
      </c>
      <c r="Q187" s="13">
        <v>413</v>
      </c>
      <c r="R187" s="13">
        <v>1.1458158371040723</v>
      </c>
      <c r="S187" s="13">
        <v>413</v>
      </c>
      <c r="U187" s="6"/>
      <c r="V187" s="24">
        <v>0.19277108433734941</v>
      </c>
      <c r="W187" s="3">
        <v>22.352941176470587</v>
      </c>
      <c r="X187" s="6"/>
      <c r="Y187" s="5">
        <v>7.5958577965326146</v>
      </c>
      <c r="Z187" s="5">
        <v>7.5958577965326146</v>
      </c>
      <c r="AA187" s="5">
        <v>13.419341894060995</v>
      </c>
      <c r="AB187" s="5">
        <v>21.948902407704654</v>
      </c>
      <c r="AD187" s="24">
        <v>1280.43515</v>
      </c>
      <c r="AE187" s="5">
        <f t="shared" si="2"/>
        <v>12.097118612469982</v>
      </c>
    </row>
    <row r="188" spans="1:31" ht="25.5" customHeight="1" x14ac:dyDescent="0.2">
      <c r="A188" s="53"/>
      <c r="B188" s="21" t="s">
        <v>249</v>
      </c>
      <c r="C188" s="22">
        <v>80</v>
      </c>
      <c r="D188" s="22">
        <v>2180</v>
      </c>
      <c r="E188" s="22">
        <v>1100</v>
      </c>
      <c r="F188" s="13">
        <v>0.6</v>
      </c>
      <c r="G188" s="13">
        <v>0.50458715596330272</v>
      </c>
      <c r="H188" s="22">
        <v>2</v>
      </c>
      <c r="I188" s="22">
        <v>1</v>
      </c>
      <c r="J188" s="22">
        <v>1</v>
      </c>
      <c r="K188" s="13">
        <v>0.04</v>
      </c>
      <c r="L188" s="13">
        <v>58.3</v>
      </c>
      <c r="M188" s="13">
        <v>7.8</v>
      </c>
      <c r="N188" s="13">
        <v>389</v>
      </c>
      <c r="O188" s="17">
        <v>0.13164567164179106</v>
      </c>
      <c r="P188" s="17">
        <v>1.1810881529850745</v>
      </c>
      <c r="Q188" s="13">
        <v>321</v>
      </c>
      <c r="R188" s="13">
        <v>1.1810881529850745</v>
      </c>
      <c r="S188" s="13">
        <v>321</v>
      </c>
      <c r="U188" s="6"/>
      <c r="V188" s="24">
        <v>0.15399239543726237</v>
      </c>
      <c r="W188" s="3">
        <v>27.25</v>
      </c>
      <c r="X188" s="6"/>
      <c r="Y188" s="5">
        <v>6.5030754220962077</v>
      </c>
      <c r="Z188" s="5">
        <v>6.5030754220962077</v>
      </c>
      <c r="AA188" s="5">
        <v>0.72484151967435562</v>
      </c>
      <c r="AB188" s="5">
        <v>52.044596912521442</v>
      </c>
      <c r="AD188" s="24">
        <v>1487.5</v>
      </c>
      <c r="AE188" s="5">
        <f t="shared" si="2"/>
        <v>13.45293728615194</v>
      </c>
    </row>
    <row r="189" spans="1:31" ht="25.5" customHeight="1" x14ac:dyDescent="0.2">
      <c r="A189" s="53"/>
      <c r="B189" s="21" t="s">
        <v>250</v>
      </c>
      <c r="C189" s="22">
        <v>80</v>
      </c>
      <c r="D189" s="22">
        <v>2180</v>
      </c>
      <c r="E189" s="22">
        <v>1100</v>
      </c>
      <c r="F189" s="13">
        <v>0.6</v>
      </c>
      <c r="G189" s="13">
        <v>0.50458715596330272</v>
      </c>
      <c r="H189" s="22">
        <v>2</v>
      </c>
      <c r="I189" s="22">
        <v>1</v>
      </c>
      <c r="J189" s="22">
        <v>1</v>
      </c>
      <c r="K189" s="13">
        <v>0.04</v>
      </c>
      <c r="L189" s="13">
        <v>58.1</v>
      </c>
      <c r="M189" s="13">
        <v>7.8</v>
      </c>
      <c r="N189" s="13">
        <v>389</v>
      </c>
      <c r="O189" s="17">
        <v>0.13164567164179106</v>
      </c>
      <c r="P189" s="17">
        <v>1.9783226562499998</v>
      </c>
      <c r="Q189" s="13">
        <v>321</v>
      </c>
      <c r="R189" s="13">
        <v>1.9783226562499998</v>
      </c>
      <c r="S189" s="13">
        <v>321</v>
      </c>
      <c r="U189" s="6"/>
      <c r="V189" s="24">
        <v>0.15399239543726237</v>
      </c>
      <c r="W189" s="3">
        <v>27.25</v>
      </c>
      <c r="X189" s="6"/>
      <c r="Y189" s="5">
        <v>10.930147550021514</v>
      </c>
      <c r="Z189" s="5">
        <v>10.930147550021514</v>
      </c>
      <c r="AA189" s="5">
        <v>0.72733667120507628</v>
      </c>
      <c r="AB189" s="5">
        <v>52.223752151462989</v>
      </c>
      <c r="AD189" s="24">
        <v>1694.4499999999998</v>
      </c>
      <c r="AE189" s="5">
        <f t="shared" si="2"/>
        <v>15.350944890218017</v>
      </c>
    </row>
    <row r="190" spans="1:31" ht="25.5" customHeight="1" x14ac:dyDescent="0.2">
      <c r="A190" s="53"/>
      <c r="B190" s="36" t="s">
        <v>251</v>
      </c>
      <c r="C190" s="22">
        <v>120</v>
      </c>
      <c r="D190" s="22">
        <v>1720</v>
      </c>
      <c r="E190" s="22">
        <v>1080</v>
      </c>
      <c r="F190" s="13">
        <v>0.8</v>
      </c>
      <c r="G190" s="13">
        <v>0.62790697674418605</v>
      </c>
      <c r="H190" s="22">
        <v>2</v>
      </c>
      <c r="I190" s="22">
        <v>1</v>
      </c>
      <c r="J190" s="22">
        <v>2</v>
      </c>
      <c r="K190" s="13">
        <v>0.04</v>
      </c>
      <c r="L190" s="13">
        <v>82.3</v>
      </c>
      <c r="M190" s="13">
        <v>1.1882401083333332</v>
      </c>
      <c r="N190" s="13">
        <v>560</v>
      </c>
      <c r="O190" s="17">
        <v>0.17823601624999999</v>
      </c>
      <c r="P190" s="17">
        <v>1.1882401083333332</v>
      </c>
      <c r="Q190" s="13">
        <v>560</v>
      </c>
      <c r="R190" s="13">
        <v>1.1882401083333332</v>
      </c>
      <c r="S190" s="13">
        <v>560</v>
      </c>
      <c r="U190" s="6"/>
      <c r="V190" s="24">
        <v>0.25974025974025972</v>
      </c>
      <c r="W190" s="3">
        <v>14.333333333333334</v>
      </c>
      <c r="X190" s="6"/>
      <c r="Y190" s="5">
        <v>8.08523038477116</v>
      </c>
      <c r="Z190" s="5">
        <v>8.08523038477116</v>
      </c>
      <c r="AA190" s="5">
        <v>1.2127845577156744</v>
      </c>
      <c r="AB190" s="5">
        <v>8.08523038477116</v>
      </c>
      <c r="AD190" s="24">
        <v>2080.6764499999999</v>
      </c>
      <c r="AE190" s="5">
        <f t="shared" si="2"/>
        <v>13.382456559964758</v>
      </c>
    </row>
    <row r="191" spans="1:31" ht="25.5" customHeight="1" x14ac:dyDescent="0.2">
      <c r="A191" s="53"/>
      <c r="B191" s="36" t="s">
        <v>252</v>
      </c>
      <c r="C191" s="22">
        <v>75</v>
      </c>
      <c r="D191" s="22">
        <v>2700</v>
      </c>
      <c r="E191" s="22">
        <v>1400</v>
      </c>
      <c r="F191" s="13">
        <v>0.65</v>
      </c>
      <c r="G191" s="13">
        <v>0.51851851851851849</v>
      </c>
      <c r="H191" s="22">
        <v>2</v>
      </c>
      <c r="I191" s="22">
        <v>3</v>
      </c>
      <c r="J191" s="22">
        <v>1</v>
      </c>
      <c r="K191" s="13">
        <v>0</v>
      </c>
      <c r="L191" s="13">
        <v>83.6</v>
      </c>
      <c r="M191" s="13">
        <v>2.43096288</v>
      </c>
      <c r="N191" s="13">
        <v>377</v>
      </c>
      <c r="O191" s="17">
        <v>0.50645059999999997</v>
      </c>
      <c r="P191" s="17">
        <v>0.56272288888888888</v>
      </c>
      <c r="Q191" s="13">
        <v>369</v>
      </c>
      <c r="R191" s="13">
        <v>0.56272288888888888</v>
      </c>
      <c r="S191" s="13">
        <v>369</v>
      </c>
      <c r="U191" s="6"/>
      <c r="V191" s="24">
        <v>0.21551724137931033</v>
      </c>
      <c r="W191" s="3">
        <v>36</v>
      </c>
      <c r="X191" s="6"/>
      <c r="Y191" s="5">
        <v>2.4837888277511961</v>
      </c>
      <c r="Z191" s="5">
        <v>2.4837888277511961</v>
      </c>
      <c r="AA191" s="5">
        <v>2.2354099449760767</v>
      </c>
      <c r="AB191" s="5">
        <v>10.962595762679426</v>
      </c>
      <c r="AD191" s="24">
        <v>1109.0136499999999</v>
      </c>
      <c r="AE191" s="5">
        <f t="shared" si="2"/>
        <v>7.2135596356284299</v>
      </c>
    </row>
    <row r="192" spans="1:31" ht="25.5" customHeight="1" x14ac:dyDescent="0.2">
      <c r="A192" s="53"/>
      <c r="B192" s="21" t="s">
        <v>253</v>
      </c>
      <c r="C192" s="22">
        <v>75</v>
      </c>
      <c r="D192" s="22">
        <v>2700</v>
      </c>
      <c r="E192" s="22">
        <v>1400</v>
      </c>
      <c r="F192" s="13">
        <v>0.65</v>
      </c>
      <c r="G192" s="13">
        <v>0.51851851851851849</v>
      </c>
      <c r="H192" s="22">
        <v>2</v>
      </c>
      <c r="I192" s="22">
        <v>1</v>
      </c>
      <c r="J192" s="22">
        <v>1</v>
      </c>
      <c r="K192" s="13">
        <v>0</v>
      </c>
      <c r="L192" s="13">
        <v>83.3</v>
      </c>
      <c r="M192" s="13">
        <v>5.4696664799999999</v>
      </c>
      <c r="N192" s="13">
        <v>393</v>
      </c>
      <c r="O192" s="17">
        <v>0.50645059999999997</v>
      </c>
      <c r="P192" s="17">
        <v>0.56272288888888888</v>
      </c>
      <c r="Q192" s="13">
        <v>369</v>
      </c>
      <c r="R192" s="13">
        <v>0.56272288888888888</v>
      </c>
      <c r="S192" s="13">
        <v>369</v>
      </c>
      <c r="U192" s="6"/>
      <c r="V192" s="24">
        <v>0.21551724137931033</v>
      </c>
      <c r="W192" s="3">
        <v>36</v>
      </c>
      <c r="X192" s="6"/>
      <c r="Y192" s="5">
        <v>2.4927340456182474</v>
      </c>
      <c r="Z192" s="5">
        <v>2.4927340456182474</v>
      </c>
      <c r="AA192" s="5">
        <v>2.2434606410564228</v>
      </c>
      <c r="AB192" s="5">
        <v>25.805269227370946</v>
      </c>
      <c r="AD192" s="24">
        <v>2044.7950000000001</v>
      </c>
      <c r="AE192" s="5">
        <f t="shared" si="2"/>
        <v>13.324261499588523</v>
      </c>
    </row>
    <row r="193" spans="1:31" ht="25.5" customHeight="1" x14ac:dyDescent="0.2">
      <c r="A193" s="53" t="s">
        <v>254</v>
      </c>
      <c r="B193" s="21" t="s">
        <v>255</v>
      </c>
      <c r="C193" s="22">
        <v>200</v>
      </c>
      <c r="D193" s="22">
        <v>1600</v>
      </c>
      <c r="E193" s="22">
        <v>3125</v>
      </c>
      <c r="F193" s="13">
        <v>1.953125</v>
      </c>
      <c r="G193" s="13">
        <v>1.953125</v>
      </c>
      <c r="H193" s="22">
        <v>1</v>
      </c>
      <c r="I193" s="22">
        <v>3</v>
      </c>
      <c r="J193" s="22">
        <v>1</v>
      </c>
      <c r="K193" s="13">
        <v>0.15</v>
      </c>
      <c r="L193" s="13">
        <v>28.7</v>
      </c>
      <c r="M193" s="13">
        <v>2.9030670000000001</v>
      </c>
      <c r="N193" s="13">
        <v>640</v>
      </c>
      <c r="O193" s="17">
        <v>0</v>
      </c>
      <c r="P193" s="17">
        <v>0.97443745980287999</v>
      </c>
      <c r="Q193" s="13">
        <v>502</v>
      </c>
      <c r="R193" s="13">
        <v>0.74458687499999998</v>
      </c>
      <c r="S193" s="13">
        <v>636</v>
      </c>
      <c r="U193" s="6"/>
      <c r="V193" s="24">
        <v>0.25</v>
      </c>
      <c r="W193" s="3">
        <v>8</v>
      </c>
      <c r="X193" s="6"/>
      <c r="Y193" s="5">
        <v>16.500252700348433</v>
      </c>
      <c r="Z193" s="5">
        <v>17.044167415367447</v>
      </c>
      <c r="AA193" s="5">
        <v>0</v>
      </c>
      <c r="AB193" s="5">
        <v>64.737382578397217</v>
      </c>
      <c r="AD193" s="24">
        <f>(777+763)/2</f>
        <v>770</v>
      </c>
      <c r="AE193" s="5">
        <f t="shared" si="2"/>
        <v>5.4092954114489968</v>
      </c>
    </row>
    <row r="194" spans="1:31" ht="25.5" customHeight="1" x14ac:dyDescent="0.2">
      <c r="A194" s="53"/>
      <c r="B194" s="21" t="s">
        <v>256</v>
      </c>
      <c r="C194" s="22">
        <v>200</v>
      </c>
      <c r="D194" s="22">
        <v>1600</v>
      </c>
      <c r="E194" s="22">
        <v>3125</v>
      </c>
      <c r="F194" s="13">
        <v>1.953125</v>
      </c>
      <c r="G194" s="13">
        <v>1.953125</v>
      </c>
      <c r="H194" s="22">
        <v>1</v>
      </c>
      <c r="I194" s="22">
        <v>3</v>
      </c>
      <c r="J194" s="22">
        <v>1</v>
      </c>
      <c r="K194" s="13">
        <v>0.15</v>
      </c>
      <c r="L194" s="13">
        <v>36.299999999999997</v>
      </c>
      <c r="M194" s="13">
        <v>2.9030670000000001</v>
      </c>
      <c r="N194" s="13">
        <v>679</v>
      </c>
      <c r="O194" s="17">
        <v>0</v>
      </c>
      <c r="P194" s="17">
        <v>0.97443745980287999</v>
      </c>
      <c r="Q194" s="13">
        <v>502</v>
      </c>
      <c r="R194" s="13">
        <v>0.74458687499999998</v>
      </c>
      <c r="S194" s="13">
        <v>691</v>
      </c>
      <c r="U194" s="6"/>
      <c r="V194" s="24">
        <v>0.25</v>
      </c>
      <c r="W194" s="3">
        <v>8</v>
      </c>
      <c r="X194" s="6"/>
      <c r="Y194" s="5">
        <v>14.17381627066116</v>
      </c>
      <c r="Z194" s="5">
        <v>13.475691592866275</v>
      </c>
      <c r="AA194" s="5">
        <v>0</v>
      </c>
      <c r="AB194" s="5">
        <v>54.302548016528931</v>
      </c>
      <c r="AD194" s="24">
        <f>(921+825)/2</f>
        <v>873</v>
      </c>
      <c r="AE194" s="5">
        <f t="shared" si="2"/>
        <v>5.4532053747125557</v>
      </c>
    </row>
    <row r="195" spans="1:31" ht="25.5" customHeight="1" x14ac:dyDescent="0.2">
      <c r="A195" s="53"/>
      <c r="B195" s="21" t="s">
        <v>257</v>
      </c>
      <c r="C195" s="22">
        <v>200</v>
      </c>
      <c r="D195" s="22">
        <v>1600</v>
      </c>
      <c r="E195" s="22">
        <v>3125</v>
      </c>
      <c r="F195" s="13">
        <v>1.953125</v>
      </c>
      <c r="G195" s="13">
        <v>1.953125</v>
      </c>
      <c r="H195" s="22">
        <v>1</v>
      </c>
      <c r="I195" s="22">
        <v>3</v>
      </c>
      <c r="J195" s="22">
        <v>1</v>
      </c>
      <c r="K195" s="13">
        <v>0.15</v>
      </c>
      <c r="L195" s="13">
        <v>26.8</v>
      </c>
      <c r="M195" s="13">
        <v>2.9030670000000001</v>
      </c>
      <c r="N195" s="13">
        <v>640</v>
      </c>
      <c r="O195" s="17">
        <v>1.097393354740051</v>
      </c>
      <c r="P195" s="17">
        <v>0.97443745980287999</v>
      </c>
      <c r="Q195" s="13">
        <v>502</v>
      </c>
      <c r="R195" s="13">
        <v>0.74458687499999998</v>
      </c>
      <c r="S195" s="13">
        <v>691</v>
      </c>
      <c r="U195" s="6"/>
      <c r="V195" s="24">
        <v>0.25</v>
      </c>
      <c r="W195" s="3">
        <v>8</v>
      </c>
      <c r="X195" s="6"/>
      <c r="Y195" s="5">
        <v>19.198116814365672</v>
      </c>
      <c r="Z195" s="5">
        <v>18.25252256794947</v>
      </c>
      <c r="AA195" s="5">
        <v>18.672066035875492</v>
      </c>
      <c r="AB195" s="5">
        <v>69.326973134328355</v>
      </c>
      <c r="AD195" s="24">
        <v>864.5</v>
      </c>
      <c r="AE195" s="5">
        <f t="shared" si="2"/>
        <v>6.2847574794446768</v>
      </c>
    </row>
    <row r="196" spans="1:31" ht="25.5" customHeight="1" x14ac:dyDescent="0.2">
      <c r="A196" s="13" t="s">
        <v>258</v>
      </c>
      <c r="B196" s="21" t="s">
        <v>106</v>
      </c>
      <c r="C196" s="22">
        <v>150</v>
      </c>
      <c r="D196" s="22">
        <v>1500</v>
      </c>
      <c r="E196" s="22">
        <v>2600</v>
      </c>
      <c r="F196" s="13">
        <v>1.7333333333333334</v>
      </c>
      <c r="G196" s="13">
        <v>1.7333333333333334</v>
      </c>
      <c r="H196" s="22">
        <v>1</v>
      </c>
      <c r="I196" s="22">
        <v>3</v>
      </c>
      <c r="J196" s="22">
        <v>1</v>
      </c>
      <c r="K196" s="13">
        <v>0.14744003915810083</v>
      </c>
      <c r="L196" s="13">
        <v>18.16</v>
      </c>
      <c r="M196" s="13">
        <v>0</v>
      </c>
      <c r="N196" s="13" t="s">
        <v>26</v>
      </c>
      <c r="O196" s="17">
        <v>0</v>
      </c>
      <c r="P196" s="17">
        <v>0.63404949384980713</v>
      </c>
      <c r="Q196" s="13">
        <v>470</v>
      </c>
      <c r="R196" s="13">
        <v>0.34906585039886595</v>
      </c>
      <c r="S196" s="13">
        <v>470</v>
      </c>
      <c r="U196" s="6"/>
      <c r="V196" s="24">
        <v>0</v>
      </c>
      <c r="W196" s="3">
        <v>10</v>
      </c>
      <c r="X196" s="6"/>
      <c r="Y196" s="5">
        <v>9.0341932647283585</v>
      </c>
      <c r="Z196" s="5">
        <v>16.409871261531354</v>
      </c>
      <c r="AA196" s="5">
        <v>0</v>
      </c>
      <c r="AB196" s="5">
        <v>0</v>
      </c>
      <c r="AD196" s="24">
        <f>(257.6+250.94)/2</f>
        <v>254.27</v>
      </c>
      <c r="AE196" s="5">
        <f t="shared" si="2"/>
        <v>3.1937107788624748</v>
      </c>
    </row>
    <row r="197" spans="1:31" ht="25.5" customHeight="1" x14ac:dyDescent="0.2">
      <c r="A197" s="55" t="s">
        <v>259</v>
      </c>
      <c r="B197" s="36" t="s">
        <v>260</v>
      </c>
      <c r="C197" s="22">
        <v>80</v>
      </c>
      <c r="D197" s="22">
        <v>1400</v>
      </c>
      <c r="E197" s="22">
        <v>1700</v>
      </c>
      <c r="F197" s="13">
        <v>2</v>
      </c>
      <c r="G197" s="13">
        <v>1.2142857142857142</v>
      </c>
      <c r="H197" s="22">
        <v>2</v>
      </c>
      <c r="I197" s="22">
        <v>2</v>
      </c>
      <c r="J197" s="22">
        <v>1</v>
      </c>
      <c r="K197" s="13">
        <v>0.22</v>
      </c>
      <c r="L197" s="13">
        <v>72.7</v>
      </c>
      <c r="M197" s="13">
        <v>2.355</v>
      </c>
      <c r="N197" s="13">
        <v>580</v>
      </c>
      <c r="O197" s="13">
        <v>1.1304000000000001</v>
      </c>
      <c r="P197" s="13">
        <v>1.1775</v>
      </c>
      <c r="Q197" s="13">
        <v>849</v>
      </c>
      <c r="R197" s="13">
        <v>1.1775</v>
      </c>
      <c r="S197" s="13">
        <v>852</v>
      </c>
      <c r="U197" s="6"/>
      <c r="V197" s="24">
        <v>0.25</v>
      </c>
      <c r="W197" s="3">
        <v>17.5</v>
      </c>
      <c r="X197" s="6"/>
      <c r="Y197" s="5">
        <v>13.799587345254469</v>
      </c>
      <c r="Z197" s="5">
        <v>13.750997248968362</v>
      </c>
      <c r="AA197" s="5">
        <v>5.9862998624484183</v>
      </c>
      <c r="AB197" s="5">
        <v>18.788170563961486</v>
      </c>
      <c r="AD197" s="19">
        <v>883</v>
      </c>
      <c r="AE197" s="5">
        <f t="shared" si="2"/>
        <v>11.135670623963325</v>
      </c>
    </row>
    <row r="198" spans="1:31" ht="25.5" customHeight="1" x14ac:dyDescent="0.2">
      <c r="A198" s="54"/>
      <c r="B198" s="36" t="s">
        <v>261</v>
      </c>
      <c r="C198" s="22">
        <v>80</v>
      </c>
      <c r="D198" s="22">
        <v>1400</v>
      </c>
      <c r="E198" s="22">
        <v>1700</v>
      </c>
      <c r="F198" s="13">
        <v>2</v>
      </c>
      <c r="G198" s="13">
        <v>1.2142857142857142</v>
      </c>
      <c r="H198" s="22">
        <v>2</v>
      </c>
      <c r="I198" s="22">
        <v>3</v>
      </c>
      <c r="J198" s="22">
        <v>1</v>
      </c>
      <c r="K198" s="13">
        <v>0.14000000000000001</v>
      </c>
      <c r="L198" s="13">
        <v>79</v>
      </c>
      <c r="M198" s="13">
        <v>2.355</v>
      </c>
      <c r="N198" s="13">
        <v>580</v>
      </c>
      <c r="O198" s="13">
        <v>1.1304000000000001</v>
      </c>
      <c r="P198" s="13">
        <v>1.1775</v>
      </c>
      <c r="Q198" s="13">
        <v>849</v>
      </c>
      <c r="R198" s="13">
        <v>1.1775</v>
      </c>
      <c r="S198" s="13">
        <v>852</v>
      </c>
      <c r="U198" s="6"/>
      <c r="V198" s="24">
        <v>0.25</v>
      </c>
      <c r="W198" s="3">
        <v>17.5</v>
      </c>
      <c r="X198" s="6"/>
      <c r="Y198" s="5">
        <v>12.699113924050634</v>
      </c>
      <c r="Z198" s="5">
        <v>12.654398734177216</v>
      </c>
      <c r="AA198" s="5">
        <v>5.5089113924050634</v>
      </c>
      <c r="AB198" s="5">
        <v>17.28987341772152</v>
      </c>
      <c r="AD198" s="19">
        <v>759.53857500000004</v>
      </c>
      <c r="AE198" s="5">
        <f t="shared" ref="AE198:AE221" si="3">AD198*1000/C198/D198*145.038/SQRT(145.038*L198)</f>
        <v>9.1888078160791711</v>
      </c>
    </row>
    <row r="199" spans="1:31" ht="25.5" customHeight="1" x14ac:dyDescent="0.2">
      <c r="A199" s="54"/>
      <c r="B199" s="36" t="s">
        <v>262</v>
      </c>
      <c r="C199" s="22">
        <v>80</v>
      </c>
      <c r="D199" s="22">
        <v>1400</v>
      </c>
      <c r="E199" s="22">
        <v>1700</v>
      </c>
      <c r="F199" s="13">
        <v>2</v>
      </c>
      <c r="G199" s="13">
        <v>1.2142857142857142</v>
      </c>
      <c r="H199" s="22">
        <v>2</v>
      </c>
      <c r="I199" s="22">
        <v>3</v>
      </c>
      <c r="J199" s="22">
        <v>1</v>
      </c>
      <c r="K199" s="13">
        <v>0.09</v>
      </c>
      <c r="L199" s="13">
        <v>79.400000000000006</v>
      </c>
      <c r="M199" s="13">
        <v>2.355</v>
      </c>
      <c r="N199" s="13">
        <v>580</v>
      </c>
      <c r="O199" s="13">
        <v>1.1304000000000001</v>
      </c>
      <c r="P199" s="13">
        <v>1.1775</v>
      </c>
      <c r="Q199" s="13">
        <v>849</v>
      </c>
      <c r="R199" s="13">
        <v>1.1775</v>
      </c>
      <c r="S199" s="13">
        <v>852</v>
      </c>
      <c r="U199" s="6"/>
      <c r="V199" s="24">
        <v>0.25</v>
      </c>
      <c r="W199" s="3">
        <v>17.5</v>
      </c>
      <c r="X199" s="6"/>
      <c r="Y199" s="5">
        <v>12.635138539042821</v>
      </c>
      <c r="Z199" s="5">
        <v>12.59064861460957</v>
      </c>
      <c r="AA199" s="5">
        <v>5.4811586901763221</v>
      </c>
      <c r="AB199" s="5">
        <v>17.202770780856422</v>
      </c>
      <c r="AD199" s="19">
        <v>688.77365499999996</v>
      </c>
      <c r="AE199" s="5">
        <f t="shared" si="3"/>
        <v>8.3116865106227511</v>
      </c>
    </row>
    <row r="200" spans="1:31" ht="25.5" customHeight="1" x14ac:dyDescent="0.2">
      <c r="A200" s="54"/>
      <c r="B200" s="21" t="s">
        <v>263</v>
      </c>
      <c r="C200" s="22">
        <v>80</v>
      </c>
      <c r="D200" s="3">
        <v>1400</v>
      </c>
      <c r="E200" s="3">
        <v>2400</v>
      </c>
      <c r="F200" s="3">
        <v>1.71</v>
      </c>
      <c r="G200" s="13">
        <v>1.7142857142857142</v>
      </c>
      <c r="H200" s="22">
        <v>2</v>
      </c>
      <c r="I200" s="22">
        <v>2</v>
      </c>
      <c r="J200" s="22">
        <v>1</v>
      </c>
      <c r="K200" s="13">
        <v>0.26102088167053367</v>
      </c>
      <c r="L200" s="13">
        <v>43.1</v>
      </c>
      <c r="M200" s="13">
        <v>2.355</v>
      </c>
      <c r="N200" s="13">
        <v>580</v>
      </c>
      <c r="O200" s="13">
        <v>1.1304000000000001</v>
      </c>
      <c r="P200" s="13">
        <v>1.1775</v>
      </c>
      <c r="Q200" s="13">
        <v>849</v>
      </c>
      <c r="R200" s="13">
        <v>1.1775</v>
      </c>
      <c r="S200" s="13">
        <v>852</v>
      </c>
      <c r="U200" s="35"/>
      <c r="V200" s="24">
        <v>0.25</v>
      </c>
      <c r="W200" s="3">
        <v>17.5</v>
      </c>
      <c r="X200" s="3"/>
      <c r="Y200" s="5">
        <v>23.276798143851508</v>
      </c>
      <c r="Z200" s="5">
        <v>23.194837587006958</v>
      </c>
      <c r="AA200" s="5">
        <v>10.097540603248259</v>
      </c>
      <c r="AB200" s="5">
        <v>31.691415313225058</v>
      </c>
      <c r="AD200" s="19">
        <v>772.65667499999995</v>
      </c>
      <c r="AE200" s="5">
        <f t="shared" si="3"/>
        <v>12.655252196675216</v>
      </c>
    </row>
    <row r="201" spans="1:31" ht="25.5" customHeight="1" x14ac:dyDescent="0.2">
      <c r="A201" s="54"/>
      <c r="B201" s="21" t="s">
        <v>264</v>
      </c>
      <c r="C201" s="22">
        <v>80</v>
      </c>
      <c r="D201" s="3">
        <v>1400</v>
      </c>
      <c r="E201" s="3">
        <v>2400</v>
      </c>
      <c r="F201" s="3">
        <v>1.71</v>
      </c>
      <c r="G201" s="13">
        <v>1.7142857142857142</v>
      </c>
      <c r="H201" s="22">
        <v>2</v>
      </c>
      <c r="I201" s="22">
        <v>2</v>
      </c>
      <c r="J201" s="22">
        <v>1</v>
      </c>
      <c r="K201" s="13">
        <v>0.22</v>
      </c>
      <c r="L201" s="13">
        <v>42.5</v>
      </c>
      <c r="M201" s="13">
        <v>2.355</v>
      </c>
      <c r="N201" s="13">
        <v>580</v>
      </c>
      <c r="O201" s="13">
        <v>1.6148571428571428</v>
      </c>
      <c r="P201" s="13">
        <v>1.1775</v>
      </c>
      <c r="Q201" s="13">
        <v>849</v>
      </c>
      <c r="R201" s="13">
        <v>1.1775</v>
      </c>
      <c r="S201" s="13">
        <v>852</v>
      </c>
      <c r="U201" s="35"/>
      <c r="V201" s="24">
        <v>0.25</v>
      </c>
      <c r="W201" s="3">
        <v>17.5</v>
      </c>
      <c r="X201" s="3"/>
      <c r="Y201" s="5">
        <v>23.605411764705885</v>
      </c>
      <c r="Z201" s="5">
        <v>23.522294117647057</v>
      </c>
      <c r="AA201" s="5">
        <v>14.628705882352939</v>
      </c>
      <c r="AB201" s="5">
        <v>32.138823529411766</v>
      </c>
      <c r="AD201" s="19">
        <v>748.06762500000002</v>
      </c>
      <c r="AE201" s="5">
        <f t="shared" si="3"/>
        <v>12.338696254468143</v>
      </c>
    </row>
    <row r="202" spans="1:31" ht="25.5" customHeight="1" x14ac:dyDescent="0.2">
      <c r="A202" s="20" t="s">
        <v>265</v>
      </c>
      <c r="B202" s="21" t="s">
        <v>266</v>
      </c>
      <c r="C202" s="22">
        <v>100</v>
      </c>
      <c r="D202" s="3">
        <v>1000</v>
      </c>
      <c r="E202" s="3">
        <v>3100</v>
      </c>
      <c r="F202" s="13">
        <v>3.1</v>
      </c>
      <c r="G202" s="13">
        <v>3.1</v>
      </c>
      <c r="H202" s="22">
        <v>1</v>
      </c>
      <c r="I202" s="22">
        <v>3</v>
      </c>
      <c r="J202" s="22">
        <v>1</v>
      </c>
      <c r="K202" s="13">
        <v>0</v>
      </c>
      <c r="L202" s="13">
        <v>32.566699999999997</v>
      </c>
      <c r="M202" s="13">
        <v>5.2249646238651302</v>
      </c>
      <c r="N202" s="13">
        <v>475.30379746835439</v>
      </c>
      <c r="O202" s="13">
        <v>0.67020643276582259</v>
      </c>
      <c r="P202" s="13">
        <v>0.66986666666666672</v>
      </c>
      <c r="Q202" s="13">
        <v>426</v>
      </c>
      <c r="R202" s="13">
        <v>1.5201254775434483</v>
      </c>
      <c r="S202" s="13">
        <v>463</v>
      </c>
      <c r="U202" s="35"/>
      <c r="V202" s="24">
        <v>0.19</v>
      </c>
      <c r="W202" s="3">
        <v>10</v>
      </c>
      <c r="X202" s="3"/>
      <c r="Y202" s="5">
        <v>21.611587790676261</v>
      </c>
      <c r="Z202" s="5">
        <v>8.7624229657902095</v>
      </c>
      <c r="AA202" s="5">
        <v>8.7668673939404496</v>
      </c>
      <c r="AB202" s="5">
        <v>76.257205285181129</v>
      </c>
      <c r="AD202" s="19">
        <v>178.37</v>
      </c>
      <c r="AE202" s="5">
        <f t="shared" si="3"/>
        <v>3.7642272712498288</v>
      </c>
    </row>
    <row r="203" spans="1:31" ht="25.5" customHeight="1" x14ac:dyDescent="0.2">
      <c r="A203" s="20" t="s">
        <v>267</v>
      </c>
      <c r="B203" s="21" t="s">
        <v>68</v>
      </c>
      <c r="C203" s="22">
        <v>100</v>
      </c>
      <c r="D203" s="3">
        <v>1000</v>
      </c>
      <c r="E203" s="3">
        <v>2300</v>
      </c>
      <c r="F203" s="13">
        <v>2.2999999999999998</v>
      </c>
      <c r="G203" s="13">
        <v>2.2999999999999998</v>
      </c>
      <c r="H203" s="22">
        <v>1</v>
      </c>
      <c r="I203" s="22">
        <v>3</v>
      </c>
      <c r="J203" s="22">
        <v>1</v>
      </c>
      <c r="K203" s="13">
        <v>7.3145780051150897E-2</v>
      </c>
      <c r="L203" s="13">
        <v>39.1</v>
      </c>
      <c r="M203" s="13">
        <v>1.6591536201771095</v>
      </c>
      <c r="N203" s="13">
        <v>509</v>
      </c>
      <c r="O203" s="13">
        <v>1.0053096491487339</v>
      </c>
      <c r="P203" s="13">
        <v>0.56520000000000004</v>
      </c>
      <c r="Q203" s="13">
        <v>509</v>
      </c>
      <c r="R203" s="13">
        <v>0.6831809024258686</v>
      </c>
      <c r="S203" s="13">
        <v>509</v>
      </c>
      <c r="U203" s="35"/>
      <c r="V203" s="24">
        <v>0.16</v>
      </c>
      <c r="W203" s="3">
        <v>10</v>
      </c>
      <c r="X203" s="3"/>
      <c r="Y203" s="5">
        <v>8.8935825916820228</v>
      </c>
      <c r="Z203" s="5">
        <v>7.3577186700767259</v>
      </c>
      <c r="AA203" s="5">
        <v>11.261524970003718</v>
      </c>
      <c r="AB203" s="5">
        <v>21.5987005797992</v>
      </c>
      <c r="AD203" s="19">
        <v>195</v>
      </c>
      <c r="AE203" s="5">
        <f t="shared" si="3"/>
        <v>3.7556674819922646</v>
      </c>
    </row>
    <row r="204" spans="1:31" ht="25.5" customHeight="1" x14ac:dyDescent="0.2">
      <c r="A204" s="53" t="s">
        <v>268</v>
      </c>
      <c r="B204" s="36" t="s">
        <v>269</v>
      </c>
      <c r="C204" s="22">
        <v>100</v>
      </c>
      <c r="D204" s="22">
        <v>1200</v>
      </c>
      <c r="E204" s="22">
        <v>1200</v>
      </c>
      <c r="F204" s="13">
        <v>1</v>
      </c>
      <c r="G204" s="13">
        <v>1</v>
      </c>
      <c r="H204" s="22">
        <v>1</v>
      </c>
      <c r="I204" s="22">
        <v>2</v>
      </c>
      <c r="J204" s="22">
        <v>1</v>
      </c>
      <c r="K204" s="13">
        <v>0.1</v>
      </c>
      <c r="L204" s="13">
        <v>28</v>
      </c>
      <c r="M204" s="13">
        <v>0</v>
      </c>
      <c r="N204" s="13">
        <v>0</v>
      </c>
      <c r="O204" s="13">
        <v>0</v>
      </c>
      <c r="P204" s="13">
        <v>1.0466666666666666</v>
      </c>
      <c r="Q204" s="13">
        <v>520</v>
      </c>
      <c r="R204" s="13">
        <v>0.87222222222222223</v>
      </c>
      <c r="S204" s="13">
        <v>520</v>
      </c>
      <c r="U204" s="6"/>
      <c r="V204" s="24">
        <v>0.36666666666666664</v>
      </c>
      <c r="W204" s="3">
        <v>12</v>
      </c>
      <c r="X204" s="6"/>
      <c r="Y204" s="5">
        <v>16.198412698412699</v>
      </c>
      <c r="Z204" s="5">
        <v>19.438095238095237</v>
      </c>
      <c r="AA204" s="5">
        <v>0</v>
      </c>
      <c r="AB204" s="5">
        <v>0</v>
      </c>
      <c r="AD204" s="24">
        <v>349.27537367503021</v>
      </c>
      <c r="AE204" s="5">
        <f t="shared" si="3"/>
        <v>6.6244313753407251</v>
      </c>
    </row>
    <row r="205" spans="1:31" ht="25.5" customHeight="1" x14ac:dyDescent="0.2">
      <c r="A205" s="54"/>
      <c r="B205" s="36" t="s">
        <v>270</v>
      </c>
      <c r="C205" s="22">
        <v>100</v>
      </c>
      <c r="D205" s="22">
        <v>1200</v>
      </c>
      <c r="E205" s="22">
        <v>1200</v>
      </c>
      <c r="F205" s="13">
        <v>1</v>
      </c>
      <c r="G205" s="13">
        <v>1</v>
      </c>
      <c r="H205" s="22">
        <v>1</v>
      </c>
      <c r="I205" s="22">
        <v>2</v>
      </c>
      <c r="J205" s="22">
        <v>1</v>
      </c>
      <c r="K205" s="13">
        <v>0.1</v>
      </c>
      <c r="L205" s="13">
        <v>29.1</v>
      </c>
      <c r="M205" s="13">
        <v>1.0466666666666666</v>
      </c>
      <c r="N205" s="13">
        <v>520</v>
      </c>
      <c r="O205" s="13">
        <v>1.0466666666666666</v>
      </c>
      <c r="P205" s="13">
        <v>1.0466666666666666</v>
      </c>
      <c r="Q205" s="13">
        <v>520</v>
      </c>
      <c r="R205" s="13">
        <v>0.87222222222222223</v>
      </c>
      <c r="S205" s="13">
        <v>520</v>
      </c>
      <c r="U205" s="6"/>
      <c r="V205" s="24">
        <v>0.25</v>
      </c>
      <c r="W205" s="3">
        <v>12</v>
      </c>
      <c r="X205" s="6"/>
      <c r="Y205" s="5">
        <v>15.586101565483007</v>
      </c>
      <c r="Z205" s="5">
        <v>18.703321878579608</v>
      </c>
      <c r="AA205" s="5">
        <v>18.703321878579608</v>
      </c>
      <c r="AB205" s="5">
        <v>18.703321878579608</v>
      </c>
      <c r="AD205" s="24">
        <v>403.03992499999998</v>
      </c>
      <c r="AE205" s="5">
        <f t="shared" si="3"/>
        <v>7.4982726836749798</v>
      </c>
    </row>
    <row r="206" spans="1:31" ht="25.5" customHeight="1" x14ac:dyDescent="0.2">
      <c r="A206" s="54"/>
      <c r="B206" s="36" t="s">
        <v>271</v>
      </c>
      <c r="C206" s="22">
        <v>100</v>
      </c>
      <c r="D206" s="22">
        <v>1200</v>
      </c>
      <c r="E206" s="22">
        <v>1200</v>
      </c>
      <c r="F206" s="13">
        <v>1</v>
      </c>
      <c r="G206" s="13">
        <v>1</v>
      </c>
      <c r="H206" s="22">
        <v>1</v>
      </c>
      <c r="I206" s="22">
        <v>2</v>
      </c>
      <c r="J206" s="22">
        <v>1</v>
      </c>
      <c r="K206" s="13">
        <v>0.1</v>
      </c>
      <c r="L206" s="13">
        <v>31.2</v>
      </c>
      <c r="M206" s="13">
        <v>1.0466666666666666</v>
      </c>
      <c r="N206" s="13">
        <v>520</v>
      </c>
      <c r="O206" s="13">
        <v>2.0933333333333333</v>
      </c>
      <c r="P206" s="13">
        <v>1.0466666666666666</v>
      </c>
      <c r="Q206" s="13">
        <v>520</v>
      </c>
      <c r="R206" s="13">
        <v>0.87222222222222223</v>
      </c>
      <c r="S206" s="13">
        <v>520</v>
      </c>
      <c r="U206" s="6"/>
      <c r="V206" s="24">
        <v>0.25</v>
      </c>
      <c r="W206" s="3">
        <v>12</v>
      </c>
      <c r="X206" s="6"/>
      <c r="Y206" s="5">
        <v>14.537037037037036</v>
      </c>
      <c r="Z206" s="5">
        <v>17.444444444444443</v>
      </c>
      <c r="AA206" s="5">
        <v>34.888888888888886</v>
      </c>
      <c r="AB206" s="5">
        <v>17.444444444444443</v>
      </c>
      <c r="AD206" s="24">
        <v>351.40506402</v>
      </c>
      <c r="AE206" s="5">
        <f t="shared" si="3"/>
        <v>6.3137935029601557</v>
      </c>
    </row>
    <row r="207" spans="1:31" ht="25.5" customHeight="1" x14ac:dyDescent="0.2">
      <c r="A207" s="54"/>
      <c r="B207" s="36" t="s">
        <v>272</v>
      </c>
      <c r="C207" s="22">
        <v>100</v>
      </c>
      <c r="D207" s="22">
        <v>1200</v>
      </c>
      <c r="E207" s="22">
        <v>1200</v>
      </c>
      <c r="F207" s="13">
        <v>1</v>
      </c>
      <c r="G207" s="13">
        <v>1</v>
      </c>
      <c r="H207" s="22">
        <v>1</v>
      </c>
      <c r="I207" s="22">
        <v>2</v>
      </c>
      <c r="J207" s="22">
        <v>1</v>
      </c>
      <c r="K207" s="13">
        <v>0.1</v>
      </c>
      <c r="L207" s="13">
        <v>32.6</v>
      </c>
      <c r="M207" s="13">
        <v>1.0466666666666666</v>
      </c>
      <c r="N207" s="13">
        <v>520</v>
      </c>
      <c r="O207" s="13">
        <v>2.0933333333333333</v>
      </c>
      <c r="P207" s="13">
        <v>1.0466666666666666</v>
      </c>
      <c r="Q207" s="13">
        <v>520</v>
      </c>
      <c r="R207" s="13">
        <v>0.87222222222222223</v>
      </c>
      <c r="S207" s="13">
        <v>520</v>
      </c>
      <c r="U207" s="6"/>
      <c r="V207" s="24">
        <v>0.25</v>
      </c>
      <c r="W207" s="3">
        <v>12</v>
      </c>
      <c r="X207" s="6"/>
      <c r="Y207" s="5">
        <v>13.912747102931151</v>
      </c>
      <c r="Z207" s="5">
        <v>16.695296523517381</v>
      </c>
      <c r="AA207" s="5">
        <v>33.390593047034763</v>
      </c>
      <c r="AB207" s="5">
        <v>16.695296523517381</v>
      </c>
      <c r="AD207" s="24">
        <v>360.22465499999998</v>
      </c>
      <c r="AE207" s="5">
        <f t="shared" si="3"/>
        <v>6.3317577297943606</v>
      </c>
    </row>
    <row r="208" spans="1:31" ht="25.5" customHeight="1" x14ac:dyDescent="0.2">
      <c r="A208" s="54"/>
      <c r="B208" s="36" t="s">
        <v>273</v>
      </c>
      <c r="C208" s="22">
        <v>100</v>
      </c>
      <c r="D208" s="22">
        <v>1200</v>
      </c>
      <c r="E208" s="22">
        <v>1200</v>
      </c>
      <c r="F208" s="13">
        <v>1</v>
      </c>
      <c r="G208" s="13">
        <v>1</v>
      </c>
      <c r="H208" s="22">
        <v>1</v>
      </c>
      <c r="I208" s="22">
        <v>2</v>
      </c>
      <c r="J208" s="22">
        <v>1</v>
      </c>
      <c r="K208" s="13">
        <v>0.1</v>
      </c>
      <c r="L208" s="13">
        <v>34.799999999999997</v>
      </c>
      <c r="M208" s="13">
        <v>1.0466666666666666</v>
      </c>
      <c r="N208" s="13">
        <v>520</v>
      </c>
      <c r="O208" s="13">
        <v>1.0466666666666666</v>
      </c>
      <c r="P208" s="13">
        <v>1.0466666666666666</v>
      </c>
      <c r="Q208" s="13">
        <v>520</v>
      </c>
      <c r="R208" s="13">
        <v>0.87222222222222223</v>
      </c>
      <c r="S208" s="13">
        <v>520</v>
      </c>
      <c r="U208" s="6"/>
      <c r="V208" s="24">
        <v>0.25</v>
      </c>
      <c r="W208" s="3">
        <v>12</v>
      </c>
      <c r="X208" s="6"/>
      <c r="Y208" s="5">
        <v>13.033205619412517</v>
      </c>
      <c r="Z208" s="5">
        <v>15.639846743295021</v>
      </c>
      <c r="AA208" s="5">
        <v>15.639846743295021</v>
      </c>
      <c r="AB208" s="5">
        <v>15.639846743295021</v>
      </c>
      <c r="AD208" s="24">
        <v>359.74517409732277</v>
      </c>
      <c r="AE208" s="5">
        <f t="shared" si="3"/>
        <v>6.1201914788607406</v>
      </c>
    </row>
    <row r="209" spans="1:31" ht="25.5" customHeight="1" x14ac:dyDescent="0.2">
      <c r="A209" s="54"/>
      <c r="B209" s="36" t="s">
        <v>274</v>
      </c>
      <c r="C209" s="22">
        <v>100</v>
      </c>
      <c r="D209" s="22">
        <v>1200</v>
      </c>
      <c r="E209" s="22">
        <v>1200</v>
      </c>
      <c r="F209" s="13">
        <v>1</v>
      </c>
      <c r="G209" s="13">
        <v>1</v>
      </c>
      <c r="H209" s="22">
        <v>1</v>
      </c>
      <c r="I209" s="22">
        <v>2</v>
      </c>
      <c r="J209" s="22">
        <v>1</v>
      </c>
      <c r="K209" s="13">
        <v>0.1</v>
      </c>
      <c r="L209" s="13">
        <v>37.1</v>
      </c>
      <c r="M209" s="13">
        <v>1.0466666666666666</v>
      </c>
      <c r="N209" s="13">
        <v>520</v>
      </c>
      <c r="O209" s="13">
        <v>0</v>
      </c>
      <c r="P209" s="13">
        <v>1.0466666666666666</v>
      </c>
      <c r="Q209" s="13">
        <v>520</v>
      </c>
      <c r="R209" s="13">
        <v>0.87222222222222223</v>
      </c>
      <c r="S209" s="13">
        <v>520</v>
      </c>
      <c r="U209" s="6"/>
      <c r="V209" s="24">
        <v>0.25</v>
      </c>
      <c r="W209" s="3">
        <v>12</v>
      </c>
      <c r="X209" s="6"/>
      <c r="Y209" s="5">
        <v>12.225217130877507</v>
      </c>
      <c r="Z209" s="5">
        <v>14.670260557053009</v>
      </c>
      <c r="AA209" s="5">
        <v>0</v>
      </c>
      <c r="AB209" s="5">
        <v>14.670260557053009</v>
      </c>
      <c r="AD209" s="24">
        <v>372.61673680000001</v>
      </c>
      <c r="AE209" s="5">
        <f t="shared" si="3"/>
        <v>6.1395290486551737</v>
      </c>
    </row>
    <row r="210" spans="1:31" ht="25.5" customHeight="1" x14ac:dyDescent="0.2">
      <c r="A210" s="53" t="s">
        <v>275</v>
      </c>
      <c r="B210" s="21" t="s">
        <v>276</v>
      </c>
      <c r="C210" s="22">
        <v>65</v>
      </c>
      <c r="D210" s="22">
        <v>650</v>
      </c>
      <c r="E210" s="22">
        <v>1300</v>
      </c>
      <c r="F210" s="13">
        <v>2</v>
      </c>
      <c r="G210" s="13">
        <v>2</v>
      </c>
      <c r="H210" s="22">
        <v>1</v>
      </c>
      <c r="I210" s="22">
        <v>2</v>
      </c>
      <c r="J210" s="22">
        <v>1</v>
      </c>
      <c r="K210" s="13">
        <v>0</v>
      </c>
      <c r="L210" s="13">
        <v>29.2</v>
      </c>
      <c r="M210" s="13">
        <v>3.3125274725274725</v>
      </c>
      <c r="N210" s="13">
        <v>549.9</v>
      </c>
      <c r="O210" s="13">
        <v>0.33605351170568559</v>
      </c>
      <c r="P210" s="13">
        <v>0.36288831360946744</v>
      </c>
      <c r="Q210" s="13">
        <v>608.4</v>
      </c>
      <c r="R210" s="13">
        <v>1.5458461538461539</v>
      </c>
      <c r="S210" s="13">
        <v>549.9</v>
      </c>
      <c r="U210" s="6"/>
      <c r="V210" s="24">
        <v>0.2153846153846154</v>
      </c>
      <c r="W210" s="3">
        <v>10</v>
      </c>
      <c r="X210" s="6"/>
      <c r="Y210" s="5">
        <v>29.111671232876713</v>
      </c>
      <c r="Z210" s="5">
        <v>7.5610017123287667</v>
      </c>
      <c r="AA210" s="5">
        <v>5.6553662894580103</v>
      </c>
      <c r="AB210" s="5">
        <v>62.382152641878669</v>
      </c>
      <c r="AD210" s="24">
        <v>115.8</v>
      </c>
      <c r="AE210" s="5">
        <f t="shared" si="3"/>
        <v>6.1084541947453399</v>
      </c>
    </row>
    <row r="211" spans="1:31" ht="25.5" customHeight="1" x14ac:dyDescent="0.2">
      <c r="A211" s="54"/>
      <c r="B211" s="21" t="s">
        <v>277</v>
      </c>
      <c r="C211" s="22">
        <v>65</v>
      </c>
      <c r="D211" s="22">
        <v>650</v>
      </c>
      <c r="E211" s="22">
        <v>1300</v>
      </c>
      <c r="F211" s="13">
        <v>2</v>
      </c>
      <c r="G211" s="13">
        <v>2</v>
      </c>
      <c r="H211" s="22">
        <v>1</v>
      </c>
      <c r="I211" s="22">
        <v>2</v>
      </c>
      <c r="J211" s="22">
        <v>1</v>
      </c>
      <c r="K211" s="13">
        <v>0</v>
      </c>
      <c r="L211" s="13">
        <v>43.6</v>
      </c>
      <c r="M211" s="13">
        <v>3.3125274725274725</v>
      </c>
      <c r="N211" s="13">
        <v>549.9</v>
      </c>
      <c r="O211" s="13">
        <v>0.33605351170568559</v>
      </c>
      <c r="P211" s="13">
        <v>0.36288831360946744</v>
      </c>
      <c r="Q211" s="13">
        <v>608.4</v>
      </c>
      <c r="R211" s="13">
        <v>1.5458461538461539</v>
      </c>
      <c r="S211" s="13">
        <v>549.9</v>
      </c>
      <c r="U211" s="6"/>
      <c r="V211" s="24">
        <v>0.2153846153846154</v>
      </c>
      <c r="W211" s="3">
        <v>10</v>
      </c>
      <c r="X211" s="6"/>
      <c r="Y211" s="5">
        <v>19.496807339449539</v>
      </c>
      <c r="Z211" s="5">
        <v>5.0637901376146779</v>
      </c>
      <c r="AA211" s="5">
        <v>3.7875388911049059</v>
      </c>
      <c r="AB211" s="5">
        <v>41.77887287024901</v>
      </c>
      <c r="AD211" s="24">
        <v>111</v>
      </c>
      <c r="AE211" s="5">
        <f t="shared" si="3"/>
        <v>4.7917474684675891</v>
      </c>
    </row>
    <row r="212" spans="1:31" ht="25.5" customHeight="1" x14ac:dyDescent="0.2">
      <c r="A212" s="54"/>
      <c r="B212" s="36" t="s">
        <v>278</v>
      </c>
      <c r="C212" s="22">
        <v>65</v>
      </c>
      <c r="D212" s="22">
        <v>650</v>
      </c>
      <c r="E212" s="22">
        <v>1300</v>
      </c>
      <c r="F212" s="13">
        <v>2</v>
      </c>
      <c r="G212" s="13">
        <v>2</v>
      </c>
      <c r="H212" s="22">
        <v>1</v>
      </c>
      <c r="I212" s="22">
        <v>3</v>
      </c>
      <c r="J212" s="22">
        <v>1</v>
      </c>
      <c r="K212" s="13">
        <v>0</v>
      </c>
      <c r="L212" s="13">
        <v>39.200000000000003</v>
      </c>
      <c r="M212" s="13">
        <v>3.3125274725274725</v>
      </c>
      <c r="N212" s="13">
        <v>549.9</v>
      </c>
      <c r="O212" s="13">
        <v>0.33605351170568559</v>
      </c>
      <c r="P212" s="13">
        <v>0.36288831360946744</v>
      </c>
      <c r="Q212" s="13">
        <v>608.4</v>
      </c>
      <c r="R212" s="13">
        <v>1.5458461538461539</v>
      </c>
      <c r="S212" s="13">
        <v>549.9</v>
      </c>
      <c r="U212" s="6"/>
      <c r="V212" s="24">
        <v>0.2153846153846154</v>
      </c>
      <c r="W212" s="3">
        <v>10</v>
      </c>
      <c r="X212" s="6"/>
      <c r="Y212" s="5">
        <v>21.685224489795917</v>
      </c>
      <c r="Z212" s="5">
        <v>5.6321747448979584</v>
      </c>
      <c r="AA212" s="5">
        <v>4.2126708074534154</v>
      </c>
      <c r="AB212" s="5">
        <v>46.468338192419822</v>
      </c>
      <c r="AD212" s="24">
        <v>111.5</v>
      </c>
      <c r="AE212" s="5">
        <f t="shared" si="3"/>
        <v>5.076285291260521</v>
      </c>
    </row>
    <row r="213" spans="1:31" ht="25.5" customHeight="1" x14ac:dyDescent="0.2">
      <c r="A213" s="55" t="s">
        <v>279</v>
      </c>
      <c r="B213" s="21" t="s">
        <v>280</v>
      </c>
      <c r="C213" s="22">
        <v>120</v>
      </c>
      <c r="D213" s="22">
        <v>2000</v>
      </c>
      <c r="E213" s="22">
        <v>2000</v>
      </c>
      <c r="F213" s="3">
        <v>1.125</v>
      </c>
      <c r="G213" s="13">
        <v>1</v>
      </c>
      <c r="H213" s="22">
        <v>2</v>
      </c>
      <c r="I213" s="22">
        <v>2</v>
      </c>
      <c r="J213" s="22">
        <v>1</v>
      </c>
      <c r="K213" s="13">
        <v>0</v>
      </c>
      <c r="L213" s="13">
        <v>40.200000000000003</v>
      </c>
      <c r="M213" s="13">
        <v>1.4</v>
      </c>
      <c r="N213" s="13">
        <v>308</v>
      </c>
      <c r="O213" s="24">
        <v>0.25132741228718347</v>
      </c>
      <c r="P213" s="13">
        <v>0.52359877559829882</v>
      </c>
      <c r="Q213" s="13">
        <v>427</v>
      </c>
      <c r="R213" s="13">
        <v>0.5</v>
      </c>
      <c r="S213" s="13">
        <v>427</v>
      </c>
      <c r="U213" s="35" t="s">
        <v>281</v>
      </c>
      <c r="V213" s="24">
        <v>0.15306122448979592</v>
      </c>
      <c r="W213" s="3">
        <v>16.666666666666668</v>
      </c>
      <c r="X213" s="6"/>
      <c r="Y213" s="5">
        <v>5.3109452736318401</v>
      </c>
      <c r="Z213" s="5">
        <v>5.5616088850864074</v>
      </c>
      <c r="AA213" s="5">
        <v>1.6317526021630568</v>
      </c>
      <c r="AB213" s="5">
        <v>10.726368159203979</v>
      </c>
      <c r="AD213" s="19">
        <v>353</v>
      </c>
      <c r="AE213" s="5">
        <f t="shared" si="3"/>
        <v>2.7937744312412813</v>
      </c>
    </row>
    <row r="214" spans="1:31" ht="25.5" customHeight="1" x14ac:dyDescent="0.2">
      <c r="A214" s="54"/>
      <c r="B214" s="21" t="s">
        <v>282</v>
      </c>
      <c r="C214" s="22">
        <v>120</v>
      </c>
      <c r="D214" s="22">
        <v>2000</v>
      </c>
      <c r="E214" s="22">
        <v>2000</v>
      </c>
      <c r="F214" s="3">
        <v>1.125</v>
      </c>
      <c r="G214" s="13">
        <v>1</v>
      </c>
      <c r="H214" s="22">
        <v>2</v>
      </c>
      <c r="I214" s="22">
        <v>2</v>
      </c>
      <c r="J214" s="22">
        <v>1</v>
      </c>
      <c r="K214" s="13">
        <v>0.05</v>
      </c>
      <c r="L214" s="13">
        <v>41.6</v>
      </c>
      <c r="M214" s="13">
        <v>1.4</v>
      </c>
      <c r="N214" s="13">
        <v>308</v>
      </c>
      <c r="O214" s="24">
        <v>0.25132741228718347</v>
      </c>
      <c r="P214" s="13">
        <v>0.52359877559829882</v>
      </c>
      <c r="Q214" s="13">
        <v>427</v>
      </c>
      <c r="R214" s="13">
        <v>0.5</v>
      </c>
      <c r="S214" s="13">
        <v>427</v>
      </c>
      <c r="U214" s="3" t="s">
        <v>281</v>
      </c>
      <c r="V214" s="24">
        <v>0.15306122448979592</v>
      </c>
      <c r="W214" s="3">
        <v>16.666666666666668</v>
      </c>
      <c r="X214" s="6"/>
      <c r="Y214" s="5">
        <v>5.1322115384615383</v>
      </c>
      <c r="Z214" s="5">
        <v>5.3744393552998453</v>
      </c>
      <c r="AA214" s="5">
        <v>1.5768378511287233</v>
      </c>
      <c r="AB214" s="5">
        <v>10.365384615384615</v>
      </c>
      <c r="AD214" s="19">
        <v>576.59999999999991</v>
      </c>
      <c r="AE214" s="5">
        <f t="shared" si="3"/>
        <v>4.4859830907577987</v>
      </c>
    </row>
    <row r="215" spans="1:31" ht="25.5" customHeight="1" x14ac:dyDescent="0.2">
      <c r="A215" s="54"/>
      <c r="B215" s="21" t="s">
        <v>283</v>
      </c>
      <c r="C215" s="22">
        <v>120</v>
      </c>
      <c r="D215" s="22">
        <v>2000</v>
      </c>
      <c r="E215" s="22">
        <v>2000</v>
      </c>
      <c r="F215" s="3">
        <v>1.125</v>
      </c>
      <c r="G215" s="13">
        <v>1</v>
      </c>
      <c r="H215" s="22">
        <v>2</v>
      </c>
      <c r="I215" s="22">
        <v>2</v>
      </c>
      <c r="J215" s="22">
        <v>1</v>
      </c>
      <c r="K215" s="13">
        <v>0.05</v>
      </c>
      <c r="L215" s="13">
        <v>34.799999999999997</v>
      </c>
      <c r="M215" s="13">
        <v>1.4</v>
      </c>
      <c r="N215" s="13">
        <v>308</v>
      </c>
      <c r="O215" s="24">
        <v>0.25132741228718347</v>
      </c>
      <c r="P215" s="13">
        <v>0.52359877559829882</v>
      </c>
      <c r="Q215" s="13">
        <v>427</v>
      </c>
      <c r="R215" s="13">
        <v>0.5</v>
      </c>
      <c r="S215" s="13">
        <v>427</v>
      </c>
      <c r="U215" s="3" t="s">
        <v>281</v>
      </c>
      <c r="V215" s="24">
        <v>0.15306122448979592</v>
      </c>
      <c r="W215" s="3">
        <v>16.666666666666668</v>
      </c>
      <c r="X215" s="6"/>
      <c r="Y215" s="5">
        <v>6.1350574712643686</v>
      </c>
      <c r="Z215" s="5">
        <v>6.4246171603584363</v>
      </c>
      <c r="AA215" s="5">
        <v>1.8849555921538763</v>
      </c>
      <c r="AB215" s="5">
        <v>12.39080459770115</v>
      </c>
      <c r="AD215" s="19">
        <v>539.65517241379257</v>
      </c>
      <c r="AE215" s="5">
        <f t="shared" si="3"/>
        <v>4.590461840130903</v>
      </c>
    </row>
    <row r="216" spans="1:31" ht="25.5" customHeight="1" x14ac:dyDescent="0.2">
      <c r="A216" s="54"/>
      <c r="B216" s="21" t="s">
        <v>284</v>
      </c>
      <c r="C216" s="22">
        <v>120</v>
      </c>
      <c r="D216" s="22">
        <v>2000</v>
      </c>
      <c r="E216" s="22">
        <v>2000</v>
      </c>
      <c r="F216" s="3">
        <v>1.125</v>
      </c>
      <c r="G216" s="13">
        <v>1</v>
      </c>
      <c r="H216" s="22">
        <v>2</v>
      </c>
      <c r="I216" s="22">
        <v>2</v>
      </c>
      <c r="J216" s="22">
        <v>1</v>
      </c>
      <c r="K216" s="13">
        <v>0</v>
      </c>
      <c r="L216" s="13">
        <v>39.799999999999997</v>
      </c>
      <c r="M216" s="13">
        <v>1.4</v>
      </c>
      <c r="N216" s="13">
        <v>308</v>
      </c>
      <c r="O216" s="24">
        <v>0.25132741228718347</v>
      </c>
      <c r="P216" s="13">
        <v>0.52359877559829882</v>
      </c>
      <c r="Q216" s="13">
        <v>427</v>
      </c>
      <c r="R216" s="13">
        <v>0.5</v>
      </c>
      <c r="S216" s="13">
        <v>427</v>
      </c>
      <c r="U216" s="3" t="s">
        <v>281</v>
      </c>
      <c r="V216" s="24">
        <v>0.15306122448979592</v>
      </c>
      <c r="W216" s="3">
        <v>16.666666666666668</v>
      </c>
      <c r="X216" s="6"/>
      <c r="Y216" s="5">
        <v>5.3643216080402016</v>
      </c>
      <c r="Z216" s="5">
        <v>5.6175044517706931</v>
      </c>
      <c r="AA216" s="5">
        <v>1.6481521258028868</v>
      </c>
      <c r="AB216" s="5">
        <v>10.834170854271358</v>
      </c>
      <c r="AD216" s="19">
        <v>363.3</v>
      </c>
      <c r="AE216" s="5">
        <f t="shared" si="3"/>
        <v>2.8897050793984813</v>
      </c>
    </row>
    <row r="217" spans="1:31" ht="25.5" customHeight="1" x14ac:dyDescent="0.2">
      <c r="A217" s="54"/>
      <c r="B217" s="21" t="s">
        <v>285</v>
      </c>
      <c r="C217" s="22">
        <v>120</v>
      </c>
      <c r="D217" s="22">
        <v>2000</v>
      </c>
      <c r="E217" s="22">
        <v>2000</v>
      </c>
      <c r="F217" s="3">
        <v>1.125</v>
      </c>
      <c r="G217" s="13">
        <v>1</v>
      </c>
      <c r="H217" s="22">
        <v>2</v>
      </c>
      <c r="I217" s="22">
        <v>2</v>
      </c>
      <c r="J217" s="22">
        <v>1</v>
      </c>
      <c r="K217" s="13">
        <v>0.05</v>
      </c>
      <c r="L217" s="13">
        <v>35.6</v>
      </c>
      <c r="M217" s="13">
        <v>1.4</v>
      </c>
      <c r="N217" s="13">
        <v>308</v>
      </c>
      <c r="O217" s="24">
        <v>0.25132741228718347</v>
      </c>
      <c r="P217" s="13">
        <v>0.52359877559829882</v>
      </c>
      <c r="Q217" s="13">
        <v>427</v>
      </c>
      <c r="R217" s="13">
        <v>0.5</v>
      </c>
      <c r="S217" s="13">
        <v>427</v>
      </c>
      <c r="U217" s="3" t="s">
        <v>281</v>
      </c>
      <c r="V217" s="24">
        <v>0.15306122448979592</v>
      </c>
      <c r="W217" s="3">
        <v>16.666666666666668</v>
      </c>
      <c r="X217" s="6"/>
      <c r="Y217" s="5">
        <v>5.9971910112359552</v>
      </c>
      <c r="Z217" s="5">
        <v>6.2802437410245382</v>
      </c>
      <c r="AA217" s="5">
        <v>1.8425970395212048</v>
      </c>
      <c r="AB217" s="5">
        <v>12.112359550561797</v>
      </c>
      <c r="AD217" s="19">
        <v>534.38</v>
      </c>
      <c r="AE217" s="5">
        <f t="shared" si="3"/>
        <v>4.4942254645317004</v>
      </c>
    </row>
    <row r="218" spans="1:31" ht="25.5" customHeight="1" x14ac:dyDescent="0.2">
      <c r="A218" s="54"/>
      <c r="B218" s="21" t="s">
        <v>286</v>
      </c>
      <c r="C218" s="22">
        <v>120</v>
      </c>
      <c r="D218" s="22">
        <v>2000</v>
      </c>
      <c r="E218" s="22">
        <v>3000</v>
      </c>
      <c r="F218" s="3">
        <v>1.625</v>
      </c>
      <c r="G218" s="13">
        <v>1.5</v>
      </c>
      <c r="H218" s="22">
        <v>2</v>
      </c>
      <c r="I218" s="22">
        <v>2</v>
      </c>
      <c r="J218" s="22">
        <v>1</v>
      </c>
      <c r="K218" s="13">
        <v>0.05</v>
      </c>
      <c r="L218" s="13">
        <v>41.2</v>
      </c>
      <c r="M218" s="13">
        <v>1.4</v>
      </c>
      <c r="N218" s="13">
        <v>308</v>
      </c>
      <c r="O218" s="24">
        <v>0.25132741228718347</v>
      </c>
      <c r="P218" s="13">
        <v>0.52359877559829882</v>
      </c>
      <c r="Q218" s="13">
        <v>427</v>
      </c>
      <c r="R218" s="13">
        <v>0.5</v>
      </c>
      <c r="S218" s="13">
        <v>427</v>
      </c>
      <c r="U218" s="3" t="s">
        <v>281</v>
      </c>
      <c r="V218" s="24">
        <v>0.15306122448979592</v>
      </c>
      <c r="W218" s="3">
        <v>16.666666666666668</v>
      </c>
      <c r="X218" s="6"/>
      <c r="Y218" s="5">
        <v>5.1820388349514559</v>
      </c>
      <c r="Z218" s="5">
        <v>5.4266183781668342</v>
      </c>
      <c r="AA218" s="5">
        <v>1.5921469564794877</v>
      </c>
      <c r="AB218" s="5">
        <v>10.466019417475728</v>
      </c>
      <c r="AD218" s="19">
        <v>422.1</v>
      </c>
      <c r="AE218" s="5">
        <f t="shared" si="3"/>
        <v>3.2998667530537631</v>
      </c>
    </row>
    <row r="219" spans="1:31" ht="25.5" customHeight="1" x14ac:dyDescent="0.2">
      <c r="A219" s="54"/>
      <c r="B219" s="21" t="s">
        <v>287</v>
      </c>
      <c r="C219" s="22">
        <v>120</v>
      </c>
      <c r="D219" s="22">
        <v>2000</v>
      </c>
      <c r="E219" s="22">
        <v>3000</v>
      </c>
      <c r="F219" s="3">
        <v>1.625</v>
      </c>
      <c r="G219" s="13">
        <v>1.5</v>
      </c>
      <c r="H219" s="22">
        <v>2</v>
      </c>
      <c r="I219" s="22">
        <v>2</v>
      </c>
      <c r="J219" s="22">
        <v>1</v>
      </c>
      <c r="K219" s="13">
        <v>0.05</v>
      </c>
      <c r="L219" s="13">
        <v>39.6</v>
      </c>
      <c r="M219" s="13">
        <v>1.4</v>
      </c>
      <c r="N219" s="13">
        <v>308</v>
      </c>
      <c r="O219" s="24">
        <v>0.25132741228718347</v>
      </c>
      <c r="P219" s="13">
        <v>0.52359877559829882</v>
      </c>
      <c r="Q219" s="13">
        <v>427</v>
      </c>
      <c r="R219" s="13">
        <v>0.5</v>
      </c>
      <c r="S219" s="13">
        <v>427</v>
      </c>
      <c r="U219" s="3" t="s">
        <v>281</v>
      </c>
      <c r="V219" s="24">
        <v>0.15306122448979592</v>
      </c>
      <c r="W219" s="3">
        <v>16.666666666666668</v>
      </c>
      <c r="X219" s="6"/>
      <c r="Y219" s="5">
        <v>5.391414141414141</v>
      </c>
      <c r="Z219" s="5">
        <v>5.6458756863755957</v>
      </c>
      <c r="AA219" s="5">
        <v>1.6564761264382548</v>
      </c>
      <c r="AB219" s="5">
        <v>10.888888888888888</v>
      </c>
      <c r="AD219" s="19">
        <v>406</v>
      </c>
      <c r="AE219" s="5">
        <f t="shared" si="3"/>
        <v>3.2374874988383628</v>
      </c>
    </row>
    <row r="220" spans="1:31" ht="25.5" customHeight="1" x14ac:dyDescent="0.2">
      <c r="A220" s="54"/>
      <c r="B220" s="21" t="s">
        <v>288</v>
      </c>
      <c r="C220" s="22">
        <v>120</v>
      </c>
      <c r="D220" s="22">
        <v>2000</v>
      </c>
      <c r="E220" s="22">
        <v>3000</v>
      </c>
      <c r="F220" s="3">
        <v>1.625</v>
      </c>
      <c r="G220" s="13">
        <v>1.5</v>
      </c>
      <c r="H220" s="22">
        <v>2</v>
      </c>
      <c r="I220" s="22">
        <v>2</v>
      </c>
      <c r="J220" s="22">
        <v>1</v>
      </c>
      <c r="K220" s="13">
        <v>0.05</v>
      </c>
      <c r="L220" s="13">
        <v>40.299999999999997</v>
      </c>
      <c r="M220" s="13">
        <v>1.4</v>
      </c>
      <c r="N220" s="13">
        <v>308</v>
      </c>
      <c r="O220" s="24">
        <v>0.25132741228718347</v>
      </c>
      <c r="P220" s="13">
        <v>0.52359877559829882</v>
      </c>
      <c r="Q220" s="13">
        <v>427</v>
      </c>
      <c r="R220" s="13">
        <v>0.5</v>
      </c>
      <c r="S220" s="13">
        <v>427</v>
      </c>
      <c r="U220" s="3" t="s">
        <v>281</v>
      </c>
      <c r="V220" s="24">
        <v>0.15306122448979592</v>
      </c>
      <c r="W220" s="3">
        <v>16.666666666666668</v>
      </c>
      <c r="X220" s="6"/>
      <c r="Y220" s="5">
        <v>5.2977667493796528</v>
      </c>
      <c r="Z220" s="5">
        <v>5.5478083667611315</v>
      </c>
      <c r="AA220" s="5">
        <v>1.6277035882619082</v>
      </c>
      <c r="AB220" s="5">
        <v>10.699751861042184</v>
      </c>
      <c r="AD220" s="19">
        <v>409.6</v>
      </c>
      <c r="AE220" s="5">
        <f t="shared" si="3"/>
        <v>3.2377035720062408</v>
      </c>
    </row>
    <row r="221" spans="1:31" ht="25.5" customHeight="1" x14ac:dyDescent="0.2">
      <c r="A221" s="13" t="s">
        <v>289</v>
      </c>
      <c r="B221" s="3" t="s">
        <v>290</v>
      </c>
      <c r="C221" s="22">
        <v>150</v>
      </c>
      <c r="D221" s="22">
        <v>800</v>
      </c>
      <c r="E221" s="22">
        <v>1600</v>
      </c>
      <c r="F221" s="13">
        <v>2</v>
      </c>
      <c r="G221" s="13">
        <v>2</v>
      </c>
      <c r="H221" s="22">
        <v>1</v>
      </c>
      <c r="I221" s="22">
        <v>3</v>
      </c>
      <c r="J221" s="22">
        <v>1</v>
      </c>
      <c r="K221" s="13">
        <v>0.18353783231083845</v>
      </c>
      <c r="L221" s="13">
        <v>65.2</v>
      </c>
      <c r="M221" s="13">
        <v>1.3962634015954636</v>
      </c>
      <c r="N221" s="13">
        <v>613</v>
      </c>
      <c r="O221" s="24">
        <v>1.3404128655316452</v>
      </c>
      <c r="P221" s="13">
        <v>0.67020643276582259</v>
      </c>
      <c r="Q221" s="13">
        <v>602</v>
      </c>
      <c r="R221" s="13">
        <v>0.67020643276582248</v>
      </c>
      <c r="S221" s="13">
        <v>602</v>
      </c>
      <c r="U221" s="3"/>
      <c r="V221" s="24">
        <v>0.1875</v>
      </c>
      <c r="W221" s="3">
        <v>5.333333333333333</v>
      </c>
      <c r="X221" s="6"/>
      <c r="Y221" s="5">
        <v>6.1881023393408761</v>
      </c>
      <c r="Z221" s="5">
        <v>6.1881023393408769</v>
      </c>
      <c r="AA221" s="5">
        <v>12.376204678681754</v>
      </c>
      <c r="AB221" s="5">
        <v>13.127445784938944</v>
      </c>
      <c r="AD221" s="24">
        <v>423</v>
      </c>
      <c r="AE221" s="5">
        <f t="shared" si="3"/>
        <v>5.2574629964215944</v>
      </c>
    </row>
    <row r="222" spans="1:31" ht="25.5" customHeight="1" x14ac:dyDescent="0.2">
      <c r="A222" s="13" t="s">
        <v>291</v>
      </c>
      <c r="B222" s="3" t="s">
        <v>292</v>
      </c>
      <c r="C222" s="22">
        <v>200</v>
      </c>
      <c r="D222" s="22">
        <v>1280</v>
      </c>
      <c r="E222" s="22">
        <v>2360</v>
      </c>
      <c r="F222" s="13">
        <v>1.84375</v>
      </c>
      <c r="G222" s="13">
        <v>1.84375</v>
      </c>
      <c r="H222" s="22">
        <v>1</v>
      </c>
      <c r="I222" s="22">
        <v>3</v>
      </c>
      <c r="J222" s="22">
        <v>1</v>
      </c>
      <c r="K222" s="13">
        <v>0.19304665554775283</v>
      </c>
      <c r="L222" s="13">
        <v>32.072072072072068</v>
      </c>
      <c r="M222" s="13">
        <v>2.5598162362583499</v>
      </c>
      <c r="N222" s="13">
        <v>443</v>
      </c>
      <c r="O222" s="24">
        <v>0.91</v>
      </c>
      <c r="P222" s="13">
        <v>0.81</v>
      </c>
      <c r="Q222" s="13">
        <v>450</v>
      </c>
      <c r="R222" s="13">
        <v>0.83</v>
      </c>
      <c r="S222" s="13">
        <v>450</v>
      </c>
      <c r="U222" s="16"/>
      <c r="V222" s="19">
        <v>0.16875000000000001</v>
      </c>
      <c r="W222" s="3">
        <v>6.4</v>
      </c>
      <c r="X222" s="6"/>
      <c r="Y222" s="5">
        <v>11.645646067415733</v>
      </c>
      <c r="Z222" s="5">
        <v>11.365028089887643</v>
      </c>
      <c r="AA222" s="5">
        <v>13.136974719101127</v>
      </c>
      <c r="AB222" s="5">
        <v>35.357821288070745</v>
      </c>
      <c r="AE222" s="5">
        <f>AD222*1000/C222/D222*145.038/SQRT(145.038*L222)</f>
        <v>0</v>
      </c>
    </row>
    <row r="223" spans="1:31" ht="25.5" customHeight="1" x14ac:dyDescent="0.2">
      <c r="A223" s="55" t="s">
        <v>293</v>
      </c>
      <c r="B223" s="48" t="s">
        <v>145</v>
      </c>
      <c r="C223" s="22">
        <v>200</v>
      </c>
      <c r="D223" s="22">
        <v>1200</v>
      </c>
      <c r="E223" s="22">
        <v>4000</v>
      </c>
      <c r="F223" s="13">
        <v>3.3333333333333335</v>
      </c>
      <c r="G223" s="13">
        <v>3.3333333333333335</v>
      </c>
      <c r="H223" s="22">
        <v>1</v>
      </c>
      <c r="I223" s="22">
        <v>3</v>
      </c>
      <c r="J223" s="22">
        <v>1</v>
      </c>
      <c r="K223" s="13">
        <v>7.5528700906344406E-2</v>
      </c>
      <c r="L223" s="13">
        <v>33.1</v>
      </c>
      <c r="M223" s="13">
        <v>2.9864765163187967</v>
      </c>
      <c r="N223" s="13">
        <v>457.7</v>
      </c>
      <c r="O223" s="24">
        <v>1.0028749148422018</v>
      </c>
      <c r="P223" s="13">
        <v>0.40114996593688074</v>
      </c>
      <c r="Q223" s="13">
        <v>464.4</v>
      </c>
      <c r="R223" s="13">
        <v>0.37607809306582568</v>
      </c>
      <c r="S223" s="13">
        <v>464.4</v>
      </c>
      <c r="U223" s="3"/>
      <c r="V223" s="24">
        <v>0.16666666666666666</v>
      </c>
      <c r="W223" s="3">
        <v>6</v>
      </c>
      <c r="X223" s="6"/>
      <c r="Y223" s="5">
        <v>5.2764551788449978</v>
      </c>
      <c r="Z223" s="5">
        <v>5.6282188574346641</v>
      </c>
      <c r="AA223" s="5">
        <v>14.070547143586662</v>
      </c>
      <c r="AB223" s="5">
        <v>41.296383731695265</v>
      </c>
      <c r="AD223" s="19">
        <v>282.89999999999998</v>
      </c>
      <c r="AE223" s="5">
        <f t="shared" ref="AE223:AE286" si="4">AD223*1000/C223/D223*145.038/SQRT(145.038*L223)</f>
        <v>2.4674514153404741</v>
      </c>
    </row>
    <row r="224" spans="1:31" ht="25.5" customHeight="1" x14ac:dyDescent="0.2">
      <c r="A224" s="54"/>
      <c r="B224" s="48" t="s">
        <v>146</v>
      </c>
      <c r="C224" s="22">
        <v>200</v>
      </c>
      <c r="D224" s="22">
        <v>1200</v>
      </c>
      <c r="E224" s="22">
        <v>4000</v>
      </c>
      <c r="F224" s="13">
        <v>3.3333333333333335</v>
      </c>
      <c r="G224" s="13">
        <v>3.3333333333333335</v>
      </c>
      <c r="H224" s="22">
        <v>1</v>
      </c>
      <c r="I224" s="22">
        <v>3</v>
      </c>
      <c r="J224" s="22">
        <v>1</v>
      </c>
      <c r="K224" s="13">
        <v>7.5528700906344406E-2</v>
      </c>
      <c r="L224" s="13">
        <v>70.64</v>
      </c>
      <c r="M224" s="13">
        <v>2.9864765163187967</v>
      </c>
      <c r="N224" s="13">
        <v>457.7</v>
      </c>
      <c r="O224" s="24">
        <v>1.0028749148422018</v>
      </c>
      <c r="P224" s="13">
        <v>0.47755948325819136</v>
      </c>
      <c r="Q224" s="13">
        <v>464.4</v>
      </c>
      <c r="R224" s="13">
        <v>0.37607809306582568</v>
      </c>
      <c r="S224" s="13">
        <v>464.4</v>
      </c>
      <c r="U224" s="3"/>
      <c r="V224" s="24">
        <v>0.16666666666666666</v>
      </c>
      <c r="W224" s="3">
        <v>6</v>
      </c>
      <c r="X224" s="6"/>
      <c r="Y224" s="5">
        <v>2.4724046775165549</v>
      </c>
      <c r="Z224" s="5">
        <v>3.1395614952591173</v>
      </c>
      <c r="AA224" s="5">
        <v>6.5930791400441464</v>
      </c>
      <c r="AB224" s="5">
        <v>19.350372331810778</v>
      </c>
      <c r="AD224" s="19">
        <v>314.7</v>
      </c>
      <c r="AE224" s="5">
        <f t="shared" si="4"/>
        <v>1.8788887113945054</v>
      </c>
    </row>
    <row r="225" spans="1:31" ht="25.5" customHeight="1" x14ac:dyDescent="0.2">
      <c r="A225" s="20" t="s">
        <v>294</v>
      </c>
      <c r="B225" s="21" t="s">
        <v>295</v>
      </c>
      <c r="C225" s="22">
        <v>100</v>
      </c>
      <c r="D225" s="22">
        <v>1500</v>
      </c>
      <c r="E225" s="22">
        <v>1795</v>
      </c>
      <c r="F225" s="3">
        <v>1.2</v>
      </c>
      <c r="G225" s="13">
        <v>1.1966666666666668</v>
      </c>
      <c r="H225" s="22">
        <v>1</v>
      </c>
      <c r="I225" s="22">
        <v>3</v>
      </c>
      <c r="J225" s="22">
        <v>1</v>
      </c>
      <c r="K225" s="3">
        <v>2.9519071310116086E-2</v>
      </c>
      <c r="L225" s="13">
        <v>40.200000000000003</v>
      </c>
      <c r="M225" s="13">
        <v>1.2149896969696972</v>
      </c>
      <c r="N225" s="13">
        <v>400</v>
      </c>
      <c r="O225" s="13">
        <v>2.5059162500000003</v>
      </c>
      <c r="P225" s="13">
        <v>0.50118325000000008</v>
      </c>
      <c r="Q225" s="13">
        <v>400</v>
      </c>
      <c r="R225" s="13">
        <v>0.71599999999999997</v>
      </c>
      <c r="S225" s="13">
        <v>400</v>
      </c>
      <c r="U225" s="35" t="s">
        <v>296</v>
      </c>
      <c r="V225" s="24">
        <v>0.22</v>
      </c>
      <c r="W225" s="3">
        <v>15</v>
      </c>
      <c r="X225" s="3"/>
      <c r="Y225" s="5">
        <v>7.124378109452735</v>
      </c>
      <c r="Z225" s="5">
        <v>4.9868980099502487</v>
      </c>
      <c r="AA225" s="5">
        <v>24.934490049751243</v>
      </c>
      <c r="AB225" s="5">
        <v>12.089449721091512</v>
      </c>
      <c r="AD225" s="19">
        <v>187.1</v>
      </c>
      <c r="AE225" s="5">
        <f t="shared" si="4"/>
        <v>2.3692473476951559</v>
      </c>
    </row>
    <row r="226" spans="1:31" ht="25.5" customHeight="1" x14ac:dyDescent="0.2">
      <c r="A226" s="13" t="s">
        <v>297</v>
      </c>
      <c r="B226" s="21" t="s">
        <v>298</v>
      </c>
      <c r="C226" s="22">
        <v>45</v>
      </c>
      <c r="D226" s="22">
        <v>450</v>
      </c>
      <c r="E226" s="22">
        <v>855</v>
      </c>
      <c r="F226" s="13">
        <v>1.1000000000000001</v>
      </c>
      <c r="G226" s="13">
        <v>1.9</v>
      </c>
      <c r="H226" s="22">
        <v>1</v>
      </c>
      <c r="I226" s="22">
        <v>2</v>
      </c>
      <c r="J226" s="22">
        <v>2</v>
      </c>
      <c r="K226" s="13">
        <v>0</v>
      </c>
      <c r="L226" s="13">
        <v>45.5</v>
      </c>
      <c r="M226" s="13">
        <v>4.8449999999999998</v>
      </c>
      <c r="N226" s="13">
        <v>702</v>
      </c>
      <c r="O226" s="13">
        <v>0.93037037037037029</v>
      </c>
      <c r="P226" s="13">
        <v>0.9303703703703704</v>
      </c>
      <c r="Q226" s="13">
        <v>484.4</v>
      </c>
      <c r="R226" s="13">
        <v>0.55822222222222218</v>
      </c>
      <c r="S226" s="13">
        <v>484.4</v>
      </c>
      <c r="U226" s="6"/>
      <c r="V226" s="24">
        <v>0.22222222222222221</v>
      </c>
      <c r="W226" s="3">
        <v>10</v>
      </c>
      <c r="X226" s="6"/>
      <c r="Y226" s="5">
        <v>5.9429196581196564</v>
      </c>
      <c r="Z226" s="5">
        <v>9.9048660968660975</v>
      </c>
      <c r="AA226" s="5">
        <v>9.9048660968660958</v>
      </c>
      <c r="AB226" s="5">
        <v>74.751428571428562</v>
      </c>
      <c r="AD226" s="24">
        <v>107.5</v>
      </c>
      <c r="AE226" s="5">
        <f t="shared" si="4"/>
        <v>9.4780422342263488</v>
      </c>
    </row>
    <row r="227" spans="1:31" ht="25.5" customHeight="1" x14ac:dyDescent="0.2">
      <c r="A227" s="53" t="s">
        <v>299</v>
      </c>
      <c r="B227" s="36" t="s">
        <v>300</v>
      </c>
      <c r="C227" s="22">
        <v>152.4</v>
      </c>
      <c r="D227" s="22">
        <v>3048</v>
      </c>
      <c r="E227" s="22">
        <v>3657.6</v>
      </c>
      <c r="F227" s="13">
        <v>2.37</v>
      </c>
      <c r="G227" s="13">
        <v>1.2</v>
      </c>
      <c r="H227" s="22">
        <v>1</v>
      </c>
      <c r="I227" s="22">
        <v>2</v>
      </c>
      <c r="J227" s="22">
        <v>2</v>
      </c>
      <c r="K227" s="13">
        <v>9.5000000000000001E-2</v>
      </c>
      <c r="L227" s="13">
        <v>36</v>
      </c>
      <c r="M227" s="13">
        <v>3.4343750000000002</v>
      </c>
      <c r="N227" s="13">
        <v>579</v>
      </c>
      <c r="O227" s="13">
        <v>0.81770833333333326</v>
      </c>
      <c r="P227" s="13">
        <v>0.27256944444444442</v>
      </c>
      <c r="Q227" s="13">
        <v>522</v>
      </c>
      <c r="R227" s="13">
        <v>0.27256944444444442</v>
      </c>
      <c r="S227" s="13">
        <v>522</v>
      </c>
      <c r="U227" s="6"/>
      <c r="V227" s="24">
        <v>0.16666666666666669</v>
      </c>
      <c r="W227" s="3">
        <v>20</v>
      </c>
      <c r="X227" s="6"/>
      <c r="Y227" s="5">
        <v>3.9522569444444446</v>
      </c>
      <c r="Z227" s="5">
        <v>3.9522569444444446</v>
      </c>
      <c r="AA227" s="5">
        <v>11.856770833333332</v>
      </c>
      <c r="AB227" s="5">
        <v>55.236197916666669</v>
      </c>
      <c r="AD227" s="24">
        <v>807.85410526681994</v>
      </c>
      <c r="AE227" s="5">
        <f t="shared" si="4"/>
        <v>3.490781433681772</v>
      </c>
    </row>
    <row r="228" spans="1:31" ht="25.5" customHeight="1" x14ac:dyDescent="0.2">
      <c r="A228" s="54"/>
      <c r="B228" s="36" t="s">
        <v>301</v>
      </c>
      <c r="C228" s="22">
        <v>152.4</v>
      </c>
      <c r="D228" s="22">
        <v>3048</v>
      </c>
      <c r="E228" s="22">
        <v>3657.6</v>
      </c>
      <c r="F228" s="13">
        <v>1.8</v>
      </c>
      <c r="G228" s="13">
        <v>1.2</v>
      </c>
      <c r="H228" s="22">
        <v>1</v>
      </c>
      <c r="I228" s="22">
        <v>2</v>
      </c>
      <c r="J228" s="22">
        <v>2</v>
      </c>
      <c r="K228" s="13">
        <v>0.13</v>
      </c>
      <c r="L228" s="13">
        <v>40.299999999999997</v>
      </c>
      <c r="M228" s="13">
        <v>3.4343750000000002</v>
      </c>
      <c r="N228" s="13">
        <v>579</v>
      </c>
      <c r="O228" s="13">
        <v>0.81770833333333326</v>
      </c>
      <c r="P228" s="13">
        <v>0.27256944444444442</v>
      </c>
      <c r="Q228" s="13">
        <v>522</v>
      </c>
      <c r="R228" s="13">
        <v>0.27256944444444442</v>
      </c>
      <c r="S228" s="13">
        <v>522</v>
      </c>
      <c r="U228" s="6"/>
      <c r="V228" s="24">
        <v>0.16666666666666669</v>
      </c>
      <c r="W228" s="3">
        <v>20</v>
      </c>
      <c r="X228" s="6"/>
      <c r="Y228" s="5">
        <v>3.5305521091811416</v>
      </c>
      <c r="Z228" s="5">
        <v>3.5305521091811416</v>
      </c>
      <c r="AA228" s="5">
        <v>10.591656327543424</v>
      </c>
      <c r="AB228" s="5">
        <v>49.342509305210925</v>
      </c>
      <c r="AD228" s="24">
        <v>1279.4128904642698</v>
      </c>
      <c r="AE228" s="5">
        <f t="shared" si="4"/>
        <v>5.2251549104065349</v>
      </c>
    </row>
    <row r="229" spans="1:31" ht="25.5" customHeight="1" x14ac:dyDescent="0.2">
      <c r="A229" s="54"/>
      <c r="B229" s="36" t="s">
        <v>302</v>
      </c>
      <c r="C229" s="22">
        <v>152.4</v>
      </c>
      <c r="D229" s="22">
        <v>3048</v>
      </c>
      <c r="E229" s="22">
        <v>3657.6</v>
      </c>
      <c r="F229" s="13">
        <v>1.7</v>
      </c>
      <c r="G229" s="13">
        <v>1.2</v>
      </c>
      <c r="H229" s="22">
        <v>1</v>
      </c>
      <c r="I229" s="22">
        <v>2</v>
      </c>
      <c r="J229" s="22">
        <v>2</v>
      </c>
      <c r="K229" s="13">
        <v>0.1</v>
      </c>
      <c r="L229" s="13">
        <v>34.299999999999997</v>
      </c>
      <c r="M229" s="13">
        <v>1.9687006319115323</v>
      </c>
      <c r="N229" s="13">
        <v>353</v>
      </c>
      <c r="O229" s="13">
        <v>0.93347378277153548</v>
      </c>
      <c r="P229" s="13">
        <v>0.27256944444444442</v>
      </c>
      <c r="Q229" s="13">
        <v>522</v>
      </c>
      <c r="R229" s="13">
        <v>1.5385030864197529</v>
      </c>
      <c r="S229" s="13">
        <v>353</v>
      </c>
      <c r="U229" s="6"/>
      <c r="V229" s="24">
        <v>0.19383202099737529</v>
      </c>
      <c r="W229" s="3">
        <v>20</v>
      </c>
      <c r="X229" s="6"/>
      <c r="Y229" s="5">
        <v>15.83357403808084</v>
      </c>
      <c r="Z229" s="5">
        <v>4.1481413994169101</v>
      </c>
      <c r="AA229" s="5">
        <v>14.206219084744651</v>
      </c>
      <c r="AB229" s="5">
        <v>20.260971517923352</v>
      </c>
      <c r="AD229" s="24">
        <v>993.85835326794006</v>
      </c>
      <c r="AE229" s="5">
        <f t="shared" si="4"/>
        <v>4.399652784174525</v>
      </c>
    </row>
    <row r="230" spans="1:31" ht="25.5" customHeight="1" x14ac:dyDescent="0.2">
      <c r="A230" s="54"/>
      <c r="B230" s="36" t="s">
        <v>303</v>
      </c>
      <c r="C230" s="22">
        <v>152.4</v>
      </c>
      <c r="D230" s="22">
        <v>3048</v>
      </c>
      <c r="E230" s="22">
        <v>3657.6</v>
      </c>
      <c r="F230" s="13">
        <v>1.73</v>
      </c>
      <c r="G230" s="13">
        <v>1.2</v>
      </c>
      <c r="H230" s="22">
        <v>1</v>
      </c>
      <c r="I230" s="22">
        <v>2</v>
      </c>
      <c r="J230" s="22">
        <v>2</v>
      </c>
      <c r="K230" s="13">
        <v>0.12</v>
      </c>
      <c r="L230" s="13">
        <v>29.4</v>
      </c>
      <c r="M230" s="13">
        <v>3.4343750000000002</v>
      </c>
      <c r="N230" s="13">
        <v>462</v>
      </c>
      <c r="O230" s="13">
        <v>0.81770833333333326</v>
      </c>
      <c r="P230" s="13">
        <v>0.27256944444444442</v>
      </c>
      <c r="Q230" s="13">
        <v>522</v>
      </c>
      <c r="R230" s="13">
        <v>0.27256944444444442</v>
      </c>
      <c r="S230" s="13">
        <v>522</v>
      </c>
      <c r="U230" s="6"/>
      <c r="V230" s="24">
        <v>0.16666666666666669</v>
      </c>
      <c r="W230" s="3">
        <v>20</v>
      </c>
      <c r="X230" s="6"/>
      <c r="Y230" s="5">
        <v>4.839498299319728</v>
      </c>
      <c r="Z230" s="5">
        <v>4.839498299319728</v>
      </c>
      <c r="AA230" s="5">
        <v>14.518494897959183</v>
      </c>
      <c r="AB230" s="5">
        <v>53.968750000000007</v>
      </c>
      <c r="AD230" s="24">
        <v>936.36676478032996</v>
      </c>
      <c r="AE230" s="5">
        <f t="shared" si="4"/>
        <v>4.4772701210455574</v>
      </c>
    </row>
    <row r="231" spans="1:31" ht="25.5" customHeight="1" x14ac:dyDescent="0.2">
      <c r="A231" s="55" t="s">
        <v>304</v>
      </c>
      <c r="B231" s="21" t="s">
        <v>305</v>
      </c>
      <c r="C231" s="22">
        <v>200</v>
      </c>
      <c r="D231" s="22">
        <v>1000</v>
      </c>
      <c r="E231" s="22">
        <v>1500</v>
      </c>
      <c r="F231" s="13">
        <v>1.5</v>
      </c>
      <c r="G231" s="13">
        <v>1.5</v>
      </c>
      <c r="H231" s="22">
        <v>1</v>
      </c>
      <c r="I231" s="22">
        <v>1</v>
      </c>
      <c r="J231" s="22">
        <v>1</v>
      </c>
      <c r="K231" s="13">
        <v>0.23</v>
      </c>
      <c r="L231" s="13">
        <v>31.82</v>
      </c>
      <c r="M231" s="13">
        <v>1.1779999999999999</v>
      </c>
      <c r="N231" s="13">
        <v>552.5</v>
      </c>
      <c r="O231" s="24">
        <v>0.3675663404700058</v>
      </c>
      <c r="P231" s="13">
        <v>0.30159289474462014</v>
      </c>
      <c r="Q231" s="13">
        <v>557.5</v>
      </c>
      <c r="R231" s="13">
        <v>0.33500000000000002</v>
      </c>
      <c r="S231" s="13">
        <v>557.5</v>
      </c>
      <c r="U231" s="35" t="s">
        <v>306</v>
      </c>
      <c r="V231" s="24">
        <v>0.2</v>
      </c>
      <c r="W231" s="3">
        <v>5</v>
      </c>
      <c r="X231" s="6"/>
      <c r="Y231" s="5">
        <v>5.8693431803896923</v>
      </c>
      <c r="Z231" s="5">
        <v>5.284036417980067</v>
      </c>
      <c r="AA231" s="5">
        <v>5.4002911429832716</v>
      </c>
      <c r="AB231" s="5">
        <v>20.453959773727213</v>
      </c>
      <c r="AD231" s="19">
        <v>630.91000000000008</v>
      </c>
      <c r="AE231" s="5">
        <f t="shared" si="4"/>
        <v>6.7348546756537084</v>
      </c>
    </row>
    <row r="232" spans="1:31" ht="25.5" customHeight="1" x14ac:dyDescent="0.2">
      <c r="A232" s="54"/>
      <c r="B232" s="21" t="s">
        <v>307</v>
      </c>
      <c r="C232" s="22">
        <v>200</v>
      </c>
      <c r="D232" s="22">
        <v>1000</v>
      </c>
      <c r="E232" s="22">
        <v>2600</v>
      </c>
      <c r="F232" s="13">
        <v>2.6</v>
      </c>
      <c r="G232" s="13">
        <v>2.6</v>
      </c>
      <c r="H232" s="22">
        <v>1</v>
      </c>
      <c r="I232" s="22">
        <v>3</v>
      </c>
      <c r="J232" s="22">
        <v>1</v>
      </c>
      <c r="K232" s="13">
        <v>0.23</v>
      </c>
      <c r="L232" s="13">
        <v>30.97</v>
      </c>
      <c r="M232" s="13">
        <v>1.1779999999999999</v>
      </c>
      <c r="N232" s="13">
        <v>552.5</v>
      </c>
      <c r="O232" s="24">
        <v>0.3675663404700058</v>
      </c>
      <c r="P232" s="13">
        <v>0.30159289474462014</v>
      </c>
      <c r="Q232" s="13">
        <v>557.5</v>
      </c>
      <c r="R232" s="13">
        <v>0.33500000000000002</v>
      </c>
      <c r="S232" s="13">
        <v>557.5</v>
      </c>
      <c r="U232" s="35" t="s">
        <v>306</v>
      </c>
      <c r="V232" s="24">
        <v>0.2</v>
      </c>
      <c r="W232" s="3">
        <v>5</v>
      </c>
      <c r="X232" s="6"/>
      <c r="Y232" s="5">
        <v>6.0304326767839855</v>
      </c>
      <c r="Z232" s="5">
        <v>5.4290616344890452</v>
      </c>
      <c r="AA232" s="5">
        <v>5.5485070768397717</v>
      </c>
      <c r="AB232" s="5">
        <v>21.015337423312882</v>
      </c>
      <c r="AD232" s="19">
        <v>410.25</v>
      </c>
      <c r="AE232" s="5">
        <f t="shared" si="4"/>
        <v>4.4390383047566768</v>
      </c>
    </row>
    <row r="233" spans="1:31" ht="25.5" customHeight="1" x14ac:dyDescent="0.2">
      <c r="A233" s="55" t="s">
        <v>308</v>
      </c>
      <c r="B233" s="21" t="s">
        <v>309</v>
      </c>
      <c r="C233" s="22">
        <v>150</v>
      </c>
      <c r="D233" s="22">
        <v>1400</v>
      </c>
      <c r="E233" s="22">
        <v>2800</v>
      </c>
      <c r="F233" s="3">
        <v>2</v>
      </c>
      <c r="G233" s="13">
        <v>2</v>
      </c>
      <c r="H233" s="22">
        <v>1</v>
      </c>
      <c r="I233" s="22">
        <v>3</v>
      </c>
      <c r="J233" s="22">
        <v>1</v>
      </c>
      <c r="K233" s="24">
        <v>3.5003092145949287E-2</v>
      </c>
      <c r="L233" s="13">
        <v>38.5</v>
      </c>
      <c r="M233" s="13">
        <v>0</v>
      </c>
      <c r="N233" s="13" t="s">
        <v>26</v>
      </c>
      <c r="O233" s="24">
        <v>0</v>
      </c>
      <c r="P233" s="13">
        <v>0.25</v>
      </c>
      <c r="Q233" s="13">
        <v>300.60000000000002</v>
      </c>
      <c r="R233" s="13">
        <v>0.52400000000000002</v>
      </c>
      <c r="S233" s="13">
        <v>300</v>
      </c>
      <c r="U233" s="3" t="s">
        <v>310</v>
      </c>
      <c r="V233" s="24">
        <v>0</v>
      </c>
      <c r="W233" s="3">
        <v>9.3333333333333339</v>
      </c>
      <c r="X233" s="6"/>
      <c r="Y233" s="5">
        <v>4.0831168831168831</v>
      </c>
      <c r="Z233" s="5">
        <v>1.9519480519480521</v>
      </c>
      <c r="AA233" s="5">
        <v>0</v>
      </c>
      <c r="AB233" s="5">
        <v>0</v>
      </c>
      <c r="AD233" s="24">
        <v>352.44427344983944</v>
      </c>
      <c r="AE233" s="5">
        <f t="shared" si="4"/>
        <v>3.2574795670554701</v>
      </c>
    </row>
    <row r="234" spans="1:31" ht="25.5" customHeight="1" x14ac:dyDescent="0.2">
      <c r="A234" s="54"/>
      <c r="B234" s="21" t="s">
        <v>311</v>
      </c>
      <c r="C234" s="22">
        <v>150</v>
      </c>
      <c r="D234" s="22">
        <v>1400</v>
      </c>
      <c r="E234" s="22">
        <v>2800</v>
      </c>
      <c r="F234" s="3">
        <v>4</v>
      </c>
      <c r="G234" s="13">
        <v>2</v>
      </c>
      <c r="H234" s="22">
        <v>1</v>
      </c>
      <c r="I234" s="22">
        <v>3</v>
      </c>
      <c r="J234" s="22">
        <v>2</v>
      </c>
      <c r="K234" s="24">
        <v>3.5058661145617669E-2</v>
      </c>
      <c r="L234" s="13">
        <v>34.5</v>
      </c>
      <c r="M234" s="13">
        <v>0</v>
      </c>
      <c r="N234" s="13" t="s">
        <v>26</v>
      </c>
      <c r="O234" s="24">
        <v>0</v>
      </c>
      <c r="P234" s="13">
        <v>0.25</v>
      </c>
      <c r="Q234" s="13">
        <v>300.60000000000002</v>
      </c>
      <c r="R234" s="13">
        <v>0.52400000000000002</v>
      </c>
      <c r="S234" s="13">
        <v>300</v>
      </c>
      <c r="U234" s="3" t="s">
        <v>310</v>
      </c>
      <c r="V234" s="24">
        <v>0</v>
      </c>
      <c r="W234" s="3">
        <v>9.3333333333333339</v>
      </c>
      <c r="X234" s="6"/>
      <c r="Y234" s="5">
        <v>4.5565217391304351</v>
      </c>
      <c r="Z234" s="5">
        <v>2.1782608695652175</v>
      </c>
      <c r="AA234" s="5">
        <v>0</v>
      </c>
      <c r="AB234" s="5">
        <v>0</v>
      </c>
      <c r="AD234" s="24">
        <v>351.92472996995298</v>
      </c>
      <c r="AE234" s="5">
        <f t="shared" si="4"/>
        <v>3.4360687519118192</v>
      </c>
    </row>
    <row r="235" spans="1:31" ht="25.5" customHeight="1" x14ac:dyDescent="0.2">
      <c r="A235" s="54"/>
      <c r="B235" s="21" t="s">
        <v>312</v>
      </c>
      <c r="C235" s="22">
        <v>150</v>
      </c>
      <c r="D235" s="22">
        <v>1400</v>
      </c>
      <c r="E235" s="22">
        <v>2800</v>
      </c>
      <c r="F235" s="3">
        <v>6</v>
      </c>
      <c r="G235" s="13">
        <v>2</v>
      </c>
      <c r="H235" s="22">
        <v>1</v>
      </c>
      <c r="I235" s="22">
        <v>3</v>
      </c>
      <c r="J235" s="22">
        <v>2</v>
      </c>
      <c r="K235" s="24">
        <v>3.4990791896869239E-2</v>
      </c>
      <c r="L235" s="13">
        <v>36.200000000000003</v>
      </c>
      <c r="M235" s="13">
        <v>0</v>
      </c>
      <c r="N235" s="13" t="s">
        <v>26</v>
      </c>
      <c r="O235" s="24">
        <v>0</v>
      </c>
      <c r="P235" s="13">
        <v>0.25</v>
      </c>
      <c r="Q235" s="13">
        <v>300.60000000000002</v>
      </c>
      <c r="R235" s="13">
        <v>0.52400000000000002</v>
      </c>
      <c r="S235" s="13">
        <v>300</v>
      </c>
      <c r="U235" s="3" t="s">
        <v>310</v>
      </c>
      <c r="V235" s="24">
        <v>0</v>
      </c>
      <c r="W235" s="3">
        <v>9.3333333333333339</v>
      </c>
      <c r="X235" s="6"/>
      <c r="Y235" s="5">
        <v>4.3425414364640886</v>
      </c>
      <c r="Z235" s="5">
        <v>2.0759668508287294</v>
      </c>
      <c r="AA235" s="5">
        <v>0</v>
      </c>
      <c r="AB235" s="5">
        <v>0</v>
      </c>
      <c r="AD235" s="24">
        <v>340.53186135694727</v>
      </c>
      <c r="AE235" s="5">
        <f t="shared" si="4"/>
        <v>3.2458247946703067</v>
      </c>
    </row>
    <row r="236" spans="1:31" ht="25.5" customHeight="1" x14ac:dyDescent="0.2">
      <c r="A236" s="54"/>
      <c r="B236" s="21" t="s">
        <v>313</v>
      </c>
      <c r="C236" s="22">
        <v>150</v>
      </c>
      <c r="D236" s="22">
        <v>1400</v>
      </c>
      <c r="E236" s="22">
        <v>2800</v>
      </c>
      <c r="F236" s="3">
        <v>2</v>
      </c>
      <c r="G236" s="13">
        <v>2</v>
      </c>
      <c r="H236" s="22">
        <v>1</v>
      </c>
      <c r="I236" s="22">
        <v>2</v>
      </c>
      <c r="J236" s="22">
        <v>1</v>
      </c>
      <c r="K236" s="24">
        <v>0</v>
      </c>
      <c r="L236" s="13">
        <v>34.700000000000003</v>
      </c>
      <c r="M236" s="13">
        <v>0</v>
      </c>
      <c r="N236" s="13" t="s">
        <v>26</v>
      </c>
      <c r="O236" s="24">
        <v>0</v>
      </c>
      <c r="P236" s="13">
        <v>0.25</v>
      </c>
      <c r="Q236" s="13">
        <v>300.60000000000002</v>
      </c>
      <c r="R236" s="13">
        <v>0.52400000000000002</v>
      </c>
      <c r="S236" s="13">
        <v>300</v>
      </c>
      <c r="U236" s="3" t="s">
        <v>310</v>
      </c>
      <c r="V236" s="24">
        <v>0</v>
      </c>
      <c r="W236" s="3">
        <v>9.3333333333333339</v>
      </c>
      <c r="X236" s="6"/>
      <c r="Y236" s="5">
        <v>4.5302593659942367</v>
      </c>
      <c r="Z236" s="5">
        <v>2.1657060518731988</v>
      </c>
      <c r="AA236" s="5">
        <v>0</v>
      </c>
      <c r="AB236" s="5">
        <v>0</v>
      </c>
      <c r="AD236" s="24">
        <v>183.20965336864464</v>
      </c>
      <c r="AE236" s="5">
        <f t="shared" si="4"/>
        <v>1.7836318633587176</v>
      </c>
    </row>
    <row r="237" spans="1:31" ht="25.5" customHeight="1" x14ac:dyDescent="0.2">
      <c r="A237" s="54"/>
      <c r="B237" s="21" t="s">
        <v>314</v>
      </c>
      <c r="C237" s="22">
        <v>150</v>
      </c>
      <c r="D237" s="22">
        <v>1400</v>
      </c>
      <c r="E237" s="22">
        <v>2800</v>
      </c>
      <c r="F237" s="3">
        <v>2</v>
      </c>
      <c r="G237" s="13">
        <v>2</v>
      </c>
      <c r="H237" s="22">
        <v>1</v>
      </c>
      <c r="I237" s="22">
        <v>2</v>
      </c>
      <c r="J237" s="22">
        <v>1</v>
      </c>
      <c r="K237" s="24">
        <v>6.6047888081786382E-2</v>
      </c>
      <c r="L237" s="13">
        <v>35.4</v>
      </c>
      <c r="M237" s="13">
        <v>0.75600000000000001</v>
      </c>
      <c r="N237" s="13">
        <v>300</v>
      </c>
      <c r="O237" s="13">
        <v>0.41866666666666663</v>
      </c>
      <c r="P237" s="13">
        <v>0.25</v>
      </c>
      <c r="Q237" s="13">
        <v>300.60000000000002</v>
      </c>
      <c r="R237" s="13">
        <v>0.35</v>
      </c>
      <c r="S237" s="13">
        <v>300</v>
      </c>
      <c r="U237" s="3" t="s">
        <v>310</v>
      </c>
      <c r="V237" s="24">
        <v>0.19785714285714287</v>
      </c>
      <c r="W237" s="3">
        <v>9.3333333333333339</v>
      </c>
      <c r="X237" s="6"/>
      <c r="Y237" s="5">
        <v>2.9661016949152543</v>
      </c>
      <c r="Z237" s="5">
        <v>2.1228813559322037</v>
      </c>
      <c r="AA237" s="5">
        <v>3.5551186440677971</v>
      </c>
      <c r="AB237" s="5">
        <v>6.4067796610169498</v>
      </c>
      <c r="AD237" s="24">
        <v>475.07394774467741</v>
      </c>
      <c r="AE237" s="5">
        <f t="shared" si="4"/>
        <v>4.5791112043986155</v>
      </c>
    </row>
    <row r="238" spans="1:31" ht="25.5" customHeight="1" x14ac:dyDescent="0.2">
      <c r="A238" s="54"/>
      <c r="B238" s="21" t="s">
        <v>315</v>
      </c>
      <c r="C238" s="22">
        <v>150</v>
      </c>
      <c r="D238" s="22">
        <v>1400</v>
      </c>
      <c r="E238" s="22">
        <v>2800</v>
      </c>
      <c r="F238" s="3">
        <v>4</v>
      </c>
      <c r="G238" s="13">
        <v>2</v>
      </c>
      <c r="H238" s="22">
        <v>1</v>
      </c>
      <c r="I238" s="22">
        <v>3</v>
      </c>
      <c r="J238" s="22">
        <v>2</v>
      </c>
      <c r="K238" s="24">
        <v>3.498021192391166E-2</v>
      </c>
      <c r="L238" s="13">
        <v>37.299999999999997</v>
      </c>
      <c r="M238" s="13">
        <v>0.75600000000000001</v>
      </c>
      <c r="N238" s="13">
        <v>300</v>
      </c>
      <c r="O238" s="13">
        <v>0.628</v>
      </c>
      <c r="P238" s="13">
        <v>0.25</v>
      </c>
      <c r="Q238" s="13">
        <v>300.60000000000002</v>
      </c>
      <c r="R238" s="13">
        <v>0.35</v>
      </c>
      <c r="S238" s="13">
        <v>300</v>
      </c>
      <c r="U238" s="3" t="s">
        <v>26</v>
      </c>
      <c r="V238" s="24">
        <v>0.19785714285714287</v>
      </c>
      <c r="W238" s="3">
        <v>9.3333333333333339</v>
      </c>
      <c r="X238" s="6"/>
      <c r="Y238" s="5">
        <v>2.8150134048257374</v>
      </c>
      <c r="Z238" s="5">
        <v>2.0147453083109923</v>
      </c>
      <c r="AA238" s="5">
        <v>5.0610402144772122</v>
      </c>
      <c r="AB238" s="5">
        <v>6.080428954423593</v>
      </c>
      <c r="AD238" s="24">
        <v>355.6344550360318</v>
      </c>
      <c r="AE238" s="5">
        <f t="shared" si="4"/>
        <v>3.3394198226509033</v>
      </c>
    </row>
    <row r="239" spans="1:31" ht="25.5" customHeight="1" x14ac:dyDescent="0.2">
      <c r="A239" s="13" t="s">
        <v>316</v>
      </c>
      <c r="B239" s="21" t="s">
        <v>317</v>
      </c>
      <c r="C239" s="22">
        <v>125</v>
      </c>
      <c r="D239" s="22">
        <v>1000</v>
      </c>
      <c r="E239" s="22">
        <v>2000</v>
      </c>
      <c r="F239" s="13">
        <v>2</v>
      </c>
      <c r="G239" s="13">
        <v>2</v>
      </c>
      <c r="H239" s="22">
        <v>1</v>
      </c>
      <c r="I239" s="22">
        <v>2</v>
      </c>
      <c r="J239" s="22">
        <v>1</v>
      </c>
      <c r="K239" s="24">
        <v>0.1423076923076923</v>
      </c>
      <c r="L239" s="13">
        <v>20.8</v>
      </c>
      <c r="M239" s="37">
        <v>1.8037852556496421</v>
      </c>
      <c r="N239" s="13">
        <v>527</v>
      </c>
      <c r="O239" s="24">
        <v>0.90477868423386043</v>
      </c>
      <c r="P239" s="13">
        <v>0.36191147369354415</v>
      </c>
      <c r="Q239" s="13">
        <v>448</v>
      </c>
      <c r="R239" s="13">
        <v>0.38865063755750018</v>
      </c>
      <c r="S239" s="13">
        <v>448</v>
      </c>
      <c r="U239" s="35"/>
      <c r="V239" s="24">
        <v>0.20899999999999999</v>
      </c>
      <c r="W239" s="3">
        <v>8</v>
      </c>
      <c r="X239" s="6"/>
      <c r="Y239" s="5">
        <v>8.3709368089307716</v>
      </c>
      <c r="Z239" s="5">
        <v>7.795016356476336</v>
      </c>
      <c r="AA239" s="5">
        <v>19.487540891190839</v>
      </c>
      <c r="AB239" s="5">
        <v>45.70167450612314</v>
      </c>
      <c r="AD239" s="19"/>
      <c r="AE239" s="5">
        <f t="shared" si="4"/>
        <v>0</v>
      </c>
    </row>
    <row r="240" spans="1:31" ht="25.5" customHeight="1" x14ac:dyDescent="0.2">
      <c r="A240" s="55" t="s">
        <v>318</v>
      </c>
      <c r="B240" s="34" t="s">
        <v>84</v>
      </c>
      <c r="C240" s="22">
        <v>150</v>
      </c>
      <c r="D240" s="38">
        <v>1400</v>
      </c>
      <c r="E240" s="38">
        <v>2875</v>
      </c>
      <c r="F240" s="13">
        <v>4</v>
      </c>
      <c r="G240" s="13">
        <v>2.0535714285714284</v>
      </c>
      <c r="H240" s="22">
        <v>1</v>
      </c>
      <c r="I240" s="22">
        <v>3</v>
      </c>
      <c r="J240" s="22">
        <v>2</v>
      </c>
      <c r="K240" s="13">
        <v>3.7735849056603772E-2</v>
      </c>
      <c r="L240" s="13">
        <v>37.1</v>
      </c>
      <c r="M240" s="13">
        <v>1.1300692998524435</v>
      </c>
      <c r="N240" s="3">
        <v>387</v>
      </c>
      <c r="O240" s="13">
        <v>0.62831853071795873</v>
      </c>
      <c r="P240" s="13">
        <v>0.25132741228718347</v>
      </c>
      <c r="Q240" s="3">
        <v>322</v>
      </c>
      <c r="R240" s="38">
        <v>0.37222661772390914</v>
      </c>
      <c r="S240" s="3">
        <v>387</v>
      </c>
      <c r="U240" s="6"/>
      <c r="V240" s="24">
        <v>0.19857142857142857</v>
      </c>
      <c r="W240" s="3">
        <v>9.3333333333333339</v>
      </c>
      <c r="X240" s="6"/>
      <c r="Y240" s="5">
        <v>3.8827951767965723</v>
      </c>
      <c r="Z240" s="5">
        <v>2.1813322575868757</v>
      </c>
      <c r="AA240" s="5">
        <v>5.4533306439671891</v>
      </c>
      <c r="AB240" s="5">
        <v>11.788054421641391</v>
      </c>
      <c r="AD240" s="24">
        <v>421.4</v>
      </c>
      <c r="AE240" s="5">
        <f t="shared" si="4"/>
        <v>3.9676118888607204</v>
      </c>
    </row>
    <row r="241" spans="1:31" ht="25.5" customHeight="1" x14ac:dyDescent="0.2">
      <c r="A241" s="54"/>
      <c r="B241" s="34" t="s">
        <v>319</v>
      </c>
      <c r="C241" s="22">
        <v>150</v>
      </c>
      <c r="D241" s="38">
        <v>1400</v>
      </c>
      <c r="E241" s="38">
        <v>2875</v>
      </c>
      <c r="F241" s="13">
        <v>4</v>
      </c>
      <c r="G241" s="13">
        <v>2.0535714285714284</v>
      </c>
      <c r="H241" s="22">
        <v>1</v>
      </c>
      <c r="I241" s="22">
        <v>3</v>
      </c>
      <c r="J241" s="22">
        <v>2</v>
      </c>
      <c r="K241" s="13">
        <v>3.8567493112947666E-2</v>
      </c>
      <c r="L241" s="13">
        <v>36.299999999999997</v>
      </c>
      <c r="M241" s="13">
        <v>1.4615562944758269</v>
      </c>
      <c r="N241" s="3">
        <v>371</v>
      </c>
      <c r="O241" s="13">
        <v>0.62831853071795873</v>
      </c>
      <c r="P241" s="13">
        <v>0.25132741228718347</v>
      </c>
      <c r="Q241" s="3">
        <v>322</v>
      </c>
      <c r="R241" s="38">
        <v>0.37222661772390914</v>
      </c>
      <c r="S241" s="3">
        <v>387</v>
      </c>
      <c r="U241" s="6"/>
      <c r="V241" s="24">
        <v>0.19857142857142857</v>
      </c>
      <c r="W241" s="3">
        <v>9.3333333333333339</v>
      </c>
      <c r="X241" s="6"/>
      <c r="Y241" s="5">
        <v>3.9683664203623374</v>
      </c>
      <c r="Z241" s="5">
        <v>2.2294056957706085</v>
      </c>
      <c r="AA241" s="5">
        <v>5.5735142394265216</v>
      </c>
      <c r="AB241" s="5">
        <v>14.937669015166167</v>
      </c>
      <c r="AD241" s="24">
        <v>458.89797451597406</v>
      </c>
      <c r="AE241" s="5">
        <f t="shared" si="4"/>
        <v>4.3680181549341022</v>
      </c>
    </row>
    <row r="242" spans="1:31" ht="25.5" customHeight="1" x14ac:dyDescent="0.2">
      <c r="A242" s="54"/>
      <c r="B242" s="34" t="s">
        <v>320</v>
      </c>
      <c r="C242" s="22">
        <v>150</v>
      </c>
      <c r="D242" s="38">
        <v>1400</v>
      </c>
      <c r="E242" s="38">
        <v>2875</v>
      </c>
      <c r="F242" s="13">
        <v>4</v>
      </c>
      <c r="G242" s="13">
        <v>2.0535714285714284</v>
      </c>
      <c r="H242" s="22">
        <v>1</v>
      </c>
      <c r="I242" s="22">
        <v>3</v>
      </c>
      <c r="J242" s="22">
        <v>2</v>
      </c>
      <c r="K242" s="13">
        <v>3.8567493112947666E-2</v>
      </c>
      <c r="L242" s="13">
        <v>36.299999999999997</v>
      </c>
      <c r="M242" s="13">
        <v>1.2958127971641353</v>
      </c>
      <c r="N242" s="3">
        <v>371</v>
      </c>
      <c r="O242" s="13">
        <v>0.62831853071795873</v>
      </c>
      <c r="P242" s="13">
        <v>0.25132741228718347</v>
      </c>
      <c r="Q242" s="3">
        <v>322</v>
      </c>
      <c r="R242" s="38">
        <v>0.37222661772390914</v>
      </c>
      <c r="S242" s="3">
        <v>387</v>
      </c>
      <c r="U242" s="6"/>
      <c r="V242" s="24">
        <v>0.19857142857142857</v>
      </c>
      <c r="W242" s="3">
        <v>9.3333333333333339</v>
      </c>
      <c r="X242" s="6"/>
      <c r="Y242" s="5">
        <v>3.9683664203623374</v>
      </c>
      <c r="Z242" s="5">
        <v>2.2294056957706085</v>
      </c>
      <c r="AA242" s="5">
        <v>5.5735142394265216</v>
      </c>
      <c r="AB242" s="5">
        <v>13.243706549528767</v>
      </c>
      <c r="AD242" s="24">
        <v>385.24805027046125</v>
      </c>
      <c r="AE242" s="5">
        <f t="shared" si="4"/>
        <v>3.6669817065748758</v>
      </c>
    </row>
    <row r="243" spans="1:31" ht="25.5" customHeight="1" x14ac:dyDescent="0.2">
      <c r="A243" s="54"/>
      <c r="B243" s="34" t="s">
        <v>321</v>
      </c>
      <c r="C243" s="22">
        <v>150</v>
      </c>
      <c r="D243" s="38">
        <v>1400</v>
      </c>
      <c r="E243" s="38">
        <v>2875</v>
      </c>
      <c r="F243" s="13">
        <v>4</v>
      </c>
      <c r="G243" s="13">
        <v>2.0535714285714284</v>
      </c>
      <c r="H243" s="22">
        <v>1</v>
      </c>
      <c r="I243" s="22">
        <v>3</v>
      </c>
      <c r="J243" s="22">
        <v>2</v>
      </c>
      <c r="K243" s="13">
        <v>3.8147138964577651E-2</v>
      </c>
      <c r="L243" s="13">
        <v>36.700000000000003</v>
      </c>
      <c r="M243" s="13">
        <v>1.7177053357757144</v>
      </c>
      <c r="N243" s="3">
        <v>334</v>
      </c>
      <c r="O243" s="13">
        <v>0.62831853071795873</v>
      </c>
      <c r="P243" s="13">
        <v>0.25132741228718347</v>
      </c>
      <c r="Q243" s="3">
        <v>322</v>
      </c>
      <c r="R243" s="38">
        <v>0.37222661772390914</v>
      </c>
      <c r="S243" s="3">
        <v>387</v>
      </c>
      <c r="U243" s="6"/>
      <c r="V243" s="24">
        <v>0.19857142857142857</v>
      </c>
      <c r="W243" s="3">
        <v>9.3333333333333339</v>
      </c>
      <c r="X243" s="6"/>
      <c r="Y243" s="5">
        <v>3.9251144702766436</v>
      </c>
      <c r="Z243" s="5">
        <v>2.2051069960891847</v>
      </c>
      <c r="AA243" s="5">
        <v>5.512767490222962</v>
      </c>
      <c r="AB243" s="5">
        <v>15.632522674362084</v>
      </c>
      <c r="AD243" s="24">
        <v>442.18849999999998</v>
      </c>
      <c r="AE243" s="5">
        <f t="shared" si="4"/>
        <v>4.1859690990941587</v>
      </c>
    </row>
    <row r="244" spans="1:31" ht="25.5" customHeight="1" x14ac:dyDescent="0.2">
      <c r="A244" s="55" t="s">
        <v>322</v>
      </c>
      <c r="B244" s="21" t="s">
        <v>305</v>
      </c>
      <c r="C244" s="22">
        <v>203</v>
      </c>
      <c r="D244" s="22">
        <v>3050</v>
      </c>
      <c r="E244" s="22">
        <v>2867</v>
      </c>
      <c r="F244" s="13">
        <v>0.94</v>
      </c>
      <c r="G244" s="13">
        <v>0.94</v>
      </c>
      <c r="H244" s="22">
        <v>1</v>
      </c>
      <c r="I244" s="22">
        <v>2</v>
      </c>
      <c r="J244" s="22">
        <v>1</v>
      </c>
      <c r="K244" s="13">
        <v>0</v>
      </c>
      <c r="L244" s="13">
        <v>32.270000000000003</v>
      </c>
      <c r="M244" s="13">
        <v>0</v>
      </c>
      <c r="N244" s="13" t="s">
        <v>26</v>
      </c>
      <c r="O244" s="24">
        <v>0</v>
      </c>
      <c r="P244" s="13">
        <v>0.67</v>
      </c>
      <c r="Q244" s="13">
        <v>540.48149999999998</v>
      </c>
      <c r="R244" s="13">
        <v>0.67</v>
      </c>
      <c r="S244" s="13">
        <v>542.54</v>
      </c>
      <c r="U244" s="35" t="s">
        <v>323</v>
      </c>
      <c r="V244" s="24">
        <v>0</v>
      </c>
      <c r="W244" s="3">
        <v>15.024630541871922</v>
      </c>
      <c r="X244" s="6"/>
      <c r="Y244" s="5">
        <v>11.264387976448713</v>
      </c>
      <c r="Z244" s="5">
        <v>11.221648744964362</v>
      </c>
      <c r="AA244" s="5">
        <v>0</v>
      </c>
      <c r="AB244" s="5">
        <v>0</v>
      </c>
      <c r="AD244" s="19">
        <v>1116.4760000000001</v>
      </c>
      <c r="AE244" s="5">
        <f t="shared" si="4"/>
        <v>3.8229175633310142</v>
      </c>
    </row>
    <row r="245" spans="1:31" ht="25.5" customHeight="1" x14ac:dyDescent="0.2">
      <c r="A245" s="54"/>
      <c r="B245" s="21" t="s">
        <v>307</v>
      </c>
      <c r="C245" s="22">
        <v>203</v>
      </c>
      <c r="D245" s="22">
        <v>3050</v>
      </c>
      <c r="E245" s="22">
        <v>1647</v>
      </c>
      <c r="F245" s="13">
        <v>0.54</v>
      </c>
      <c r="G245" s="13">
        <v>0.54</v>
      </c>
      <c r="H245" s="22">
        <v>1</v>
      </c>
      <c r="I245" s="22">
        <v>1</v>
      </c>
      <c r="J245" s="22">
        <v>1</v>
      </c>
      <c r="K245" s="13">
        <v>0</v>
      </c>
      <c r="L245" s="13">
        <v>62.74</v>
      </c>
      <c r="M245" s="13">
        <v>0</v>
      </c>
      <c r="N245" s="13" t="s">
        <v>26</v>
      </c>
      <c r="O245" s="24">
        <v>0</v>
      </c>
      <c r="P245" s="13">
        <v>1</v>
      </c>
      <c r="Q245" s="13">
        <v>508.21275959999991</v>
      </c>
      <c r="R245" s="13">
        <v>1</v>
      </c>
      <c r="S245" s="13">
        <v>508</v>
      </c>
      <c r="U245" s="35" t="s">
        <v>216</v>
      </c>
      <c r="V245" s="24">
        <v>0</v>
      </c>
      <c r="W245" s="3">
        <v>15.024630541871922</v>
      </c>
      <c r="X245" s="6"/>
      <c r="Y245" s="5">
        <v>8.096907873764744</v>
      </c>
      <c r="Z245" s="5">
        <v>8.1002990054191883</v>
      </c>
      <c r="AA245" s="5">
        <v>0</v>
      </c>
      <c r="AB245" s="5">
        <v>0</v>
      </c>
      <c r="AD245" s="19">
        <v>2341.91</v>
      </c>
      <c r="AE245" s="5">
        <f t="shared" si="4"/>
        <v>5.7509947060795845</v>
      </c>
    </row>
    <row r="246" spans="1:31" ht="25.5" customHeight="1" x14ac:dyDescent="0.2">
      <c r="A246" s="54"/>
      <c r="B246" s="21" t="s">
        <v>324</v>
      </c>
      <c r="C246" s="22">
        <v>203</v>
      </c>
      <c r="D246" s="22">
        <v>3050</v>
      </c>
      <c r="E246" s="22">
        <v>1647</v>
      </c>
      <c r="F246" s="13">
        <v>0.54</v>
      </c>
      <c r="G246" s="13">
        <v>0.54</v>
      </c>
      <c r="H246" s="22">
        <v>1</v>
      </c>
      <c r="I246" s="22">
        <v>1</v>
      </c>
      <c r="J246" s="22">
        <v>1</v>
      </c>
      <c r="K246" s="13">
        <v>0</v>
      </c>
      <c r="L246" s="13">
        <v>69.91</v>
      </c>
      <c r="M246" s="13">
        <v>0</v>
      </c>
      <c r="N246" s="13" t="s">
        <v>26</v>
      </c>
      <c r="O246" s="24">
        <v>0</v>
      </c>
      <c r="P246" s="13">
        <v>0.67</v>
      </c>
      <c r="Q246" s="13">
        <v>508.21275959999991</v>
      </c>
      <c r="R246" s="13">
        <v>0.67</v>
      </c>
      <c r="S246" s="13">
        <v>508</v>
      </c>
      <c r="U246" s="3" t="s">
        <v>216</v>
      </c>
      <c r="V246" s="24">
        <v>0</v>
      </c>
      <c r="W246" s="3">
        <v>15.024630541871922</v>
      </c>
      <c r="X246" s="6"/>
      <c r="Y246" s="5">
        <v>4.8685452724932059</v>
      </c>
      <c r="Z246" s="5">
        <v>4.8705843074238304</v>
      </c>
      <c r="AA246" s="5">
        <v>0</v>
      </c>
      <c r="AB246" s="5">
        <v>0</v>
      </c>
      <c r="AD246" s="19">
        <v>1888.194</v>
      </c>
      <c r="AE246" s="5">
        <f t="shared" si="4"/>
        <v>4.3926033268173388</v>
      </c>
    </row>
    <row r="247" spans="1:31" ht="25.5" customHeight="1" x14ac:dyDescent="0.2">
      <c r="A247" s="54"/>
      <c r="B247" s="21" t="s">
        <v>325</v>
      </c>
      <c r="C247" s="22">
        <v>203</v>
      </c>
      <c r="D247" s="22">
        <v>3050</v>
      </c>
      <c r="E247" s="22">
        <v>1647</v>
      </c>
      <c r="F247" s="13">
        <v>0.54</v>
      </c>
      <c r="G247" s="13">
        <v>0.54</v>
      </c>
      <c r="H247" s="22">
        <v>1</v>
      </c>
      <c r="I247" s="22">
        <v>1</v>
      </c>
      <c r="J247" s="22">
        <v>1</v>
      </c>
      <c r="K247" s="13">
        <v>0</v>
      </c>
      <c r="L247" s="13">
        <v>37.65</v>
      </c>
      <c r="M247" s="13">
        <v>0</v>
      </c>
      <c r="N247" s="13" t="s">
        <v>26</v>
      </c>
      <c r="O247" s="24">
        <v>0</v>
      </c>
      <c r="P247" s="13">
        <v>0.33</v>
      </c>
      <c r="Q247" s="13">
        <v>540.48149999999998</v>
      </c>
      <c r="R247" s="13">
        <v>0.33</v>
      </c>
      <c r="S247" s="13">
        <v>542.54</v>
      </c>
      <c r="U247" s="3" t="s">
        <v>216</v>
      </c>
      <c r="V247" s="24">
        <v>0</v>
      </c>
      <c r="W247" s="3">
        <v>15.024630541871922</v>
      </c>
      <c r="X247" s="6"/>
      <c r="Y247" s="5">
        <v>4.7553306772908366</v>
      </c>
      <c r="Z247" s="5">
        <v>4.7372880478087644</v>
      </c>
      <c r="AA247" s="5">
        <v>0</v>
      </c>
      <c r="AB247" s="5">
        <v>0</v>
      </c>
      <c r="AD247" s="19">
        <v>983.029</v>
      </c>
      <c r="AE247" s="5">
        <f t="shared" si="4"/>
        <v>3.1162254039230612</v>
      </c>
    </row>
    <row r="248" spans="1:31" ht="25.5" customHeight="1" x14ac:dyDescent="0.2">
      <c r="A248" s="54"/>
      <c r="B248" s="21" t="s">
        <v>326</v>
      </c>
      <c r="C248" s="22">
        <v>203</v>
      </c>
      <c r="D248" s="22">
        <v>3050</v>
      </c>
      <c r="E248" s="22">
        <v>1006</v>
      </c>
      <c r="F248" s="13">
        <v>0.33</v>
      </c>
      <c r="G248" s="13">
        <v>0.33</v>
      </c>
      <c r="H248" s="22">
        <v>1</v>
      </c>
      <c r="I248" s="22">
        <v>1</v>
      </c>
      <c r="J248" s="22">
        <v>1</v>
      </c>
      <c r="K248" s="13">
        <v>0</v>
      </c>
      <c r="L248" s="13">
        <v>38.54</v>
      </c>
      <c r="M248" s="13">
        <v>0</v>
      </c>
      <c r="N248" s="13" t="s">
        <v>26</v>
      </c>
      <c r="O248" s="24">
        <v>0</v>
      </c>
      <c r="P248" s="13">
        <v>1</v>
      </c>
      <c r="Q248" s="13">
        <v>508.21275959999991</v>
      </c>
      <c r="R248" s="13">
        <v>1</v>
      </c>
      <c r="S248" s="13">
        <v>542.54</v>
      </c>
      <c r="U248" s="3" t="s">
        <v>323</v>
      </c>
      <c r="V248" s="24">
        <v>0</v>
      </c>
      <c r="W248" s="3">
        <v>15.024630541871922</v>
      </c>
      <c r="X248" s="6"/>
      <c r="Y248" s="5">
        <v>14.077322262584328</v>
      </c>
      <c r="Z248" s="5">
        <v>13.186631022314476</v>
      </c>
      <c r="AA248" s="5">
        <v>0</v>
      </c>
      <c r="AB248" s="5">
        <v>0</v>
      </c>
      <c r="AD248" s="19">
        <v>2831.2826999999997</v>
      </c>
      <c r="AE248" s="5">
        <f t="shared" si="4"/>
        <v>8.870996422032464</v>
      </c>
    </row>
    <row r="249" spans="1:31" ht="25.5" customHeight="1" x14ac:dyDescent="0.2">
      <c r="A249" s="54"/>
      <c r="B249" s="21" t="s">
        <v>327</v>
      </c>
      <c r="C249" s="22">
        <v>203</v>
      </c>
      <c r="D249" s="22">
        <v>3050</v>
      </c>
      <c r="E249" s="22">
        <v>1006</v>
      </c>
      <c r="F249" s="13">
        <v>0.33</v>
      </c>
      <c r="G249" s="13">
        <v>0.33</v>
      </c>
      <c r="H249" s="22">
        <v>1</v>
      </c>
      <c r="I249" s="22">
        <v>1</v>
      </c>
      <c r="J249" s="22">
        <v>1</v>
      </c>
      <c r="K249" s="13">
        <v>0</v>
      </c>
      <c r="L249" s="13">
        <v>34.06</v>
      </c>
      <c r="M249" s="13">
        <v>0</v>
      </c>
      <c r="N249" s="13" t="s">
        <v>26</v>
      </c>
      <c r="O249" s="24">
        <v>0</v>
      </c>
      <c r="P249" s="13">
        <v>0.67</v>
      </c>
      <c r="Q249" s="13">
        <v>508.21275959999991</v>
      </c>
      <c r="R249" s="13">
        <v>0.67</v>
      </c>
      <c r="S249" s="13">
        <v>542.54</v>
      </c>
      <c r="U249" s="3" t="s">
        <v>323</v>
      </c>
      <c r="V249" s="24">
        <v>0</v>
      </c>
      <c r="W249" s="3">
        <v>15.024630541871922</v>
      </c>
      <c r="X249" s="6"/>
      <c r="Y249" s="5">
        <v>10.672395772166764</v>
      </c>
      <c r="Z249" s="5">
        <v>9.9971388412213731</v>
      </c>
      <c r="AA249" s="5">
        <v>0</v>
      </c>
      <c r="AB249" s="5">
        <v>0</v>
      </c>
      <c r="AD249" s="19">
        <v>2184.1050999999998</v>
      </c>
      <c r="AE249" s="5">
        <f t="shared" si="4"/>
        <v>7.2794109077197469</v>
      </c>
    </row>
    <row r="250" spans="1:31" ht="25.5" customHeight="1" x14ac:dyDescent="0.2">
      <c r="A250" s="54"/>
      <c r="B250" s="21" t="s">
        <v>328</v>
      </c>
      <c r="C250" s="22">
        <v>203</v>
      </c>
      <c r="D250" s="22">
        <v>3050</v>
      </c>
      <c r="E250" s="22">
        <v>1006</v>
      </c>
      <c r="F250" s="13">
        <v>0.33</v>
      </c>
      <c r="G250" s="13">
        <v>0.33</v>
      </c>
      <c r="H250" s="22">
        <v>1</v>
      </c>
      <c r="I250" s="22">
        <v>1</v>
      </c>
      <c r="J250" s="22">
        <v>1</v>
      </c>
      <c r="K250" s="13">
        <v>0</v>
      </c>
      <c r="L250" s="13">
        <v>34.06</v>
      </c>
      <c r="M250" s="13">
        <v>0</v>
      </c>
      <c r="N250" s="13" t="s">
        <v>26</v>
      </c>
      <c r="O250" s="24">
        <v>0</v>
      </c>
      <c r="P250" s="13">
        <v>0.33</v>
      </c>
      <c r="Q250" s="13">
        <v>540.48149999999998</v>
      </c>
      <c r="R250" s="13">
        <v>0.33</v>
      </c>
      <c r="S250" s="13">
        <v>542.54</v>
      </c>
      <c r="U250" s="3" t="s">
        <v>323</v>
      </c>
      <c r="V250" s="24">
        <v>0</v>
      </c>
      <c r="W250" s="3">
        <v>15.024630541871922</v>
      </c>
      <c r="X250" s="6"/>
      <c r="Y250" s="5">
        <v>5.2565531415149733</v>
      </c>
      <c r="Z250" s="5">
        <v>5.2366087786259534</v>
      </c>
      <c r="AA250" s="5">
        <v>0</v>
      </c>
      <c r="AB250" s="5">
        <v>0</v>
      </c>
      <c r="AD250" s="19">
        <v>1323.3256999999999</v>
      </c>
      <c r="AE250" s="5">
        <f t="shared" si="4"/>
        <v>4.4105164788296456</v>
      </c>
    </row>
    <row r="251" spans="1:31" ht="25.5" customHeight="1" x14ac:dyDescent="0.2">
      <c r="A251" s="54"/>
      <c r="B251" s="21" t="s">
        <v>329</v>
      </c>
      <c r="C251" s="22">
        <v>203</v>
      </c>
      <c r="D251" s="22">
        <v>3050</v>
      </c>
      <c r="E251" s="22">
        <v>1647</v>
      </c>
      <c r="F251" s="13">
        <v>0.54</v>
      </c>
      <c r="G251" s="13">
        <v>0.54</v>
      </c>
      <c r="H251" s="22">
        <v>1</v>
      </c>
      <c r="I251" s="22">
        <v>1</v>
      </c>
      <c r="J251" s="22">
        <v>1</v>
      </c>
      <c r="K251" s="13">
        <v>0</v>
      </c>
      <c r="L251" s="13">
        <v>31.37</v>
      </c>
      <c r="M251" s="13">
        <v>0</v>
      </c>
      <c r="N251" s="13" t="s">
        <v>26</v>
      </c>
      <c r="O251" s="24">
        <v>0</v>
      </c>
      <c r="P251" s="13">
        <v>1.5</v>
      </c>
      <c r="Q251" s="13">
        <v>508.21275959999991</v>
      </c>
      <c r="R251" s="13">
        <v>1.5</v>
      </c>
      <c r="S251" s="13">
        <v>542.54</v>
      </c>
      <c r="U251" s="3" t="s">
        <v>323</v>
      </c>
      <c r="V251" s="24">
        <v>0</v>
      </c>
      <c r="W251" s="3">
        <v>15.024630541871922</v>
      </c>
      <c r="X251" s="6"/>
      <c r="Y251" s="5">
        <v>25.942301562001909</v>
      </c>
      <c r="Z251" s="5">
        <v>24.300897016257565</v>
      </c>
      <c r="AA251" s="5">
        <v>0</v>
      </c>
      <c r="AB251" s="5">
        <v>0</v>
      </c>
      <c r="AD251" s="19">
        <v>2599.9585999999999</v>
      </c>
      <c r="AE251" s="5">
        <f t="shared" si="4"/>
        <v>9.0293023794485698</v>
      </c>
    </row>
    <row r="252" spans="1:31" ht="25.5" customHeight="1" x14ac:dyDescent="0.2">
      <c r="A252" s="54"/>
      <c r="B252" s="21" t="s">
        <v>330</v>
      </c>
      <c r="C252" s="22">
        <v>203</v>
      </c>
      <c r="D252" s="22">
        <v>3050</v>
      </c>
      <c r="E252" s="22">
        <v>1647</v>
      </c>
      <c r="F252" s="13">
        <v>0.54</v>
      </c>
      <c r="G252" s="13">
        <v>0.54</v>
      </c>
      <c r="H252" s="22">
        <v>1</v>
      </c>
      <c r="I252" s="22">
        <v>1</v>
      </c>
      <c r="J252" s="22">
        <v>1</v>
      </c>
      <c r="K252" s="13">
        <v>0</v>
      </c>
      <c r="L252" s="13">
        <v>38.54</v>
      </c>
      <c r="M252" s="13">
        <v>0</v>
      </c>
      <c r="N252" s="13" t="s">
        <v>26</v>
      </c>
      <c r="O252" s="24">
        <v>0</v>
      </c>
      <c r="P252" s="13">
        <v>0.67</v>
      </c>
      <c r="Q252" s="13">
        <v>508.21275959999991</v>
      </c>
      <c r="R252" s="13">
        <v>1.5</v>
      </c>
      <c r="S252" s="13">
        <v>542.54</v>
      </c>
      <c r="U252" s="3" t="s">
        <v>323</v>
      </c>
      <c r="V252" s="24">
        <v>0</v>
      </c>
      <c r="W252" s="3">
        <v>15.024630541871922</v>
      </c>
      <c r="X252" s="6"/>
      <c r="Y252" s="5">
        <v>21.11598339387649</v>
      </c>
      <c r="Z252" s="5">
        <v>8.8350427849506996</v>
      </c>
      <c r="AA252" s="5">
        <v>0</v>
      </c>
      <c r="AB252" s="5">
        <v>0</v>
      </c>
      <c r="AD252" s="19">
        <v>2791.2502999999997</v>
      </c>
      <c r="AE252" s="5">
        <f t="shared" si="4"/>
        <v>8.745566602832362</v>
      </c>
    </row>
    <row r="253" spans="1:31" ht="25.5" customHeight="1" x14ac:dyDescent="0.2">
      <c r="A253" s="54"/>
      <c r="B253" s="21" t="s">
        <v>331</v>
      </c>
      <c r="C253" s="22">
        <v>203</v>
      </c>
      <c r="D253" s="22">
        <v>3050</v>
      </c>
      <c r="E253" s="22">
        <v>1647</v>
      </c>
      <c r="F253" s="13">
        <v>0.54</v>
      </c>
      <c r="G253" s="13">
        <v>0.54</v>
      </c>
      <c r="H253" s="22">
        <v>1</v>
      </c>
      <c r="I253" s="22">
        <v>1</v>
      </c>
      <c r="J253" s="22">
        <v>1</v>
      </c>
      <c r="K253" s="13">
        <v>0</v>
      </c>
      <c r="L253" s="13">
        <v>41.23</v>
      </c>
      <c r="M253" s="13">
        <v>0</v>
      </c>
      <c r="N253" s="13" t="s">
        <v>26</v>
      </c>
      <c r="O253" s="24">
        <v>0</v>
      </c>
      <c r="P253" s="13">
        <v>0.33</v>
      </c>
      <c r="Q253" s="13">
        <v>540.48149999999998</v>
      </c>
      <c r="R253" s="13">
        <v>1.5</v>
      </c>
      <c r="S253" s="13">
        <v>542.54</v>
      </c>
      <c r="U253" s="3" t="s">
        <v>323</v>
      </c>
      <c r="V253" s="24">
        <v>0</v>
      </c>
      <c r="W253" s="3">
        <v>15.024630541871922</v>
      </c>
      <c r="X253" s="6"/>
      <c r="Y253" s="5">
        <v>19.738297356293963</v>
      </c>
      <c r="Z253" s="5">
        <v>4.3259494300266796</v>
      </c>
      <c r="AA253" s="5">
        <v>0</v>
      </c>
      <c r="AB253" s="5">
        <v>0</v>
      </c>
      <c r="AD253" s="19">
        <v>2275.2248</v>
      </c>
      <c r="AE253" s="5">
        <f t="shared" si="4"/>
        <v>6.8922761440566305</v>
      </c>
    </row>
    <row r="254" spans="1:31" ht="25.5" customHeight="1" x14ac:dyDescent="0.2">
      <c r="A254" s="54"/>
      <c r="B254" s="21" t="s">
        <v>332</v>
      </c>
      <c r="C254" s="22">
        <v>203</v>
      </c>
      <c r="D254" s="22">
        <v>3050</v>
      </c>
      <c r="E254" s="22">
        <v>1647</v>
      </c>
      <c r="F254" s="13">
        <v>0.54</v>
      </c>
      <c r="G254" s="13">
        <v>0.54</v>
      </c>
      <c r="H254" s="22">
        <v>1</v>
      </c>
      <c r="I254" s="22">
        <v>1</v>
      </c>
      <c r="J254" s="22">
        <v>1</v>
      </c>
      <c r="K254" s="13">
        <v>0</v>
      </c>
      <c r="L254" s="13">
        <v>44.82</v>
      </c>
      <c r="M254" s="13">
        <v>1.5</v>
      </c>
      <c r="N254" s="13">
        <v>542.54</v>
      </c>
      <c r="O254" s="24">
        <v>1.5</v>
      </c>
      <c r="P254" s="13">
        <v>0.67</v>
      </c>
      <c r="Q254" s="13">
        <v>508.21275959999991</v>
      </c>
      <c r="R254" s="13">
        <v>0.67</v>
      </c>
      <c r="S254" s="13">
        <v>542.54</v>
      </c>
      <c r="U254" s="3" t="s">
        <v>323</v>
      </c>
      <c r="V254" s="24">
        <v>0.12918032786885245</v>
      </c>
      <c r="W254" s="3">
        <v>15.024630541871922</v>
      </c>
      <c r="X254" s="6"/>
      <c r="Y254" s="5">
        <v>8.1102588130298976</v>
      </c>
      <c r="Z254" s="5">
        <v>7.5971117566265054</v>
      </c>
      <c r="AA254" s="5">
        <v>18.157295850066934</v>
      </c>
      <c r="AB254" s="5">
        <v>18.157295850066934</v>
      </c>
      <c r="AD254" s="19">
        <v>1850.4328</v>
      </c>
      <c r="AE254" s="5">
        <f t="shared" si="4"/>
        <v>5.3762866458273084</v>
      </c>
    </row>
    <row r="255" spans="1:31" ht="25.5" customHeight="1" x14ac:dyDescent="0.2">
      <c r="A255" s="54"/>
      <c r="B255" s="21" t="s">
        <v>333</v>
      </c>
      <c r="C255" s="22">
        <v>203</v>
      </c>
      <c r="D255" s="22">
        <v>3050</v>
      </c>
      <c r="E255" s="22">
        <v>1647</v>
      </c>
      <c r="F255" s="13">
        <v>0.54</v>
      </c>
      <c r="G255" s="13">
        <v>0.54</v>
      </c>
      <c r="H255" s="22">
        <v>1</v>
      </c>
      <c r="I255" s="22">
        <v>1</v>
      </c>
      <c r="J255" s="22">
        <v>1</v>
      </c>
      <c r="K255" s="13">
        <v>0</v>
      </c>
      <c r="L255" s="13">
        <v>44.82</v>
      </c>
      <c r="M255" s="13">
        <v>2</v>
      </c>
      <c r="N255" s="13">
        <v>542.54</v>
      </c>
      <c r="O255" s="24">
        <v>2</v>
      </c>
      <c r="P255" s="13">
        <v>0.33</v>
      </c>
      <c r="Q255" s="13">
        <v>508.21275959999991</v>
      </c>
      <c r="R255" s="13">
        <v>0.33</v>
      </c>
      <c r="S255" s="13">
        <v>542.54</v>
      </c>
      <c r="U255" s="3" t="s">
        <v>323</v>
      </c>
      <c r="V255" s="24">
        <v>9.6721311475409841E-2</v>
      </c>
      <c r="W255" s="3">
        <v>15.024630541871922</v>
      </c>
      <c r="X255" s="6"/>
      <c r="Y255" s="5">
        <v>3.9946050870147252</v>
      </c>
      <c r="Z255" s="5">
        <v>3.7418610144578306</v>
      </c>
      <c r="AA255" s="5">
        <v>24.209727800089244</v>
      </c>
      <c r="AB255" s="5">
        <v>24.209727800089244</v>
      </c>
      <c r="AD255" s="19">
        <v>1737.0255999999999</v>
      </c>
      <c r="AE255" s="5">
        <f t="shared" si="4"/>
        <v>5.0467909651948286</v>
      </c>
    </row>
    <row r="256" spans="1:31" ht="22.5" customHeight="1" x14ac:dyDescent="0.2">
      <c r="A256" s="53" t="s">
        <v>334</v>
      </c>
      <c r="B256" s="36" t="s">
        <v>335</v>
      </c>
      <c r="C256" s="22">
        <v>140</v>
      </c>
      <c r="D256" s="22">
        <v>1100</v>
      </c>
      <c r="E256" s="22">
        <v>2550</v>
      </c>
      <c r="F256" s="13">
        <v>2.4300000000000002</v>
      </c>
      <c r="G256" s="13">
        <v>2.3181818181818183</v>
      </c>
      <c r="H256" s="22">
        <v>1</v>
      </c>
      <c r="I256" s="22">
        <v>3</v>
      </c>
      <c r="J256" s="22">
        <v>1</v>
      </c>
      <c r="K256" s="13">
        <v>0.316</v>
      </c>
      <c r="L256" s="13">
        <v>44.741</v>
      </c>
      <c r="M256" s="13">
        <v>2.0185714285714287</v>
      </c>
      <c r="N256" s="13">
        <v>354</v>
      </c>
      <c r="O256" s="13">
        <v>0.71771428571428575</v>
      </c>
      <c r="P256" s="13">
        <v>0.71771428571428575</v>
      </c>
      <c r="Q256" s="13">
        <v>440</v>
      </c>
      <c r="R256" s="13">
        <v>0.59809523809523812</v>
      </c>
      <c r="S256" s="13">
        <v>440</v>
      </c>
      <c r="U256" s="6"/>
      <c r="V256" s="24">
        <v>0.21818181818181817</v>
      </c>
      <c r="W256" s="3">
        <v>7.8571428571428568</v>
      </c>
      <c r="X256" s="6"/>
      <c r="Y256" s="5">
        <v>5.881895906705366</v>
      </c>
      <c r="Z256" s="5">
        <v>7.0582750880464387</v>
      </c>
      <c r="AA256" s="5">
        <v>7.0582750880464387</v>
      </c>
      <c r="AB256" s="5">
        <v>15.971352578491446</v>
      </c>
      <c r="AD256" s="24">
        <v>427.15</v>
      </c>
      <c r="AE256" s="5">
        <f t="shared" si="4"/>
        <v>4.9939909122497417</v>
      </c>
    </row>
    <row r="257" spans="1:31" ht="25.5" customHeight="1" x14ac:dyDescent="0.2">
      <c r="A257" s="54"/>
      <c r="B257" s="36" t="s">
        <v>336</v>
      </c>
      <c r="C257" s="22">
        <v>140</v>
      </c>
      <c r="D257" s="22">
        <v>1100</v>
      </c>
      <c r="E257" s="22">
        <v>2550</v>
      </c>
      <c r="F257" s="13">
        <v>2.4300000000000002</v>
      </c>
      <c r="G257" s="13">
        <v>2.3181818181818183</v>
      </c>
      <c r="H257" s="22">
        <v>1</v>
      </c>
      <c r="I257" s="22">
        <v>3</v>
      </c>
      <c r="J257" s="22">
        <v>1</v>
      </c>
      <c r="K257" s="13">
        <v>0.316</v>
      </c>
      <c r="L257" s="13">
        <v>44.741</v>
      </c>
      <c r="M257" s="13">
        <v>1.8924107142857143</v>
      </c>
      <c r="N257" s="13">
        <v>440</v>
      </c>
      <c r="O257" s="13">
        <v>1.4354285714285715</v>
      </c>
      <c r="P257" s="13">
        <v>0.71771428571428575</v>
      </c>
      <c r="Q257" s="13">
        <v>440</v>
      </c>
      <c r="R257" s="13">
        <v>0.59809523809523812</v>
      </c>
      <c r="S257" s="13">
        <v>440</v>
      </c>
      <c r="U257" s="6"/>
      <c r="V257" s="24">
        <v>0.21818181818181817</v>
      </c>
      <c r="W257" s="3">
        <v>7.8571428571428568</v>
      </c>
      <c r="X257" s="6"/>
      <c r="Y257" s="5">
        <v>5.881895906705366</v>
      </c>
      <c r="Z257" s="5">
        <v>7.0582750880464387</v>
      </c>
      <c r="AA257" s="5">
        <v>14.116550176092877</v>
      </c>
      <c r="AB257" s="5">
        <v>18.610686267309948</v>
      </c>
      <c r="AD257" s="24">
        <v>529.37950000000001</v>
      </c>
      <c r="AE257" s="5">
        <f t="shared" si="4"/>
        <v>6.1891991387833594</v>
      </c>
    </row>
    <row r="258" spans="1:31" ht="25.5" customHeight="1" x14ac:dyDescent="0.2">
      <c r="A258" s="54"/>
      <c r="B258" s="36" t="s">
        <v>337</v>
      </c>
      <c r="C258" s="22">
        <v>140</v>
      </c>
      <c r="D258" s="22">
        <v>1100</v>
      </c>
      <c r="E258" s="22">
        <v>2550</v>
      </c>
      <c r="F258" s="13">
        <v>2.4300000000000002</v>
      </c>
      <c r="G258" s="13">
        <v>2.3181818181818183</v>
      </c>
      <c r="H258" s="22">
        <v>1</v>
      </c>
      <c r="I258" s="22">
        <v>3</v>
      </c>
      <c r="J258" s="22">
        <v>1</v>
      </c>
      <c r="K258" s="13">
        <v>0.316</v>
      </c>
      <c r="L258" s="13">
        <v>44.741</v>
      </c>
      <c r="M258" s="13">
        <v>1.8924107142857143</v>
      </c>
      <c r="N258" s="13">
        <v>440</v>
      </c>
      <c r="O258" s="13">
        <v>1.4354285714285715</v>
      </c>
      <c r="P258" s="13">
        <v>0.71771428571428575</v>
      </c>
      <c r="Q258" s="13">
        <v>440</v>
      </c>
      <c r="R258" s="13">
        <v>0.59809523809523812</v>
      </c>
      <c r="S258" s="13">
        <v>440</v>
      </c>
      <c r="U258" s="6"/>
      <c r="V258" s="24">
        <v>0.21818181818181817</v>
      </c>
      <c r="W258" s="3">
        <v>7.8571428571428568</v>
      </c>
      <c r="X258" s="6"/>
      <c r="Y258" s="5">
        <v>5.881895906705366</v>
      </c>
      <c r="Z258" s="5">
        <v>7.0582750880464387</v>
      </c>
      <c r="AA258" s="5">
        <v>14.116550176092877</v>
      </c>
      <c r="AB258" s="5">
        <v>18.610686267309948</v>
      </c>
      <c r="AD258" s="24">
        <v>534.4</v>
      </c>
      <c r="AE258" s="5">
        <f t="shared" si="4"/>
        <v>6.2478959229925373</v>
      </c>
    </row>
    <row r="259" spans="1:31" ht="25.5" customHeight="1" x14ac:dyDescent="0.2">
      <c r="A259" s="54"/>
      <c r="B259" s="36" t="s">
        <v>338</v>
      </c>
      <c r="C259" s="22">
        <v>140</v>
      </c>
      <c r="D259" s="22">
        <v>1100</v>
      </c>
      <c r="E259" s="22">
        <v>2550</v>
      </c>
      <c r="F259" s="13">
        <v>2.4300000000000002</v>
      </c>
      <c r="G259" s="13">
        <v>2.3181818181818183</v>
      </c>
      <c r="H259" s="22">
        <v>1</v>
      </c>
      <c r="I259" s="22">
        <v>3</v>
      </c>
      <c r="J259" s="22">
        <v>1</v>
      </c>
      <c r="K259" s="13">
        <v>0.316</v>
      </c>
      <c r="L259" s="13">
        <v>44.741</v>
      </c>
      <c r="M259" s="13">
        <v>1.8924107142857143</v>
      </c>
      <c r="N259" s="13">
        <v>440</v>
      </c>
      <c r="O259" s="13">
        <v>1.099</v>
      </c>
      <c r="P259" s="13">
        <v>0.71771428571428575</v>
      </c>
      <c r="Q259" s="13">
        <v>440</v>
      </c>
      <c r="R259" s="13">
        <v>0.59809523809523812</v>
      </c>
      <c r="S259" s="13">
        <v>440</v>
      </c>
      <c r="U259" s="6"/>
      <c r="V259" s="24">
        <v>0.21818181818181817</v>
      </c>
      <c r="W259" s="3">
        <v>7.8571428571428568</v>
      </c>
      <c r="X259" s="6"/>
      <c r="Y259" s="5">
        <v>5.881895906705366</v>
      </c>
      <c r="Z259" s="5">
        <v>7.0582750880464387</v>
      </c>
      <c r="AA259" s="5">
        <v>27.388413312174517</v>
      </c>
      <c r="AB259" s="5">
        <v>18.610686267309948</v>
      </c>
      <c r="AD259" s="24">
        <v>529.58150000000001</v>
      </c>
      <c r="AE259" s="5">
        <f t="shared" si="4"/>
        <v>6.1915608060297007</v>
      </c>
    </row>
    <row r="260" spans="1:31" ht="25.5" customHeight="1" x14ac:dyDescent="0.2">
      <c r="A260" s="55" t="s">
        <v>339</v>
      </c>
      <c r="B260" s="21" t="s">
        <v>340</v>
      </c>
      <c r="C260" s="22">
        <v>100</v>
      </c>
      <c r="D260" s="22">
        <v>1500</v>
      </c>
      <c r="E260" s="22">
        <v>1000</v>
      </c>
      <c r="F260" s="3">
        <v>0.67</v>
      </c>
      <c r="G260" s="13">
        <v>0.66666666666666663</v>
      </c>
      <c r="H260" s="22">
        <v>3</v>
      </c>
      <c r="I260" s="22">
        <v>1</v>
      </c>
      <c r="J260" s="22">
        <v>1</v>
      </c>
      <c r="K260" s="27">
        <v>4.7936775280171019E-3</v>
      </c>
      <c r="L260" s="13">
        <v>35.9</v>
      </c>
      <c r="M260" s="13">
        <v>1.256</v>
      </c>
      <c r="N260" s="13">
        <v>554</v>
      </c>
      <c r="O260" s="13">
        <v>0.71</v>
      </c>
      <c r="P260" s="13">
        <v>0.70650000000000002</v>
      </c>
      <c r="Q260" s="13">
        <v>335</v>
      </c>
      <c r="R260" s="13">
        <v>0.97</v>
      </c>
      <c r="S260" s="13">
        <v>554</v>
      </c>
      <c r="U260" s="35"/>
      <c r="V260" s="24">
        <v>0.34883720930232559</v>
      </c>
      <c r="W260" s="3">
        <v>15</v>
      </c>
      <c r="X260" s="3"/>
      <c r="Y260" s="5">
        <v>14.968802228412256</v>
      </c>
      <c r="Z260" s="5">
        <v>6.5926880222841229</v>
      </c>
      <c r="AA260" s="5">
        <v>6.6253481894150417</v>
      </c>
      <c r="AB260" s="5">
        <v>19.382284122562673</v>
      </c>
      <c r="AD260" s="19">
        <v>863.46849999999995</v>
      </c>
      <c r="AE260" s="5">
        <f t="shared" si="4"/>
        <v>11.570414479004805</v>
      </c>
    </row>
    <row r="261" spans="1:31" ht="25.5" customHeight="1" x14ac:dyDescent="0.2">
      <c r="A261" s="54"/>
      <c r="B261" s="21" t="s">
        <v>341</v>
      </c>
      <c r="C261" s="22">
        <v>100</v>
      </c>
      <c r="D261" s="22">
        <v>1500</v>
      </c>
      <c r="E261" s="22">
        <v>1000</v>
      </c>
      <c r="F261" s="3">
        <v>0.67</v>
      </c>
      <c r="G261" s="13">
        <v>0.66666666666666663</v>
      </c>
      <c r="H261" s="22">
        <v>3</v>
      </c>
      <c r="I261" s="22">
        <v>1</v>
      </c>
      <c r="J261" s="22">
        <v>1</v>
      </c>
      <c r="K261" s="27">
        <v>5.0139275766016712E-2</v>
      </c>
      <c r="L261" s="13">
        <v>35.9</v>
      </c>
      <c r="M261" s="13">
        <v>1.256</v>
      </c>
      <c r="N261" s="13">
        <v>554</v>
      </c>
      <c r="O261" s="13">
        <v>0.71</v>
      </c>
      <c r="P261" s="13">
        <v>0.70650000000000002</v>
      </c>
      <c r="Q261" s="13">
        <v>335</v>
      </c>
      <c r="R261" s="13">
        <v>0.97</v>
      </c>
      <c r="S261" s="13">
        <v>554</v>
      </c>
      <c r="U261" s="35"/>
      <c r="V261" s="24">
        <v>0.34883720930232559</v>
      </c>
      <c r="W261" s="3">
        <v>15</v>
      </c>
      <c r="X261" s="3"/>
      <c r="Y261" s="5">
        <v>14.968802228412256</v>
      </c>
      <c r="Z261" s="5">
        <v>6.5926880222841229</v>
      </c>
      <c r="AA261" s="5">
        <v>6.6253481894150417</v>
      </c>
      <c r="AB261" s="5">
        <v>19.382284122562673</v>
      </c>
      <c r="AD261" s="19">
        <v>1000.6153846153841</v>
      </c>
      <c r="AE261" s="5">
        <f t="shared" si="4"/>
        <v>13.408172659533964</v>
      </c>
    </row>
    <row r="262" spans="1:31" ht="25.5" customHeight="1" x14ac:dyDescent="0.2">
      <c r="A262" s="53" t="s">
        <v>342</v>
      </c>
      <c r="B262" s="36" t="s">
        <v>343</v>
      </c>
      <c r="C262" s="22">
        <v>152</v>
      </c>
      <c r="D262" s="22">
        <v>1370</v>
      </c>
      <c r="E262" s="22">
        <v>1220</v>
      </c>
      <c r="F262" s="13">
        <v>0.44</v>
      </c>
      <c r="G262" s="13">
        <v>0.89051094890510951</v>
      </c>
      <c r="H262" s="22">
        <v>1</v>
      </c>
      <c r="I262" s="22">
        <v>1</v>
      </c>
      <c r="J262" s="22">
        <v>2</v>
      </c>
      <c r="K262" s="13">
        <v>0</v>
      </c>
      <c r="L262" s="13">
        <v>29.9</v>
      </c>
      <c r="M262" s="13">
        <v>1.363743832236842</v>
      </c>
      <c r="N262" s="13">
        <v>424</v>
      </c>
      <c r="O262" s="13">
        <v>0</v>
      </c>
      <c r="P262" s="13">
        <v>0.28616264020707505</v>
      </c>
      <c r="Q262" s="13">
        <v>424</v>
      </c>
      <c r="R262" s="13">
        <v>0.26448365231259968</v>
      </c>
      <c r="S262" s="13">
        <v>424</v>
      </c>
      <c r="U262" s="6"/>
      <c r="V262" s="24">
        <v>9.3430656934306563E-2</v>
      </c>
      <c r="W262" s="3">
        <v>9.0131578947368425</v>
      </c>
      <c r="X262" s="6"/>
      <c r="Y262" s="5">
        <v>3.7505374107204772</v>
      </c>
      <c r="Z262" s="5">
        <v>4.0579585099598603</v>
      </c>
      <c r="AA262" s="5">
        <v>0</v>
      </c>
      <c r="AB262" s="5">
        <v>19.33870852402746</v>
      </c>
      <c r="AD262" s="24">
        <v>404.32</v>
      </c>
      <c r="AE262" s="5">
        <f t="shared" si="4"/>
        <v>4.2762823883186476</v>
      </c>
    </row>
    <row r="263" spans="1:31" ht="25.5" customHeight="1" x14ac:dyDescent="0.2">
      <c r="A263" s="54"/>
      <c r="B263" s="36" t="s">
        <v>344</v>
      </c>
      <c r="C263" s="22">
        <v>152</v>
      </c>
      <c r="D263" s="22">
        <v>1370</v>
      </c>
      <c r="E263" s="22">
        <v>1220</v>
      </c>
      <c r="F263" s="13">
        <v>0.44</v>
      </c>
      <c r="G263" s="13">
        <v>0.89051094890510951</v>
      </c>
      <c r="H263" s="22">
        <v>1</v>
      </c>
      <c r="I263" s="22">
        <v>1</v>
      </c>
      <c r="J263" s="22">
        <v>2</v>
      </c>
      <c r="K263" s="13">
        <v>0</v>
      </c>
      <c r="L263" s="13">
        <v>31</v>
      </c>
      <c r="M263" s="13">
        <v>1.363743832236842</v>
      </c>
      <c r="N263" s="13">
        <v>424</v>
      </c>
      <c r="O263" s="13">
        <v>0</v>
      </c>
      <c r="P263" s="13">
        <v>0.28616264020707505</v>
      </c>
      <c r="Q263" s="13">
        <v>424</v>
      </c>
      <c r="R263" s="13">
        <v>0.26448365231259968</v>
      </c>
      <c r="S263" s="13">
        <v>424</v>
      </c>
      <c r="U263" s="6"/>
      <c r="V263" s="24">
        <v>9.3430656934306563E-2</v>
      </c>
      <c r="W263" s="3">
        <v>9.0131578947368425</v>
      </c>
      <c r="X263" s="6"/>
      <c r="Y263" s="5">
        <v>3.6174538251787829</v>
      </c>
      <c r="Z263" s="5">
        <v>3.9139664337999944</v>
      </c>
      <c r="AA263" s="5">
        <v>0</v>
      </c>
      <c r="AB263" s="5">
        <v>18.652496286078097</v>
      </c>
      <c r="AD263" s="24">
        <v>323.065</v>
      </c>
      <c r="AE263" s="5">
        <f t="shared" si="4"/>
        <v>3.355720719794673</v>
      </c>
    </row>
    <row r="264" spans="1:31" ht="25.5" customHeight="1" x14ac:dyDescent="0.2">
      <c r="A264" s="54"/>
      <c r="B264" s="36" t="s">
        <v>345</v>
      </c>
      <c r="C264" s="22">
        <v>152</v>
      </c>
      <c r="D264" s="22">
        <v>1370</v>
      </c>
      <c r="E264" s="22">
        <v>1220</v>
      </c>
      <c r="F264" s="13">
        <v>0.44</v>
      </c>
      <c r="G264" s="13">
        <v>0.89051094890510951</v>
      </c>
      <c r="H264" s="22">
        <v>1</v>
      </c>
      <c r="I264" s="22">
        <v>1</v>
      </c>
      <c r="J264" s="22">
        <v>2</v>
      </c>
      <c r="K264" s="13">
        <v>0.05</v>
      </c>
      <c r="L264" s="13">
        <v>32</v>
      </c>
      <c r="M264" s="13">
        <v>1.363743832236842</v>
      </c>
      <c r="N264" s="13">
        <v>424</v>
      </c>
      <c r="O264" s="13">
        <v>0</v>
      </c>
      <c r="P264" s="13">
        <v>0.28616264020707505</v>
      </c>
      <c r="Q264" s="13">
        <v>424</v>
      </c>
      <c r="R264" s="13">
        <v>0.26448365231259968</v>
      </c>
      <c r="S264" s="13">
        <v>424</v>
      </c>
      <c r="U264" s="6"/>
      <c r="V264" s="24">
        <v>9.3430656934306563E-2</v>
      </c>
      <c r="W264" s="3">
        <v>9.0131578947368425</v>
      </c>
      <c r="X264" s="6"/>
      <c r="Y264" s="5">
        <v>3.5044083931419459</v>
      </c>
      <c r="Z264" s="5">
        <v>3.7916549827437445</v>
      </c>
      <c r="AA264" s="5">
        <v>0</v>
      </c>
      <c r="AB264" s="5">
        <v>18.069605777138158</v>
      </c>
      <c r="AD264" s="24">
        <v>682.5</v>
      </c>
      <c r="AE264" s="5">
        <f t="shared" si="4"/>
        <v>6.9775733832460745</v>
      </c>
    </row>
    <row r="265" spans="1:31" ht="25.5" customHeight="1" x14ac:dyDescent="0.2">
      <c r="A265" s="54"/>
      <c r="B265" s="36" t="s">
        <v>346</v>
      </c>
      <c r="C265" s="22">
        <v>152</v>
      </c>
      <c r="D265" s="22">
        <v>1370</v>
      </c>
      <c r="E265" s="22">
        <v>1220</v>
      </c>
      <c r="F265" s="13">
        <v>0.44</v>
      </c>
      <c r="G265" s="13">
        <v>0.89051094890510951</v>
      </c>
      <c r="H265" s="22">
        <v>1</v>
      </c>
      <c r="I265" s="22">
        <v>1</v>
      </c>
      <c r="J265" s="22">
        <v>2</v>
      </c>
      <c r="K265" s="13">
        <v>0.1</v>
      </c>
      <c r="L265" s="13">
        <v>28.3</v>
      </c>
      <c r="M265" s="13">
        <v>1.363743832236842</v>
      </c>
      <c r="N265" s="13">
        <v>424</v>
      </c>
      <c r="O265" s="13">
        <v>0</v>
      </c>
      <c r="P265" s="13">
        <v>0.28616264020707505</v>
      </c>
      <c r="Q265" s="13">
        <v>424</v>
      </c>
      <c r="R265" s="13">
        <v>0.26448365231259968</v>
      </c>
      <c r="S265" s="13">
        <v>424</v>
      </c>
      <c r="U265" s="6"/>
      <c r="V265" s="24">
        <v>9.3430656934306563E-2</v>
      </c>
      <c r="W265" s="3">
        <v>9.0131578947368425</v>
      </c>
      <c r="X265" s="6"/>
      <c r="Y265" s="5">
        <v>3.9625819286410695</v>
      </c>
      <c r="Z265" s="5">
        <v>4.2873837260706651</v>
      </c>
      <c r="AA265" s="5">
        <v>0</v>
      </c>
      <c r="AB265" s="5">
        <v>20.432063069555515</v>
      </c>
      <c r="AD265" s="24">
        <v>751.75</v>
      </c>
      <c r="AE265" s="5">
        <f t="shared" si="4"/>
        <v>8.1725383108697987</v>
      </c>
    </row>
    <row r="266" spans="1:31" ht="25.5" customHeight="1" x14ac:dyDescent="0.2">
      <c r="A266" s="54"/>
      <c r="B266" s="36" t="s">
        <v>347</v>
      </c>
      <c r="C266" s="22">
        <v>152</v>
      </c>
      <c r="D266" s="22">
        <v>1370</v>
      </c>
      <c r="E266" s="22">
        <v>1220</v>
      </c>
      <c r="F266" s="13">
        <v>0.44</v>
      </c>
      <c r="G266" s="13">
        <v>0.89051094890510951</v>
      </c>
      <c r="H266" s="22">
        <v>1</v>
      </c>
      <c r="I266" s="22">
        <v>1</v>
      </c>
      <c r="J266" s="22">
        <v>2</v>
      </c>
      <c r="K266" s="13">
        <v>0.1</v>
      </c>
      <c r="L266" s="13">
        <v>31.4</v>
      </c>
      <c r="M266" s="13">
        <v>1.363743832236842</v>
      </c>
      <c r="N266" s="13">
        <v>424</v>
      </c>
      <c r="O266" s="13">
        <v>0</v>
      </c>
      <c r="P266" s="13">
        <v>0.28616264020707505</v>
      </c>
      <c r="Q266" s="13">
        <v>424</v>
      </c>
      <c r="R266" s="13">
        <v>0.26448365231259968</v>
      </c>
      <c r="S266" s="13">
        <v>424</v>
      </c>
      <c r="U266" s="6"/>
      <c r="V266" s="24">
        <v>9.3430656934306563E-2</v>
      </c>
      <c r="W266" s="3">
        <v>9.0131578947368425</v>
      </c>
      <c r="X266" s="6"/>
      <c r="Y266" s="5">
        <v>3.5713716108452953</v>
      </c>
      <c r="Z266" s="5">
        <v>3.8641069887834338</v>
      </c>
      <c r="AA266" s="5">
        <v>0</v>
      </c>
      <c r="AB266" s="5">
        <v>18.414884868421051</v>
      </c>
      <c r="AD266" s="24">
        <v>818</v>
      </c>
      <c r="AE266" s="5">
        <f t="shared" si="4"/>
        <v>8.4423864044594694</v>
      </c>
    </row>
    <row r="267" spans="1:31" ht="25.5" customHeight="1" x14ac:dyDescent="0.2">
      <c r="A267" s="20" t="s">
        <v>348</v>
      </c>
      <c r="B267" s="21" t="s">
        <v>145</v>
      </c>
      <c r="C267" s="22">
        <v>150</v>
      </c>
      <c r="D267" s="22">
        <v>900</v>
      </c>
      <c r="E267" s="22">
        <v>2650</v>
      </c>
      <c r="F267" s="3">
        <v>2.94</v>
      </c>
      <c r="G267" s="13">
        <v>2.9444444444444446</v>
      </c>
      <c r="H267" s="22">
        <v>1</v>
      </c>
      <c r="I267" s="22">
        <v>3</v>
      </c>
      <c r="J267" s="22">
        <v>1</v>
      </c>
      <c r="K267" s="3">
        <v>8.1257014590347926E-2</v>
      </c>
      <c r="L267" s="13">
        <v>33</v>
      </c>
      <c r="M267" s="13">
        <v>4.1222564102564103</v>
      </c>
      <c r="N267" s="13">
        <v>497</v>
      </c>
      <c r="O267" s="13">
        <v>0.53828571428571426</v>
      </c>
      <c r="P267" s="13">
        <v>0.33493333333333336</v>
      </c>
      <c r="Q267" s="13">
        <v>494</v>
      </c>
      <c r="R267" s="13">
        <v>0.33493333333333336</v>
      </c>
      <c r="S267" s="13">
        <v>494</v>
      </c>
      <c r="U267" s="35" t="s">
        <v>349</v>
      </c>
      <c r="V267" s="24">
        <v>0.14444444444444443</v>
      </c>
      <c r="W267" s="3">
        <v>6</v>
      </c>
      <c r="X267" s="3"/>
      <c r="Y267" s="5">
        <v>5.013850505050506</v>
      </c>
      <c r="Z267" s="5">
        <v>5.013850505050506</v>
      </c>
      <c r="AA267" s="5">
        <v>5.3437090909090896</v>
      </c>
      <c r="AB267" s="5">
        <v>62.083679875679877</v>
      </c>
      <c r="AD267" s="19">
        <v>205.93020000000001</v>
      </c>
      <c r="AE267" s="5">
        <f t="shared" si="4"/>
        <v>3.1979392109571765</v>
      </c>
    </row>
    <row r="268" spans="1:31" ht="25.5" customHeight="1" x14ac:dyDescent="0.2">
      <c r="A268" s="20" t="s">
        <v>350</v>
      </c>
      <c r="B268" s="21" t="s">
        <v>84</v>
      </c>
      <c r="C268" s="22">
        <v>160</v>
      </c>
      <c r="D268" s="22">
        <v>900</v>
      </c>
      <c r="E268" s="22">
        <v>2650</v>
      </c>
      <c r="F268" s="13">
        <v>2.9444444444444446</v>
      </c>
      <c r="G268" s="13">
        <v>2.9444444444444446</v>
      </c>
      <c r="H268" s="22">
        <v>1</v>
      </c>
      <c r="I268" s="22">
        <v>3</v>
      </c>
      <c r="J268" s="22">
        <v>1</v>
      </c>
      <c r="K268" s="3">
        <v>0.1</v>
      </c>
      <c r="L268" s="13">
        <v>28.7</v>
      </c>
      <c r="M268" s="13">
        <v>3.7214814814814816</v>
      </c>
      <c r="N268" s="13">
        <v>492.9</v>
      </c>
      <c r="O268" s="13">
        <v>0.93778885181784877</v>
      </c>
      <c r="P268" s="13">
        <v>0.9377888518178491</v>
      </c>
      <c r="Q268" s="13">
        <v>637.29999999999995</v>
      </c>
      <c r="R268" s="13">
        <v>0.29919940476190476</v>
      </c>
      <c r="S268" s="13">
        <v>637.29999999999995</v>
      </c>
      <c r="U268" s="35"/>
      <c r="V268" s="24">
        <v>0.15</v>
      </c>
      <c r="W268" s="3">
        <v>5.625</v>
      </c>
      <c r="X268" s="3"/>
      <c r="Y268" s="5">
        <v>6.6438947963331669</v>
      </c>
      <c r="Z268" s="5">
        <v>20.824140601516209</v>
      </c>
      <c r="AA268" s="5">
        <v>20.824140601516199</v>
      </c>
      <c r="AB268" s="5">
        <v>63.913526906697641</v>
      </c>
      <c r="AD268" s="19">
        <f>(201.1+181.8)/2</f>
        <v>191.45</v>
      </c>
      <c r="AE268" s="5">
        <f t="shared" si="4"/>
        <v>2.9887723131945463</v>
      </c>
    </row>
    <row r="269" spans="1:31" ht="25.5" customHeight="1" x14ac:dyDescent="0.2">
      <c r="A269" s="55" t="s">
        <v>351</v>
      </c>
      <c r="B269" s="21" t="s">
        <v>352</v>
      </c>
      <c r="C269" s="22">
        <v>70</v>
      </c>
      <c r="D269" s="22">
        <v>860</v>
      </c>
      <c r="E269" s="22">
        <v>500</v>
      </c>
      <c r="F269" s="13">
        <v>0.58139534883720934</v>
      </c>
      <c r="G269" s="13">
        <v>0.58139534883720934</v>
      </c>
      <c r="H269" s="22">
        <v>3</v>
      </c>
      <c r="I269" s="22">
        <v>1</v>
      </c>
      <c r="J269" s="22">
        <v>1</v>
      </c>
      <c r="K269" s="3">
        <v>0</v>
      </c>
      <c r="L269" s="13">
        <v>18</v>
      </c>
      <c r="M269" s="13">
        <v>2.1</v>
      </c>
      <c r="N269" s="13">
        <v>322.68599999999998</v>
      </c>
      <c r="O269" s="13">
        <v>1.7813934812021406</v>
      </c>
      <c r="P269" s="13">
        <v>0.9</v>
      </c>
      <c r="Q269" s="13">
        <v>322.68599999999998</v>
      </c>
      <c r="R269" s="13">
        <v>0.52</v>
      </c>
      <c r="S269" s="13">
        <v>322.68599999999998</v>
      </c>
      <c r="U269" s="35"/>
      <c r="V269" s="24">
        <v>0.17847769028871399</v>
      </c>
      <c r="W269" s="13">
        <v>12.285714285714286</v>
      </c>
      <c r="X269" s="3"/>
      <c r="Y269" s="5">
        <v>9.3220399999999994</v>
      </c>
      <c r="Z269" s="5">
        <v>16.1343</v>
      </c>
      <c r="AA269" s="5">
        <v>31.935040937510774</v>
      </c>
      <c r="AB269" s="5">
        <v>37.646699999999996</v>
      </c>
      <c r="AD269" s="49">
        <v>193</v>
      </c>
      <c r="AE269" s="5">
        <f t="shared" si="4"/>
        <v>9.1005044510530197</v>
      </c>
    </row>
    <row r="270" spans="1:31" ht="25.5" customHeight="1" x14ac:dyDescent="0.2">
      <c r="A270" s="55"/>
      <c r="B270" s="34" t="s">
        <v>354</v>
      </c>
      <c r="C270" s="22">
        <v>70</v>
      </c>
      <c r="D270" s="22">
        <v>860</v>
      </c>
      <c r="E270" s="22">
        <v>500</v>
      </c>
      <c r="F270" s="13">
        <v>0.58139534883720934</v>
      </c>
      <c r="G270" s="13">
        <v>0.58139534883720934</v>
      </c>
      <c r="H270" s="22">
        <v>3</v>
      </c>
      <c r="I270" s="22">
        <v>1</v>
      </c>
      <c r="J270" s="22">
        <v>1</v>
      </c>
      <c r="K270" s="3">
        <v>0</v>
      </c>
      <c r="L270" s="13">
        <v>18</v>
      </c>
      <c r="M270" s="13">
        <v>2.1</v>
      </c>
      <c r="N270" s="13">
        <v>322.68599999999998</v>
      </c>
      <c r="O270" s="13">
        <v>1.7813934812021406</v>
      </c>
      <c r="P270" s="13">
        <v>0.9</v>
      </c>
      <c r="Q270" s="13">
        <v>322.68599999999998</v>
      </c>
      <c r="R270" s="13">
        <v>0.52</v>
      </c>
      <c r="S270" s="13">
        <v>322.68599999999998</v>
      </c>
      <c r="U270" s="35"/>
      <c r="V270" s="24">
        <v>0.17847769028871391</v>
      </c>
      <c r="W270" s="13">
        <v>12.285714285714286</v>
      </c>
      <c r="X270" s="3"/>
      <c r="Y270" s="5">
        <v>9.3220399999999994</v>
      </c>
      <c r="Z270" s="5">
        <v>16.1343</v>
      </c>
      <c r="AA270" s="5">
        <v>31.935040937510774</v>
      </c>
      <c r="AB270" s="5">
        <v>37.646699999999996</v>
      </c>
      <c r="AD270" s="49">
        <v>217</v>
      </c>
      <c r="AE270" s="5">
        <f t="shared" si="4"/>
        <v>10.232173398334224</v>
      </c>
    </row>
    <row r="271" spans="1:31" ht="25.5" customHeight="1" x14ac:dyDescent="0.2">
      <c r="A271" s="55"/>
      <c r="B271" s="34" t="s">
        <v>355</v>
      </c>
      <c r="C271" s="22">
        <v>70</v>
      </c>
      <c r="D271" s="22">
        <v>860</v>
      </c>
      <c r="E271" s="22">
        <v>500</v>
      </c>
      <c r="F271" s="13">
        <v>0.58139534883720934</v>
      </c>
      <c r="G271" s="13">
        <v>0.58139534883720934</v>
      </c>
      <c r="H271" s="22">
        <v>3</v>
      </c>
      <c r="I271" s="22">
        <v>1</v>
      </c>
      <c r="J271" s="22">
        <v>1</v>
      </c>
      <c r="K271" s="3">
        <v>0</v>
      </c>
      <c r="L271" s="13">
        <v>29.7</v>
      </c>
      <c r="M271" s="13">
        <v>2.1</v>
      </c>
      <c r="N271" s="13">
        <v>322.68599999999998</v>
      </c>
      <c r="O271" s="13">
        <v>1.7813934812021406</v>
      </c>
      <c r="P271" s="13">
        <v>0.9</v>
      </c>
      <c r="Q271" s="13">
        <v>322.68599999999998</v>
      </c>
      <c r="R271" s="13">
        <v>0.52</v>
      </c>
      <c r="S271" s="13">
        <v>322.68599999999998</v>
      </c>
      <c r="U271" s="35"/>
      <c r="V271" s="24">
        <v>0.17847769028871391</v>
      </c>
      <c r="W271" s="13">
        <v>12.285714285714286</v>
      </c>
      <c r="X271" s="3"/>
      <c r="Y271" s="5">
        <v>5.6497212121212117</v>
      </c>
      <c r="Z271" s="5">
        <v>9.7783636363636361</v>
      </c>
      <c r="AA271" s="5">
        <v>19.354570265158046</v>
      </c>
      <c r="AB271" s="5">
        <v>22.816181818181818</v>
      </c>
      <c r="AD271" s="49">
        <v>203</v>
      </c>
      <c r="AE271" s="5">
        <f t="shared" si="4"/>
        <v>7.4518177233981815</v>
      </c>
    </row>
    <row r="272" spans="1:31" ht="25.5" customHeight="1" x14ac:dyDescent="0.2">
      <c r="A272" s="55"/>
      <c r="B272" s="21" t="s">
        <v>356</v>
      </c>
      <c r="C272" s="22">
        <v>70</v>
      </c>
      <c r="D272" s="22">
        <v>860</v>
      </c>
      <c r="E272" s="22">
        <v>500</v>
      </c>
      <c r="F272" s="13">
        <v>0.58139534883720934</v>
      </c>
      <c r="G272" s="13">
        <v>0.58139534883720934</v>
      </c>
      <c r="H272" s="22">
        <v>3</v>
      </c>
      <c r="I272" s="22">
        <v>1</v>
      </c>
      <c r="J272" s="22">
        <v>1</v>
      </c>
      <c r="K272" s="3">
        <v>0</v>
      </c>
      <c r="L272" s="13">
        <v>30.7</v>
      </c>
      <c r="M272" s="13">
        <v>2.1</v>
      </c>
      <c r="N272" s="13">
        <v>484.02899999999994</v>
      </c>
      <c r="O272" s="13">
        <v>1.7813934812021406</v>
      </c>
      <c r="P272" s="13">
        <v>0.9</v>
      </c>
      <c r="Q272" s="13">
        <v>484.02899999999994</v>
      </c>
      <c r="R272" s="13">
        <v>0.52</v>
      </c>
      <c r="S272" s="13">
        <v>484.02899999999994</v>
      </c>
      <c r="U272" s="35"/>
      <c r="V272" s="24">
        <v>0.17847769028871391</v>
      </c>
      <c r="W272" s="13">
        <v>12.285714285714286</v>
      </c>
      <c r="X272" s="3"/>
      <c r="Y272" s="5">
        <v>8.1985368078175895</v>
      </c>
      <c r="Z272" s="5">
        <v>14.189775244299673</v>
      </c>
      <c r="AA272" s="5">
        <v>28.086192355465496</v>
      </c>
      <c r="AB272" s="5">
        <v>33.109475570032572</v>
      </c>
      <c r="AD272" s="49">
        <v>246</v>
      </c>
      <c r="AE272" s="5">
        <f t="shared" si="4"/>
        <v>8.8819910112172433</v>
      </c>
    </row>
    <row r="273" spans="1:31" ht="25.5" customHeight="1" x14ac:dyDescent="0.2">
      <c r="A273" s="55"/>
      <c r="B273" s="34" t="s">
        <v>357</v>
      </c>
      <c r="C273" s="22">
        <v>70</v>
      </c>
      <c r="D273" s="22">
        <v>860</v>
      </c>
      <c r="E273" s="22">
        <v>500</v>
      </c>
      <c r="F273" s="13">
        <v>0.58139534883720934</v>
      </c>
      <c r="G273" s="13">
        <v>0.58139534883720934</v>
      </c>
      <c r="H273" s="22">
        <v>3</v>
      </c>
      <c r="I273" s="22">
        <v>1</v>
      </c>
      <c r="J273" s="22">
        <v>1</v>
      </c>
      <c r="K273" s="3">
        <v>0</v>
      </c>
      <c r="L273" s="13">
        <v>30.2</v>
      </c>
      <c r="M273" s="13">
        <v>2.1</v>
      </c>
      <c r="N273" s="13">
        <v>484.02899999999994</v>
      </c>
      <c r="O273" s="13">
        <v>1.7813934812021406</v>
      </c>
      <c r="P273" s="13">
        <v>0.9</v>
      </c>
      <c r="Q273" s="13">
        <v>484.02899999999994</v>
      </c>
      <c r="R273" s="13">
        <v>0.52</v>
      </c>
      <c r="S273" s="13">
        <v>484.02899999999994</v>
      </c>
      <c r="U273" s="35"/>
      <c r="V273" s="24">
        <v>0.17847769028871391</v>
      </c>
      <c r="W273" s="13">
        <v>12.285714285714286</v>
      </c>
      <c r="X273" s="3"/>
      <c r="Y273" s="5">
        <v>8.334274172185431</v>
      </c>
      <c r="Z273" s="5">
        <v>14.424705298013244</v>
      </c>
      <c r="AA273" s="5">
        <v>28.551195540158634</v>
      </c>
      <c r="AB273" s="5">
        <v>33.657645695364238</v>
      </c>
      <c r="AD273" s="49">
        <v>200</v>
      </c>
      <c r="AE273" s="5">
        <f t="shared" si="4"/>
        <v>7.2806630806584147</v>
      </c>
    </row>
    <row r="274" spans="1:31" ht="25.5" customHeight="1" x14ac:dyDescent="0.2">
      <c r="A274" s="55"/>
      <c r="B274" s="34" t="s">
        <v>358</v>
      </c>
      <c r="C274" s="22">
        <v>70</v>
      </c>
      <c r="D274" s="22">
        <v>860</v>
      </c>
      <c r="E274" s="22">
        <v>500</v>
      </c>
      <c r="F274" s="13">
        <v>0.58139534883720934</v>
      </c>
      <c r="G274" s="13">
        <v>0.58139534883720934</v>
      </c>
      <c r="H274" s="22">
        <v>3</v>
      </c>
      <c r="I274" s="22">
        <v>1</v>
      </c>
      <c r="J274" s="22">
        <v>1</v>
      </c>
      <c r="K274" s="3">
        <v>0</v>
      </c>
      <c r="L274" s="13">
        <v>30.2</v>
      </c>
      <c r="M274" s="13">
        <v>2.1</v>
      </c>
      <c r="N274" s="13">
        <v>484.02899999999994</v>
      </c>
      <c r="O274" s="13">
        <v>1.7813934812021406</v>
      </c>
      <c r="P274" s="13">
        <v>0.9</v>
      </c>
      <c r="Q274" s="13">
        <v>484.02899999999994</v>
      </c>
      <c r="R274" s="13">
        <v>0.52</v>
      </c>
      <c r="S274" s="13">
        <v>484.02899999999994</v>
      </c>
      <c r="U274" s="35"/>
      <c r="V274" s="24">
        <v>0.17847769028871391</v>
      </c>
      <c r="W274" s="13">
        <v>12.285714285714286</v>
      </c>
      <c r="X274" s="3"/>
      <c r="Y274" s="5">
        <v>8.334274172185431</v>
      </c>
      <c r="Z274" s="5">
        <v>14.424705298013244</v>
      </c>
      <c r="AA274" s="5">
        <v>28.551195540158634</v>
      </c>
      <c r="AB274" s="5">
        <v>33.657645695364238</v>
      </c>
      <c r="AD274" s="49">
        <v>210</v>
      </c>
      <c r="AE274" s="5">
        <f t="shared" si="4"/>
        <v>7.6446962346913345</v>
      </c>
    </row>
    <row r="275" spans="1:31" ht="25.5" customHeight="1" x14ac:dyDescent="0.2">
      <c r="A275" s="55"/>
      <c r="B275" s="21" t="s">
        <v>359</v>
      </c>
      <c r="C275" s="22">
        <v>70</v>
      </c>
      <c r="D275" s="22">
        <v>860</v>
      </c>
      <c r="E275" s="22">
        <v>500</v>
      </c>
      <c r="F275" s="13">
        <v>0.58139534883720934</v>
      </c>
      <c r="G275" s="13">
        <v>0.58139534883720934</v>
      </c>
      <c r="H275" s="22">
        <v>3</v>
      </c>
      <c r="I275" s="22">
        <v>1</v>
      </c>
      <c r="J275" s="22">
        <v>1</v>
      </c>
      <c r="K275" s="3">
        <v>0</v>
      </c>
      <c r="L275" s="13">
        <v>39.299999999999997</v>
      </c>
      <c r="M275" s="13">
        <v>2.1</v>
      </c>
      <c r="N275" s="13">
        <v>484.02899999999994</v>
      </c>
      <c r="O275" s="13">
        <v>1.7813934812021406</v>
      </c>
      <c r="P275" s="13">
        <v>0.9</v>
      </c>
      <c r="Q275" s="13">
        <v>484.02899999999994</v>
      </c>
      <c r="R275" s="13">
        <v>0.52</v>
      </c>
      <c r="S275" s="13">
        <v>484.02899999999994</v>
      </c>
      <c r="U275" s="35"/>
      <c r="V275" s="24">
        <v>0.17847769028871391</v>
      </c>
      <c r="W275" s="13">
        <v>12.285714285714286</v>
      </c>
      <c r="X275" s="3"/>
      <c r="Y275" s="5">
        <v>6.4044549618320614</v>
      </c>
      <c r="Z275" s="5">
        <v>11.084633587786259</v>
      </c>
      <c r="AA275" s="5">
        <v>21.940104460885262</v>
      </c>
      <c r="AB275" s="5">
        <v>25.864145038167941</v>
      </c>
      <c r="AD275" s="49">
        <v>219</v>
      </c>
      <c r="AE275" s="5">
        <f t="shared" si="4"/>
        <v>6.9886332415463404</v>
      </c>
    </row>
    <row r="276" spans="1:31" ht="25.5" customHeight="1" x14ac:dyDescent="0.2">
      <c r="A276" s="55"/>
      <c r="B276" s="34" t="s">
        <v>360</v>
      </c>
      <c r="C276" s="22">
        <v>70</v>
      </c>
      <c r="D276" s="22">
        <v>860</v>
      </c>
      <c r="E276" s="22">
        <v>500</v>
      </c>
      <c r="F276" s="13">
        <v>0.58139534883720934</v>
      </c>
      <c r="G276" s="13">
        <v>0.58139534883720934</v>
      </c>
      <c r="H276" s="22">
        <v>3</v>
      </c>
      <c r="I276" s="22">
        <v>1</v>
      </c>
      <c r="J276" s="22">
        <v>1</v>
      </c>
      <c r="K276" s="3">
        <v>0</v>
      </c>
      <c r="L276" s="13">
        <v>37</v>
      </c>
      <c r="M276" s="13">
        <v>2.1</v>
      </c>
      <c r="N276" s="13">
        <v>484.02899999999994</v>
      </c>
      <c r="O276" s="13">
        <v>1.7813934812021406</v>
      </c>
      <c r="P276" s="13">
        <v>0.9</v>
      </c>
      <c r="Q276" s="13">
        <v>484.02899999999994</v>
      </c>
      <c r="R276" s="13">
        <v>0.52</v>
      </c>
      <c r="S276" s="13">
        <v>484.02899999999994</v>
      </c>
      <c r="U276" s="35"/>
      <c r="V276" s="24">
        <v>0.17847769028871391</v>
      </c>
      <c r="W276" s="13">
        <v>12.285714285714286</v>
      </c>
      <c r="X276" s="3"/>
      <c r="Y276" s="5">
        <v>6.8025697297297292</v>
      </c>
      <c r="Z276" s="5">
        <v>11.773678378378378</v>
      </c>
      <c r="AA276" s="5">
        <v>23.303948792237588</v>
      </c>
      <c r="AB276" s="5">
        <v>27.471916216216215</v>
      </c>
      <c r="AD276" s="49">
        <v>205</v>
      </c>
      <c r="AE276" s="5">
        <f t="shared" si="4"/>
        <v>6.7421344517586146</v>
      </c>
    </row>
    <row r="277" spans="1:31" ht="25.5" customHeight="1" x14ac:dyDescent="0.2">
      <c r="A277" s="55"/>
      <c r="B277" s="34" t="s">
        <v>361</v>
      </c>
      <c r="C277" s="22">
        <v>70</v>
      </c>
      <c r="D277" s="22">
        <v>860</v>
      </c>
      <c r="E277" s="22">
        <v>500</v>
      </c>
      <c r="F277" s="13">
        <v>0.58139534883720934</v>
      </c>
      <c r="G277" s="13">
        <v>0.58139534883720934</v>
      </c>
      <c r="H277" s="22">
        <v>3</v>
      </c>
      <c r="I277" s="22">
        <v>1</v>
      </c>
      <c r="J277" s="22">
        <v>1</v>
      </c>
      <c r="K277" s="3">
        <v>0</v>
      </c>
      <c r="L277" s="13">
        <v>34.5</v>
      </c>
      <c r="M277" s="13">
        <v>2.1</v>
      </c>
      <c r="N277" s="13">
        <v>484.02899999999994</v>
      </c>
      <c r="O277" s="13">
        <v>1.7813934812021406</v>
      </c>
      <c r="P277" s="13">
        <v>0.9</v>
      </c>
      <c r="Q277" s="13">
        <v>484.02899999999994</v>
      </c>
      <c r="R277" s="13">
        <v>0.52</v>
      </c>
      <c r="S277" s="13">
        <v>484.02899999999994</v>
      </c>
      <c r="U277" s="35"/>
      <c r="V277" s="24">
        <v>0.17847769028871391</v>
      </c>
      <c r="W277" s="13">
        <v>12.285714285714286</v>
      </c>
      <c r="X277" s="3"/>
      <c r="Y277" s="5">
        <v>7.2955095652173911</v>
      </c>
      <c r="Z277" s="5">
        <v>12.626843478260868</v>
      </c>
      <c r="AA277" s="5">
        <v>24.992640733704079</v>
      </c>
      <c r="AB277" s="5">
        <v>29.462634782608692</v>
      </c>
      <c r="AD277" s="49">
        <v>210</v>
      </c>
      <c r="AE277" s="5">
        <f t="shared" si="4"/>
        <v>7.1524389105289128</v>
      </c>
    </row>
    <row r="278" spans="1:31" ht="25.5" customHeight="1" x14ac:dyDescent="0.2">
      <c r="A278" s="55"/>
      <c r="B278" s="34" t="s">
        <v>362</v>
      </c>
      <c r="C278" s="22">
        <v>70</v>
      </c>
      <c r="D278" s="22">
        <v>860</v>
      </c>
      <c r="E278" s="22">
        <v>500</v>
      </c>
      <c r="F278" s="13">
        <v>0.58139534883720934</v>
      </c>
      <c r="G278" s="13">
        <v>0.58139534883720934</v>
      </c>
      <c r="H278" s="22">
        <v>3</v>
      </c>
      <c r="I278" s="22">
        <v>1</v>
      </c>
      <c r="J278" s="22">
        <v>1</v>
      </c>
      <c r="K278" s="3">
        <v>0</v>
      </c>
      <c r="L278" s="13">
        <v>66</v>
      </c>
      <c r="M278" s="13">
        <v>2.1</v>
      </c>
      <c r="N278" s="13">
        <v>322.68599999999998</v>
      </c>
      <c r="O278" s="13">
        <v>1.7813934812021406</v>
      </c>
      <c r="P278" s="13">
        <v>0.9</v>
      </c>
      <c r="Q278" s="13">
        <v>322.68599999999998</v>
      </c>
      <c r="R278" s="13">
        <v>0.52</v>
      </c>
      <c r="S278" s="13">
        <v>322.68599999999998</v>
      </c>
      <c r="U278" s="35"/>
      <c r="V278" s="24">
        <v>0.17847769028871391</v>
      </c>
      <c r="W278" s="13">
        <v>12.285714285714286</v>
      </c>
      <c r="X278" s="3"/>
      <c r="Y278" s="5">
        <v>2.5423745454545452</v>
      </c>
      <c r="Z278" s="5">
        <v>4.4002636363636363</v>
      </c>
      <c r="AA278" s="5">
        <v>8.7095566193211198</v>
      </c>
      <c r="AB278" s="5">
        <v>10.267281818181818</v>
      </c>
      <c r="AD278" s="49">
        <v>250</v>
      </c>
      <c r="AE278" s="5">
        <f t="shared" si="4"/>
        <v>6.1561961768926325</v>
      </c>
    </row>
    <row r="279" spans="1:31" ht="25.5" customHeight="1" x14ac:dyDescent="0.2">
      <c r="A279" s="55"/>
      <c r="B279" s="34" t="s">
        <v>363</v>
      </c>
      <c r="C279" s="22">
        <v>70</v>
      </c>
      <c r="D279" s="22">
        <v>860</v>
      </c>
      <c r="E279" s="22">
        <v>500</v>
      </c>
      <c r="F279" s="13">
        <v>0.58139534883720934</v>
      </c>
      <c r="G279" s="13">
        <v>0.58139534883720934</v>
      </c>
      <c r="H279" s="22">
        <v>3</v>
      </c>
      <c r="I279" s="22">
        <v>1</v>
      </c>
      <c r="J279" s="22">
        <v>1</v>
      </c>
      <c r="K279" s="3">
        <v>0</v>
      </c>
      <c r="L279" s="13">
        <v>66</v>
      </c>
      <c r="M279" s="13">
        <v>2.1</v>
      </c>
      <c r="N279" s="13">
        <v>322.68599999999998</v>
      </c>
      <c r="O279" s="13">
        <v>1.7813934812021406</v>
      </c>
      <c r="P279" s="13">
        <v>0.9</v>
      </c>
      <c r="Q279" s="13">
        <v>322.68599999999998</v>
      </c>
      <c r="R279" s="13">
        <v>0.52</v>
      </c>
      <c r="S279" s="13">
        <v>322.68599999999998</v>
      </c>
      <c r="U279" s="35"/>
      <c r="V279" s="24">
        <v>0.17847769028871391</v>
      </c>
      <c r="W279" s="13">
        <v>12.285714285714286</v>
      </c>
      <c r="X279" s="3"/>
      <c r="Y279" s="5">
        <v>2.5423745454545452</v>
      </c>
      <c r="Z279" s="5">
        <v>4.4002636363636363</v>
      </c>
      <c r="AA279" s="5">
        <v>8.7095566193211198</v>
      </c>
      <c r="AB279" s="5">
        <v>10.267281818181818</v>
      </c>
      <c r="AD279" s="49">
        <v>227</v>
      </c>
      <c r="AE279" s="5">
        <f t="shared" si="4"/>
        <v>5.58982612861851</v>
      </c>
    </row>
    <row r="280" spans="1:31" ht="25.5" customHeight="1" x14ac:dyDescent="0.2">
      <c r="A280" s="55"/>
      <c r="B280" s="21" t="s">
        <v>364</v>
      </c>
      <c r="C280" s="22">
        <v>70</v>
      </c>
      <c r="D280" s="22">
        <v>860</v>
      </c>
      <c r="E280" s="22">
        <v>500</v>
      </c>
      <c r="F280" s="13">
        <v>0.58139534883720934</v>
      </c>
      <c r="G280" s="13">
        <v>0.58139534883720934</v>
      </c>
      <c r="H280" s="22">
        <v>3</v>
      </c>
      <c r="I280" s="22">
        <v>1</v>
      </c>
      <c r="J280" s="22">
        <v>1</v>
      </c>
      <c r="K280" s="3">
        <v>0</v>
      </c>
      <c r="L280" s="13">
        <v>32.200000000000003</v>
      </c>
      <c r="M280" s="13">
        <v>2.1</v>
      </c>
      <c r="N280" s="13">
        <v>322.68599999999998</v>
      </c>
      <c r="O280" s="13">
        <v>1.7813934812021406</v>
      </c>
      <c r="P280" s="13">
        <v>0.9</v>
      </c>
      <c r="Q280" s="13">
        <v>322.68599999999998</v>
      </c>
      <c r="R280" s="13">
        <v>0.65</v>
      </c>
      <c r="S280" s="13">
        <v>322.68599999999998</v>
      </c>
      <c r="U280" s="35"/>
      <c r="V280" s="24">
        <v>0.17847769028871391</v>
      </c>
      <c r="W280" s="13">
        <v>12.285714285714286</v>
      </c>
      <c r="X280" s="3"/>
      <c r="Y280" s="5">
        <v>6.5138478260869563</v>
      </c>
      <c r="Z280" s="5">
        <v>9.0191739130434776</v>
      </c>
      <c r="AA280" s="5">
        <v>17.851886238360059</v>
      </c>
      <c r="AB280" s="5">
        <v>21.044739130434778</v>
      </c>
      <c r="AD280" s="49">
        <v>205</v>
      </c>
      <c r="AE280" s="5">
        <f t="shared" si="4"/>
        <v>7.227204359132223</v>
      </c>
    </row>
    <row r="281" spans="1:31" ht="25.5" customHeight="1" x14ac:dyDescent="0.2">
      <c r="A281" s="55"/>
      <c r="B281" s="34" t="s">
        <v>365</v>
      </c>
      <c r="C281" s="22">
        <v>70</v>
      </c>
      <c r="D281" s="22">
        <v>860</v>
      </c>
      <c r="E281" s="22">
        <v>500</v>
      </c>
      <c r="F281" s="13">
        <v>0.58139534883720934</v>
      </c>
      <c r="G281" s="13">
        <v>0.58139534883720934</v>
      </c>
      <c r="H281" s="22">
        <v>3</v>
      </c>
      <c r="I281" s="22">
        <v>1</v>
      </c>
      <c r="J281" s="22">
        <v>1</v>
      </c>
      <c r="K281" s="3">
        <v>0</v>
      </c>
      <c r="L281" s="13">
        <v>32.200000000000003</v>
      </c>
      <c r="M281" s="13">
        <v>2.1</v>
      </c>
      <c r="N281" s="13">
        <v>322.68599999999998</v>
      </c>
      <c r="O281" s="13">
        <v>1.7813934812021406</v>
      </c>
      <c r="P281" s="13">
        <v>0.9</v>
      </c>
      <c r="Q281" s="13">
        <v>322.68599999999998</v>
      </c>
      <c r="R281" s="13">
        <v>0.65</v>
      </c>
      <c r="S281" s="13">
        <v>322.68599999999998</v>
      </c>
      <c r="U281" s="35"/>
      <c r="V281" s="24">
        <v>0.17847769028871391</v>
      </c>
      <c r="W281" s="13">
        <v>12.285714285714286</v>
      </c>
      <c r="X281" s="3"/>
      <c r="Y281" s="5">
        <v>6.5138478260869563</v>
      </c>
      <c r="Z281" s="5">
        <v>9.0191739130434776</v>
      </c>
      <c r="AA281" s="5">
        <v>17.851886238360059</v>
      </c>
      <c r="AB281" s="5">
        <v>21.044739130434778</v>
      </c>
      <c r="AD281" s="49">
        <v>247</v>
      </c>
      <c r="AE281" s="5">
        <f t="shared" si="4"/>
        <v>8.70789988636907</v>
      </c>
    </row>
    <row r="282" spans="1:31" ht="25.5" customHeight="1" x14ac:dyDescent="0.2">
      <c r="A282" s="55"/>
      <c r="B282" s="34" t="s">
        <v>366</v>
      </c>
      <c r="C282" s="22">
        <v>70</v>
      </c>
      <c r="D282" s="22">
        <v>860</v>
      </c>
      <c r="E282" s="22">
        <v>500</v>
      </c>
      <c r="F282" s="13">
        <v>0.58139534883720934</v>
      </c>
      <c r="G282" s="13">
        <v>0.58139534883720934</v>
      </c>
      <c r="H282" s="22">
        <v>3</v>
      </c>
      <c r="I282" s="22">
        <v>1</v>
      </c>
      <c r="J282" s="22">
        <v>1</v>
      </c>
      <c r="K282" s="3">
        <v>0</v>
      </c>
      <c r="L282" s="13">
        <v>32.1</v>
      </c>
      <c r="M282" s="13">
        <v>2.1</v>
      </c>
      <c r="N282" s="13">
        <v>322.68599999999998</v>
      </c>
      <c r="O282" s="13">
        <v>1.7813934812021406</v>
      </c>
      <c r="P282" s="13">
        <v>0.9</v>
      </c>
      <c r="Q282" s="13">
        <v>322.68599999999998</v>
      </c>
      <c r="R282" s="13">
        <v>0.65</v>
      </c>
      <c r="S282" s="13">
        <v>322.68599999999998</v>
      </c>
      <c r="U282" s="35"/>
      <c r="V282" s="24">
        <v>0.17847769028871391</v>
      </c>
      <c r="W282" s="13">
        <v>12.285714285714286</v>
      </c>
      <c r="X282" s="3"/>
      <c r="Y282" s="5">
        <v>6.5341401869158879</v>
      </c>
      <c r="Z282" s="5">
        <v>9.0472710280373825</v>
      </c>
      <c r="AA282" s="5">
        <v>17.907499591127536</v>
      </c>
      <c r="AB282" s="5">
        <v>21.110299065420559</v>
      </c>
      <c r="AD282" s="49">
        <v>202</v>
      </c>
      <c r="AE282" s="5">
        <f t="shared" si="4"/>
        <v>7.1325243535272858</v>
      </c>
    </row>
    <row r="283" spans="1:31" ht="25.5" customHeight="1" x14ac:dyDescent="0.2">
      <c r="A283" s="55"/>
      <c r="B283" s="21" t="s">
        <v>367</v>
      </c>
      <c r="C283" s="22">
        <v>70</v>
      </c>
      <c r="D283" s="22">
        <v>860</v>
      </c>
      <c r="E283" s="22">
        <v>500</v>
      </c>
      <c r="F283" s="13">
        <v>0.58139534883720934</v>
      </c>
      <c r="G283" s="13">
        <v>0.58139534883720934</v>
      </c>
      <c r="H283" s="22">
        <v>3</v>
      </c>
      <c r="I283" s="22">
        <v>1</v>
      </c>
      <c r="J283" s="22">
        <v>1</v>
      </c>
      <c r="K283" s="3">
        <v>0</v>
      </c>
      <c r="L283" s="13">
        <v>29.5</v>
      </c>
      <c r="M283" s="13">
        <v>2.1</v>
      </c>
      <c r="N283" s="13">
        <v>484.02899999999994</v>
      </c>
      <c r="O283" s="13">
        <v>1.7813934812021406</v>
      </c>
      <c r="P283" s="13">
        <v>0.9</v>
      </c>
      <c r="Q283" s="13">
        <v>484.02899999999994</v>
      </c>
      <c r="R283" s="13">
        <v>0.65</v>
      </c>
      <c r="S283" s="13">
        <v>484.02899999999994</v>
      </c>
      <c r="U283" s="35"/>
      <c r="V283" s="24">
        <v>0.17847769028871391</v>
      </c>
      <c r="W283" s="13">
        <v>12.285714285714286</v>
      </c>
      <c r="X283" s="3"/>
      <c r="Y283" s="5">
        <v>10.665045762711863</v>
      </c>
      <c r="Z283" s="5">
        <v>14.766986440677965</v>
      </c>
      <c r="AA283" s="5">
        <v>29.228681536026805</v>
      </c>
      <c r="AB283" s="5">
        <v>34.456301694915254</v>
      </c>
      <c r="AD283" s="49">
        <v>255</v>
      </c>
      <c r="AE283" s="5">
        <f t="shared" si="4"/>
        <v>9.3923351746314037</v>
      </c>
    </row>
    <row r="284" spans="1:31" ht="25.5" customHeight="1" x14ac:dyDescent="0.2">
      <c r="A284" s="55"/>
      <c r="B284" s="34" t="s">
        <v>368</v>
      </c>
      <c r="C284" s="22">
        <v>70</v>
      </c>
      <c r="D284" s="22">
        <v>860</v>
      </c>
      <c r="E284" s="22">
        <v>500</v>
      </c>
      <c r="F284" s="13">
        <v>0.58139534883720934</v>
      </c>
      <c r="G284" s="13">
        <v>0.58139534883720934</v>
      </c>
      <c r="H284" s="22">
        <v>3</v>
      </c>
      <c r="I284" s="22">
        <v>1</v>
      </c>
      <c r="J284" s="22">
        <v>1</v>
      </c>
      <c r="K284" s="3">
        <v>0</v>
      </c>
      <c r="L284" s="13">
        <v>29.5</v>
      </c>
      <c r="M284" s="13">
        <v>2.1</v>
      </c>
      <c r="N284" s="13">
        <v>484.02899999999994</v>
      </c>
      <c r="O284" s="13">
        <v>1.7813934812021406</v>
      </c>
      <c r="P284" s="13">
        <v>0.9</v>
      </c>
      <c r="Q284" s="13">
        <v>484.02899999999994</v>
      </c>
      <c r="R284" s="13">
        <v>0.65</v>
      </c>
      <c r="S284" s="13">
        <v>484.02899999999994</v>
      </c>
      <c r="U284" s="35"/>
      <c r="V284" s="24">
        <v>0.17847769028871391</v>
      </c>
      <c r="W284" s="13">
        <v>12.285714285714286</v>
      </c>
      <c r="X284" s="3"/>
      <c r="Y284" s="5">
        <v>10.665045762711863</v>
      </c>
      <c r="Z284" s="5">
        <v>14.766986440677965</v>
      </c>
      <c r="AA284" s="5">
        <v>29.228681536026805</v>
      </c>
      <c r="AB284" s="5">
        <v>34.456301694915254</v>
      </c>
      <c r="AD284" s="49">
        <v>204</v>
      </c>
      <c r="AE284" s="5">
        <f t="shared" si="4"/>
        <v>7.5138681397051243</v>
      </c>
    </row>
    <row r="285" spans="1:31" ht="25.5" customHeight="1" x14ac:dyDescent="0.2">
      <c r="A285" s="55"/>
      <c r="B285" s="34" t="s">
        <v>369</v>
      </c>
      <c r="C285" s="22">
        <v>70</v>
      </c>
      <c r="D285" s="22">
        <v>860</v>
      </c>
      <c r="E285" s="22">
        <v>500</v>
      </c>
      <c r="F285" s="13">
        <v>0.58139534883720934</v>
      </c>
      <c r="G285" s="13">
        <v>0.58139534883720934</v>
      </c>
      <c r="H285" s="22">
        <v>3</v>
      </c>
      <c r="I285" s="22">
        <v>1</v>
      </c>
      <c r="J285" s="22">
        <v>1</v>
      </c>
      <c r="K285" s="3">
        <v>0</v>
      </c>
      <c r="L285" s="13">
        <v>31</v>
      </c>
      <c r="M285" s="13">
        <v>2.1</v>
      </c>
      <c r="N285" s="13">
        <v>484.02899999999994</v>
      </c>
      <c r="O285" s="13">
        <v>1.7813934812021406</v>
      </c>
      <c r="P285" s="13">
        <v>0.9</v>
      </c>
      <c r="Q285" s="13">
        <v>484.02899999999994</v>
      </c>
      <c r="R285" s="13">
        <v>0.65</v>
      </c>
      <c r="S285" s="13">
        <v>484.02899999999994</v>
      </c>
      <c r="U285" s="35"/>
      <c r="V285" s="24">
        <v>0.17847769028871391</v>
      </c>
      <c r="W285" s="13">
        <v>12.285714285714286</v>
      </c>
      <c r="X285" s="3"/>
      <c r="Y285" s="5">
        <v>10.148995161290321</v>
      </c>
      <c r="Z285" s="5">
        <v>14.052454838709675</v>
      </c>
      <c r="AA285" s="5">
        <v>27.814390493960993</v>
      </c>
      <c r="AB285" s="5">
        <v>32.789061290322579</v>
      </c>
      <c r="AD285" s="49">
        <v>205</v>
      </c>
      <c r="AE285" s="5">
        <f t="shared" si="4"/>
        <v>7.3657576263778486</v>
      </c>
    </row>
    <row r="286" spans="1:31" ht="25.5" customHeight="1" x14ac:dyDescent="0.2">
      <c r="A286" s="55"/>
      <c r="B286" s="21" t="s">
        <v>370</v>
      </c>
      <c r="C286" s="22">
        <v>70</v>
      </c>
      <c r="D286" s="22">
        <v>860</v>
      </c>
      <c r="E286" s="22">
        <v>500</v>
      </c>
      <c r="F286" s="13">
        <v>0.58139534883720934</v>
      </c>
      <c r="G286" s="13">
        <v>0.58139534883720934</v>
      </c>
      <c r="H286" s="22">
        <v>3</v>
      </c>
      <c r="I286" s="22">
        <v>1</v>
      </c>
      <c r="J286" s="22">
        <v>1</v>
      </c>
      <c r="K286" s="3">
        <v>0</v>
      </c>
      <c r="L286" s="13">
        <v>37.5</v>
      </c>
      <c r="M286" s="13">
        <v>2.1</v>
      </c>
      <c r="N286" s="13">
        <v>322.68599999999998</v>
      </c>
      <c r="O286" s="13">
        <v>1.7813934812021406</v>
      </c>
      <c r="P286" s="13">
        <v>0.9</v>
      </c>
      <c r="Q286" s="13">
        <v>322.68599999999998</v>
      </c>
      <c r="R286" s="13">
        <v>0.65</v>
      </c>
      <c r="S286" s="13">
        <v>322.68599999999998</v>
      </c>
      <c r="U286" s="35"/>
      <c r="V286" s="24">
        <v>0.17847769028871391</v>
      </c>
      <c r="W286" s="13">
        <v>12.285714285714286</v>
      </c>
      <c r="X286" s="3"/>
      <c r="Y286" s="5">
        <v>5.5932240000000002</v>
      </c>
      <c r="Z286" s="5">
        <v>7.7444639999999998</v>
      </c>
      <c r="AA286" s="5">
        <v>15.328819650005171</v>
      </c>
      <c r="AB286" s="5">
        <v>18.070415999999998</v>
      </c>
      <c r="AD286" s="49">
        <v>223</v>
      </c>
      <c r="AE286" s="5">
        <f t="shared" si="4"/>
        <v>7.2850684905117324</v>
      </c>
    </row>
    <row r="287" spans="1:31" ht="25.5" customHeight="1" x14ac:dyDescent="0.2">
      <c r="A287" s="55"/>
      <c r="B287" s="34" t="s">
        <v>371</v>
      </c>
      <c r="C287" s="22">
        <v>70</v>
      </c>
      <c r="D287" s="22">
        <v>860</v>
      </c>
      <c r="E287" s="22">
        <v>500</v>
      </c>
      <c r="F287" s="13">
        <v>0.58139534883720934</v>
      </c>
      <c r="G287" s="13">
        <v>0.58139534883720934</v>
      </c>
      <c r="H287" s="22">
        <v>3</v>
      </c>
      <c r="I287" s="22">
        <v>1</v>
      </c>
      <c r="J287" s="22">
        <v>1</v>
      </c>
      <c r="K287" s="3">
        <v>0</v>
      </c>
      <c r="L287" s="13">
        <v>37.5</v>
      </c>
      <c r="M287" s="13">
        <v>2.1</v>
      </c>
      <c r="N287" s="13">
        <v>322.68599999999998</v>
      </c>
      <c r="O287" s="13">
        <v>1.7813934812021406</v>
      </c>
      <c r="P287" s="13">
        <v>0.9</v>
      </c>
      <c r="Q287" s="13">
        <v>322.68599999999998</v>
      </c>
      <c r="R287" s="13">
        <v>0.65</v>
      </c>
      <c r="S287" s="13">
        <v>322.68599999999998</v>
      </c>
      <c r="U287" s="35"/>
      <c r="V287" s="24">
        <v>0.17847769028871391</v>
      </c>
      <c r="W287" s="13">
        <v>12.285714285714286</v>
      </c>
      <c r="X287" s="3"/>
      <c r="Y287" s="5">
        <v>5.5932240000000002</v>
      </c>
      <c r="Z287" s="5">
        <v>7.7444639999999998</v>
      </c>
      <c r="AA287" s="5">
        <v>15.328819650005171</v>
      </c>
      <c r="AB287" s="5">
        <v>18.070415999999998</v>
      </c>
      <c r="AD287" s="49">
        <v>231</v>
      </c>
      <c r="AE287" s="5">
        <f t="shared" ref="AE287:AE350" si="5">AD287*1000/C287/D287*145.038/SQRT(145.038*L287)</f>
        <v>7.54641623905027</v>
      </c>
    </row>
    <row r="288" spans="1:31" ht="25.5" customHeight="1" x14ac:dyDescent="0.2">
      <c r="A288" s="55"/>
      <c r="B288" s="34" t="s">
        <v>372</v>
      </c>
      <c r="C288" s="22">
        <v>70</v>
      </c>
      <c r="D288" s="22">
        <v>860</v>
      </c>
      <c r="E288" s="22">
        <v>500</v>
      </c>
      <c r="F288" s="13">
        <v>0.58139534883720934</v>
      </c>
      <c r="G288" s="13">
        <v>0.58139534883720934</v>
      </c>
      <c r="H288" s="22">
        <v>3</v>
      </c>
      <c r="I288" s="22">
        <v>1</v>
      </c>
      <c r="J288" s="22">
        <v>1</v>
      </c>
      <c r="K288" s="3">
        <v>0</v>
      </c>
      <c r="L288" s="13">
        <v>39.9</v>
      </c>
      <c r="M288" s="13">
        <v>2.1</v>
      </c>
      <c r="N288" s="13">
        <v>322.68599999999998</v>
      </c>
      <c r="O288" s="13">
        <v>1.7813934812021406</v>
      </c>
      <c r="P288" s="13">
        <v>0.9</v>
      </c>
      <c r="Q288" s="13">
        <v>322.68599999999998</v>
      </c>
      <c r="R288" s="13">
        <v>0.65</v>
      </c>
      <c r="S288" s="13">
        <v>322.68599999999998</v>
      </c>
      <c r="U288" s="35"/>
      <c r="V288" s="24">
        <v>0.17847769028871391</v>
      </c>
      <c r="W288" s="13">
        <v>12.285714285714286</v>
      </c>
      <c r="X288" s="3"/>
      <c r="Y288" s="5">
        <v>5.2567894736842105</v>
      </c>
      <c r="Z288" s="5">
        <v>7.2786315789473681</v>
      </c>
      <c r="AA288" s="5">
        <v>14.406785385343206</v>
      </c>
      <c r="AB288" s="5">
        <v>16.983473684210526</v>
      </c>
      <c r="AD288" s="49">
        <v>250</v>
      </c>
      <c r="AE288" s="5">
        <f t="shared" si="5"/>
        <v>7.917680463218594</v>
      </c>
    </row>
    <row r="289" spans="1:31" ht="25.5" customHeight="1" x14ac:dyDescent="0.2">
      <c r="A289" s="13" t="s">
        <v>373</v>
      </c>
      <c r="B289" s="36" t="s">
        <v>374</v>
      </c>
      <c r="C289" s="22">
        <v>200</v>
      </c>
      <c r="D289" s="22">
        <v>1500</v>
      </c>
      <c r="E289" s="22">
        <v>3500</v>
      </c>
      <c r="F289" s="13">
        <v>2.3330000000000002</v>
      </c>
      <c r="G289" s="13">
        <v>2.3333333333333335</v>
      </c>
      <c r="H289" s="22">
        <v>1</v>
      </c>
      <c r="I289" s="22">
        <v>2</v>
      </c>
      <c r="J289" s="22">
        <v>1</v>
      </c>
      <c r="K289" s="13">
        <v>7.0000000000000007E-2</v>
      </c>
      <c r="L289" s="13">
        <v>39.200000000000003</v>
      </c>
      <c r="M289" s="13">
        <v>0.50239999999999996</v>
      </c>
      <c r="N289" s="13">
        <v>468</v>
      </c>
      <c r="O289" s="13">
        <v>0.628</v>
      </c>
      <c r="P289" s="13">
        <v>0.628</v>
      </c>
      <c r="Q289" s="13">
        <v>468</v>
      </c>
      <c r="R289" s="13">
        <v>0.20933333333333334</v>
      </c>
      <c r="S289" s="13">
        <v>468</v>
      </c>
      <c r="U289" s="6"/>
      <c r="V289" s="24">
        <v>0.13333333333333333</v>
      </c>
      <c r="W289" s="3">
        <v>7.5</v>
      </c>
      <c r="X289" s="6"/>
      <c r="Y289" s="5">
        <v>2.4991836734693877</v>
      </c>
      <c r="Z289" s="5">
        <v>7.4975510204081628</v>
      </c>
      <c r="AA289" s="5">
        <v>7.4975510204081628</v>
      </c>
      <c r="AB289" s="5">
        <v>5.9980408163265295</v>
      </c>
      <c r="AD289" s="24">
        <v>443.16504999999995</v>
      </c>
      <c r="AE289" s="5">
        <f t="shared" si="5"/>
        <v>2.8414637220535046</v>
      </c>
    </row>
    <row r="290" spans="1:31" ht="25.5" customHeight="1" x14ac:dyDescent="0.2">
      <c r="A290" s="13" t="s">
        <v>375</v>
      </c>
      <c r="B290" s="36" t="s">
        <v>376</v>
      </c>
      <c r="C290" s="22">
        <v>57.15</v>
      </c>
      <c r="D290" s="22">
        <v>1571.625</v>
      </c>
      <c r="E290" s="22">
        <v>4500</v>
      </c>
      <c r="F290" s="13">
        <v>2.863278453829635</v>
      </c>
      <c r="G290" s="13">
        <v>2.863278453829635</v>
      </c>
      <c r="H290" s="22">
        <v>2</v>
      </c>
      <c r="I290" s="22">
        <v>3</v>
      </c>
      <c r="J290" s="22">
        <v>1</v>
      </c>
      <c r="K290" s="13">
        <v>4.4159999999999998E-2</v>
      </c>
      <c r="L290" s="13">
        <v>31.72</v>
      </c>
      <c r="M290" s="13">
        <v>1.1080768516598631</v>
      </c>
      <c r="N290" s="13">
        <v>447.84999999999997</v>
      </c>
      <c r="O290" s="13">
        <v>0.70996994372464473</v>
      </c>
      <c r="P290" s="13">
        <v>0.45087762518711882</v>
      </c>
      <c r="Q290" s="13">
        <v>509.85999999999996</v>
      </c>
      <c r="R290" s="13">
        <v>0.37406143719227641</v>
      </c>
      <c r="S290" s="13">
        <v>509.85999999999996</v>
      </c>
      <c r="U290" s="6"/>
      <c r="V290" s="24">
        <v>0.17857142857142858</v>
      </c>
      <c r="W290" s="3">
        <v>27.5</v>
      </c>
      <c r="X290" s="6"/>
      <c r="Y290" s="5">
        <v>6.012577691262738</v>
      </c>
      <c r="Z290" s="5">
        <v>7.2473034671470495</v>
      </c>
      <c r="AA290" s="5">
        <v>11.41189393150843</v>
      </c>
      <c r="AB290" s="5">
        <v>15.644773581837002</v>
      </c>
      <c r="AD290" s="24">
        <v>105.86</v>
      </c>
      <c r="AE290" s="5">
        <f t="shared" si="5"/>
        <v>2.5202349981269476</v>
      </c>
    </row>
    <row r="291" spans="1:31" ht="25.5" customHeight="1" x14ac:dyDescent="0.2">
      <c r="A291" s="53" t="s">
        <v>377</v>
      </c>
      <c r="B291" s="36" t="s">
        <v>378</v>
      </c>
      <c r="C291" s="22">
        <v>150</v>
      </c>
      <c r="D291" s="22">
        <v>900</v>
      </c>
      <c r="E291" s="22">
        <v>2000</v>
      </c>
      <c r="F291" s="13">
        <v>2.2222222222222223</v>
      </c>
      <c r="G291" s="13">
        <v>2.2222222222222223</v>
      </c>
      <c r="H291" s="22">
        <v>1</v>
      </c>
      <c r="I291" s="22">
        <v>3</v>
      </c>
      <c r="J291" s="22">
        <v>1</v>
      </c>
      <c r="K291" s="13">
        <v>9.7968326395559835</v>
      </c>
      <c r="L291" s="13">
        <v>34.700000000000003</v>
      </c>
      <c r="M291" s="13">
        <v>2.1542349624615724</v>
      </c>
      <c r="N291" s="13">
        <v>483.5</v>
      </c>
      <c r="O291" s="13">
        <v>0</v>
      </c>
      <c r="P291" s="13">
        <v>0.25132741228718347</v>
      </c>
      <c r="Q291" s="13">
        <v>493.3</v>
      </c>
      <c r="R291" s="13">
        <v>0.32429343520926895</v>
      </c>
      <c r="S291" s="13">
        <v>513.20000000000005</v>
      </c>
      <c r="U291" s="6"/>
      <c r="V291" s="24">
        <v>0.15555555555555556</v>
      </c>
      <c r="W291" s="3">
        <v>6</v>
      </c>
      <c r="X291" s="6"/>
      <c r="Y291" s="5">
        <v>4.7961784135272865</v>
      </c>
      <c r="Z291" s="5">
        <v>3.5729052588261556</v>
      </c>
      <c r="AA291" s="5">
        <v>0</v>
      </c>
      <c r="AB291" s="5">
        <v>30.016501566287324</v>
      </c>
      <c r="AD291" s="50">
        <v>210</v>
      </c>
      <c r="AE291" s="5">
        <f t="shared" si="5"/>
        <v>3.1802531397811471</v>
      </c>
    </row>
    <row r="292" spans="1:31" ht="25.5" customHeight="1" x14ac:dyDescent="0.2">
      <c r="A292" s="53"/>
      <c r="B292" s="36" t="s">
        <v>379</v>
      </c>
      <c r="C292" s="22">
        <v>150</v>
      </c>
      <c r="D292" s="22">
        <v>900</v>
      </c>
      <c r="E292" s="22">
        <v>1320</v>
      </c>
      <c r="F292" s="13">
        <v>1.4666666666666666</v>
      </c>
      <c r="G292" s="13">
        <v>1.4666666666666666</v>
      </c>
      <c r="H292" s="22">
        <v>1</v>
      </c>
      <c r="I292" s="22">
        <v>3</v>
      </c>
      <c r="J292" s="22">
        <v>1</v>
      </c>
      <c r="K292" s="24">
        <v>9.0891750119217934E-2</v>
      </c>
      <c r="L292" s="13">
        <v>23.3</v>
      </c>
      <c r="M292" s="13">
        <v>2.1542349624615724</v>
      </c>
      <c r="N292" s="13">
        <v>483.5</v>
      </c>
      <c r="O292" s="13">
        <v>0</v>
      </c>
      <c r="P292" s="13">
        <v>0.25132741228718347</v>
      </c>
      <c r="Q292" s="13">
        <v>493.3</v>
      </c>
      <c r="R292" s="13">
        <v>0.32429343520926895</v>
      </c>
      <c r="S292" s="13">
        <v>513.20000000000005</v>
      </c>
      <c r="U292" s="6"/>
      <c r="V292" s="24">
        <v>0.15555555555555556</v>
      </c>
      <c r="W292" s="3">
        <v>6</v>
      </c>
      <c r="X292" s="6"/>
      <c r="Y292" s="5">
        <v>7.1428064785148857</v>
      </c>
      <c r="Z292" s="5">
        <v>5.3210219949041893</v>
      </c>
      <c r="AA292" s="5">
        <v>0</v>
      </c>
      <c r="AB292" s="5">
        <v>44.702686881981549</v>
      </c>
      <c r="AD292" s="24">
        <v>254</v>
      </c>
      <c r="AE292" s="5">
        <f t="shared" si="5"/>
        <v>4.694214048423702</v>
      </c>
    </row>
    <row r="293" spans="1:31" ht="25.5" customHeight="1" x14ac:dyDescent="0.2">
      <c r="A293" s="53" t="s">
        <v>380</v>
      </c>
      <c r="B293" s="36" t="s">
        <v>381</v>
      </c>
      <c r="C293" s="22">
        <v>100</v>
      </c>
      <c r="D293" s="22">
        <v>1000</v>
      </c>
      <c r="E293" s="22">
        <v>2000</v>
      </c>
      <c r="F293" s="13">
        <v>2</v>
      </c>
      <c r="G293" s="13">
        <v>2</v>
      </c>
      <c r="H293" s="22">
        <v>1</v>
      </c>
      <c r="I293" s="22">
        <v>3</v>
      </c>
      <c r="J293" s="22">
        <v>1</v>
      </c>
      <c r="K293" s="13">
        <v>0.1</v>
      </c>
      <c r="L293" s="13">
        <v>34.9</v>
      </c>
      <c r="M293" s="13">
        <v>1.3708772727272729</v>
      </c>
      <c r="N293" s="13">
        <v>641</v>
      </c>
      <c r="O293" s="13">
        <v>1.6156762218461793</v>
      </c>
      <c r="P293" s="13">
        <v>0.67020643276582192</v>
      </c>
      <c r="Q293" s="13">
        <v>641</v>
      </c>
      <c r="R293" s="13">
        <v>0.71807857142857145</v>
      </c>
      <c r="S293" s="13">
        <v>641</v>
      </c>
      <c r="U293" s="6"/>
      <c r="V293" s="24">
        <v>0.22</v>
      </c>
      <c r="W293" s="3">
        <v>10</v>
      </c>
      <c r="X293" s="6"/>
      <c r="Y293" s="5">
        <v>13.188778346295539</v>
      </c>
      <c r="Z293" s="5">
        <v>12.309522160541315</v>
      </c>
      <c r="AA293" s="5">
        <v>22.036157065867663</v>
      </c>
      <c r="AB293" s="5">
        <v>25.17857684292785</v>
      </c>
      <c r="AD293" s="24">
        <v>219.79</v>
      </c>
      <c r="AE293" s="5">
        <f t="shared" si="5"/>
        <v>4.4805994037765347</v>
      </c>
    </row>
    <row r="294" spans="1:31" ht="25.5" customHeight="1" x14ac:dyDescent="0.2">
      <c r="A294" s="53"/>
      <c r="B294" s="36" t="s">
        <v>382</v>
      </c>
      <c r="C294" s="22">
        <v>100</v>
      </c>
      <c r="D294" s="22">
        <v>1000</v>
      </c>
      <c r="E294" s="22">
        <v>2000</v>
      </c>
      <c r="F294" s="13">
        <v>2</v>
      </c>
      <c r="G294" s="13">
        <v>2</v>
      </c>
      <c r="H294" s="22">
        <v>1</v>
      </c>
      <c r="I294" s="22">
        <v>3</v>
      </c>
      <c r="J294" s="22">
        <v>1</v>
      </c>
      <c r="K294" s="13">
        <v>0.2</v>
      </c>
      <c r="L294" s="13">
        <v>34.9</v>
      </c>
      <c r="M294" s="13">
        <v>1.3708772727272729</v>
      </c>
      <c r="N294" s="13">
        <v>641</v>
      </c>
      <c r="O294" s="13">
        <v>1.6156762218461793</v>
      </c>
      <c r="P294" s="13">
        <v>0.67020643276582192</v>
      </c>
      <c r="Q294" s="13">
        <v>641</v>
      </c>
      <c r="R294" s="13">
        <v>0.71807857142857145</v>
      </c>
      <c r="S294" s="13">
        <v>641</v>
      </c>
      <c r="U294" s="6"/>
      <c r="V294" s="24">
        <v>0.22</v>
      </c>
      <c r="W294" s="3">
        <v>10</v>
      </c>
      <c r="X294" s="6"/>
      <c r="Y294" s="5">
        <v>13.188778346295539</v>
      </c>
      <c r="Z294" s="5">
        <v>12.309522160541315</v>
      </c>
      <c r="AA294" s="5">
        <v>22.036157065867663</v>
      </c>
      <c r="AB294" s="5">
        <v>25.17857684292785</v>
      </c>
      <c r="AD294" s="24">
        <v>260.01</v>
      </c>
      <c r="AE294" s="5">
        <f t="shared" si="5"/>
        <v>5.3005170889300546</v>
      </c>
    </row>
    <row r="295" spans="1:31" ht="25.5" customHeight="1" x14ac:dyDescent="0.2">
      <c r="A295" s="53"/>
      <c r="B295" s="36" t="s">
        <v>383</v>
      </c>
      <c r="C295" s="22">
        <v>100</v>
      </c>
      <c r="D295" s="22">
        <v>1000</v>
      </c>
      <c r="E295" s="22">
        <v>2000</v>
      </c>
      <c r="F295" s="13">
        <v>2</v>
      </c>
      <c r="G295" s="13">
        <v>2</v>
      </c>
      <c r="H295" s="22">
        <v>1</v>
      </c>
      <c r="I295" s="22">
        <v>3</v>
      </c>
      <c r="J295" s="22">
        <v>1</v>
      </c>
      <c r="K295" s="13">
        <v>0.1</v>
      </c>
      <c r="L295" s="13">
        <v>34.9</v>
      </c>
      <c r="M295" s="13">
        <v>1.8278363636363637</v>
      </c>
      <c r="N295" s="13">
        <v>472</v>
      </c>
      <c r="O295" s="13">
        <v>2.4235143327692694</v>
      </c>
      <c r="P295" s="13">
        <v>1.0053096491487299</v>
      </c>
      <c r="Q295" s="13">
        <v>472</v>
      </c>
      <c r="R295" s="13">
        <v>1.0771178571428572</v>
      </c>
      <c r="S295" s="13">
        <v>472</v>
      </c>
      <c r="U295" s="6"/>
      <c r="V295" s="24">
        <v>0.22</v>
      </c>
      <c r="W295" s="3">
        <v>10</v>
      </c>
      <c r="X295" s="6"/>
      <c r="Y295" s="5">
        <v>14.567324600900534</v>
      </c>
      <c r="Z295" s="5">
        <v>13.59616488246993</v>
      </c>
      <c r="AA295" s="5">
        <v>33.054235598801498</v>
      </c>
      <c r="AB295" s="5">
        <v>24.720308413649388</v>
      </c>
      <c r="AD295" s="24">
        <v>239.8</v>
      </c>
      <c r="AE295" s="5">
        <f t="shared" si="5"/>
        <v>4.8885196643414766</v>
      </c>
    </row>
    <row r="296" spans="1:31" ht="25.5" customHeight="1" x14ac:dyDescent="0.2">
      <c r="A296" s="53" t="s">
        <v>384</v>
      </c>
      <c r="B296" s="36" t="s">
        <v>385</v>
      </c>
      <c r="C296" s="26">
        <v>101.6</v>
      </c>
      <c r="D296" s="22">
        <v>1905</v>
      </c>
      <c r="E296" s="22">
        <v>4572</v>
      </c>
      <c r="F296" s="13">
        <v>2.39</v>
      </c>
      <c r="G296" s="13">
        <v>2.4</v>
      </c>
      <c r="H296" s="22">
        <v>1</v>
      </c>
      <c r="I296" s="22">
        <v>2</v>
      </c>
      <c r="J296" s="22">
        <v>1</v>
      </c>
      <c r="K296" s="13">
        <v>0</v>
      </c>
      <c r="L296" s="13">
        <v>44.75</v>
      </c>
      <c r="M296" s="13">
        <v>1.4622549019607842</v>
      </c>
      <c r="N296" s="13">
        <v>511.6</v>
      </c>
      <c r="O296" s="13">
        <v>0.37874401729195623</v>
      </c>
      <c r="P296" s="13">
        <v>0.27376929753859508</v>
      </c>
      <c r="Q296" s="13">
        <v>521.95000000000005</v>
      </c>
      <c r="R296" s="13">
        <v>0.24186922286888052</v>
      </c>
      <c r="S296" s="13">
        <v>521.95000000000005</v>
      </c>
      <c r="U296" s="6"/>
      <c r="V296" s="24">
        <v>0.10005162622612288</v>
      </c>
      <c r="W296" s="3">
        <v>18.75</v>
      </c>
      <c r="X296" s="6"/>
      <c r="Y296" s="5">
        <v>2.8210869469589319</v>
      </c>
      <c r="Z296" s="5">
        <v>3.1931594379948542</v>
      </c>
      <c r="AA296" s="5">
        <v>3.8515092726044804</v>
      </c>
      <c r="AB296" s="5">
        <v>16.71708620878519</v>
      </c>
      <c r="AD296" s="24">
        <v>117.2979</v>
      </c>
      <c r="AE296" s="5">
        <f t="shared" si="5"/>
        <v>1.091053207488129</v>
      </c>
    </row>
    <row r="297" spans="1:31" ht="25.5" customHeight="1" x14ac:dyDescent="0.2">
      <c r="A297" s="54"/>
      <c r="B297" s="36" t="s">
        <v>386</v>
      </c>
      <c r="C297" s="26">
        <v>101.6</v>
      </c>
      <c r="D297" s="22">
        <v>1905</v>
      </c>
      <c r="E297" s="22">
        <v>4572</v>
      </c>
      <c r="F297" s="13">
        <v>2.39</v>
      </c>
      <c r="G297" s="13">
        <v>2.4</v>
      </c>
      <c r="H297" s="22">
        <v>1</v>
      </c>
      <c r="I297" s="22">
        <v>2</v>
      </c>
      <c r="J297" s="22">
        <v>1</v>
      </c>
      <c r="K297" s="13">
        <v>0</v>
      </c>
      <c r="L297" s="13">
        <v>46.47</v>
      </c>
      <c r="M297" s="13">
        <v>3.9198962848297212</v>
      </c>
      <c r="N297" s="13">
        <v>450.2</v>
      </c>
      <c r="O297" s="13">
        <v>1.6297577854671279</v>
      </c>
      <c r="P297" s="13">
        <v>0.27376929753859508</v>
      </c>
      <c r="Q297" s="13">
        <v>535.04999999999995</v>
      </c>
      <c r="R297" s="13">
        <v>0.24186922286888052</v>
      </c>
      <c r="S297" s="13">
        <v>535.04999999999995</v>
      </c>
      <c r="U297" s="6"/>
      <c r="V297" s="24">
        <v>0.10005162622612288</v>
      </c>
      <c r="W297" s="3">
        <v>18.75</v>
      </c>
      <c r="X297" s="6"/>
      <c r="Y297" s="5">
        <v>2.7848531890680981</v>
      </c>
      <c r="Z297" s="5">
        <v>3.1521468183349532</v>
      </c>
      <c r="AA297" s="5">
        <v>18.764835444678003</v>
      </c>
      <c r="AB297" s="5">
        <v>37.975840486988176</v>
      </c>
      <c r="AD297" s="24">
        <v>216.5205</v>
      </c>
      <c r="AE297" s="5">
        <f t="shared" si="5"/>
        <v>1.9763547339355756</v>
      </c>
    </row>
    <row r="298" spans="1:31" ht="25.5" customHeight="1" x14ac:dyDescent="0.2">
      <c r="A298" s="54"/>
      <c r="B298" s="36" t="s">
        <v>387</v>
      </c>
      <c r="C298" s="26">
        <v>101.6</v>
      </c>
      <c r="D298" s="22">
        <v>1905</v>
      </c>
      <c r="E298" s="22">
        <v>4572</v>
      </c>
      <c r="F298" s="13">
        <v>2.39</v>
      </c>
      <c r="G298" s="13">
        <v>2.4</v>
      </c>
      <c r="H298" s="22">
        <v>2</v>
      </c>
      <c r="I298" s="22">
        <v>2</v>
      </c>
      <c r="J298" s="22">
        <v>1</v>
      </c>
      <c r="K298" s="13">
        <v>0</v>
      </c>
      <c r="L298" s="13">
        <v>53.02</v>
      </c>
      <c r="M298" s="13">
        <v>1.0888483740929857</v>
      </c>
      <c r="N298" s="13">
        <v>449.6</v>
      </c>
      <c r="O298" s="13">
        <v>9.4996450238802127E-2</v>
      </c>
      <c r="P298" s="13">
        <v>0.27376929753859508</v>
      </c>
      <c r="Q298" s="13">
        <v>520.57000000000005</v>
      </c>
      <c r="R298" s="13">
        <v>0.24186922286888052</v>
      </c>
      <c r="S298" s="13">
        <v>520.57000000000005</v>
      </c>
      <c r="U298" s="6"/>
      <c r="V298" s="24">
        <v>0.29287958642663292</v>
      </c>
      <c r="W298" s="3">
        <v>18.75</v>
      </c>
      <c r="X298" s="6"/>
      <c r="Y298" s="5">
        <v>2.3747616248369132</v>
      </c>
      <c r="Z298" s="5">
        <v>2.6879683745693406</v>
      </c>
      <c r="AA298" s="5">
        <v>0.84871498516820398</v>
      </c>
      <c r="AB298" s="5">
        <v>9.2332370613392385</v>
      </c>
      <c r="AD298" s="24">
        <v>269.6825</v>
      </c>
      <c r="AE298" s="5">
        <f t="shared" si="5"/>
        <v>2.3045445978602399</v>
      </c>
    </row>
    <row r="299" spans="1:31" ht="25.5" customHeight="1" x14ac:dyDescent="0.2">
      <c r="A299" s="54"/>
      <c r="B299" s="36" t="s">
        <v>388</v>
      </c>
      <c r="C299" s="26">
        <v>101.6</v>
      </c>
      <c r="D299" s="22">
        <v>1905</v>
      </c>
      <c r="E299" s="22">
        <v>4572</v>
      </c>
      <c r="F299" s="13">
        <v>2.39</v>
      </c>
      <c r="G299" s="13">
        <v>2.4</v>
      </c>
      <c r="H299" s="22">
        <v>2</v>
      </c>
      <c r="I299" s="22">
        <v>2</v>
      </c>
      <c r="J299" s="22">
        <v>1</v>
      </c>
      <c r="K299" s="13">
        <v>0</v>
      </c>
      <c r="L299" s="13">
        <v>53.64</v>
      </c>
      <c r="M299" s="13">
        <v>3.6748632625638264</v>
      </c>
      <c r="N299" s="13">
        <v>410.3</v>
      </c>
      <c r="O299" s="13">
        <v>0.12666193365173617</v>
      </c>
      <c r="P299" s="13">
        <v>0.54753859507719016</v>
      </c>
      <c r="Q299" s="13">
        <v>532.29</v>
      </c>
      <c r="R299" s="13">
        <v>0.24186922286888052</v>
      </c>
      <c r="S299" s="13">
        <v>532.29</v>
      </c>
      <c r="U299" s="6"/>
      <c r="V299" s="24">
        <v>0.29287958642663292</v>
      </c>
      <c r="W299" s="3">
        <v>18.75</v>
      </c>
      <c r="X299" s="6"/>
      <c r="Y299" s="5">
        <v>2.4001597434913569</v>
      </c>
      <c r="Z299" s="5">
        <v>5.4334324901871272</v>
      </c>
      <c r="AA299" s="5">
        <v>1.0924709844141636</v>
      </c>
      <c r="AB299" s="5">
        <v>28.109552509879531</v>
      </c>
      <c r="AD299" s="24">
        <v>676.08670000000006</v>
      </c>
      <c r="AE299" s="5">
        <f t="shared" si="5"/>
        <v>5.7439443185498629</v>
      </c>
    </row>
    <row r="300" spans="1:31" ht="25.5" customHeight="1" x14ac:dyDescent="0.2">
      <c r="A300" s="54"/>
      <c r="B300" s="36" t="s">
        <v>389</v>
      </c>
      <c r="C300" s="26">
        <v>101.6</v>
      </c>
      <c r="D300" s="22">
        <v>1905</v>
      </c>
      <c r="E300" s="22">
        <v>4572</v>
      </c>
      <c r="F300" s="13">
        <v>2.39</v>
      </c>
      <c r="G300" s="13">
        <v>2.4</v>
      </c>
      <c r="H300" s="22">
        <v>2</v>
      </c>
      <c r="I300" s="22">
        <v>2</v>
      </c>
      <c r="J300" s="22">
        <v>1</v>
      </c>
      <c r="K300" s="13">
        <v>0</v>
      </c>
      <c r="L300" s="13">
        <v>47.3</v>
      </c>
      <c r="M300" s="13">
        <v>1.0888483740929857</v>
      </c>
      <c r="N300" s="13">
        <v>437.8</v>
      </c>
      <c r="O300" s="13">
        <v>0.81755062680810031</v>
      </c>
      <c r="P300" s="13">
        <v>0.27376929753859508</v>
      </c>
      <c r="Q300" s="13">
        <v>478.51</v>
      </c>
      <c r="R300" s="13">
        <v>0.24186922286888052</v>
      </c>
      <c r="S300" s="13">
        <v>478.51</v>
      </c>
      <c r="U300" s="6"/>
      <c r="V300" s="24">
        <v>0.29287958642663292</v>
      </c>
      <c r="W300" s="3">
        <v>18.75</v>
      </c>
      <c r="X300" s="6"/>
      <c r="Y300" s="5">
        <v>2.4468676920716281</v>
      </c>
      <c r="Z300" s="5">
        <v>2.7695844939787131</v>
      </c>
      <c r="AA300" s="5">
        <v>8.2707431381383536</v>
      </c>
      <c r="AB300" s="5">
        <v>10.078177974162985</v>
      </c>
      <c r="AD300" s="24">
        <v>274.34800000000001</v>
      </c>
      <c r="AE300" s="5">
        <f t="shared" si="5"/>
        <v>2.4821238146597278</v>
      </c>
    </row>
    <row r="301" spans="1:31" ht="25.5" customHeight="1" x14ac:dyDescent="0.2">
      <c r="A301" s="54"/>
      <c r="B301" s="36" t="s">
        <v>390</v>
      </c>
      <c r="C301" s="26">
        <v>101.6</v>
      </c>
      <c r="D301" s="22">
        <v>1905</v>
      </c>
      <c r="E301" s="22">
        <v>4572</v>
      </c>
      <c r="F301" s="13">
        <v>2.39</v>
      </c>
      <c r="G301" s="13">
        <v>2.4</v>
      </c>
      <c r="H301" s="22">
        <v>2</v>
      </c>
      <c r="I301" s="22">
        <v>2</v>
      </c>
      <c r="J301" s="22">
        <v>1</v>
      </c>
      <c r="K301" s="13">
        <v>0</v>
      </c>
      <c r="L301" s="13">
        <v>45.3</v>
      </c>
      <c r="M301" s="13">
        <v>3.6748632625638264</v>
      </c>
      <c r="N301" s="13">
        <v>444</v>
      </c>
      <c r="O301" s="13">
        <v>1.0900675024108004</v>
      </c>
      <c r="P301" s="13">
        <v>0.54753859507719016</v>
      </c>
      <c r="Q301" s="13">
        <v>501.96</v>
      </c>
      <c r="R301" s="13">
        <v>0.24186922286888052</v>
      </c>
      <c r="S301" s="13">
        <v>501.96</v>
      </c>
      <c r="U301" s="6"/>
      <c r="V301" s="24">
        <v>0.29287958642663292</v>
      </c>
      <c r="W301" s="3">
        <v>18.75</v>
      </c>
      <c r="X301" s="6"/>
      <c r="Y301" s="5">
        <v>2.680103203339145</v>
      </c>
      <c r="Z301" s="5">
        <v>6.0671627634645997</v>
      </c>
      <c r="AA301" s="5">
        <v>12.078814205521532</v>
      </c>
      <c r="AB301" s="5">
        <v>36.018527341685186</v>
      </c>
      <c r="AD301" s="24">
        <v>752.94119999999998</v>
      </c>
      <c r="AE301" s="5">
        <f t="shared" si="5"/>
        <v>6.960880435225417</v>
      </c>
    </row>
    <row r="302" spans="1:31" ht="25.5" customHeight="1" x14ac:dyDescent="0.2">
      <c r="A302" s="54"/>
      <c r="B302" s="36" t="s">
        <v>391</v>
      </c>
      <c r="C302" s="26">
        <v>101.6</v>
      </c>
      <c r="D302" s="22">
        <v>1905</v>
      </c>
      <c r="E302" s="22">
        <v>4572</v>
      </c>
      <c r="F302" s="13">
        <v>2.39</v>
      </c>
      <c r="G302" s="13">
        <v>2.4</v>
      </c>
      <c r="H302" s="22">
        <v>2</v>
      </c>
      <c r="I302" s="22">
        <v>2</v>
      </c>
      <c r="J302" s="22">
        <v>1</v>
      </c>
      <c r="K302" s="13">
        <v>0.13</v>
      </c>
      <c r="L302" s="13">
        <v>21.86</v>
      </c>
      <c r="M302" s="13">
        <v>3.6748632625638264</v>
      </c>
      <c r="N302" s="13">
        <v>440.6</v>
      </c>
      <c r="O302" s="13">
        <v>0.75699132111861134</v>
      </c>
      <c r="P302" s="13">
        <v>0.54753859507719016</v>
      </c>
      <c r="Q302" s="13">
        <v>511.6</v>
      </c>
      <c r="R302" s="13">
        <v>0.24186922286888052</v>
      </c>
      <c r="S302" s="13">
        <v>511.6</v>
      </c>
      <c r="U302" s="6"/>
      <c r="V302" s="24">
        <v>0.29287958642663292</v>
      </c>
      <c r="W302" s="3">
        <v>18.75</v>
      </c>
      <c r="X302" s="6"/>
      <c r="Y302" s="5">
        <v>5.6605807145342766</v>
      </c>
      <c r="Z302" s="5">
        <v>12.814306735658304</v>
      </c>
      <c r="AA302" s="5">
        <v>16.881668300334997</v>
      </c>
      <c r="AB302" s="5">
        <v>74.068835932553611</v>
      </c>
      <c r="AD302" s="24">
        <v>823.74199999999996</v>
      </c>
      <c r="AE302" s="5">
        <f t="shared" si="5"/>
        <v>10.962720565697971</v>
      </c>
    </row>
    <row r="303" spans="1:31" ht="25.5" customHeight="1" x14ac:dyDescent="0.2">
      <c r="A303" s="54"/>
      <c r="B303" s="36" t="s">
        <v>392</v>
      </c>
      <c r="C303" s="26">
        <v>101.6</v>
      </c>
      <c r="D303" s="22">
        <v>1905</v>
      </c>
      <c r="E303" s="22">
        <v>4572</v>
      </c>
      <c r="F303" s="13">
        <v>2.39</v>
      </c>
      <c r="G303" s="13">
        <v>2.4</v>
      </c>
      <c r="H303" s="22">
        <v>2</v>
      </c>
      <c r="I303" s="22">
        <v>2</v>
      </c>
      <c r="J303" s="22">
        <v>1</v>
      </c>
      <c r="K303" s="13">
        <v>0.08</v>
      </c>
      <c r="L303" s="13">
        <v>49.37</v>
      </c>
      <c r="M303" s="13">
        <v>3.6748632625638264</v>
      </c>
      <c r="N303" s="13">
        <v>457.8</v>
      </c>
      <c r="O303" s="13">
        <v>1.0900675024108004</v>
      </c>
      <c r="P303" s="13">
        <v>0.54753859507719016</v>
      </c>
      <c r="Q303" s="13">
        <v>489</v>
      </c>
      <c r="R303" s="13">
        <v>0.24186922286888052</v>
      </c>
      <c r="S303" s="13">
        <v>489</v>
      </c>
      <c r="U303" s="6"/>
      <c r="V303" s="24">
        <v>0.29287958642663292</v>
      </c>
      <c r="W303" s="3">
        <v>18.75</v>
      </c>
      <c r="X303" s="6"/>
      <c r="Y303" s="5">
        <v>2.3956663962504066</v>
      </c>
      <c r="Z303" s="5">
        <v>5.4232605426928497</v>
      </c>
      <c r="AA303" s="5">
        <v>10.807940903992037</v>
      </c>
      <c r="AB303" s="5">
        <v>34.076410808217943</v>
      </c>
      <c r="AD303" s="24">
        <v>975.49459999999999</v>
      </c>
      <c r="AE303" s="5">
        <f t="shared" si="5"/>
        <v>8.6386428513905322</v>
      </c>
    </row>
    <row r="304" spans="1:31" ht="25.5" customHeight="1" x14ac:dyDescent="0.2">
      <c r="A304" s="54"/>
      <c r="B304" s="36" t="s">
        <v>393</v>
      </c>
      <c r="C304" s="26">
        <v>101.6</v>
      </c>
      <c r="D304" s="22">
        <v>1905</v>
      </c>
      <c r="E304" s="22">
        <v>4572</v>
      </c>
      <c r="F304" s="13">
        <v>2.39</v>
      </c>
      <c r="G304" s="13">
        <v>2.4</v>
      </c>
      <c r="H304" s="22">
        <v>2</v>
      </c>
      <c r="I304" s="22">
        <v>2</v>
      </c>
      <c r="J304" s="22">
        <v>1</v>
      </c>
      <c r="K304" s="13">
        <v>0.09</v>
      </c>
      <c r="L304" s="13">
        <v>41.99</v>
      </c>
      <c r="M304" s="13">
        <v>3.6748632625638264</v>
      </c>
      <c r="N304" s="13">
        <v>447.5</v>
      </c>
      <c r="O304" s="13">
        <v>1.0900675024108004</v>
      </c>
      <c r="P304" s="13">
        <v>1.3726488390476781</v>
      </c>
      <c r="Q304" s="13">
        <v>482</v>
      </c>
      <c r="R304" s="13">
        <v>0.24186922286888052</v>
      </c>
      <c r="S304" s="13">
        <v>482</v>
      </c>
      <c r="U304" s="6"/>
      <c r="V304" s="24">
        <v>0.29287958642663292</v>
      </c>
      <c r="W304" s="3">
        <v>18.75</v>
      </c>
      <c r="X304" s="6"/>
      <c r="Y304" s="5">
        <v>2.7763983191902928</v>
      </c>
      <c r="Z304" s="5">
        <v>15.756531088854032</v>
      </c>
      <c r="AA304" s="5">
        <v>11.778128741218865</v>
      </c>
      <c r="AB304" s="5">
        <v>39.164117885146752</v>
      </c>
      <c r="AD304" s="24">
        <v>977.0619999999999</v>
      </c>
      <c r="AE304" s="5">
        <f t="shared" si="5"/>
        <v>9.3821289766297049</v>
      </c>
    </row>
    <row r="305" spans="1:31" ht="25.5" customHeight="1" x14ac:dyDescent="0.2">
      <c r="A305" s="54"/>
      <c r="B305" s="36" t="s">
        <v>394</v>
      </c>
      <c r="C305" s="26">
        <v>101.6</v>
      </c>
      <c r="D305" s="22">
        <v>1905</v>
      </c>
      <c r="E305" s="22">
        <v>4572</v>
      </c>
      <c r="F305" s="13">
        <v>2.39</v>
      </c>
      <c r="G305" s="13">
        <v>2.4</v>
      </c>
      <c r="H305" s="22">
        <v>2</v>
      </c>
      <c r="I305" s="22">
        <v>2</v>
      </c>
      <c r="J305" s="22">
        <v>1</v>
      </c>
      <c r="K305" s="13">
        <v>0.09</v>
      </c>
      <c r="L305" s="13">
        <v>44.13</v>
      </c>
      <c r="M305" s="13">
        <v>3.6748632625638264</v>
      </c>
      <c r="N305" s="13">
        <v>429.6</v>
      </c>
      <c r="O305" s="13">
        <v>1.0900675024108004</v>
      </c>
      <c r="P305" s="13">
        <v>0.54753859507719016</v>
      </c>
      <c r="Q305" s="13">
        <v>461.3</v>
      </c>
      <c r="R305" s="13">
        <v>0.24186922286888052</v>
      </c>
      <c r="S305" s="13">
        <v>461.3</v>
      </c>
      <c r="U305" s="6"/>
      <c r="V305" s="24">
        <v>0.29287958642663292</v>
      </c>
      <c r="W305" s="3">
        <v>18.75</v>
      </c>
      <c r="X305" s="6"/>
      <c r="Y305" s="5">
        <v>2.5283089170499564</v>
      </c>
      <c r="Z305" s="5">
        <v>5.7235339657626971</v>
      </c>
      <c r="AA305" s="5">
        <v>11.394700631364202</v>
      </c>
      <c r="AB305" s="5">
        <v>35.774331692667566</v>
      </c>
      <c r="AD305" s="24">
        <v>982.34799999999996</v>
      </c>
      <c r="AE305" s="5">
        <f t="shared" si="5"/>
        <v>9.2013301723800591</v>
      </c>
    </row>
    <row r="306" spans="1:31" ht="25.5" customHeight="1" x14ac:dyDescent="0.2">
      <c r="A306" s="54"/>
      <c r="B306" s="36" t="s">
        <v>395</v>
      </c>
      <c r="C306" s="26">
        <v>101.6</v>
      </c>
      <c r="D306" s="22">
        <v>1905</v>
      </c>
      <c r="E306" s="22">
        <v>4572</v>
      </c>
      <c r="F306" s="13">
        <v>2.39</v>
      </c>
      <c r="G306" s="13">
        <v>2.4</v>
      </c>
      <c r="H306" s="22">
        <v>2</v>
      </c>
      <c r="I306" s="22">
        <v>2</v>
      </c>
      <c r="J306" s="22">
        <v>1</v>
      </c>
      <c r="K306" s="13">
        <v>0.08</v>
      </c>
      <c r="L306" s="13">
        <v>45.64</v>
      </c>
      <c r="M306" s="13">
        <v>2.5600324643912931</v>
      </c>
      <c r="N306" s="13">
        <v>447.5</v>
      </c>
      <c r="O306" s="13">
        <v>1.0900675024108004</v>
      </c>
      <c r="P306" s="13">
        <v>0.54753859507719016</v>
      </c>
      <c r="Q306" s="13">
        <v>475.1</v>
      </c>
      <c r="R306" s="13">
        <v>0.24186922286888052</v>
      </c>
      <c r="S306" s="13">
        <v>475.1</v>
      </c>
      <c r="U306" s="6"/>
      <c r="V306" s="24">
        <v>0.29287958642663292</v>
      </c>
      <c r="W306" s="3">
        <v>18.75</v>
      </c>
      <c r="X306" s="6"/>
      <c r="Y306" s="5">
        <v>2.5177928962533991</v>
      </c>
      <c r="Z306" s="5">
        <v>5.6997280131720656</v>
      </c>
      <c r="AA306" s="5">
        <v>11.347306538023036</v>
      </c>
      <c r="AB306" s="5">
        <v>25.101107094984741</v>
      </c>
      <c r="AD306" s="24">
        <v>682.89599999999996</v>
      </c>
      <c r="AE306" s="5">
        <f t="shared" si="5"/>
        <v>6.2897584068128669</v>
      </c>
    </row>
    <row r="307" spans="1:31" ht="25.5" customHeight="1" x14ac:dyDescent="0.2">
      <c r="A307" s="54"/>
      <c r="B307" s="36" t="s">
        <v>396</v>
      </c>
      <c r="C307" s="26">
        <v>101.6</v>
      </c>
      <c r="D307" s="22">
        <v>1905</v>
      </c>
      <c r="E307" s="22">
        <v>4572</v>
      </c>
      <c r="F307" s="13">
        <v>2.39</v>
      </c>
      <c r="G307" s="13">
        <v>2.4</v>
      </c>
      <c r="H307" s="22">
        <v>3</v>
      </c>
      <c r="I307" s="22">
        <v>2</v>
      </c>
      <c r="J307" s="22">
        <v>1</v>
      </c>
      <c r="K307" s="13">
        <v>0</v>
      </c>
      <c r="L307" s="13">
        <v>38.47</v>
      </c>
      <c r="M307" s="13">
        <v>3.8193861236802413</v>
      </c>
      <c r="N307" s="13">
        <v>444.73</v>
      </c>
      <c r="O307" s="13">
        <v>0.20935918014569699</v>
      </c>
      <c r="P307" s="13">
        <v>0.62505529505441038</v>
      </c>
      <c r="Q307" s="13">
        <v>525.4</v>
      </c>
      <c r="R307" s="13">
        <v>0.24186922286888052</v>
      </c>
      <c r="S307" s="13">
        <v>525.4</v>
      </c>
      <c r="U307" s="6"/>
      <c r="V307" s="24">
        <v>0.25893986970989363</v>
      </c>
      <c r="W307" s="3">
        <v>18.75</v>
      </c>
      <c r="X307" s="6"/>
      <c r="Y307" s="5">
        <v>3.3033036052848925</v>
      </c>
      <c r="Z307" s="5">
        <v>8.5366272945564639</v>
      </c>
      <c r="AA307" s="5">
        <v>2.8593010982206706</v>
      </c>
      <c r="AB307" s="5">
        <v>44.153771530655419</v>
      </c>
      <c r="AD307" s="24">
        <v>807.70749999999998</v>
      </c>
      <c r="AE307" s="5">
        <f t="shared" si="5"/>
        <v>8.1029887447241773</v>
      </c>
    </row>
    <row r="308" spans="1:31" ht="25.5" customHeight="1" x14ac:dyDescent="0.2">
      <c r="A308" s="54"/>
      <c r="B308" s="36" t="s">
        <v>397</v>
      </c>
      <c r="C308" s="26">
        <v>101.6</v>
      </c>
      <c r="D308" s="22">
        <v>1905</v>
      </c>
      <c r="E308" s="22">
        <v>4572</v>
      </c>
      <c r="F308" s="13">
        <v>2.39</v>
      </c>
      <c r="G308" s="13">
        <v>2.4</v>
      </c>
      <c r="H308" s="22">
        <v>3</v>
      </c>
      <c r="I308" s="22">
        <v>2</v>
      </c>
      <c r="J308" s="22">
        <v>1</v>
      </c>
      <c r="K308" s="13">
        <v>7.0000000000000007E-2</v>
      </c>
      <c r="L308" s="13">
        <v>45.58</v>
      </c>
      <c r="M308" s="13">
        <v>2</v>
      </c>
      <c r="N308" s="13">
        <v>430.25</v>
      </c>
      <c r="O308" s="13">
        <v>0.54800000000000004</v>
      </c>
      <c r="P308" s="13">
        <v>0.54753859507719016</v>
      </c>
      <c r="Q308" s="13">
        <v>464.03</v>
      </c>
      <c r="R308" s="13">
        <v>0.20603674540682415</v>
      </c>
      <c r="S308" s="13">
        <v>464.03</v>
      </c>
      <c r="U308" s="6"/>
      <c r="V308" s="24">
        <v>0.25893986970989363</v>
      </c>
      <c r="W308" s="3">
        <v>18.75</v>
      </c>
      <c r="X308" s="6"/>
      <c r="Y308" s="5">
        <v>2.0975697887478852</v>
      </c>
      <c r="Z308" s="5">
        <v>5.5742504228536323</v>
      </c>
      <c r="AA308" s="5">
        <v>5.578947784115841</v>
      </c>
      <c r="AB308" s="5">
        <v>18.878894251864853</v>
      </c>
      <c r="AD308" s="24">
        <v>876.10750000000007</v>
      </c>
      <c r="AE308" s="5">
        <f t="shared" si="5"/>
        <v>8.0746266536395801</v>
      </c>
    </row>
    <row r="309" spans="1:31" ht="25.5" customHeight="1" x14ac:dyDescent="0.2">
      <c r="A309" s="56" t="s">
        <v>398</v>
      </c>
      <c r="B309" s="21" t="s">
        <v>399</v>
      </c>
      <c r="C309" s="22">
        <v>200</v>
      </c>
      <c r="D309" s="22">
        <v>1500</v>
      </c>
      <c r="E309" s="22">
        <v>2250</v>
      </c>
      <c r="F309" s="3">
        <v>1.5</v>
      </c>
      <c r="G309" s="13">
        <v>1.5</v>
      </c>
      <c r="H309" s="22">
        <v>1</v>
      </c>
      <c r="I309" s="22">
        <v>3</v>
      </c>
      <c r="J309" s="22">
        <v>1</v>
      </c>
      <c r="K309" s="24">
        <v>0.1</v>
      </c>
      <c r="L309" s="13">
        <v>27.6</v>
      </c>
      <c r="M309" s="13">
        <v>1.7688666666666666</v>
      </c>
      <c r="N309" s="13">
        <v>449</v>
      </c>
      <c r="O309" s="13">
        <v>0.39250000000000002</v>
      </c>
      <c r="P309" s="13">
        <v>0.314</v>
      </c>
      <c r="Q309" s="13">
        <v>342</v>
      </c>
      <c r="R309" s="13">
        <v>0.35681818181818181</v>
      </c>
      <c r="S309" s="13">
        <v>342</v>
      </c>
      <c r="U309" s="6"/>
      <c r="V309" s="24">
        <v>0.1</v>
      </c>
      <c r="W309" s="3">
        <v>7.5</v>
      </c>
      <c r="X309" s="6"/>
      <c r="Y309" s="5">
        <v>4.4214426877470352</v>
      </c>
      <c r="Z309" s="5">
        <v>3.8908695652173915</v>
      </c>
      <c r="AA309" s="5">
        <v>0</v>
      </c>
      <c r="AB309" s="5">
        <v>28.776128019323671</v>
      </c>
      <c r="AD309" s="13">
        <v>414.5</v>
      </c>
      <c r="AE309" s="5">
        <f t="shared" si="5"/>
        <v>3.1673032057607338</v>
      </c>
    </row>
    <row r="310" spans="1:31" ht="25.5" customHeight="1" x14ac:dyDescent="0.2">
      <c r="A310" s="54"/>
      <c r="B310" s="21" t="s">
        <v>400</v>
      </c>
      <c r="C310" s="22">
        <v>200</v>
      </c>
      <c r="D310" s="22">
        <v>1500</v>
      </c>
      <c r="E310" s="22">
        <v>2250</v>
      </c>
      <c r="F310" s="3">
        <v>1.5</v>
      </c>
      <c r="G310" s="13">
        <v>1.5</v>
      </c>
      <c r="H310" s="22">
        <v>1</v>
      </c>
      <c r="I310" s="22">
        <v>3</v>
      </c>
      <c r="J310" s="22">
        <v>1</v>
      </c>
      <c r="K310" s="24">
        <v>0.1</v>
      </c>
      <c r="L310" s="13">
        <v>27.6</v>
      </c>
      <c r="M310" s="13">
        <v>1.7688666666666666</v>
      </c>
      <c r="N310" s="13">
        <v>449</v>
      </c>
      <c r="O310" s="13">
        <v>0.78500000000000003</v>
      </c>
      <c r="P310" s="13">
        <v>0.314</v>
      </c>
      <c r="Q310" s="13">
        <v>342</v>
      </c>
      <c r="R310" s="13">
        <v>0.35681818181818181</v>
      </c>
      <c r="S310" s="13">
        <v>342</v>
      </c>
      <c r="U310" s="6"/>
      <c r="V310" s="24">
        <v>0.1</v>
      </c>
      <c r="W310" s="3">
        <v>7.5</v>
      </c>
      <c r="X310" s="6"/>
      <c r="Y310" s="5">
        <v>4.4214426877470352</v>
      </c>
      <c r="Z310" s="5">
        <v>3.8908695652173915</v>
      </c>
      <c r="AA310" s="5">
        <v>0</v>
      </c>
      <c r="AB310" s="5">
        <v>28.776128019323671</v>
      </c>
      <c r="AD310" s="13">
        <v>397</v>
      </c>
      <c r="AE310" s="5">
        <f t="shared" si="5"/>
        <v>3.0335811162533441</v>
      </c>
    </row>
    <row r="311" spans="1:31" ht="25.5" customHeight="1" x14ac:dyDescent="0.2">
      <c r="A311" s="54"/>
      <c r="B311" s="21" t="s">
        <v>401</v>
      </c>
      <c r="C311" s="22">
        <v>200</v>
      </c>
      <c r="D311" s="22">
        <v>1500</v>
      </c>
      <c r="E311" s="22">
        <v>2250</v>
      </c>
      <c r="F311" s="3">
        <v>1.5</v>
      </c>
      <c r="G311" s="13">
        <v>1.5</v>
      </c>
      <c r="H311" s="22">
        <v>1</v>
      </c>
      <c r="I311" s="22">
        <v>3</v>
      </c>
      <c r="J311" s="22">
        <v>1</v>
      </c>
      <c r="K311" s="24">
        <v>0.1</v>
      </c>
      <c r="L311" s="13">
        <v>27.6</v>
      </c>
      <c r="M311" s="13">
        <v>1.7688666666666666</v>
      </c>
      <c r="N311" s="13">
        <v>449</v>
      </c>
      <c r="O311" s="13">
        <v>0</v>
      </c>
      <c r="P311" s="13">
        <v>0.314</v>
      </c>
      <c r="Q311" s="13">
        <v>342</v>
      </c>
      <c r="R311" s="13">
        <v>0.35681818181818181</v>
      </c>
      <c r="S311" s="13">
        <v>342</v>
      </c>
      <c r="U311" s="6"/>
      <c r="V311" s="24">
        <v>0.1</v>
      </c>
      <c r="W311" s="3">
        <v>7.5</v>
      </c>
      <c r="X311" s="6"/>
      <c r="Y311" s="5">
        <v>4.4214426877470352</v>
      </c>
      <c r="Z311" s="5">
        <v>3.8908695652173915</v>
      </c>
      <c r="AA311" s="5">
        <v>0</v>
      </c>
      <c r="AB311" s="5">
        <v>28.776128019323671</v>
      </c>
      <c r="AD311" s="13">
        <v>393.95000000000005</v>
      </c>
      <c r="AE311" s="5">
        <f t="shared" si="5"/>
        <v>3.0102752663677714</v>
      </c>
    </row>
    <row r="312" spans="1:31" ht="25.5" customHeight="1" x14ac:dyDescent="0.2">
      <c r="A312" s="54"/>
      <c r="B312" s="21" t="s">
        <v>402</v>
      </c>
      <c r="C312" s="22">
        <v>125</v>
      </c>
      <c r="D312" s="22">
        <v>1500</v>
      </c>
      <c r="E312" s="22">
        <v>2250</v>
      </c>
      <c r="F312" s="3">
        <v>1.5</v>
      </c>
      <c r="G312" s="13">
        <v>1.5</v>
      </c>
      <c r="H312" s="22">
        <v>2</v>
      </c>
      <c r="I312" s="22">
        <v>3</v>
      </c>
      <c r="J312" s="22">
        <v>1</v>
      </c>
      <c r="K312" s="24">
        <v>7.6266996291718167E-2</v>
      </c>
      <c r="L312" s="13">
        <v>27.6</v>
      </c>
      <c r="M312" s="13">
        <v>1.0902777777777777</v>
      </c>
      <c r="N312" s="13">
        <v>342</v>
      </c>
      <c r="O312" s="13">
        <v>0.43611111111111112</v>
      </c>
      <c r="P312" s="13">
        <v>0.314</v>
      </c>
      <c r="Q312" s="13">
        <v>342</v>
      </c>
      <c r="R312" s="13">
        <v>0.39250000000000002</v>
      </c>
      <c r="S312" s="13">
        <v>342</v>
      </c>
      <c r="U312" s="6"/>
      <c r="V312" s="24">
        <v>0.2373300370828183</v>
      </c>
      <c r="W312" s="3">
        <v>12</v>
      </c>
      <c r="X312" s="6"/>
      <c r="Y312" s="5">
        <v>4.8635869565217398</v>
      </c>
      <c r="Z312" s="5">
        <v>3.8908695652173915</v>
      </c>
      <c r="AA312" s="5">
        <v>0</v>
      </c>
      <c r="AB312" s="5">
        <v>13.50996376811594</v>
      </c>
      <c r="AD312" s="13">
        <v>323.89999999999998</v>
      </c>
      <c r="AE312" s="5">
        <f t="shared" si="5"/>
        <v>3.960007752360537</v>
      </c>
    </row>
    <row r="313" spans="1:31" ht="25.5" customHeight="1" x14ac:dyDescent="0.2">
      <c r="A313" s="20" t="s">
        <v>403</v>
      </c>
      <c r="B313" s="21" t="s">
        <v>404</v>
      </c>
      <c r="C313" s="22">
        <v>200</v>
      </c>
      <c r="D313" s="22">
        <v>1500</v>
      </c>
      <c r="E313" s="22">
        <v>2250</v>
      </c>
      <c r="F313" s="3">
        <v>1.5</v>
      </c>
      <c r="G313" s="13">
        <v>1.5</v>
      </c>
      <c r="H313" s="22">
        <v>3</v>
      </c>
      <c r="I313" s="22">
        <v>3</v>
      </c>
      <c r="J313" s="22">
        <v>1</v>
      </c>
      <c r="K313" s="24">
        <v>0.1000043133195307</v>
      </c>
      <c r="L313" s="13">
        <v>27.6</v>
      </c>
      <c r="M313" s="13">
        <v>0.99498750000000002</v>
      </c>
      <c r="N313" s="13">
        <v>449</v>
      </c>
      <c r="O313" s="13">
        <v>9.8125000000000004E-2</v>
      </c>
      <c r="P313" s="13">
        <v>0.314</v>
      </c>
      <c r="Q313" s="13">
        <v>342</v>
      </c>
      <c r="R313" s="13">
        <v>0.23787878787878788</v>
      </c>
      <c r="S313" s="13">
        <v>342</v>
      </c>
      <c r="U313" s="35" t="s">
        <v>405</v>
      </c>
      <c r="V313" s="24">
        <v>0.38095238095238093</v>
      </c>
      <c r="W313" s="3">
        <v>7.5</v>
      </c>
      <c r="X313" s="3"/>
      <c r="Y313" s="5">
        <v>2.9476284584980239</v>
      </c>
      <c r="Z313" s="5">
        <v>3.8908695652173915</v>
      </c>
      <c r="AA313" s="5">
        <v>1.2158967391304349</v>
      </c>
      <c r="AB313" s="5">
        <v>16.186572010869565</v>
      </c>
      <c r="AD313" s="24">
        <v>508.95</v>
      </c>
      <c r="AE313" s="5">
        <f t="shared" si="5"/>
        <v>3.8890204259877574</v>
      </c>
    </row>
    <row r="314" spans="1:31" ht="25.5" customHeight="1" x14ac:dyDescent="0.2">
      <c r="A314" s="20" t="s">
        <v>406</v>
      </c>
      <c r="B314" s="21" t="s">
        <v>407</v>
      </c>
      <c r="C314" s="22">
        <v>150</v>
      </c>
      <c r="D314" s="22">
        <v>1054</v>
      </c>
      <c r="E314" s="22">
        <v>2500</v>
      </c>
      <c r="F314" s="13">
        <v>2.3719165085388996</v>
      </c>
      <c r="G314" s="13">
        <v>2.3719165085388996</v>
      </c>
      <c r="H314" s="22">
        <v>1</v>
      </c>
      <c r="I314" s="22">
        <v>3</v>
      </c>
      <c r="J314" s="22">
        <v>1</v>
      </c>
      <c r="K314" s="24">
        <v>0</v>
      </c>
      <c r="L314" s="13">
        <v>27.5</v>
      </c>
      <c r="M314" s="13">
        <v>2.0106186666666668</v>
      </c>
      <c r="N314" s="13">
        <v>457.1</v>
      </c>
      <c r="O314" s="13">
        <v>1.3404128655316452</v>
      </c>
      <c r="P314" s="13">
        <v>0.3351032163829113</v>
      </c>
      <c r="Q314" s="13">
        <v>436.8</v>
      </c>
      <c r="R314" s="13">
        <v>0.2666604774535809</v>
      </c>
      <c r="S314" s="13">
        <v>436.8</v>
      </c>
      <c r="U314" s="35"/>
      <c r="V314" s="24"/>
      <c r="W314" s="3">
        <v>7.0266666666666664</v>
      </c>
      <c r="X314" s="3"/>
      <c r="Y314" s="5">
        <v>4.2355380564263321</v>
      </c>
      <c r="Z314" s="5">
        <v>5.3226576333111151</v>
      </c>
      <c r="AA314" s="5">
        <v>21.29063053324446</v>
      </c>
      <c r="AB314" s="5">
        <v>33.420137910303033</v>
      </c>
      <c r="AD314" s="24">
        <f>(105.93+109.29)/2</f>
        <v>107.61000000000001</v>
      </c>
      <c r="AE314" s="5">
        <f t="shared" si="5"/>
        <v>1.5631307828492746</v>
      </c>
    </row>
    <row r="315" spans="1:31" ht="25.5" customHeight="1" x14ac:dyDescent="0.2">
      <c r="A315" s="20" t="s">
        <v>408</v>
      </c>
      <c r="B315" s="21" t="s">
        <v>409</v>
      </c>
      <c r="C315" s="22">
        <v>150</v>
      </c>
      <c r="D315" s="22">
        <v>1000</v>
      </c>
      <c r="E315" s="22">
        <v>2200</v>
      </c>
      <c r="F315" s="13">
        <v>2.2000000000000002</v>
      </c>
      <c r="G315" s="13">
        <v>2.2000000000000002</v>
      </c>
      <c r="H315" s="22">
        <v>1</v>
      </c>
      <c r="I315" s="22">
        <v>3</v>
      </c>
      <c r="J315" s="22">
        <v>1</v>
      </c>
      <c r="K315" s="24">
        <v>0.1</v>
      </c>
      <c r="L315" s="13">
        <v>38.299999999999997</v>
      </c>
      <c r="M315" s="13">
        <v>1.3792331646445961</v>
      </c>
      <c r="N315" s="13">
        <v>440</v>
      </c>
      <c r="O315" s="13">
        <v>1.7828887374972477</v>
      </c>
      <c r="P315" s="13">
        <v>0.89144436874862387</v>
      </c>
      <c r="Q315" s="13">
        <v>440</v>
      </c>
      <c r="R315" s="13">
        <v>0.65525966340555486</v>
      </c>
      <c r="S315" s="13">
        <v>440</v>
      </c>
      <c r="U315" s="35"/>
      <c r="V315" s="24"/>
      <c r="W315" s="3">
        <v>6.666666666666667</v>
      </c>
      <c r="X315" s="3"/>
      <c r="Y315" s="5">
        <v>7.5277872558340508</v>
      </c>
      <c r="Z315" s="5">
        <v>10.241136351159126</v>
      </c>
      <c r="AA315" s="5">
        <v>20.482272702318252</v>
      </c>
      <c r="AB315" s="5">
        <v>15.844976304011025</v>
      </c>
      <c r="AD315" s="24">
        <f>(218.13+197.49)/2</f>
        <v>207.81</v>
      </c>
      <c r="AE315" s="5">
        <f t="shared" si="5"/>
        <v>2.6959801952271314</v>
      </c>
    </row>
    <row r="316" spans="1:31" ht="25.5" customHeight="1" x14ac:dyDescent="0.2">
      <c r="A316" s="55" t="s">
        <v>410</v>
      </c>
      <c r="B316" s="21" t="s">
        <v>411</v>
      </c>
      <c r="C316" s="22">
        <v>75</v>
      </c>
      <c r="D316" s="22">
        <v>3075</v>
      </c>
      <c r="E316" s="22">
        <v>2020</v>
      </c>
      <c r="F316" s="3">
        <v>0.65691056910569101</v>
      </c>
      <c r="G316" s="13">
        <v>0.65691056910569101</v>
      </c>
      <c r="H316" s="22">
        <v>3</v>
      </c>
      <c r="I316" s="22">
        <v>2</v>
      </c>
      <c r="J316" s="22">
        <v>1</v>
      </c>
      <c r="K316" s="24">
        <v>6.9565731572798578E-2</v>
      </c>
      <c r="L316" s="13">
        <v>21.7</v>
      </c>
      <c r="M316" s="13">
        <v>0.37231699939503932</v>
      </c>
      <c r="N316" s="13">
        <v>605</v>
      </c>
      <c r="O316" s="13">
        <v>0.56699999999999995</v>
      </c>
      <c r="P316" s="13">
        <v>0.73266666666666669</v>
      </c>
      <c r="Q316" s="13">
        <v>605</v>
      </c>
      <c r="R316" s="13">
        <v>0.81799999999999995</v>
      </c>
      <c r="S316" s="13">
        <v>605</v>
      </c>
      <c r="U316" s="35" t="s">
        <v>412</v>
      </c>
      <c r="V316" s="24">
        <v>0.36390225492971034</v>
      </c>
      <c r="W316" s="3">
        <v>41</v>
      </c>
      <c r="X316" s="3"/>
      <c r="Y316" s="5">
        <v>22.805990783410138</v>
      </c>
      <c r="Z316" s="5">
        <v>20.426881720430107</v>
      </c>
      <c r="AA316" s="5">
        <v>15.808064516129031</v>
      </c>
      <c r="AB316" s="5">
        <v>10.380266572995337</v>
      </c>
      <c r="AD316" s="24">
        <v>1276.5</v>
      </c>
      <c r="AE316" s="5">
        <f t="shared" si="5"/>
        <v>14.309533309443959</v>
      </c>
    </row>
    <row r="317" spans="1:31" ht="25.5" customHeight="1" x14ac:dyDescent="0.2">
      <c r="A317" s="55"/>
      <c r="B317" s="21" t="s">
        <v>413</v>
      </c>
      <c r="C317" s="22">
        <v>75</v>
      </c>
      <c r="D317" s="22">
        <v>3085</v>
      </c>
      <c r="E317" s="22">
        <v>2020</v>
      </c>
      <c r="F317" s="3">
        <v>0.65478119935170176</v>
      </c>
      <c r="G317" s="13">
        <v>0.65478119935170176</v>
      </c>
      <c r="H317" s="22">
        <v>3</v>
      </c>
      <c r="I317" s="22">
        <v>1</v>
      </c>
      <c r="J317" s="22">
        <v>1</v>
      </c>
      <c r="K317" s="24">
        <v>0</v>
      </c>
      <c r="L317" s="13">
        <v>18.8</v>
      </c>
      <c r="M317" s="13">
        <v>0.35370114942528735</v>
      </c>
      <c r="N317" s="13">
        <v>605</v>
      </c>
      <c r="O317" s="13">
        <v>0.53900000000000003</v>
      </c>
      <c r="P317" s="13">
        <v>0.73266666666666669</v>
      </c>
      <c r="Q317" s="13">
        <v>605</v>
      </c>
      <c r="R317" s="13">
        <v>0.81799999999999995</v>
      </c>
      <c r="S317" s="13">
        <v>605</v>
      </c>
      <c r="U317" s="35" t="s">
        <v>414</v>
      </c>
      <c r="V317" s="24">
        <v>0.36892321671967288</v>
      </c>
      <c r="W317" s="3">
        <v>41.133333333333333</v>
      </c>
      <c r="X317" s="3"/>
      <c r="Y317" s="5">
        <v>26.323936170212765</v>
      </c>
      <c r="Z317" s="5">
        <v>23.577836879432624</v>
      </c>
      <c r="AA317" s="5">
        <v>17.345478723404256</v>
      </c>
      <c r="AB317" s="5">
        <v>11.382404010760578</v>
      </c>
      <c r="AD317" s="24">
        <v>891.5</v>
      </c>
      <c r="AE317" s="5">
        <f t="shared" si="5"/>
        <v>10.702047946442379</v>
      </c>
    </row>
    <row r="318" spans="1:31" ht="25.5" customHeight="1" x14ac:dyDescent="0.2">
      <c r="A318" s="55" t="s">
        <v>415</v>
      </c>
      <c r="B318" s="21" t="s">
        <v>416</v>
      </c>
      <c r="C318" s="3">
        <v>300</v>
      </c>
      <c r="D318" s="3">
        <v>1200</v>
      </c>
      <c r="E318" s="3">
        <v>3250</v>
      </c>
      <c r="F318" s="13">
        <v>1</v>
      </c>
      <c r="G318" s="13">
        <v>2.7083333333333335</v>
      </c>
      <c r="H318" s="22">
        <v>1</v>
      </c>
      <c r="I318" s="3">
        <v>1</v>
      </c>
      <c r="J318" s="3">
        <v>1</v>
      </c>
      <c r="K318" s="24">
        <v>7.1841484341484338E-2</v>
      </c>
      <c r="L318" s="3">
        <v>25.9</v>
      </c>
      <c r="M318" s="13">
        <v>4.4311679999999996</v>
      </c>
      <c r="N318" s="13">
        <v>423</v>
      </c>
      <c r="O318" s="13">
        <v>0</v>
      </c>
      <c r="P318" s="13">
        <v>0.14952380952380953</v>
      </c>
      <c r="Q318" s="13">
        <v>320</v>
      </c>
      <c r="R318" s="13">
        <v>0.14952380952380953</v>
      </c>
      <c r="S318" s="13">
        <v>453</v>
      </c>
      <c r="U318" s="35">
        <v>13</v>
      </c>
      <c r="V318" s="24">
        <v>6.25E-2</v>
      </c>
      <c r="W318" s="3">
        <v>4</v>
      </c>
      <c r="X318" s="3"/>
      <c r="Y318" s="5">
        <v>2.6152233866519583</v>
      </c>
      <c r="Z318" s="5">
        <v>1.8473984188269903</v>
      </c>
      <c r="AA318" s="5">
        <v>0</v>
      </c>
      <c r="AB318" s="5">
        <v>72.370041081081084</v>
      </c>
      <c r="AD318" s="19">
        <v>186.65</v>
      </c>
      <c r="AE318" s="5">
        <f t="shared" si="5"/>
        <v>1.2269207535186939</v>
      </c>
    </row>
    <row r="319" spans="1:31" ht="25.5" customHeight="1" x14ac:dyDescent="0.2">
      <c r="A319" s="54"/>
      <c r="B319" s="21" t="s">
        <v>417</v>
      </c>
      <c r="C319" s="3">
        <v>300</v>
      </c>
      <c r="D319" s="3">
        <v>1200</v>
      </c>
      <c r="E319" s="3">
        <v>3750</v>
      </c>
      <c r="F319" s="13">
        <v>1</v>
      </c>
      <c r="G319" s="13">
        <v>3.125</v>
      </c>
      <c r="H319" s="22">
        <v>1</v>
      </c>
      <c r="I319" s="3">
        <v>1</v>
      </c>
      <c r="J319" s="3">
        <v>1</v>
      </c>
      <c r="K319" s="24">
        <v>9.6407185628742509E-2</v>
      </c>
      <c r="L319" s="3">
        <v>33.4</v>
      </c>
      <c r="M319" s="13">
        <v>4.4311679999999996</v>
      </c>
      <c r="N319" s="13">
        <v>393</v>
      </c>
      <c r="O319" s="13">
        <v>0</v>
      </c>
      <c r="P319" s="13">
        <v>0.14952380952380953</v>
      </c>
      <c r="Q319" s="13">
        <v>320</v>
      </c>
      <c r="R319" s="13">
        <v>0.14952380952380953</v>
      </c>
      <c r="S319" s="13">
        <v>453</v>
      </c>
      <c r="U319" s="35">
        <v>13</v>
      </c>
      <c r="V319" s="24">
        <v>6.25E-2</v>
      </c>
      <c r="W319" s="3">
        <v>4</v>
      </c>
      <c r="X319" s="3"/>
      <c r="Y319" s="5">
        <v>2.027972626176219</v>
      </c>
      <c r="Z319" s="5">
        <v>1.4325634445394926</v>
      </c>
      <c r="AA319" s="5">
        <v>0</v>
      </c>
      <c r="AB319" s="5">
        <v>52.139192335329334</v>
      </c>
      <c r="AD319" s="19">
        <v>188</v>
      </c>
      <c r="AE319" s="5">
        <f t="shared" si="5"/>
        <v>1.088235818523575</v>
      </c>
    </row>
    <row r="320" spans="1:31" ht="21" customHeight="1" x14ac:dyDescent="0.2">
      <c r="A320" s="55" t="s">
        <v>418</v>
      </c>
      <c r="B320" s="21" t="s">
        <v>41</v>
      </c>
      <c r="C320" s="22">
        <v>200</v>
      </c>
      <c r="D320" s="22">
        <v>1500</v>
      </c>
      <c r="E320" s="22">
        <v>1500</v>
      </c>
      <c r="F320" s="3">
        <v>1</v>
      </c>
      <c r="G320" s="13">
        <v>1</v>
      </c>
      <c r="H320" s="22">
        <v>1</v>
      </c>
      <c r="I320" s="22">
        <v>1</v>
      </c>
      <c r="J320" s="22">
        <v>1</v>
      </c>
      <c r="K320" s="13">
        <v>7.0289855072463769E-2</v>
      </c>
      <c r="L320" s="13">
        <v>46</v>
      </c>
      <c r="M320" s="13">
        <v>9.6162500000000009</v>
      </c>
      <c r="N320" s="13">
        <v>617</v>
      </c>
      <c r="O320" s="13">
        <v>0</v>
      </c>
      <c r="P320" s="13">
        <v>0.50645059999999997</v>
      </c>
      <c r="Q320" s="13">
        <v>667</v>
      </c>
      <c r="R320" s="17">
        <v>0.66</v>
      </c>
      <c r="S320" s="13">
        <v>653</v>
      </c>
      <c r="U320" s="35">
        <v>23</v>
      </c>
      <c r="V320" s="24">
        <v>0.2</v>
      </c>
      <c r="W320" s="3">
        <v>7.5</v>
      </c>
      <c r="X320" s="3"/>
      <c r="Y320" s="5">
        <v>9.3691304347826083</v>
      </c>
      <c r="Z320" s="5">
        <v>7.3435337000000001</v>
      </c>
      <c r="AA320" s="5">
        <v>0</v>
      </c>
      <c r="AB320" s="5">
        <v>128.98317934782611</v>
      </c>
      <c r="AD320" s="23">
        <v>2158</v>
      </c>
      <c r="AE320" s="5">
        <f t="shared" si="5"/>
        <v>12.772978201395842</v>
      </c>
    </row>
    <row r="321" spans="1:31" ht="25.5" customHeight="1" x14ac:dyDescent="0.2">
      <c r="A321" s="54"/>
      <c r="B321" s="21" t="s">
        <v>419</v>
      </c>
      <c r="C321" s="22">
        <v>200</v>
      </c>
      <c r="D321" s="22">
        <v>1500</v>
      </c>
      <c r="E321" s="22">
        <v>1500</v>
      </c>
      <c r="F321" s="3">
        <v>1</v>
      </c>
      <c r="G321" s="13">
        <v>1</v>
      </c>
      <c r="H321" s="22">
        <v>1</v>
      </c>
      <c r="I321" s="22">
        <v>1</v>
      </c>
      <c r="J321" s="22">
        <v>1</v>
      </c>
      <c r="K321" s="13">
        <v>7.0289855072463769E-2</v>
      </c>
      <c r="L321" s="13">
        <v>46</v>
      </c>
      <c r="M321" s="13">
        <v>9.6162500000000009</v>
      </c>
      <c r="N321" s="13">
        <v>617</v>
      </c>
      <c r="O321" s="13">
        <v>0</v>
      </c>
      <c r="P321" s="13">
        <v>0.70340361111111105</v>
      </c>
      <c r="Q321" s="13">
        <v>477</v>
      </c>
      <c r="R321" s="17">
        <v>0.66</v>
      </c>
      <c r="S321" s="13">
        <v>653</v>
      </c>
      <c r="U321" s="35">
        <v>23</v>
      </c>
      <c r="V321" s="24">
        <v>0.2</v>
      </c>
      <c r="W321" s="3">
        <v>7.5</v>
      </c>
      <c r="X321" s="3"/>
      <c r="Y321" s="5">
        <v>9.3691304347826083</v>
      </c>
      <c r="Z321" s="5">
        <v>7.2939896195652167</v>
      </c>
      <c r="AA321" s="5">
        <v>0</v>
      </c>
      <c r="AB321" s="5">
        <v>128.98317934782611</v>
      </c>
      <c r="AD321" s="23">
        <v>2290.8000000000002</v>
      </c>
      <c r="AE321" s="5">
        <f t="shared" si="5"/>
        <v>13.559007629174046</v>
      </c>
    </row>
    <row r="322" spans="1:31" ht="25.5" customHeight="1" x14ac:dyDescent="0.2">
      <c r="A322" s="54"/>
      <c r="B322" s="21" t="s">
        <v>420</v>
      </c>
      <c r="C322" s="22">
        <v>200</v>
      </c>
      <c r="D322" s="22">
        <v>1500</v>
      </c>
      <c r="E322" s="22">
        <v>1500</v>
      </c>
      <c r="F322" s="3">
        <v>1</v>
      </c>
      <c r="G322" s="13">
        <v>1</v>
      </c>
      <c r="H322" s="22">
        <v>1</v>
      </c>
      <c r="I322" s="22">
        <v>1</v>
      </c>
      <c r="J322" s="22">
        <v>1</v>
      </c>
      <c r="K322" s="13">
        <v>7.0000000000000007E-2</v>
      </c>
      <c r="L322" s="13">
        <v>70</v>
      </c>
      <c r="M322" s="13">
        <v>9.6162500000000009</v>
      </c>
      <c r="N322" s="13">
        <v>617</v>
      </c>
      <c r="O322" s="13">
        <v>0</v>
      </c>
      <c r="P322" s="13">
        <v>0.50645059999999997</v>
      </c>
      <c r="Q322" s="13">
        <v>667</v>
      </c>
      <c r="R322" s="17">
        <v>0.66</v>
      </c>
      <c r="S322" s="13">
        <v>653</v>
      </c>
      <c r="U322" s="35">
        <v>23</v>
      </c>
      <c r="V322" s="24">
        <v>0.2</v>
      </c>
      <c r="W322" s="3">
        <v>7.5</v>
      </c>
      <c r="X322" s="3"/>
      <c r="Y322" s="5">
        <v>6.1568571428571435</v>
      </c>
      <c r="Z322" s="5">
        <v>4.8257507171428573</v>
      </c>
      <c r="AA322" s="5">
        <v>0</v>
      </c>
      <c r="AB322" s="5">
        <v>84.76037500000001</v>
      </c>
      <c r="AD322" s="23">
        <v>2104.6999999999998</v>
      </c>
      <c r="AE322" s="5">
        <f t="shared" si="5"/>
        <v>10.098592028291677</v>
      </c>
    </row>
    <row r="323" spans="1:31" ht="25.5" customHeight="1" x14ac:dyDescent="0.2">
      <c r="A323" s="54"/>
      <c r="B323" s="21" t="s">
        <v>42</v>
      </c>
      <c r="C323" s="22">
        <v>200</v>
      </c>
      <c r="D323" s="22">
        <v>1500</v>
      </c>
      <c r="E323" s="22">
        <v>1500</v>
      </c>
      <c r="F323" s="3">
        <v>1</v>
      </c>
      <c r="G323" s="13">
        <v>1</v>
      </c>
      <c r="H323" s="22">
        <v>2</v>
      </c>
      <c r="I323" s="22">
        <v>1</v>
      </c>
      <c r="J323" s="22">
        <v>1</v>
      </c>
      <c r="K323" s="13">
        <v>7.3529411764705885E-2</v>
      </c>
      <c r="L323" s="13">
        <v>46</v>
      </c>
      <c r="M323" s="13">
        <v>9.6162500000000009</v>
      </c>
      <c r="N323" s="13">
        <v>617</v>
      </c>
      <c r="O323" s="17">
        <v>2.3020481818181819</v>
      </c>
      <c r="P323" s="13">
        <v>0.50645059999999997</v>
      </c>
      <c r="Q323" s="13">
        <v>667</v>
      </c>
      <c r="R323" s="17">
        <v>0.52</v>
      </c>
      <c r="S323" s="13">
        <v>653</v>
      </c>
      <c r="U323" s="35">
        <v>23</v>
      </c>
      <c r="V323" s="24">
        <v>0.17647058823529413</v>
      </c>
      <c r="W323" s="3">
        <v>7.5</v>
      </c>
      <c r="X323" s="3"/>
      <c r="Y323" s="5">
        <v>7.3817391304347826</v>
      </c>
      <c r="Z323" s="5">
        <v>7.3435337000000001</v>
      </c>
      <c r="AA323" s="5">
        <v>33.379698636363635</v>
      </c>
      <c r="AB323" s="5">
        <v>128.98317934782611</v>
      </c>
      <c r="AD323" s="23">
        <v>2518.85</v>
      </c>
      <c r="AE323" s="5">
        <f t="shared" si="5"/>
        <v>14.908811928909133</v>
      </c>
    </row>
    <row r="324" spans="1:31" ht="25.5" customHeight="1" x14ac:dyDescent="0.2">
      <c r="A324" s="54"/>
      <c r="B324" s="21" t="s">
        <v>135</v>
      </c>
      <c r="C324" s="22">
        <v>200</v>
      </c>
      <c r="D324" s="22">
        <v>1500</v>
      </c>
      <c r="E324" s="22">
        <v>1500</v>
      </c>
      <c r="F324" s="3">
        <v>1</v>
      </c>
      <c r="G324" s="13">
        <v>1</v>
      </c>
      <c r="H324" s="22">
        <v>1</v>
      </c>
      <c r="I324" s="22">
        <v>1</v>
      </c>
      <c r="J324" s="22">
        <v>1</v>
      </c>
      <c r="K324" s="13">
        <v>7.0289855072463769E-2</v>
      </c>
      <c r="L324" s="13">
        <v>46</v>
      </c>
      <c r="M324" s="13">
        <v>9.6162500000000009</v>
      </c>
      <c r="N324" s="13">
        <v>617</v>
      </c>
      <c r="O324" s="13">
        <v>0</v>
      </c>
      <c r="P324" s="13">
        <v>0.25322529999999999</v>
      </c>
      <c r="Q324" s="13">
        <v>667</v>
      </c>
      <c r="R324" s="17">
        <v>0.3610118357972889</v>
      </c>
      <c r="S324" s="13">
        <v>653</v>
      </c>
      <c r="U324" s="35">
        <v>23</v>
      </c>
      <c r="V324" s="24">
        <v>0.13333333333333333</v>
      </c>
      <c r="W324" s="3">
        <v>7.5</v>
      </c>
      <c r="X324" s="3"/>
      <c r="Y324" s="5">
        <v>5.1247984516441232</v>
      </c>
      <c r="Z324" s="5">
        <v>3.67176685</v>
      </c>
      <c r="AA324" s="5">
        <v>0</v>
      </c>
      <c r="AB324" s="5">
        <v>128.98317934782611</v>
      </c>
      <c r="AD324" s="23">
        <v>1482.3150000000001</v>
      </c>
      <c r="AE324" s="5">
        <f t="shared" si="5"/>
        <v>8.7736687593151412</v>
      </c>
    </row>
    <row r="325" spans="1:31" ht="25.5" customHeight="1" x14ac:dyDescent="0.2">
      <c r="A325" s="54"/>
      <c r="B325" s="21" t="s">
        <v>43</v>
      </c>
      <c r="C325" s="22">
        <v>200</v>
      </c>
      <c r="D325" s="22">
        <v>1500</v>
      </c>
      <c r="E325" s="22">
        <v>1500</v>
      </c>
      <c r="F325" s="3">
        <v>1</v>
      </c>
      <c r="G325" s="13">
        <v>1</v>
      </c>
      <c r="H325" s="22">
        <v>1</v>
      </c>
      <c r="I325" s="22">
        <v>1</v>
      </c>
      <c r="J325" s="22">
        <v>1</v>
      </c>
      <c r="K325" s="13">
        <v>7.0000000000000007E-2</v>
      </c>
      <c r="L325" s="13">
        <v>70</v>
      </c>
      <c r="M325" s="13">
        <v>9.6162500000000009</v>
      </c>
      <c r="N325" s="13">
        <v>617</v>
      </c>
      <c r="O325" s="13">
        <v>0</v>
      </c>
      <c r="P325" s="13">
        <v>0.25322529999999999</v>
      </c>
      <c r="Q325" s="13">
        <v>667</v>
      </c>
      <c r="R325" s="17">
        <v>0.3610118357972889</v>
      </c>
      <c r="S325" s="13">
        <v>653</v>
      </c>
      <c r="U325" s="35">
        <v>23</v>
      </c>
      <c r="V325" s="24">
        <v>0.13333333333333333</v>
      </c>
      <c r="W325" s="3">
        <v>7.5</v>
      </c>
      <c r="X325" s="3"/>
      <c r="Y325" s="5">
        <v>3.3677246967947094</v>
      </c>
      <c r="Z325" s="5">
        <v>2.4128753585714287</v>
      </c>
      <c r="AA325" s="5">
        <v>0</v>
      </c>
      <c r="AB325" s="5">
        <v>84.76037500000001</v>
      </c>
      <c r="AD325" s="23">
        <v>1876</v>
      </c>
      <c r="AE325" s="5">
        <f t="shared" si="5"/>
        <v>9.0012631943151913</v>
      </c>
    </row>
    <row r="326" spans="1:31" ht="25.5" customHeight="1" x14ac:dyDescent="0.2">
      <c r="A326" s="54"/>
      <c r="B326" s="21" t="s">
        <v>421</v>
      </c>
      <c r="C326" s="22">
        <v>200</v>
      </c>
      <c r="D326" s="22">
        <v>1500</v>
      </c>
      <c r="E326" s="22">
        <v>1500</v>
      </c>
      <c r="F326" s="3">
        <v>1</v>
      </c>
      <c r="G326" s="13">
        <v>1</v>
      </c>
      <c r="H326" s="22">
        <v>1</v>
      </c>
      <c r="I326" s="22">
        <v>1</v>
      </c>
      <c r="J326" s="22">
        <v>1</v>
      </c>
      <c r="K326" s="13">
        <v>7.0289855072463769E-2</v>
      </c>
      <c r="L326" s="13">
        <v>46</v>
      </c>
      <c r="M326" s="13">
        <v>9.6162500000000009</v>
      </c>
      <c r="N326" s="13">
        <v>617</v>
      </c>
      <c r="O326" s="17">
        <v>2.3020481818181815</v>
      </c>
      <c r="P326" s="13">
        <v>0.25322529999999999</v>
      </c>
      <c r="Q326" s="13">
        <v>667</v>
      </c>
      <c r="R326" s="17">
        <v>0.3610118357972889</v>
      </c>
      <c r="S326" s="13">
        <v>653</v>
      </c>
      <c r="U326" s="35">
        <v>23</v>
      </c>
      <c r="V326" s="24">
        <v>0.13333333333333333</v>
      </c>
      <c r="W326" s="3">
        <v>7.5</v>
      </c>
      <c r="X326" s="3"/>
      <c r="Y326" s="5">
        <v>5.1247984516441232</v>
      </c>
      <c r="Z326" s="5">
        <v>3.67176685</v>
      </c>
      <c r="AA326" s="5">
        <v>33.379698636363635</v>
      </c>
      <c r="AB326" s="5">
        <v>128.98317934782611</v>
      </c>
      <c r="AD326" s="23">
        <v>1905.5</v>
      </c>
      <c r="AE326" s="5">
        <f t="shared" si="5"/>
        <v>11.278456887284419</v>
      </c>
    </row>
    <row r="327" spans="1:31" ht="25.5" customHeight="1" x14ac:dyDescent="0.2">
      <c r="A327" s="54"/>
      <c r="B327" s="21" t="s">
        <v>422</v>
      </c>
      <c r="C327" s="22">
        <v>200</v>
      </c>
      <c r="D327" s="22">
        <v>1500</v>
      </c>
      <c r="E327" s="22">
        <v>1500</v>
      </c>
      <c r="F327" s="3">
        <v>1</v>
      </c>
      <c r="G327" s="13">
        <v>1</v>
      </c>
      <c r="H327" s="22">
        <v>1</v>
      </c>
      <c r="I327" s="22">
        <v>3</v>
      </c>
      <c r="J327" s="22">
        <v>1</v>
      </c>
      <c r="K327" s="13">
        <v>7.0289855072463769E-2</v>
      </c>
      <c r="L327" s="13">
        <v>46</v>
      </c>
      <c r="M327" s="13">
        <v>2.0095999999999998</v>
      </c>
      <c r="N327" s="13">
        <v>653</v>
      </c>
      <c r="O327" s="17">
        <v>2.3020481818181815</v>
      </c>
      <c r="P327" s="13">
        <v>0.25322529999999999</v>
      </c>
      <c r="Q327" s="13">
        <v>667</v>
      </c>
      <c r="R327" s="17">
        <v>0.3610118357972889</v>
      </c>
      <c r="S327" s="13">
        <v>653</v>
      </c>
      <c r="U327" s="35">
        <v>23</v>
      </c>
      <c r="V327" s="24">
        <v>0.13333333333333333</v>
      </c>
      <c r="W327" s="3">
        <v>7.5</v>
      </c>
      <c r="X327" s="3"/>
      <c r="Y327" s="5">
        <v>5.1247984516441232</v>
      </c>
      <c r="Z327" s="5">
        <v>3.67176685</v>
      </c>
      <c r="AA327" s="5">
        <v>33.379698636363635</v>
      </c>
      <c r="AB327" s="5">
        <v>28.527582608695649</v>
      </c>
      <c r="AD327" s="23">
        <v>1112.405</v>
      </c>
      <c r="AE327" s="5">
        <f t="shared" si="5"/>
        <v>6.5842098313826405</v>
      </c>
    </row>
    <row r="328" spans="1:31" ht="25.5" customHeight="1" x14ac:dyDescent="0.2">
      <c r="A328" s="13" t="s">
        <v>423</v>
      </c>
      <c r="B328" s="36" t="s">
        <v>424</v>
      </c>
      <c r="C328" s="22">
        <v>100</v>
      </c>
      <c r="D328" s="22">
        <v>3000</v>
      </c>
      <c r="E328" s="22">
        <v>1500</v>
      </c>
      <c r="F328" s="13">
        <v>0.5</v>
      </c>
      <c r="G328" s="13">
        <v>0.5</v>
      </c>
      <c r="H328" s="22">
        <v>1</v>
      </c>
      <c r="I328" s="22">
        <v>1</v>
      </c>
      <c r="J328" s="22">
        <v>1</v>
      </c>
      <c r="K328" s="13">
        <v>0</v>
      </c>
      <c r="L328" s="13">
        <v>27.2</v>
      </c>
      <c r="M328" s="13">
        <v>2.2608000000000001</v>
      </c>
      <c r="N328" s="13">
        <v>315</v>
      </c>
      <c r="O328" s="13">
        <v>1.1304000000000001</v>
      </c>
      <c r="P328" s="13">
        <v>1.6746666666666667</v>
      </c>
      <c r="Q328" s="13">
        <v>380</v>
      </c>
      <c r="R328" s="13">
        <v>0.80742857142857138</v>
      </c>
      <c r="S328" s="13">
        <v>315</v>
      </c>
      <c r="U328" s="6"/>
      <c r="V328" s="24">
        <v>6.6666666666666666E-2</v>
      </c>
      <c r="W328" s="3">
        <v>30</v>
      </c>
      <c r="X328" s="6"/>
      <c r="Y328" s="5">
        <v>9.350735294117646</v>
      </c>
      <c r="Z328" s="5">
        <v>23.396078431372551</v>
      </c>
      <c r="AA328" s="5">
        <v>15.792352941176471</v>
      </c>
      <c r="AB328" s="5">
        <v>26.182058823529413</v>
      </c>
      <c r="AD328" s="24">
        <v>769.95640830549996</v>
      </c>
      <c r="AE328" s="5">
        <f t="shared" si="5"/>
        <v>5.9265415350508102</v>
      </c>
    </row>
    <row r="329" spans="1:31" ht="25.5" customHeight="1" x14ac:dyDescent="0.2">
      <c r="A329" s="20" t="s">
        <v>425</v>
      </c>
      <c r="B329" s="21" t="s">
        <v>68</v>
      </c>
      <c r="C329" s="22">
        <v>200</v>
      </c>
      <c r="D329" s="3">
        <v>1300</v>
      </c>
      <c r="E329" s="3">
        <v>2800</v>
      </c>
      <c r="F329" s="13">
        <v>2.15</v>
      </c>
      <c r="G329" s="13">
        <v>2.15</v>
      </c>
      <c r="H329" s="22">
        <v>1</v>
      </c>
      <c r="I329" s="22">
        <v>3</v>
      </c>
      <c r="J329" s="22">
        <v>1</v>
      </c>
      <c r="K329" s="13">
        <v>5.0999999999999997E-2</v>
      </c>
      <c r="L329" s="13">
        <v>49.1</v>
      </c>
      <c r="M329" s="13">
        <v>1.494</v>
      </c>
      <c r="N329" s="13">
        <v>458.3</v>
      </c>
      <c r="O329" s="24">
        <v>0.30159289474462014</v>
      </c>
      <c r="P329" s="13">
        <v>0.47123889803846897</v>
      </c>
      <c r="Q329" s="13">
        <v>483.2</v>
      </c>
      <c r="R329" s="13">
        <v>0.35299999999999998</v>
      </c>
      <c r="S329" s="13">
        <v>455.4</v>
      </c>
      <c r="U329" s="35" t="s">
        <v>225</v>
      </c>
      <c r="V329" s="24">
        <v>0.15846153846153846</v>
      </c>
      <c r="W329" s="3">
        <v>6.5</v>
      </c>
      <c r="X329" s="6"/>
      <c r="Y329" s="5">
        <v>3.2740570264765778</v>
      </c>
      <c r="Z329" s="5">
        <v>4.6375282185781712</v>
      </c>
      <c r="AA329" s="5">
        <v>2.6252709412189543</v>
      </c>
      <c r="AB329" s="5">
        <v>13.945014256619144</v>
      </c>
      <c r="AD329" s="19">
        <v>356.5</v>
      </c>
      <c r="AE329" s="5">
        <f t="shared" si="5"/>
        <v>2.3566025396325792</v>
      </c>
    </row>
    <row r="330" spans="1:31" ht="24" customHeight="1" x14ac:dyDescent="0.2">
      <c r="A330" s="53" t="s">
        <v>426</v>
      </c>
      <c r="B330" s="36" t="s">
        <v>427</v>
      </c>
      <c r="C330" s="22">
        <v>60</v>
      </c>
      <c r="D330" s="22">
        <v>600</v>
      </c>
      <c r="E330" s="22">
        <v>1200</v>
      </c>
      <c r="F330" s="13">
        <v>2</v>
      </c>
      <c r="G330" s="13">
        <v>2</v>
      </c>
      <c r="H330" s="22">
        <v>1</v>
      </c>
      <c r="I330" s="22">
        <v>3</v>
      </c>
      <c r="J330" s="22">
        <v>1</v>
      </c>
      <c r="K330" s="13">
        <v>0</v>
      </c>
      <c r="L330" s="13">
        <v>36.9</v>
      </c>
      <c r="M330" s="13">
        <v>6.8509090909090906</v>
      </c>
      <c r="N330" s="13">
        <v>501.1</v>
      </c>
      <c r="O330" s="13">
        <v>0.78500000000000003</v>
      </c>
      <c r="P330" s="13">
        <v>0.39250000000000002</v>
      </c>
      <c r="Q330" s="13">
        <v>551.6</v>
      </c>
      <c r="R330" s="17">
        <v>0.5</v>
      </c>
      <c r="S330" s="13">
        <v>551.6</v>
      </c>
      <c r="U330" s="6"/>
      <c r="V330" s="24">
        <v>0.18333333333333332</v>
      </c>
      <c r="W330" s="3">
        <v>10</v>
      </c>
      <c r="X330" s="6"/>
      <c r="Y330" s="5">
        <v>7.4742547425474264</v>
      </c>
      <c r="Z330" s="5">
        <v>5.8672899728997292</v>
      </c>
      <c r="AA330" s="5">
        <v>11.734579945799458</v>
      </c>
      <c r="AB330" s="5">
        <v>93.034974131559508</v>
      </c>
      <c r="AD330" s="24">
        <v>104.59465</v>
      </c>
      <c r="AE330" s="5">
        <f t="shared" si="5"/>
        <v>5.7601618751748953</v>
      </c>
    </row>
    <row r="331" spans="1:31" ht="24" customHeight="1" x14ac:dyDescent="0.2">
      <c r="A331" s="54"/>
      <c r="B331" s="36" t="s">
        <v>428</v>
      </c>
      <c r="C331" s="22">
        <v>60</v>
      </c>
      <c r="D331" s="22">
        <v>600</v>
      </c>
      <c r="E331" s="22">
        <v>1200</v>
      </c>
      <c r="F331" s="13">
        <v>2</v>
      </c>
      <c r="G331" s="13">
        <v>2</v>
      </c>
      <c r="H331" s="22">
        <v>1</v>
      </c>
      <c r="I331" s="22">
        <v>1</v>
      </c>
      <c r="J331" s="22">
        <v>1</v>
      </c>
      <c r="K331" s="13">
        <v>0</v>
      </c>
      <c r="L331" s="13">
        <v>31.8</v>
      </c>
      <c r="M331" s="13">
        <v>12.73</v>
      </c>
      <c r="N331" s="13">
        <v>533.1</v>
      </c>
      <c r="O331" s="13">
        <v>0.34888888888888892</v>
      </c>
      <c r="P331" s="13">
        <v>0.34888888888888892</v>
      </c>
      <c r="Q331" s="13">
        <v>404.6</v>
      </c>
      <c r="R331" s="17">
        <v>0.59</v>
      </c>
      <c r="S331" s="13">
        <v>551.6</v>
      </c>
      <c r="U331" s="6"/>
      <c r="V331" s="24">
        <v>0.1</v>
      </c>
      <c r="W331" s="3">
        <v>10</v>
      </c>
      <c r="X331" s="6"/>
      <c r="Y331" s="5">
        <v>10.234088050314465</v>
      </c>
      <c r="Z331" s="5">
        <v>4.4390076869322161</v>
      </c>
      <c r="AA331" s="5">
        <v>4.4390076869322161</v>
      </c>
      <c r="AB331" s="5">
        <v>213.40764150943397</v>
      </c>
      <c r="AD331" s="24">
        <v>113.73904999999999</v>
      </c>
      <c r="AE331" s="5">
        <f t="shared" si="5"/>
        <v>6.7473686188709685</v>
      </c>
    </row>
    <row r="332" spans="1:31" ht="24" customHeight="1" x14ac:dyDescent="0.2">
      <c r="A332" s="54"/>
      <c r="B332" s="36" t="s">
        <v>429</v>
      </c>
      <c r="C332" s="22">
        <v>60</v>
      </c>
      <c r="D332" s="22">
        <v>600</v>
      </c>
      <c r="E332" s="22">
        <v>1200</v>
      </c>
      <c r="F332" s="13">
        <v>2</v>
      </c>
      <c r="G332" s="13">
        <v>2</v>
      </c>
      <c r="H332" s="22">
        <v>1</v>
      </c>
      <c r="I332" s="22">
        <v>2</v>
      </c>
      <c r="J332" s="22">
        <v>1</v>
      </c>
      <c r="K332" s="13">
        <v>0</v>
      </c>
      <c r="L332" s="13">
        <v>38.6</v>
      </c>
      <c r="M332" s="13">
        <v>6.8509090909090906</v>
      </c>
      <c r="N332" s="13">
        <v>501.1</v>
      </c>
      <c r="O332" s="13">
        <v>0.34888888888888892</v>
      </c>
      <c r="P332" s="13">
        <v>0.34888888888888892</v>
      </c>
      <c r="Q332" s="13">
        <v>404.6</v>
      </c>
      <c r="R332" s="17">
        <v>0.5</v>
      </c>
      <c r="S332" s="13">
        <v>551.6</v>
      </c>
      <c r="U332" s="6"/>
      <c r="V332" s="24">
        <v>0.18333333333333332</v>
      </c>
      <c r="W332" s="3">
        <v>10</v>
      </c>
      <c r="X332" s="6"/>
      <c r="Y332" s="5">
        <v>7.1450777202072535</v>
      </c>
      <c r="Z332" s="5">
        <v>3.6570063327576285</v>
      </c>
      <c r="AA332" s="5">
        <v>3.6570063327576285</v>
      </c>
      <c r="AB332" s="5">
        <v>88.937578897786153</v>
      </c>
      <c r="AD332" s="24">
        <v>110.68430000000001</v>
      </c>
      <c r="AE332" s="5">
        <f t="shared" si="5"/>
        <v>5.9597874443369303</v>
      </c>
    </row>
    <row r="333" spans="1:31" ht="24" customHeight="1" x14ac:dyDescent="0.2">
      <c r="A333" s="54"/>
      <c r="B333" s="36" t="s">
        <v>430</v>
      </c>
      <c r="C333" s="22">
        <v>60</v>
      </c>
      <c r="D333" s="22">
        <v>600</v>
      </c>
      <c r="E333" s="22">
        <v>1200</v>
      </c>
      <c r="F333" s="13">
        <v>2</v>
      </c>
      <c r="G333" s="13">
        <v>2</v>
      </c>
      <c r="H333" s="22">
        <v>1</v>
      </c>
      <c r="I333" s="22">
        <v>1</v>
      </c>
      <c r="J333" s="22">
        <v>1</v>
      </c>
      <c r="K333" s="13">
        <v>0</v>
      </c>
      <c r="L333" s="13">
        <v>32</v>
      </c>
      <c r="M333" s="13">
        <v>12.73</v>
      </c>
      <c r="N333" s="13">
        <v>533.1</v>
      </c>
      <c r="O333" s="13">
        <v>0.78500000000000003</v>
      </c>
      <c r="P333" s="13">
        <v>0.39250000000000002</v>
      </c>
      <c r="Q333" s="13">
        <v>551.6</v>
      </c>
      <c r="R333" s="17">
        <v>0.59</v>
      </c>
      <c r="S333" s="13">
        <v>551.6</v>
      </c>
      <c r="U333" s="6"/>
      <c r="V333" s="24">
        <v>0.1</v>
      </c>
      <c r="W333" s="3">
        <v>10</v>
      </c>
      <c r="X333" s="6"/>
      <c r="Y333" s="5">
        <v>10.170125000000001</v>
      </c>
      <c r="Z333" s="5">
        <v>6.7657187500000004</v>
      </c>
      <c r="AA333" s="5">
        <v>13.531437500000001</v>
      </c>
      <c r="AB333" s="5">
        <v>212.07384375000001</v>
      </c>
      <c r="AD333" s="24">
        <v>125.85668255225499</v>
      </c>
      <c r="AE333" s="5">
        <f t="shared" si="5"/>
        <v>7.4428572804022153</v>
      </c>
    </row>
    <row r="334" spans="1:31" ht="24" customHeight="1" x14ac:dyDescent="0.2">
      <c r="A334" s="54"/>
      <c r="B334" s="36" t="s">
        <v>431</v>
      </c>
      <c r="C334" s="22">
        <v>60</v>
      </c>
      <c r="D334" s="22">
        <v>600</v>
      </c>
      <c r="E334" s="22">
        <v>1200</v>
      </c>
      <c r="F334" s="13">
        <v>2</v>
      </c>
      <c r="G334" s="13">
        <v>2</v>
      </c>
      <c r="H334" s="22">
        <v>1</v>
      </c>
      <c r="I334" s="22">
        <v>2</v>
      </c>
      <c r="J334" s="22">
        <v>1</v>
      </c>
      <c r="K334" s="13">
        <v>0</v>
      </c>
      <c r="L334" s="13">
        <v>45.8</v>
      </c>
      <c r="M334" s="13">
        <v>7.1363636363636367</v>
      </c>
      <c r="N334" s="13">
        <v>533.1</v>
      </c>
      <c r="O334" s="13">
        <v>0.41866666666666663</v>
      </c>
      <c r="P334" s="13">
        <v>0.41866666666666669</v>
      </c>
      <c r="Q334" s="13">
        <v>404.6</v>
      </c>
      <c r="R334" s="17">
        <v>0.5</v>
      </c>
      <c r="S334" s="13">
        <v>551.6</v>
      </c>
      <c r="U334" s="6"/>
      <c r="V334" s="24">
        <v>0.18333333333333332</v>
      </c>
      <c r="W334" s="3">
        <v>10</v>
      </c>
      <c r="X334" s="6"/>
      <c r="Y334" s="5">
        <v>6.0218340611353716</v>
      </c>
      <c r="Z334" s="5">
        <v>3.6985269286754008</v>
      </c>
      <c r="AA334" s="5">
        <v>3.6985269286754003</v>
      </c>
      <c r="AB334" s="5">
        <v>83.065402937673696</v>
      </c>
      <c r="AD334" s="24">
        <v>94.807124916383998</v>
      </c>
      <c r="AE334" s="5">
        <f t="shared" si="5"/>
        <v>4.6864785972160341</v>
      </c>
    </row>
    <row r="335" spans="1:31" ht="24" customHeight="1" x14ac:dyDescent="0.2">
      <c r="A335" s="54"/>
      <c r="B335" s="36" t="s">
        <v>432</v>
      </c>
      <c r="C335" s="22">
        <v>60</v>
      </c>
      <c r="D335" s="22">
        <v>600</v>
      </c>
      <c r="E335" s="22">
        <v>1200</v>
      </c>
      <c r="F335" s="13">
        <v>2</v>
      </c>
      <c r="G335" s="13">
        <v>2</v>
      </c>
      <c r="H335" s="22">
        <v>1</v>
      </c>
      <c r="I335" s="22">
        <v>2</v>
      </c>
      <c r="J335" s="22">
        <v>1</v>
      </c>
      <c r="K335" s="13">
        <v>0</v>
      </c>
      <c r="L335" s="13">
        <v>38.9</v>
      </c>
      <c r="M335" s="13">
        <v>7.1363636363636367</v>
      </c>
      <c r="N335" s="13">
        <v>533.1</v>
      </c>
      <c r="O335" s="13">
        <v>0.59809523809523812</v>
      </c>
      <c r="P335" s="13">
        <v>0.59809523809523812</v>
      </c>
      <c r="Q335" s="13">
        <v>404.6</v>
      </c>
      <c r="R335" s="17">
        <v>0.5</v>
      </c>
      <c r="S335" s="13">
        <v>551.6</v>
      </c>
      <c r="U335" s="6"/>
      <c r="V335" s="24">
        <v>0.18333333333333332</v>
      </c>
      <c r="W335" s="3">
        <v>10</v>
      </c>
      <c r="X335" s="6"/>
      <c r="Y335" s="5">
        <v>7.0899742930591261</v>
      </c>
      <c r="Z335" s="5">
        <v>6.2208054841473874</v>
      </c>
      <c r="AA335" s="5">
        <v>6.2208054841473874</v>
      </c>
      <c r="AB335" s="5">
        <v>97.79936901145129</v>
      </c>
      <c r="AD335" s="24">
        <v>97.636761874221008</v>
      </c>
      <c r="AE335" s="5">
        <f t="shared" si="5"/>
        <v>5.2369323934305418</v>
      </c>
    </row>
    <row r="336" spans="1:31" ht="25.5" customHeight="1" x14ac:dyDescent="0.2">
      <c r="A336" s="3" t="s">
        <v>433</v>
      </c>
      <c r="B336" s="34" t="s">
        <v>145</v>
      </c>
      <c r="C336" s="22">
        <v>160</v>
      </c>
      <c r="D336" s="22">
        <v>1000</v>
      </c>
      <c r="E336" s="22">
        <v>850</v>
      </c>
      <c r="F336" s="13">
        <v>0.85</v>
      </c>
      <c r="G336" s="13">
        <v>0.85</v>
      </c>
      <c r="H336" s="22">
        <v>1</v>
      </c>
      <c r="I336" s="22">
        <v>3</v>
      </c>
      <c r="J336" s="22">
        <v>1</v>
      </c>
      <c r="K336" s="3">
        <v>0.15</v>
      </c>
      <c r="L336" s="13">
        <v>26.48</v>
      </c>
      <c r="M336" s="13">
        <v>0.78539816339744828</v>
      </c>
      <c r="N336" s="3">
        <v>338.2</v>
      </c>
      <c r="O336" s="13">
        <v>0.22428571428571428</v>
      </c>
      <c r="P336" s="13">
        <v>0.25232142857142859</v>
      </c>
      <c r="Q336" s="3">
        <v>535.82000000000005</v>
      </c>
      <c r="R336" s="13">
        <v>0.2598743923006262</v>
      </c>
      <c r="S336" s="3">
        <v>535.82000000000005</v>
      </c>
      <c r="U336" s="6"/>
      <c r="V336" s="24">
        <v>0.16</v>
      </c>
      <c r="W336" s="3">
        <v>6.25</v>
      </c>
      <c r="X336" s="6"/>
      <c r="Y336" s="5">
        <v>5.2585308490378226</v>
      </c>
      <c r="Z336" s="5">
        <v>5.1056974266292627</v>
      </c>
      <c r="AA336" s="5">
        <v>2.8645554596460938</v>
      </c>
      <c r="AB336" s="5">
        <v>10.0310294131804</v>
      </c>
      <c r="AD336" s="24">
        <v>336.65</v>
      </c>
      <c r="AE336" s="5">
        <f t="shared" si="5"/>
        <v>4.9242551408477979</v>
      </c>
    </row>
    <row r="337" spans="1:31" ht="25.5" customHeight="1" x14ac:dyDescent="0.2">
      <c r="A337" s="13" t="s">
        <v>434</v>
      </c>
      <c r="B337" s="36" t="s">
        <v>435</v>
      </c>
      <c r="C337" s="22">
        <v>100</v>
      </c>
      <c r="D337" s="22">
        <v>2650</v>
      </c>
      <c r="E337" s="22">
        <v>2400</v>
      </c>
      <c r="F337" s="13">
        <v>0.91</v>
      </c>
      <c r="G337" s="13">
        <v>0.90566037735849059</v>
      </c>
      <c r="H337" s="22">
        <v>1</v>
      </c>
      <c r="I337" s="22">
        <v>3</v>
      </c>
      <c r="J337" s="22">
        <v>1</v>
      </c>
      <c r="K337" s="13">
        <v>0.04</v>
      </c>
      <c r="L337" s="13">
        <v>17.16</v>
      </c>
      <c r="M337" s="13">
        <v>1.5193517999999999</v>
      </c>
      <c r="N337" s="13">
        <v>450</v>
      </c>
      <c r="O337" s="13">
        <v>0</v>
      </c>
      <c r="P337" s="13">
        <v>0.283385</v>
      </c>
      <c r="Q337" s="13">
        <v>485</v>
      </c>
      <c r="R337" s="13">
        <v>0.283385</v>
      </c>
      <c r="S337" s="13">
        <v>485</v>
      </c>
      <c r="U337" s="6"/>
      <c r="V337" s="24">
        <v>9.4339622641509441E-2</v>
      </c>
      <c r="W337" s="3">
        <v>26.5</v>
      </c>
      <c r="X337" s="6"/>
      <c r="Y337" s="5">
        <v>8.0094245337995336</v>
      </c>
      <c r="Z337" s="5">
        <v>8.0094245337995336</v>
      </c>
      <c r="AA337" s="5">
        <v>0</v>
      </c>
      <c r="AB337" s="5">
        <v>39.843141608391605</v>
      </c>
      <c r="AD337" s="24">
        <v>456.24900000000002</v>
      </c>
      <c r="AE337" s="5">
        <f t="shared" si="5"/>
        <v>5.0053944889059299</v>
      </c>
    </row>
    <row r="338" spans="1:31" ht="25.5" customHeight="1" x14ac:dyDescent="0.2">
      <c r="A338" s="13" t="s">
        <v>436</v>
      </c>
      <c r="B338" s="36" t="s">
        <v>437</v>
      </c>
      <c r="C338" s="22">
        <v>200</v>
      </c>
      <c r="D338" s="22">
        <v>1560</v>
      </c>
      <c r="E338" s="22">
        <v>3000</v>
      </c>
      <c r="F338" s="13">
        <v>1.9230769230769231</v>
      </c>
      <c r="G338" s="13">
        <v>1.9230769230769231</v>
      </c>
      <c r="H338" s="22">
        <v>1</v>
      </c>
      <c r="I338" s="22">
        <v>3</v>
      </c>
      <c r="J338" s="22">
        <v>1</v>
      </c>
      <c r="K338" s="13">
        <v>1.3149243918474688E-2</v>
      </c>
      <c r="L338" s="13">
        <v>39</v>
      </c>
      <c r="M338" s="13">
        <v>0.74799825085471261</v>
      </c>
      <c r="N338" s="13">
        <v>485.55</v>
      </c>
      <c r="O338" s="13">
        <v>0.3351032163829113</v>
      </c>
      <c r="P338" s="13">
        <v>0.26179938779914941</v>
      </c>
      <c r="Q338" s="13">
        <v>485.55</v>
      </c>
      <c r="R338" s="13">
        <v>0.27557830294647306</v>
      </c>
      <c r="S338" s="13">
        <v>485.55</v>
      </c>
      <c r="U338" s="6"/>
      <c r="V338" s="24">
        <v>0.13461538461538461</v>
      </c>
      <c r="W338" s="3">
        <v>7.8</v>
      </c>
      <c r="X338" s="6"/>
      <c r="Y338" s="5">
        <v>3.4309498716835898</v>
      </c>
      <c r="Z338" s="5">
        <v>3.2594023780994101</v>
      </c>
      <c r="AA338" s="5">
        <v>4.172035043967246</v>
      </c>
      <c r="AB338" s="5">
        <v>9.3125782231411733</v>
      </c>
      <c r="AD338" s="24">
        <v>170</v>
      </c>
      <c r="AE338" s="5">
        <f t="shared" si="5"/>
        <v>1.0507585319133081</v>
      </c>
    </row>
    <row r="339" spans="1:31" ht="25.5" customHeight="1" x14ac:dyDescent="0.2">
      <c r="A339" s="3" t="s">
        <v>438</v>
      </c>
      <c r="B339" s="34" t="s">
        <v>439</v>
      </c>
      <c r="C339" s="22">
        <v>180</v>
      </c>
      <c r="D339" s="22">
        <v>925</v>
      </c>
      <c r="E339" s="22">
        <v>1700</v>
      </c>
      <c r="F339" s="13">
        <v>1.84</v>
      </c>
      <c r="G339" s="13">
        <v>1.8378378378378379</v>
      </c>
      <c r="H339" s="22">
        <v>1</v>
      </c>
      <c r="I339" s="22">
        <v>3</v>
      </c>
      <c r="J339" s="22">
        <v>1</v>
      </c>
      <c r="K339" s="3">
        <v>0.28028028028028029</v>
      </c>
      <c r="L339" s="13">
        <v>30</v>
      </c>
      <c r="M339" s="13">
        <v>3.1415926535897931</v>
      </c>
      <c r="N339" s="3">
        <v>402</v>
      </c>
      <c r="O339" s="13">
        <v>0.314</v>
      </c>
      <c r="P339" s="13">
        <v>0.628</v>
      </c>
      <c r="Q339" s="3">
        <v>312</v>
      </c>
      <c r="R339" s="13">
        <v>0.22241363919219773</v>
      </c>
      <c r="S339" s="3">
        <v>312</v>
      </c>
      <c r="U339" s="6"/>
      <c r="V339" s="24">
        <v>0.19459459459459461</v>
      </c>
      <c r="W339" s="3">
        <v>5.1388888888888893</v>
      </c>
      <c r="X339" s="6"/>
      <c r="Y339" s="5">
        <v>2.3131018475988565</v>
      </c>
      <c r="Z339" s="5">
        <v>6.5312000000000001</v>
      </c>
      <c r="AA339" s="5">
        <v>3.2656000000000001</v>
      </c>
      <c r="AB339" s="5">
        <v>42.097341558103231</v>
      </c>
      <c r="AD339" s="24">
        <v>514.5</v>
      </c>
      <c r="AE339" s="5">
        <f t="shared" si="5"/>
        <v>6.7944047565224519</v>
      </c>
    </row>
    <row r="340" spans="1:31" ht="25.5" customHeight="1" x14ac:dyDescent="0.2">
      <c r="A340" s="3" t="s">
        <v>440</v>
      </c>
      <c r="B340" s="34" t="s">
        <v>330</v>
      </c>
      <c r="C340" s="22">
        <v>100</v>
      </c>
      <c r="D340" s="22">
        <v>700</v>
      </c>
      <c r="E340" s="22">
        <v>1400</v>
      </c>
      <c r="F340" s="13">
        <v>2</v>
      </c>
      <c r="G340" s="13">
        <v>2</v>
      </c>
      <c r="H340" s="22">
        <v>1</v>
      </c>
      <c r="I340" s="22">
        <v>2</v>
      </c>
      <c r="J340" s="22">
        <v>1</v>
      </c>
      <c r="K340" s="3">
        <v>0.18999961095549331</v>
      </c>
      <c r="L340" s="13">
        <v>44.064</v>
      </c>
      <c r="M340" s="13">
        <v>4.0034455054595597</v>
      </c>
      <c r="N340" s="3">
        <v>409</v>
      </c>
      <c r="O340" s="13">
        <v>0.37699111843077515</v>
      </c>
      <c r="P340" s="13">
        <v>0.28260000000000002</v>
      </c>
      <c r="Q340" s="3">
        <v>270</v>
      </c>
      <c r="R340" s="13">
        <v>0.47720394738072808</v>
      </c>
      <c r="S340" s="3">
        <v>270</v>
      </c>
      <c r="U340" s="6"/>
      <c r="V340" s="24">
        <v>0.16142857142857142</v>
      </c>
      <c r="W340" s="3">
        <v>7</v>
      </c>
      <c r="X340" s="6"/>
      <c r="Y340" s="5">
        <v>2.9240437952250495</v>
      </c>
      <c r="Z340" s="5">
        <v>1.7316176470588236</v>
      </c>
      <c r="AA340" s="5">
        <v>2.3099945982277887</v>
      </c>
      <c r="AB340" s="5">
        <v>37.159795110134347</v>
      </c>
      <c r="AD340" s="24">
        <v>213.45</v>
      </c>
      <c r="AE340" s="5">
        <f t="shared" si="5"/>
        <v>5.5321896656860785</v>
      </c>
    </row>
    <row r="341" spans="1:31" ht="25.5" customHeight="1" x14ac:dyDescent="0.2">
      <c r="A341" s="56" t="s">
        <v>441</v>
      </c>
      <c r="B341" s="36" t="s">
        <v>442</v>
      </c>
      <c r="C341" s="22">
        <v>167</v>
      </c>
      <c r="D341" s="22">
        <v>2510</v>
      </c>
      <c r="E341" s="22">
        <v>2510</v>
      </c>
      <c r="F341" s="13">
        <v>1</v>
      </c>
      <c r="G341" s="13">
        <v>1</v>
      </c>
      <c r="H341" s="22">
        <v>1</v>
      </c>
      <c r="I341" s="22" t="s">
        <v>353</v>
      </c>
      <c r="J341" s="22">
        <v>1</v>
      </c>
      <c r="K341" s="3">
        <v>7.4626865671641784E-2</v>
      </c>
      <c r="L341" s="13">
        <v>26.8</v>
      </c>
      <c r="M341" s="13">
        <v>0</v>
      </c>
      <c r="N341" s="3" t="s">
        <v>26</v>
      </c>
      <c r="O341" s="13">
        <v>0</v>
      </c>
      <c r="P341" s="13">
        <v>1.23</v>
      </c>
      <c r="Q341" s="3" t="s">
        <v>353</v>
      </c>
      <c r="R341" s="13">
        <v>1.23</v>
      </c>
      <c r="S341" s="3" t="s">
        <v>353</v>
      </c>
      <c r="U341" s="6"/>
      <c r="V341" s="24">
        <v>0</v>
      </c>
      <c r="W341" s="3">
        <v>15.029940119760479</v>
      </c>
      <c r="X341" s="6"/>
      <c r="Y341" s="5">
        <v>16.93544776119403</v>
      </c>
      <c r="Z341" s="5">
        <v>16.93544776119403</v>
      </c>
      <c r="AA341" s="5">
        <v>0</v>
      </c>
      <c r="AB341" s="5">
        <v>0</v>
      </c>
      <c r="AD341" s="24">
        <v>2014.9</v>
      </c>
      <c r="AE341" s="5">
        <f t="shared" si="5"/>
        <v>11.18244596897445</v>
      </c>
    </row>
    <row r="342" spans="1:31" ht="25.5" customHeight="1" x14ac:dyDescent="0.2">
      <c r="A342" s="56"/>
      <c r="B342" s="36" t="s">
        <v>443</v>
      </c>
      <c r="C342" s="22">
        <v>134</v>
      </c>
      <c r="D342" s="22">
        <v>2510</v>
      </c>
      <c r="E342" s="22">
        <v>2510</v>
      </c>
      <c r="F342" s="13">
        <v>1</v>
      </c>
      <c r="G342" s="13">
        <v>1</v>
      </c>
      <c r="H342" s="22">
        <v>1</v>
      </c>
      <c r="I342" s="22" t="s">
        <v>353</v>
      </c>
      <c r="J342" s="22">
        <v>1</v>
      </c>
      <c r="K342" s="3">
        <v>5.654178674351585E-2</v>
      </c>
      <c r="L342" s="13">
        <v>35.372069317023445</v>
      </c>
      <c r="M342" s="13">
        <v>0</v>
      </c>
      <c r="N342" s="3" t="s">
        <v>26</v>
      </c>
      <c r="O342" s="13">
        <v>0</v>
      </c>
      <c r="P342" s="13">
        <v>1.54</v>
      </c>
      <c r="Q342" s="3" t="s">
        <v>353</v>
      </c>
      <c r="R342" s="13">
        <v>1.54</v>
      </c>
      <c r="S342" s="3" t="s">
        <v>353</v>
      </c>
      <c r="U342" s="6"/>
      <c r="V342" s="24">
        <v>0</v>
      </c>
      <c r="W342" s="3">
        <v>18.731343283582088</v>
      </c>
      <c r="X342" s="6"/>
      <c r="Y342" s="5">
        <v>16.065217867435159</v>
      </c>
      <c r="Z342" s="5">
        <v>16.065217867435159</v>
      </c>
      <c r="AA342" s="5">
        <v>0</v>
      </c>
      <c r="AB342" s="5">
        <v>0</v>
      </c>
      <c r="AD342" s="24">
        <v>1715.7</v>
      </c>
      <c r="AE342" s="5">
        <f t="shared" si="5"/>
        <v>10.329362025518181</v>
      </c>
    </row>
    <row r="343" spans="1:31" ht="25.5" customHeight="1" x14ac:dyDescent="0.2">
      <c r="A343" s="56"/>
      <c r="B343" s="36" t="s">
        <v>444</v>
      </c>
      <c r="C343" s="22">
        <v>150</v>
      </c>
      <c r="D343" s="22">
        <v>2120</v>
      </c>
      <c r="E343" s="22">
        <v>750</v>
      </c>
      <c r="F343" s="13">
        <v>0.35377358490566035</v>
      </c>
      <c r="G343" s="13">
        <v>0.35377358490566035</v>
      </c>
      <c r="H343" s="22">
        <v>3</v>
      </c>
      <c r="I343" s="22" t="s">
        <v>353</v>
      </c>
      <c r="J343" s="22">
        <v>1</v>
      </c>
      <c r="K343" s="3">
        <v>8.1754822724323051E-2</v>
      </c>
      <c r="L343" s="13">
        <v>25.790010193679919</v>
      </c>
      <c r="M343" s="13">
        <v>4.72</v>
      </c>
      <c r="N343" s="3" t="s">
        <v>353</v>
      </c>
      <c r="O343" s="13" t="s">
        <v>353</v>
      </c>
      <c r="P343" s="13">
        <v>1.06</v>
      </c>
      <c r="Q343" s="3" t="s">
        <v>353</v>
      </c>
      <c r="R343" s="13">
        <v>1.06</v>
      </c>
      <c r="S343" s="3" t="s">
        <v>353</v>
      </c>
      <c r="U343" s="6" t="s">
        <v>445</v>
      </c>
      <c r="V343" s="24">
        <v>0.14925373134328357</v>
      </c>
      <c r="W343" s="3">
        <v>14.133333333333333</v>
      </c>
      <c r="X343" s="6"/>
      <c r="Y343" s="5">
        <v>15.166337549407116</v>
      </c>
      <c r="Z343" s="5">
        <v>15.166337549407116</v>
      </c>
      <c r="AA343" s="5">
        <v>0</v>
      </c>
      <c r="AB343" s="5">
        <v>67.533125691699595</v>
      </c>
      <c r="AD343" s="24">
        <v>2367.2277975938182</v>
      </c>
      <c r="AE343" s="5">
        <f t="shared" si="5"/>
        <v>17.653388394925443</v>
      </c>
    </row>
    <row r="344" spans="1:31" ht="25.5" customHeight="1" x14ac:dyDescent="0.2">
      <c r="A344" s="56"/>
      <c r="B344" s="36" t="s">
        <v>446</v>
      </c>
      <c r="C344" s="22">
        <v>120</v>
      </c>
      <c r="D344" s="22">
        <v>2120</v>
      </c>
      <c r="E344" s="22">
        <v>750</v>
      </c>
      <c r="F344" s="13">
        <v>0.35377358490566035</v>
      </c>
      <c r="G344" s="13">
        <v>0.35377358490566035</v>
      </c>
      <c r="H344" s="22">
        <v>3</v>
      </c>
      <c r="I344" s="22" t="s">
        <v>353</v>
      </c>
      <c r="J344" s="22">
        <v>1</v>
      </c>
      <c r="K344" s="3">
        <v>5.3608112813370475E-2</v>
      </c>
      <c r="L344" s="13">
        <v>36.595310907237511</v>
      </c>
      <c r="M344" s="13">
        <v>4.72</v>
      </c>
      <c r="N344" s="3" t="s">
        <v>353</v>
      </c>
      <c r="O344" s="13" t="s">
        <v>353</v>
      </c>
      <c r="P344" s="13">
        <v>1.32</v>
      </c>
      <c r="Q344" s="3" t="s">
        <v>353</v>
      </c>
      <c r="R344" s="13">
        <v>1.32</v>
      </c>
      <c r="S344" s="3" t="s">
        <v>353</v>
      </c>
      <c r="U344" s="6" t="s">
        <v>445</v>
      </c>
      <c r="V344" s="24">
        <v>0.1736111111111111</v>
      </c>
      <c r="W344" s="3">
        <v>17.666666666666668</v>
      </c>
      <c r="X344" s="6"/>
      <c r="Y344" s="5">
        <v>13.309901949860725</v>
      </c>
      <c r="Z344" s="5">
        <v>13.309901949860725</v>
      </c>
      <c r="AA344" s="5">
        <v>0</v>
      </c>
      <c r="AB344" s="5">
        <v>47.592982729805009</v>
      </c>
      <c r="AD344" s="24">
        <v>2658.51</v>
      </c>
      <c r="AE344" s="5">
        <f t="shared" si="5"/>
        <v>20.804121041158972</v>
      </c>
    </row>
    <row r="345" spans="1:31" ht="25.5" customHeight="1" x14ac:dyDescent="0.2">
      <c r="A345" s="56"/>
      <c r="B345" s="36" t="s">
        <v>447</v>
      </c>
      <c r="C345" s="22">
        <v>120</v>
      </c>
      <c r="D345" s="22">
        <v>2120</v>
      </c>
      <c r="E345" s="22">
        <v>750</v>
      </c>
      <c r="F345" s="13">
        <v>0.35377358490566035</v>
      </c>
      <c r="G345" s="13">
        <v>0.35377358490566035</v>
      </c>
      <c r="H345" s="22">
        <v>3</v>
      </c>
      <c r="I345" s="22" t="s">
        <v>353</v>
      </c>
      <c r="J345" s="22">
        <v>1</v>
      </c>
      <c r="K345" s="3">
        <v>4.947381105398458E-2</v>
      </c>
      <c r="L345" s="13">
        <v>39.65341488277268</v>
      </c>
      <c r="M345" s="13">
        <v>4.72</v>
      </c>
      <c r="N345" s="3" t="s">
        <v>353</v>
      </c>
      <c r="O345" s="13" t="s">
        <v>353</v>
      </c>
      <c r="P345" s="13">
        <v>0.9</v>
      </c>
      <c r="Q345" s="3" t="s">
        <v>353</v>
      </c>
      <c r="R345" s="13">
        <v>0.9</v>
      </c>
      <c r="S345" s="3" t="s">
        <v>353</v>
      </c>
      <c r="U345" s="6"/>
      <c r="V345" s="24">
        <v>0.1736111111111111</v>
      </c>
      <c r="W345" s="3">
        <v>17.666666666666668</v>
      </c>
      <c r="X345" s="6"/>
      <c r="Y345" s="5">
        <v>8.3750668380462727</v>
      </c>
      <c r="Z345" s="5">
        <v>8.3750668380462727</v>
      </c>
      <c r="AA345" s="5">
        <v>0</v>
      </c>
      <c r="AB345" s="5">
        <v>43.922572750642672</v>
      </c>
      <c r="AD345" s="24">
        <v>2511.36</v>
      </c>
      <c r="AE345" s="5">
        <f t="shared" si="5"/>
        <v>18.879586143210304</v>
      </c>
    </row>
    <row r="346" spans="1:31" ht="25.5" customHeight="1" x14ac:dyDescent="0.2">
      <c r="A346" s="56"/>
      <c r="B346" s="36" t="s">
        <v>448</v>
      </c>
      <c r="C346" s="22">
        <v>120</v>
      </c>
      <c r="D346" s="22">
        <v>2120</v>
      </c>
      <c r="E346" s="22">
        <v>750</v>
      </c>
      <c r="F346" s="13">
        <v>0.35377358490566035</v>
      </c>
      <c r="G346" s="13">
        <v>0.35377358490566035</v>
      </c>
      <c r="H346" s="22">
        <v>3</v>
      </c>
      <c r="I346" s="22" t="s">
        <v>353</v>
      </c>
      <c r="J346" s="22">
        <v>1</v>
      </c>
      <c r="K346" s="3">
        <v>5.2726883561643831E-2</v>
      </c>
      <c r="L346" s="13">
        <v>37.206931702344548</v>
      </c>
      <c r="M346" s="13">
        <v>4.72</v>
      </c>
      <c r="N346" s="3" t="s">
        <v>353</v>
      </c>
      <c r="O346" s="13" t="s">
        <v>353</v>
      </c>
      <c r="P346" s="13">
        <v>1.69</v>
      </c>
      <c r="Q346" s="3" t="s">
        <v>353</v>
      </c>
      <c r="R346" s="13">
        <v>1.69</v>
      </c>
      <c r="S346" s="3" t="s">
        <v>353</v>
      </c>
      <c r="U346" s="6"/>
      <c r="V346" s="24">
        <v>0.1736111111111111</v>
      </c>
      <c r="W346" s="3">
        <v>17.666666666666668</v>
      </c>
      <c r="X346" s="6"/>
      <c r="Y346" s="5">
        <v>16.760586575342465</v>
      </c>
      <c r="Z346" s="5">
        <v>16.760586575342465</v>
      </c>
      <c r="AA346" s="5">
        <v>0</v>
      </c>
      <c r="AB346" s="5">
        <v>46.81063232876712</v>
      </c>
      <c r="AD346" s="24">
        <v>2511.36</v>
      </c>
      <c r="AE346" s="5">
        <f t="shared" si="5"/>
        <v>19.490403868066977</v>
      </c>
    </row>
    <row r="347" spans="1:31" ht="25.5" customHeight="1" x14ac:dyDescent="0.2">
      <c r="A347" s="56"/>
      <c r="B347" s="36" t="s">
        <v>449</v>
      </c>
      <c r="C347" s="22">
        <v>120</v>
      </c>
      <c r="D347" s="22">
        <v>2120</v>
      </c>
      <c r="E347" s="22">
        <v>750</v>
      </c>
      <c r="F347" s="13">
        <v>0.35377358490566035</v>
      </c>
      <c r="G347" s="13">
        <v>0.35377358490566035</v>
      </c>
      <c r="H347" s="22">
        <v>3</v>
      </c>
      <c r="I347" s="22" t="s">
        <v>353</v>
      </c>
      <c r="J347" s="22">
        <v>1</v>
      </c>
      <c r="K347" s="3">
        <v>2.6363441780821915E-2</v>
      </c>
      <c r="L347" s="13">
        <v>37.206931702344548</v>
      </c>
      <c r="M347" s="13">
        <v>4.72</v>
      </c>
      <c r="N347" s="3" t="s">
        <v>353</v>
      </c>
      <c r="O347" s="13" t="s">
        <v>353</v>
      </c>
      <c r="P347" s="13">
        <v>1.32</v>
      </c>
      <c r="Q347" s="3" t="s">
        <v>353</v>
      </c>
      <c r="R347" s="13">
        <v>1.32</v>
      </c>
      <c r="S347" s="3" t="s">
        <v>353</v>
      </c>
      <c r="U347" s="6"/>
      <c r="V347" s="24">
        <v>0.1736111111111111</v>
      </c>
      <c r="W347" s="3">
        <v>17.666666666666668</v>
      </c>
      <c r="X347" s="6"/>
      <c r="Y347" s="5">
        <v>13.091109041095891</v>
      </c>
      <c r="Z347" s="5">
        <v>13.091109041095891</v>
      </c>
      <c r="AA347" s="5">
        <v>0</v>
      </c>
      <c r="AB347" s="5">
        <v>46.81063232876712</v>
      </c>
      <c r="AD347" s="24">
        <v>2481.9300000000003</v>
      </c>
      <c r="AE347" s="5">
        <f t="shared" si="5"/>
        <v>19.26200069773807</v>
      </c>
    </row>
    <row r="348" spans="1:31" ht="25.5" customHeight="1" x14ac:dyDescent="0.2">
      <c r="A348" s="56"/>
      <c r="B348" s="36" t="s">
        <v>450</v>
      </c>
      <c r="C348" s="22">
        <v>150</v>
      </c>
      <c r="D348" s="22">
        <v>2120</v>
      </c>
      <c r="E348" s="22">
        <v>750</v>
      </c>
      <c r="F348" s="13">
        <v>0.35377358490566035</v>
      </c>
      <c r="G348" s="13">
        <v>0.35377358490566035</v>
      </c>
      <c r="H348" s="22">
        <v>3</v>
      </c>
      <c r="I348" s="22" t="s">
        <v>353</v>
      </c>
      <c r="J348" s="22">
        <v>1</v>
      </c>
      <c r="K348" s="3">
        <v>4.0158310389798578E-2</v>
      </c>
      <c r="L348" s="13">
        <v>41.997961264016311</v>
      </c>
      <c r="M348" s="13">
        <v>4.72</v>
      </c>
      <c r="N348" s="3" t="s">
        <v>353</v>
      </c>
      <c r="O348" s="13" t="s">
        <v>353</v>
      </c>
      <c r="P348" s="13">
        <v>1.32</v>
      </c>
      <c r="Q348" s="3" t="s">
        <v>353</v>
      </c>
      <c r="R348" s="13">
        <v>1.32</v>
      </c>
      <c r="S348" s="3" t="s">
        <v>353</v>
      </c>
      <c r="U348" s="6"/>
      <c r="V348" s="24">
        <v>0.14925373134328357</v>
      </c>
      <c r="W348" s="3">
        <v>14.133333333333333</v>
      </c>
      <c r="X348" s="6"/>
      <c r="Y348" s="5">
        <v>11.59770582524272</v>
      </c>
      <c r="Z348" s="5">
        <v>11.59770582524272</v>
      </c>
      <c r="AA348" s="5">
        <v>0</v>
      </c>
      <c r="AB348" s="5">
        <v>41.47058446601941</v>
      </c>
      <c r="AD348" s="24">
        <v>2668.32</v>
      </c>
      <c r="AE348" s="5">
        <f t="shared" si="5"/>
        <v>15.593283984332583</v>
      </c>
    </row>
    <row r="349" spans="1:31" ht="25.5" customHeight="1" x14ac:dyDescent="0.2">
      <c r="A349" s="56"/>
      <c r="B349" s="36" t="s">
        <v>451</v>
      </c>
      <c r="C349" s="22">
        <v>150</v>
      </c>
      <c r="D349" s="22">
        <v>2120</v>
      </c>
      <c r="E349" s="22">
        <v>1750</v>
      </c>
      <c r="F349" s="13">
        <v>0.82547169811320753</v>
      </c>
      <c r="G349" s="13">
        <v>0.82547169811320753</v>
      </c>
      <c r="H349" s="22">
        <v>3</v>
      </c>
      <c r="I349" s="22" t="s">
        <v>353</v>
      </c>
      <c r="J349" s="22">
        <v>1</v>
      </c>
      <c r="K349" s="3">
        <v>3.1335651289009503E-2</v>
      </c>
      <c r="L349" s="13">
        <v>26.911314984709477</v>
      </c>
      <c r="M349" s="13">
        <v>4.72</v>
      </c>
      <c r="N349" s="3" t="s">
        <v>353</v>
      </c>
      <c r="O349" s="13" t="s">
        <v>353</v>
      </c>
      <c r="P349" s="13">
        <v>0.9</v>
      </c>
      <c r="Q349" s="3" t="s">
        <v>353</v>
      </c>
      <c r="R349" s="13">
        <v>0.9</v>
      </c>
      <c r="S349" s="3" t="s">
        <v>353</v>
      </c>
      <c r="U349" s="6"/>
      <c r="V349" s="24">
        <v>0.14925373134328357</v>
      </c>
      <c r="W349" s="3">
        <v>14.133333333333333</v>
      </c>
      <c r="X349" s="6"/>
      <c r="Y349" s="5">
        <v>12.340534090909093</v>
      </c>
      <c r="Z349" s="5">
        <v>12.340534090909093</v>
      </c>
      <c r="AA349" s="5">
        <v>0</v>
      </c>
      <c r="AB349" s="5">
        <v>64.719245454545458</v>
      </c>
      <c r="AD349" s="24">
        <v>1814.8500000000001</v>
      </c>
      <c r="AE349" s="5">
        <f t="shared" si="5"/>
        <v>13.249120721872965</v>
      </c>
    </row>
    <row r="350" spans="1:31" ht="25.5" customHeight="1" x14ac:dyDescent="0.2">
      <c r="A350" s="56"/>
      <c r="B350" s="36" t="s">
        <v>452</v>
      </c>
      <c r="C350" s="22">
        <v>120</v>
      </c>
      <c r="D350" s="22">
        <v>2120</v>
      </c>
      <c r="E350" s="22">
        <v>1750</v>
      </c>
      <c r="F350" s="13">
        <v>0.82547169811320753</v>
      </c>
      <c r="G350" s="13">
        <v>0.82547169811320753</v>
      </c>
      <c r="H350" s="22">
        <v>3</v>
      </c>
      <c r="I350" s="22" t="s">
        <v>353</v>
      </c>
      <c r="J350" s="22">
        <v>1</v>
      </c>
      <c r="K350" s="3">
        <v>7.1181891025641028E-2</v>
      </c>
      <c r="L350" s="13">
        <v>34.454638124362894</v>
      </c>
      <c r="M350" s="13">
        <v>4.72</v>
      </c>
      <c r="N350" s="3" t="s">
        <v>353</v>
      </c>
      <c r="O350" s="13" t="s">
        <v>353</v>
      </c>
      <c r="P350" s="13">
        <v>1.32</v>
      </c>
      <c r="Q350" s="3" t="s">
        <v>353</v>
      </c>
      <c r="R350" s="13">
        <v>1.32</v>
      </c>
      <c r="S350" s="3" t="s">
        <v>353</v>
      </c>
      <c r="U350" s="6"/>
      <c r="V350" s="24">
        <v>0.1736111111111111</v>
      </c>
      <c r="W350" s="3">
        <v>17.666666666666668</v>
      </c>
      <c r="X350" s="6"/>
      <c r="Y350" s="5">
        <v>14.13684852071006</v>
      </c>
      <c r="Z350" s="5">
        <v>14.13684852071006</v>
      </c>
      <c r="AA350" s="5">
        <v>0</v>
      </c>
      <c r="AB350" s="5">
        <v>50.549943195266266</v>
      </c>
      <c r="AD350" s="24">
        <v>1755.99</v>
      </c>
      <c r="AE350" s="5">
        <f t="shared" si="5"/>
        <v>14.161915089089026</v>
      </c>
    </row>
    <row r="351" spans="1:31" ht="25.5" customHeight="1" x14ac:dyDescent="0.2">
      <c r="A351" s="56"/>
      <c r="B351" s="36" t="s">
        <v>453</v>
      </c>
      <c r="C351" s="22">
        <v>120</v>
      </c>
      <c r="D351" s="22">
        <v>2120</v>
      </c>
      <c r="E351" s="22">
        <v>1750</v>
      </c>
      <c r="F351" s="13">
        <v>0.82547169811320753</v>
      </c>
      <c r="G351" s="13">
        <v>0.82547169811320753</v>
      </c>
      <c r="H351" s="22">
        <v>3</v>
      </c>
      <c r="I351" s="22" t="s">
        <v>353</v>
      </c>
      <c r="J351" s="22">
        <v>1</v>
      </c>
      <c r="K351" s="3">
        <v>5.5622290462427747E-2</v>
      </c>
      <c r="L351" s="13">
        <v>35.270132517838938</v>
      </c>
      <c r="M351" s="13">
        <v>4.72</v>
      </c>
      <c r="N351" s="3" t="s">
        <v>353</v>
      </c>
      <c r="O351" s="13" t="s">
        <v>353</v>
      </c>
      <c r="P351" s="13">
        <v>1.32</v>
      </c>
      <c r="Q351" s="3" t="s">
        <v>353</v>
      </c>
      <c r="R351" s="13">
        <v>1.32</v>
      </c>
      <c r="S351" s="3" t="s">
        <v>353</v>
      </c>
      <c r="U351" s="6"/>
      <c r="V351" s="24">
        <v>0.1736111111111111</v>
      </c>
      <c r="W351" s="3">
        <v>17.666666666666668</v>
      </c>
      <c r="X351" s="6"/>
      <c r="Y351" s="5">
        <v>13.809984971098269</v>
      </c>
      <c r="Z351" s="5">
        <v>13.809984971098269</v>
      </c>
      <c r="AA351" s="5">
        <v>0</v>
      </c>
      <c r="AB351" s="5">
        <v>49.381158381502885</v>
      </c>
      <c r="AD351" s="24">
        <v>1648.0800000000002</v>
      </c>
      <c r="AE351" s="5">
        <f t="shared" ref="AE351:AE414" si="6">AD351*1000/C351/D351*145.038/SQRT(145.038*L351)</f>
        <v>13.137070714204386</v>
      </c>
    </row>
    <row r="352" spans="1:31" ht="25.5" customHeight="1" x14ac:dyDescent="0.2">
      <c r="A352" s="53" t="s">
        <v>454</v>
      </c>
      <c r="B352" s="36" t="s">
        <v>455</v>
      </c>
      <c r="C352" s="22">
        <v>100</v>
      </c>
      <c r="D352" s="22">
        <v>1200</v>
      </c>
      <c r="E352" s="22">
        <v>1800</v>
      </c>
      <c r="F352" s="13">
        <v>1.5</v>
      </c>
      <c r="G352" s="13">
        <v>1.5</v>
      </c>
      <c r="H352" s="22">
        <v>1</v>
      </c>
      <c r="I352" s="22">
        <v>3</v>
      </c>
      <c r="J352" s="22">
        <v>1</v>
      </c>
      <c r="K352" s="13">
        <v>0</v>
      </c>
      <c r="L352" s="13">
        <v>26.1</v>
      </c>
      <c r="M352" s="13">
        <v>1.6746666666666667</v>
      </c>
      <c r="N352" s="13">
        <v>585</v>
      </c>
      <c r="O352" s="13">
        <v>0.65939999999999999</v>
      </c>
      <c r="P352" s="13">
        <v>0.55600000000000005</v>
      </c>
      <c r="Q352" s="13">
        <v>575</v>
      </c>
      <c r="R352" s="13">
        <v>0.55600000000000005</v>
      </c>
      <c r="S352" s="13">
        <v>575</v>
      </c>
      <c r="U352" s="6"/>
      <c r="V352" s="24">
        <v>0.2</v>
      </c>
      <c r="W352" s="3">
        <v>12</v>
      </c>
      <c r="X352" s="6"/>
      <c r="Y352" s="5">
        <v>12.249042145593871</v>
      </c>
      <c r="Z352" s="5">
        <v>12.249042145593871</v>
      </c>
      <c r="AA352" s="5">
        <v>14.527011494252871</v>
      </c>
      <c r="AB352" s="5">
        <v>37.535632183908049</v>
      </c>
      <c r="AD352" s="24">
        <v>197</v>
      </c>
      <c r="AE352" s="5">
        <f t="shared" si="6"/>
        <v>3.8699524390601345</v>
      </c>
    </row>
    <row r="353" spans="1:31" ht="25.5" customHeight="1" x14ac:dyDescent="0.2">
      <c r="A353" s="54"/>
      <c r="B353" s="36" t="s">
        <v>456</v>
      </c>
      <c r="C353" s="22">
        <v>100</v>
      </c>
      <c r="D353" s="22">
        <v>1200</v>
      </c>
      <c r="E353" s="22">
        <v>1800</v>
      </c>
      <c r="F353" s="13">
        <v>1.5</v>
      </c>
      <c r="G353" s="13">
        <v>1.5</v>
      </c>
      <c r="H353" s="22">
        <v>1</v>
      </c>
      <c r="I353" s="22">
        <v>3</v>
      </c>
      <c r="J353" s="22">
        <v>1</v>
      </c>
      <c r="K353" s="13">
        <v>0</v>
      </c>
      <c r="L353" s="13">
        <v>26.2</v>
      </c>
      <c r="M353" s="13">
        <v>1.256</v>
      </c>
      <c r="N353" s="13">
        <v>585</v>
      </c>
      <c r="O353" s="13">
        <v>0.65939999999999999</v>
      </c>
      <c r="P353" s="13">
        <v>0.27694800000000003</v>
      </c>
      <c r="Q353" s="13">
        <v>575</v>
      </c>
      <c r="R353" s="13">
        <v>0.27694800000000003</v>
      </c>
      <c r="S353" s="13">
        <v>575</v>
      </c>
      <c r="U353" s="6"/>
      <c r="V353" s="24">
        <v>0.2</v>
      </c>
      <c r="W353" s="3">
        <v>12</v>
      </c>
      <c r="X353" s="6"/>
      <c r="Y353" s="5">
        <v>6.0780572519083975</v>
      </c>
      <c r="Z353" s="5">
        <v>6.0780572519083975</v>
      </c>
      <c r="AA353" s="5">
        <v>14.471564885496182</v>
      </c>
      <c r="AB353" s="5">
        <v>28.044274809160306</v>
      </c>
      <c r="AD353" s="24">
        <v>123.4864753275</v>
      </c>
      <c r="AE353" s="5">
        <f t="shared" si="6"/>
        <v>2.421187394970302</v>
      </c>
    </row>
    <row r="354" spans="1:31" ht="25.5" customHeight="1" x14ac:dyDescent="0.2">
      <c r="A354" s="54"/>
      <c r="B354" s="36" t="s">
        <v>457</v>
      </c>
      <c r="C354" s="22">
        <v>100</v>
      </c>
      <c r="D354" s="22">
        <v>1200</v>
      </c>
      <c r="E354" s="22">
        <v>1800</v>
      </c>
      <c r="F354" s="13">
        <v>1.5</v>
      </c>
      <c r="G354" s="13">
        <v>1.5</v>
      </c>
      <c r="H354" s="22">
        <v>1</v>
      </c>
      <c r="I354" s="22">
        <v>3</v>
      </c>
      <c r="J354" s="22">
        <v>1</v>
      </c>
      <c r="K354" s="3">
        <v>7.0000000000000007E-2</v>
      </c>
      <c r="L354" s="13">
        <v>24.1</v>
      </c>
      <c r="M354" s="13">
        <v>1.256</v>
      </c>
      <c r="N354" s="13">
        <v>585</v>
      </c>
      <c r="O354" s="13">
        <v>0.65939999999999999</v>
      </c>
      <c r="P354" s="13">
        <v>0.27694800000000003</v>
      </c>
      <c r="Q354" s="13">
        <v>575</v>
      </c>
      <c r="R354" s="13">
        <v>0.27694800000000003</v>
      </c>
      <c r="S354" s="13">
        <v>575</v>
      </c>
      <c r="U354" s="6"/>
      <c r="V354" s="24">
        <v>0.2</v>
      </c>
      <c r="W354" s="3">
        <v>12</v>
      </c>
      <c r="X354" s="6"/>
      <c r="Y354" s="5">
        <v>6.607680497925311</v>
      </c>
      <c r="Z354" s="5">
        <v>6.607680497925311</v>
      </c>
      <c r="AA354" s="5">
        <v>15.732572614107882</v>
      </c>
      <c r="AB354" s="5">
        <v>30.487966804979251</v>
      </c>
      <c r="AD354" s="24">
        <v>173.06896024</v>
      </c>
      <c r="AE354" s="5">
        <f t="shared" si="6"/>
        <v>3.538101750572999</v>
      </c>
    </row>
    <row r="355" spans="1:31" ht="25.5" customHeight="1" x14ac:dyDescent="0.2">
      <c r="A355" s="54"/>
      <c r="B355" s="36" t="s">
        <v>458</v>
      </c>
      <c r="C355" s="22">
        <v>100</v>
      </c>
      <c r="D355" s="22">
        <v>1200</v>
      </c>
      <c r="E355" s="22">
        <v>1800</v>
      </c>
      <c r="F355" s="13">
        <v>1.5</v>
      </c>
      <c r="G355" s="13">
        <v>1.5</v>
      </c>
      <c r="H355" s="22">
        <v>1</v>
      </c>
      <c r="I355" s="22">
        <v>3</v>
      </c>
      <c r="J355" s="22">
        <v>1</v>
      </c>
      <c r="K355" s="13">
        <v>0</v>
      </c>
      <c r="L355" s="13">
        <v>27.5</v>
      </c>
      <c r="M355" s="13">
        <v>1.6746666666666667</v>
      </c>
      <c r="N355" s="13">
        <v>585</v>
      </c>
      <c r="O355" s="13">
        <v>1.0257333333333334</v>
      </c>
      <c r="P355" s="13">
        <v>0.55600000000000005</v>
      </c>
      <c r="Q355" s="13">
        <v>575</v>
      </c>
      <c r="R355" s="13">
        <v>0.55600000000000005</v>
      </c>
      <c r="S355" s="13">
        <v>575</v>
      </c>
      <c r="U355" s="6"/>
      <c r="V355" s="24">
        <v>0.2</v>
      </c>
      <c r="W355" s="3">
        <v>12</v>
      </c>
      <c r="X355" s="6"/>
      <c r="Y355" s="5">
        <v>11.625454545454547</v>
      </c>
      <c r="Z355" s="5">
        <v>11.625454545454547</v>
      </c>
      <c r="AA355" s="5">
        <v>21.447151515151518</v>
      </c>
      <c r="AB355" s="5">
        <v>35.624727272727277</v>
      </c>
      <c r="AD355" s="24">
        <v>186.67250000000001</v>
      </c>
      <c r="AE355" s="5">
        <f t="shared" si="6"/>
        <v>3.5725116362181542</v>
      </c>
    </row>
    <row r="356" spans="1:31" ht="25.5" customHeight="1" x14ac:dyDescent="0.2">
      <c r="A356" s="54"/>
      <c r="B356" s="21" t="s">
        <v>459</v>
      </c>
      <c r="C356" s="22">
        <v>100</v>
      </c>
      <c r="D356" s="22">
        <v>1200</v>
      </c>
      <c r="E356" s="22">
        <v>1200</v>
      </c>
      <c r="F356" s="13">
        <v>1</v>
      </c>
      <c r="G356" s="13">
        <v>1</v>
      </c>
      <c r="H356" s="22">
        <v>1</v>
      </c>
      <c r="I356" s="22">
        <v>2</v>
      </c>
      <c r="J356" s="22">
        <v>1</v>
      </c>
      <c r="K356" s="13">
        <v>0</v>
      </c>
      <c r="L356" s="13">
        <v>22.2</v>
      </c>
      <c r="M356" s="13">
        <v>1.6746666666666667</v>
      </c>
      <c r="N356" s="13">
        <v>585</v>
      </c>
      <c r="O356" s="13">
        <v>1.0257333333333334</v>
      </c>
      <c r="P356" s="13">
        <v>0.55600000000000005</v>
      </c>
      <c r="Q356" s="13">
        <v>610</v>
      </c>
      <c r="R356" s="13">
        <v>0.55600000000000005</v>
      </c>
      <c r="S356" s="13">
        <v>610</v>
      </c>
      <c r="U356" s="6"/>
      <c r="V356" s="24">
        <v>0.2</v>
      </c>
      <c r="W356" s="3">
        <v>12</v>
      </c>
      <c r="X356" s="6"/>
      <c r="Y356" s="5">
        <v>15.277477477477479</v>
      </c>
      <c r="Z356" s="5">
        <v>15.277477477477479</v>
      </c>
      <c r="AA356" s="5">
        <v>28.184564564564567</v>
      </c>
      <c r="AB356" s="5">
        <v>44.129729729729732</v>
      </c>
      <c r="AD356" s="24">
        <v>260.40499999999997</v>
      </c>
      <c r="AE356" s="5">
        <f t="shared" si="6"/>
        <v>5.5466720245209826</v>
      </c>
    </row>
    <row r="357" spans="1:31" ht="25.5" customHeight="1" x14ac:dyDescent="0.2">
      <c r="A357" s="54"/>
      <c r="B357" s="21" t="s">
        <v>460</v>
      </c>
      <c r="C357" s="22">
        <v>100</v>
      </c>
      <c r="D357" s="22">
        <v>1200</v>
      </c>
      <c r="E357" s="22">
        <v>1200</v>
      </c>
      <c r="F357" s="13">
        <v>1</v>
      </c>
      <c r="G357" s="13">
        <v>1</v>
      </c>
      <c r="H357" s="22">
        <v>1</v>
      </c>
      <c r="I357" s="22">
        <v>2</v>
      </c>
      <c r="J357" s="22">
        <v>1</v>
      </c>
      <c r="K357" s="13">
        <v>0</v>
      </c>
      <c r="L357" s="13">
        <v>21.6</v>
      </c>
      <c r="M357" s="13">
        <v>1.256</v>
      </c>
      <c r="N357" s="13">
        <v>585</v>
      </c>
      <c r="O357" s="13">
        <v>1.0257333333333334</v>
      </c>
      <c r="P357" s="13">
        <v>0.27694800000000003</v>
      </c>
      <c r="Q357" s="13">
        <v>610</v>
      </c>
      <c r="R357" s="13">
        <v>0.27694800000000003</v>
      </c>
      <c r="S357" s="13">
        <v>610</v>
      </c>
      <c r="U357" s="6"/>
      <c r="V357" s="24">
        <v>0.2</v>
      </c>
      <c r="W357" s="3">
        <v>12</v>
      </c>
      <c r="X357" s="6"/>
      <c r="Y357" s="5">
        <v>7.8212166666666674</v>
      </c>
      <c r="Z357" s="5">
        <v>7.8212166666666674</v>
      </c>
      <c r="AA357" s="5">
        <v>28.967469135802471</v>
      </c>
      <c r="AB357" s="5">
        <v>34.016666666666666</v>
      </c>
      <c r="AD357" s="24">
        <v>185.91333020000002</v>
      </c>
      <c r="AE357" s="5">
        <f t="shared" si="6"/>
        <v>4.0146095178833585</v>
      </c>
    </row>
    <row r="358" spans="1:31" ht="25.5" customHeight="1" x14ac:dyDescent="0.2">
      <c r="A358" s="54"/>
      <c r="B358" s="21" t="s">
        <v>461</v>
      </c>
      <c r="C358" s="22">
        <v>100</v>
      </c>
      <c r="D358" s="22">
        <v>1200</v>
      </c>
      <c r="E358" s="22">
        <v>1200</v>
      </c>
      <c r="F358" s="13">
        <v>1</v>
      </c>
      <c r="G358" s="13">
        <v>1</v>
      </c>
      <c r="H358" s="22">
        <v>1</v>
      </c>
      <c r="I358" s="22">
        <v>2</v>
      </c>
      <c r="J358" s="22">
        <v>1</v>
      </c>
      <c r="K358" s="13">
        <v>7.0000000000000007E-2</v>
      </c>
      <c r="L358" s="13">
        <v>23.9</v>
      </c>
      <c r="M358" s="13">
        <v>1.256</v>
      </c>
      <c r="N358" s="13">
        <v>585</v>
      </c>
      <c r="O358" s="13">
        <v>1.0257333333333334</v>
      </c>
      <c r="P358" s="13">
        <v>0.27694800000000003</v>
      </c>
      <c r="Q358" s="13">
        <v>610</v>
      </c>
      <c r="R358" s="13">
        <v>0.27694800000000003</v>
      </c>
      <c r="S358" s="13">
        <v>610</v>
      </c>
      <c r="U358" s="6"/>
      <c r="V358" s="24">
        <v>0.2</v>
      </c>
      <c r="W358" s="3">
        <v>12</v>
      </c>
      <c r="X358" s="6"/>
      <c r="Y358" s="5">
        <v>7.0685472803347293</v>
      </c>
      <c r="Z358" s="5">
        <v>7.0685472803347293</v>
      </c>
      <c r="AA358" s="5">
        <v>26.17980474198048</v>
      </c>
      <c r="AB358" s="5">
        <v>30.743096234309625</v>
      </c>
      <c r="AD358" s="24">
        <v>254.09933611</v>
      </c>
      <c r="AE358" s="5">
        <f t="shared" si="6"/>
        <v>5.2163201118932871</v>
      </c>
    </row>
    <row r="359" spans="1:31" ht="25.5" customHeight="1" x14ac:dyDescent="0.2">
      <c r="A359" s="56" t="s">
        <v>462</v>
      </c>
      <c r="B359" s="21" t="s">
        <v>463</v>
      </c>
      <c r="C359" s="22">
        <v>150</v>
      </c>
      <c r="D359" s="22">
        <v>2150</v>
      </c>
      <c r="E359" s="22">
        <v>1400</v>
      </c>
      <c r="F359" s="13">
        <v>0.65116279069767447</v>
      </c>
      <c r="G359" s="13">
        <v>0.65116279069767447</v>
      </c>
      <c r="H359" s="22">
        <v>3</v>
      </c>
      <c r="I359" s="22" t="s">
        <v>353</v>
      </c>
      <c r="J359" s="22">
        <v>1</v>
      </c>
      <c r="K359" s="13">
        <v>6.1728395061728399E-2</v>
      </c>
      <c r="L359" s="13">
        <v>32.4</v>
      </c>
      <c r="M359" s="13">
        <v>2.25</v>
      </c>
      <c r="N359" s="13">
        <v>422</v>
      </c>
      <c r="O359" s="13">
        <v>0.08</v>
      </c>
      <c r="P359" s="13">
        <v>0.45</v>
      </c>
      <c r="Q359" s="13">
        <v>422</v>
      </c>
      <c r="R359" s="13">
        <v>0.45</v>
      </c>
      <c r="S359" s="13">
        <v>422</v>
      </c>
      <c r="U359" s="6"/>
      <c r="V359" s="24">
        <v>0.25974025974025972</v>
      </c>
      <c r="W359" s="3">
        <v>14.333333333333334</v>
      </c>
      <c r="X359" s="6"/>
      <c r="Y359" s="5">
        <v>5.8611111111111116</v>
      </c>
      <c r="Z359" s="5">
        <v>5.8611111111111116</v>
      </c>
      <c r="AA359" s="5">
        <v>1.0419753086419752</v>
      </c>
      <c r="AB359" s="5">
        <v>29.305555555555557</v>
      </c>
      <c r="AD359" s="24">
        <v>2081.25</v>
      </c>
      <c r="AE359" s="5">
        <f t="shared" si="6"/>
        <v>13.654095245498276</v>
      </c>
    </row>
    <row r="360" spans="1:31" ht="25.5" customHeight="1" x14ac:dyDescent="0.2">
      <c r="A360" s="56"/>
      <c r="B360" s="21" t="s">
        <v>464</v>
      </c>
      <c r="C360" s="22">
        <v>150</v>
      </c>
      <c r="D360" s="22">
        <v>2150</v>
      </c>
      <c r="E360" s="22">
        <v>1400</v>
      </c>
      <c r="F360" s="13">
        <v>0.65116279069767447</v>
      </c>
      <c r="G360" s="13">
        <v>0.65116279069767447</v>
      </c>
      <c r="H360" s="22">
        <v>3</v>
      </c>
      <c r="I360" s="22" t="s">
        <v>353</v>
      </c>
      <c r="J360" s="22">
        <v>1</v>
      </c>
      <c r="K360" s="13">
        <v>6.1728395061728399E-2</v>
      </c>
      <c r="L360" s="13">
        <v>32.4</v>
      </c>
      <c r="M360" s="13">
        <v>0.8</v>
      </c>
      <c r="N360" s="13">
        <v>296</v>
      </c>
      <c r="O360" s="13">
        <v>0.125</v>
      </c>
      <c r="P360" s="13">
        <v>0.8</v>
      </c>
      <c r="Q360" s="13">
        <v>296</v>
      </c>
      <c r="R360" s="13">
        <v>0.8</v>
      </c>
      <c r="S360" s="13">
        <v>296</v>
      </c>
      <c r="U360" s="6"/>
      <c r="V360" s="24">
        <v>0.25974025974025972</v>
      </c>
      <c r="W360" s="3">
        <v>14.333333333333334</v>
      </c>
      <c r="X360" s="6"/>
      <c r="Y360" s="5">
        <v>7.3086419753086425</v>
      </c>
      <c r="Z360" s="5">
        <v>7.3086419753086425</v>
      </c>
      <c r="AA360" s="5">
        <v>1.1419753086419753</v>
      </c>
      <c r="AB360" s="5">
        <v>7.3086419753086425</v>
      </c>
      <c r="AD360" s="24">
        <v>1554</v>
      </c>
      <c r="AE360" s="5">
        <f t="shared" si="6"/>
        <v>10.19505778330538</v>
      </c>
    </row>
    <row r="361" spans="1:31" ht="25.5" customHeight="1" x14ac:dyDescent="0.2">
      <c r="A361" s="56"/>
      <c r="B361" s="21" t="s">
        <v>465</v>
      </c>
      <c r="C361" s="22">
        <v>150</v>
      </c>
      <c r="D361" s="22">
        <v>2150</v>
      </c>
      <c r="E361" s="22">
        <v>1400</v>
      </c>
      <c r="F361" s="13">
        <v>0.65116279069767447</v>
      </c>
      <c r="G361" s="13">
        <v>0.65116279069767447</v>
      </c>
      <c r="H361" s="22">
        <v>3</v>
      </c>
      <c r="I361" s="22" t="s">
        <v>353</v>
      </c>
      <c r="J361" s="22">
        <v>1</v>
      </c>
      <c r="K361" s="13">
        <v>6.1728395061728399E-2</v>
      </c>
      <c r="L361" s="13">
        <v>32.4</v>
      </c>
      <c r="M361" s="13">
        <v>0.6</v>
      </c>
      <c r="N361" s="13">
        <v>422</v>
      </c>
      <c r="O361" s="13">
        <v>9.4E-2</v>
      </c>
      <c r="P361" s="13">
        <v>0.6</v>
      </c>
      <c r="Q361" s="13">
        <v>422</v>
      </c>
      <c r="R361" s="13">
        <v>0.6</v>
      </c>
      <c r="S361" s="13">
        <v>422</v>
      </c>
      <c r="U361" s="6"/>
      <c r="V361" s="24">
        <v>0.25974025974025972</v>
      </c>
      <c r="W361" s="3">
        <v>14.333333333333334</v>
      </c>
      <c r="X361" s="6"/>
      <c r="Y361" s="5">
        <v>7.8148148148148149</v>
      </c>
      <c r="Z361" s="5">
        <v>7.8148148148148149</v>
      </c>
      <c r="AA361" s="5">
        <v>1.2243209876543211</v>
      </c>
      <c r="AB361" s="5">
        <v>7.8148148148148149</v>
      </c>
      <c r="AD361" s="24">
        <v>1609.5</v>
      </c>
      <c r="AE361" s="5">
        <f t="shared" si="6"/>
        <v>10.559166989852001</v>
      </c>
    </row>
    <row r="362" spans="1:31" ht="25.5" customHeight="1" x14ac:dyDescent="0.2">
      <c r="A362" s="56"/>
      <c r="B362" s="21" t="s">
        <v>466</v>
      </c>
      <c r="C362" s="22">
        <v>150</v>
      </c>
      <c r="D362" s="22">
        <v>2150</v>
      </c>
      <c r="E362" s="22">
        <v>1400</v>
      </c>
      <c r="F362" s="13">
        <v>0.65116279069767447</v>
      </c>
      <c r="G362" s="13">
        <v>0.65116279069767447</v>
      </c>
      <c r="H362" s="22">
        <v>3</v>
      </c>
      <c r="I362" s="22" t="s">
        <v>353</v>
      </c>
      <c r="J362" s="22">
        <v>1</v>
      </c>
      <c r="K362" s="13">
        <v>6.1728395061728399E-2</v>
      </c>
      <c r="L362" s="13">
        <v>32.4</v>
      </c>
      <c r="M362" s="13">
        <v>0.48</v>
      </c>
      <c r="N362" s="13">
        <v>528</v>
      </c>
      <c r="O362" s="13">
        <v>0.08</v>
      </c>
      <c r="P362" s="13">
        <v>0.48</v>
      </c>
      <c r="Q362" s="13">
        <v>528</v>
      </c>
      <c r="R362" s="13">
        <v>0.48</v>
      </c>
      <c r="S362" s="13">
        <v>528</v>
      </c>
      <c r="U362" s="6"/>
      <c r="V362" s="24">
        <v>0.25974025974025972</v>
      </c>
      <c r="W362" s="3">
        <v>14.333333333333334</v>
      </c>
      <c r="X362" s="6"/>
      <c r="Y362" s="5">
        <v>7.8222222222222229</v>
      </c>
      <c r="Z362" s="5">
        <v>7.8222222222222229</v>
      </c>
      <c r="AA362" s="5">
        <v>1.3037037037037038</v>
      </c>
      <c r="AB362" s="5">
        <v>7.8222222222222229</v>
      </c>
      <c r="AD362" s="24">
        <v>1609.5</v>
      </c>
      <c r="AE362" s="5">
        <f t="shared" si="6"/>
        <v>10.559166989852001</v>
      </c>
    </row>
    <row r="363" spans="1:31" ht="25.5" customHeight="1" x14ac:dyDescent="0.2">
      <c r="A363" s="56"/>
      <c r="B363" s="21" t="s">
        <v>467</v>
      </c>
      <c r="C363" s="22">
        <v>150</v>
      </c>
      <c r="D363" s="22">
        <v>2150</v>
      </c>
      <c r="E363" s="22">
        <v>1000</v>
      </c>
      <c r="F363" s="13">
        <v>0.46511627906976744</v>
      </c>
      <c r="G363" s="13">
        <v>0.46511627906976744</v>
      </c>
      <c r="H363" s="22">
        <v>3</v>
      </c>
      <c r="I363" s="22" t="s">
        <v>353</v>
      </c>
      <c r="J363" s="22">
        <v>1</v>
      </c>
      <c r="K363" s="13">
        <v>6.1728395061728399E-2</v>
      </c>
      <c r="L363" s="13">
        <v>32.4</v>
      </c>
      <c r="M363" s="13">
        <v>0.8</v>
      </c>
      <c r="N363" s="13">
        <v>296</v>
      </c>
      <c r="O363" s="13">
        <v>0.125</v>
      </c>
      <c r="P363" s="13">
        <v>0.8</v>
      </c>
      <c r="Q363" s="13">
        <v>296</v>
      </c>
      <c r="R363" s="13">
        <v>0.8</v>
      </c>
      <c r="S363" s="13">
        <v>296</v>
      </c>
      <c r="U363" s="6"/>
      <c r="V363" s="24">
        <v>0.25974025974025972</v>
      </c>
      <c r="W363" s="3">
        <v>14.333333333333334</v>
      </c>
      <c r="X363" s="6"/>
      <c r="Y363" s="5">
        <v>7.3086419753086425</v>
      </c>
      <c r="Z363" s="5">
        <v>7.3086419753086425</v>
      </c>
      <c r="AA363" s="5">
        <v>1.1419753086419753</v>
      </c>
      <c r="AB363" s="5">
        <v>7.3086419753086425</v>
      </c>
      <c r="AD363" s="24">
        <v>1942.5</v>
      </c>
      <c r="AE363" s="5">
        <f t="shared" si="6"/>
        <v>12.743822229131725</v>
      </c>
    </row>
    <row r="364" spans="1:31" ht="25.5" customHeight="1" x14ac:dyDescent="0.2">
      <c r="A364" s="56"/>
      <c r="B364" s="21" t="s">
        <v>468</v>
      </c>
      <c r="C364" s="22">
        <v>150</v>
      </c>
      <c r="D364" s="22">
        <v>2150</v>
      </c>
      <c r="E364" s="22">
        <v>1000</v>
      </c>
      <c r="F364" s="13">
        <v>0.46511627906976744</v>
      </c>
      <c r="G364" s="13">
        <v>0.46511627906976744</v>
      </c>
      <c r="H364" s="22">
        <v>3</v>
      </c>
      <c r="I364" s="22" t="s">
        <v>353</v>
      </c>
      <c r="J364" s="22">
        <v>1</v>
      </c>
      <c r="K364" s="13">
        <v>6.1728395061728399E-2</v>
      </c>
      <c r="L364" s="13">
        <v>32.4</v>
      </c>
      <c r="M364" s="13">
        <v>0.6</v>
      </c>
      <c r="N364" s="13">
        <v>422</v>
      </c>
      <c r="O364" s="13">
        <v>9.4E-2</v>
      </c>
      <c r="P364" s="13">
        <v>0.6</v>
      </c>
      <c r="Q364" s="13">
        <v>422</v>
      </c>
      <c r="R364" s="13">
        <v>0.6</v>
      </c>
      <c r="S364" s="13">
        <v>422</v>
      </c>
      <c r="U364" s="6"/>
      <c r="V364" s="24">
        <v>0.25974025974025972</v>
      </c>
      <c r="W364" s="3">
        <v>14.333333333333334</v>
      </c>
      <c r="X364" s="6"/>
      <c r="Y364" s="5">
        <v>7.8148148148148149</v>
      </c>
      <c r="Z364" s="5">
        <v>7.8148148148148149</v>
      </c>
      <c r="AA364" s="5">
        <v>1.2243209876543211</v>
      </c>
      <c r="AB364" s="5">
        <v>7.8148148148148149</v>
      </c>
      <c r="AD364" s="24">
        <v>2025.75</v>
      </c>
      <c r="AE364" s="5">
        <f t="shared" si="6"/>
        <v>13.289986038951657</v>
      </c>
    </row>
    <row r="365" spans="1:31" ht="25.5" customHeight="1" x14ac:dyDescent="0.2">
      <c r="A365" s="56"/>
      <c r="B365" s="21" t="s">
        <v>469</v>
      </c>
      <c r="C365" s="22">
        <v>150</v>
      </c>
      <c r="D365" s="22">
        <v>2150</v>
      </c>
      <c r="E365" s="22">
        <v>2200</v>
      </c>
      <c r="F365" s="13">
        <v>1.0232558139534884</v>
      </c>
      <c r="G365" s="13">
        <v>1.0232558139534884</v>
      </c>
      <c r="H365" s="22">
        <v>3</v>
      </c>
      <c r="I365" s="22" t="s">
        <v>353</v>
      </c>
      <c r="J365" s="22">
        <v>1</v>
      </c>
      <c r="K365" s="13">
        <v>6.1728395061728399E-2</v>
      </c>
      <c r="L365" s="13">
        <v>32.4</v>
      </c>
      <c r="M365" s="13">
        <v>6</v>
      </c>
      <c r="N365" s="13">
        <v>296</v>
      </c>
      <c r="O365" s="13">
        <v>0.19</v>
      </c>
      <c r="P365" s="13">
        <v>1.2</v>
      </c>
      <c r="Q365" s="13">
        <v>296</v>
      </c>
      <c r="R365" s="13">
        <v>1.2</v>
      </c>
      <c r="S365" s="13">
        <v>296</v>
      </c>
      <c r="U365" s="6"/>
      <c r="V365" s="24">
        <v>0.25974025974025972</v>
      </c>
      <c r="W365" s="3">
        <v>14.333333333333334</v>
      </c>
      <c r="X365" s="6"/>
      <c r="Y365" s="5">
        <v>10.962962962962964</v>
      </c>
      <c r="Z365" s="5">
        <v>10.962962962962964</v>
      </c>
      <c r="AA365" s="5">
        <v>1.7358024691358027</v>
      </c>
      <c r="AB365" s="5">
        <v>54.814814814814817</v>
      </c>
      <c r="AD365" s="24">
        <v>2303.25</v>
      </c>
      <c r="AE365" s="5">
        <f t="shared" si="6"/>
        <v>15.11053207168476</v>
      </c>
    </row>
    <row r="366" spans="1:31" ht="25.5" customHeight="1" x14ac:dyDescent="0.2">
      <c r="A366" s="56"/>
      <c r="B366" s="21" t="s">
        <v>470</v>
      </c>
      <c r="C366" s="22">
        <v>150</v>
      </c>
      <c r="D366" s="22">
        <v>2150</v>
      </c>
      <c r="E366" s="22">
        <v>2200</v>
      </c>
      <c r="F366" s="13">
        <v>1.0232558139534884</v>
      </c>
      <c r="G366" s="13">
        <v>1.0232558139534884</v>
      </c>
      <c r="H366" s="22">
        <v>3</v>
      </c>
      <c r="I366" s="22" t="s">
        <v>353</v>
      </c>
      <c r="J366" s="22">
        <v>1</v>
      </c>
      <c r="K366" s="13">
        <v>6.1728395061728399E-2</v>
      </c>
      <c r="L366" s="13">
        <v>32.4</v>
      </c>
      <c r="M366" s="13">
        <v>4.5</v>
      </c>
      <c r="N366" s="13">
        <v>422</v>
      </c>
      <c r="O366" s="13">
        <v>0.14000000000000001</v>
      </c>
      <c r="P366" s="13">
        <v>0.9</v>
      </c>
      <c r="Q366" s="13">
        <v>422</v>
      </c>
      <c r="R366" s="13">
        <v>0.9</v>
      </c>
      <c r="S366" s="13">
        <v>422</v>
      </c>
      <c r="U366" s="6"/>
      <c r="V366" s="24">
        <v>0.25974025974025972</v>
      </c>
      <c r="W366" s="3">
        <v>14.333333333333334</v>
      </c>
      <c r="X366" s="6"/>
      <c r="Y366" s="5">
        <v>11.722222222222223</v>
      </c>
      <c r="Z366" s="5">
        <v>11.722222222222223</v>
      </c>
      <c r="AA366" s="5">
        <v>1.8234567901234571</v>
      </c>
      <c r="AB366" s="5">
        <v>58.611111111111114</v>
      </c>
      <c r="AD366" s="24">
        <v>2303.25</v>
      </c>
      <c r="AE366" s="5">
        <f t="shared" si="6"/>
        <v>15.11053207168476</v>
      </c>
    </row>
    <row r="367" spans="1:31" ht="25.5" customHeight="1" x14ac:dyDescent="0.2">
      <c r="A367" s="56"/>
      <c r="B367" s="21" t="s">
        <v>471</v>
      </c>
      <c r="C367" s="22">
        <v>150</v>
      </c>
      <c r="D367" s="22">
        <v>2150</v>
      </c>
      <c r="E367" s="22">
        <v>2200</v>
      </c>
      <c r="F367" s="13">
        <v>1.0232558139534884</v>
      </c>
      <c r="G367" s="13">
        <v>1.0232558139534884</v>
      </c>
      <c r="H367" s="22">
        <v>3</v>
      </c>
      <c r="I367" s="22" t="s">
        <v>353</v>
      </c>
      <c r="J367" s="22">
        <v>1</v>
      </c>
      <c r="K367" s="13">
        <v>6.1728395061728399E-2</v>
      </c>
      <c r="L367" s="13">
        <v>32.4</v>
      </c>
      <c r="M367" s="13">
        <v>3.5999999999999996</v>
      </c>
      <c r="N367" s="13">
        <v>528</v>
      </c>
      <c r="O367" s="13">
        <v>0.11</v>
      </c>
      <c r="P367" s="13">
        <v>0.72</v>
      </c>
      <c r="Q367" s="13">
        <v>528</v>
      </c>
      <c r="R367" s="13">
        <v>0.72</v>
      </c>
      <c r="S367" s="13">
        <v>528</v>
      </c>
      <c r="U367" s="6"/>
      <c r="V367" s="24">
        <v>0.25974025974025972</v>
      </c>
      <c r="W367" s="3">
        <v>14.333333333333334</v>
      </c>
      <c r="X367" s="6"/>
      <c r="Y367" s="5">
        <v>11.733333333333333</v>
      </c>
      <c r="Z367" s="5">
        <v>11.733333333333333</v>
      </c>
      <c r="AA367" s="5">
        <v>1.7925925925925925</v>
      </c>
      <c r="AB367" s="5">
        <v>58.666666666666664</v>
      </c>
      <c r="AD367" s="24">
        <v>2247.75</v>
      </c>
      <c r="AE367" s="5">
        <f t="shared" si="6"/>
        <v>14.746422865138136</v>
      </c>
    </row>
    <row r="368" spans="1:31" ht="25.5" customHeight="1" x14ac:dyDescent="0.2">
      <c r="A368" s="56"/>
      <c r="B368" s="21" t="s">
        <v>472</v>
      </c>
      <c r="C368" s="22">
        <v>150</v>
      </c>
      <c r="D368" s="22">
        <v>2150</v>
      </c>
      <c r="E368" s="22">
        <v>1400</v>
      </c>
      <c r="F368" s="13">
        <v>0.65116279069767447</v>
      </c>
      <c r="G368" s="13">
        <v>0.65116279069767447</v>
      </c>
      <c r="H368" s="22">
        <v>3</v>
      </c>
      <c r="I368" s="22" t="s">
        <v>353</v>
      </c>
      <c r="J368" s="22">
        <v>1</v>
      </c>
      <c r="K368" s="13">
        <v>8.5106382978723402E-2</v>
      </c>
      <c r="L368" s="13">
        <v>23.5</v>
      </c>
      <c r="M368" s="13">
        <v>1.2</v>
      </c>
      <c r="N368" s="13">
        <v>296</v>
      </c>
      <c r="O368" s="13">
        <v>0.19</v>
      </c>
      <c r="P368" s="13">
        <v>1.2</v>
      </c>
      <c r="Q368" s="13">
        <v>296</v>
      </c>
      <c r="R368" s="13">
        <v>1.2</v>
      </c>
      <c r="S368" s="13">
        <v>296</v>
      </c>
      <c r="U368" s="6"/>
      <c r="V368" s="24">
        <v>0.25974025974025972</v>
      </c>
      <c r="W368" s="3">
        <v>14.333333333333334</v>
      </c>
      <c r="X368" s="6"/>
      <c r="Y368" s="5">
        <v>15.114893617021275</v>
      </c>
      <c r="Z368" s="5">
        <v>15.114893617021275</v>
      </c>
      <c r="AA368" s="5">
        <v>2.3931914893617021</v>
      </c>
      <c r="AB368" s="5">
        <v>15.114893617021275</v>
      </c>
      <c r="AD368" s="24">
        <v>1665</v>
      </c>
      <c r="AE368" s="5">
        <f t="shared" si="6"/>
        <v>12.826007482729045</v>
      </c>
    </row>
    <row r="369" spans="1:31" ht="25.5" customHeight="1" x14ac:dyDescent="0.2">
      <c r="A369" s="56"/>
      <c r="B369" s="21" t="s">
        <v>473</v>
      </c>
      <c r="C369" s="22">
        <v>150</v>
      </c>
      <c r="D369" s="22">
        <v>2150</v>
      </c>
      <c r="E369" s="22">
        <v>1400</v>
      </c>
      <c r="F369" s="13">
        <v>0.65116279069767447</v>
      </c>
      <c r="G369" s="13">
        <v>0.65116279069767447</v>
      </c>
      <c r="H369" s="22">
        <v>3</v>
      </c>
      <c r="I369" s="22" t="s">
        <v>353</v>
      </c>
      <c r="J369" s="22">
        <v>1</v>
      </c>
      <c r="K369" s="13">
        <v>8.5106382978723402E-2</v>
      </c>
      <c r="L369" s="13">
        <v>23.5</v>
      </c>
      <c r="M369" s="13">
        <v>0.9</v>
      </c>
      <c r="N369" s="13">
        <v>422</v>
      </c>
      <c r="O369" s="13">
        <v>0.14000000000000001</v>
      </c>
      <c r="P369" s="13">
        <v>0.9</v>
      </c>
      <c r="Q369" s="13">
        <v>422</v>
      </c>
      <c r="R369" s="13">
        <v>0.9</v>
      </c>
      <c r="S369" s="13">
        <v>422</v>
      </c>
      <c r="U369" s="6"/>
      <c r="V369" s="24">
        <v>0.25974025974025972</v>
      </c>
      <c r="W369" s="3">
        <v>14.333333333333334</v>
      </c>
      <c r="X369" s="6"/>
      <c r="Y369" s="5">
        <v>16.161702127659574</v>
      </c>
      <c r="Z369" s="5">
        <v>16.161702127659574</v>
      </c>
      <c r="AA369" s="5">
        <v>2.5140425531914894</v>
      </c>
      <c r="AB369" s="5">
        <v>16.161702127659574</v>
      </c>
      <c r="AD369" s="24">
        <v>1692.75</v>
      </c>
      <c r="AE369" s="5">
        <f t="shared" si="6"/>
        <v>13.039774274107861</v>
      </c>
    </row>
    <row r="370" spans="1:31" ht="25.5" customHeight="1" x14ac:dyDescent="0.2">
      <c r="A370" s="56"/>
      <c r="B370" s="21" t="s">
        <v>474</v>
      </c>
      <c r="C370" s="22">
        <v>150</v>
      </c>
      <c r="D370" s="22">
        <v>2150</v>
      </c>
      <c r="E370" s="22">
        <v>1400</v>
      </c>
      <c r="F370" s="13">
        <v>0.65116279069767447</v>
      </c>
      <c r="G370" s="13">
        <v>0.65116279069767447</v>
      </c>
      <c r="H370" s="22">
        <v>3</v>
      </c>
      <c r="I370" s="22">
        <v>1</v>
      </c>
      <c r="J370" s="22">
        <v>1</v>
      </c>
      <c r="K370" s="13">
        <v>6.1728395061728399E-2</v>
      </c>
      <c r="L370" s="13">
        <v>32.4</v>
      </c>
      <c r="M370" s="13">
        <v>1.2</v>
      </c>
      <c r="N370" s="3">
        <v>296</v>
      </c>
      <c r="O370" s="13">
        <v>0.19</v>
      </c>
      <c r="P370" s="13">
        <v>1.2</v>
      </c>
      <c r="Q370" s="13">
        <v>296</v>
      </c>
      <c r="R370" s="13">
        <v>1.2</v>
      </c>
      <c r="S370" s="13">
        <v>296</v>
      </c>
      <c r="U370" s="3" t="s">
        <v>445</v>
      </c>
      <c r="V370" s="24">
        <v>0.25974025974025972</v>
      </c>
      <c r="W370" s="3">
        <v>14.333333333333334</v>
      </c>
      <c r="X370" s="6"/>
      <c r="Y370" s="5">
        <v>10.962962962962964</v>
      </c>
      <c r="Z370" s="5">
        <v>10.962962962962964</v>
      </c>
      <c r="AA370" s="5">
        <v>1.7358024691358027</v>
      </c>
      <c r="AB370" s="5">
        <v>10.962962962962964</v>
      </c>
      <c r="AD370" s="24">
        <v>1748.25</v>
      </c>
      <c r="AE370" s="5">
        <f t="shared" si="6"/>
        <v>11.46944000621855</v>
      </c>
    </row>
    <row r="371" spans="1:31" ht="25.5" customHeight="1" x14ac:dyDescent="0.2">
      <c r="A371" s="56"/>
      <c r="B371" s="21" t="s">
        <v>475</v>
      </c>
      <c r="C371" s="22">
        <v>150</v>
      </c>
      <c r="D371" s="22">
        <v>2150</v>
      </c>
      <c r="E371" s="22">
        <v>1400</v>
      </c>
      <c r="F371" s="13">
        <v>0.65116279069767447</v>
      </c>
      <c r="G371" s="13">
        <v>0.65116279069767447</v>
      </c>
      <c r="H371" s="22">
        <v>3</v>
      </c>
      <c r="I371" s="22">
        <v>1</v>
      </c>
      <c r="J371" s="22">
        <v>1</v>
      </c>
      <c r="K371" s="13">
        <v>6.1728395061728399E-2</v>
      </c>
      <c r="L371" s="13">
        <v>32.4</v>
      </c>
      <c r="M371" s="13">
        <v>0.9</v>
      </c>
      <c r="N371" s="3">
        <v>422</v>
      </c>
      <c r="O371" s="13">
        <v>0.14000000000000001</v>
      </c>
      <c r="P371" s="3">
        <v>0.9</v>
      </c>
      <c r="Q371" s="13">
        <v>422</v>
      </c>
      <c r="R371" s="13">
        <v>0.9</v>
      </c>
      <c r="S371" s="13">
        <v>422</v>
      </c>
      <c r="U371" s="3"/>
      <c r="V371" s="24">
        <v>0.25974025974025972</v>
      </c>
      <c r="W371" s="3">
        <v>14.333333333333334</v>
      </c>
      <c r="X371" s="6"/>
      <c r="Y371" s="5">
        <v>11.722222222222223</v>
      </c>
      <c r="Z371" s="5">
        <v>11.722222222222223</v>
      </c>
      <c r="AA371" s="5">
        <v>1.8234567901234571</v>
      </c>
      <c r="AB371" s="5">
        <v>11.722222222222223</v>
      </c>
      <c r="AD371" s="24">
        <v>1887</v>
      </c>
      <c r="AE371" s="5">
        <f t="shared" si="6"/>
        <v>12.379713022585102</v>
      </c>
    </row>
    <row r="372" spans="1:31" ht="25.5" customHeight="1" x14ac:dyDescent="0.2">
      <c r="A372" s="56"/>
      <c r="B372" s="21" t="s">
        <v>476</v>
      </c>
      <c r="C372" s="22">
        <v>150</v>
      </c>
      <c r="D372" s="22">
        <v>2150</v>
      </c>
      <c r="E372" s="22">
        <v>1400</v>
      </c>
      <c r="F372" s="13">
        <v>0.65116279069767447</v>
      </c>
      <c r="G372" s="13">
        <v>0.65116279069767447</v>
      </c>
      <c r="H372" s="22">
        <v>3</v>
      </c>
      <c r="I372" s="22">
        <v>1</v>
      </c>
      <c r="J372" s="22">
        <v>1</v>
      </c>
      <c r="K372" s="13">
        <v>6.1728395061728399E-2</v>
      </c>
      <c r="L372" s="13">
        <v>32.4</v>
      </c>
      <c r="M372" s="13">
        <v>0.72</v>
      </c>
      <c r="N372" s="3">
        <v>528</v>
      </c>
      <c r="O372" s="13">
        <v>0.11</v>
      </c>
      <c r="P372" s="3">
        <v>0.72</v>
      </c>
      <c r="Q372" s="13">
        <v>528</v>
      </c>
      <c r="R372" s="13">
        <v>0.72</v>
      </c>
      <c r="S372" s="13">
        <v>528</v>
      </c>
      <c r="U372" s="3" t="s">
        <v>445</v>
      </c>
      <c r="V372" s="24">
        <v>0.25974025974025972</v>
      </c>
      <c r="W372" s="3">
        <v>14.333333333333334</v>
      </c>
      <c r="X372" s="6"/>
      <c r="Y372" s="5">
        <v>11.733333333333333</v>
      </c>
      <c r="Z372" s="5">
        <v>11.733333333333333</v>
      </c>
      <c r="AA372" s="5">
        <v>1.7925925925925925</v>
      </c>
      <c r="AB372" s="5">
        <v>11.733333333333333</v>
      </c>
      <c r="AD372" s="24">
        <v>1831.5</v>
      </c>
      <c r="AE372" s="5">
        <f t="shared" si="6"/>
        <v>12.015603816038482</v>
      </c>
    </row>
    <row r="373" spans="1:31" ht="25.5" customHeight="1" x14ac:dyDescent="0.2">
      <c r="A373" s="56"/>
      <c r="B373" s="21" t="s">
        <v>477</v>
      </c>
      <c r="C373" s="22">
        <v>150</v>
      </c>
      <c r="D373" s="22">
        <v>2150</v>
      </c>
      <c r="E373" s="22">
        <v>1000</v>
      </c>
      <c r="F373" s="13">
        <v>0.46511627906976744</v>
      </c>
      <c r="G373" s="13">
        <v>0.46511627906976744</v>
      </c>
      <c r="H373" s="22">
        <v>3</v>
      </c>
      <c r="I373" s="22" t="s">
        <v>353</v>
      </c>
      <c r="J373" s="22">
        <v>1</v>
      </c>
      <c r="K373" s="13">
        <v>6.1728395061728399E-2</v>
      </c>
      <c r="L373" s="13">
        <v>32.4</v>
      </c>
      <c r="M373" s="13">
        <v>1.2</v>
      </c>
      <c r="N373" s="3">
        <v>296</v>
      </c>
      <c r="O373" s="13">
        <v>0.19</v>
      </c>
      <c r="P373" s="3">
        <v>1.2</v>
      </c>
      <c r="Q373" s="13">
        <v>296</v>
      </c>
      <c r="R373" s="13">
        <v>1.2</v>
      </c>
      <c r="S373" s="13">
        <v>296</v>
      </c>
      <c r="U373" s="3"/>
      <c r="V373" s="24">
        <v>0.25974025974025972</v>
      </c>
      <c r="W373" s="3">
        <v>14.333333333333334</v>
      </c>
      <c r="X373" s="6"/>
      <c r="Y373" s="5">
        <v>10.962962962962964</v>
      </c>
      <c r="Z373" s="5">
        <v>10.962962962962964</v>
      </c>
      <c r="AA373" s="5">
        <v>1.7358024691358027</v>
      </c>
      <c r="AB373" s="5">
        <v>10.962962962962964</v>
      </c>
      <c r="AD373" s="24">
        <v>2081.25</v>
      </c>
      <c r="AE373" s="5">
        <f t="shared" si="6"/>
        <v>13.654095245498276</v>
      </c>
    </row>
    <row r="374" spans="1:31" ht="25.5" customHeight="1" x14ac:dyDescent="0.2">
      <c r="A374" s="56"/>
      <c r="B374" s="21" t="s">
        <v>478</v>
      </c>
      <c r="C374" s="22">
        <v>150</v>
      </c>
      <c r="D374" s="22">
        <v>2150</v>
      </c>
      <c r="E374" s="22">
        <v>1000</v>
      </c>
      <c r="F374" s="13">
        <v>0.46511627906976744</v>
      </c>
      <c r="G374" s="13">
        <v>0.46511627906976744</v>
      </c>
      <c r="H374" s="22">
        <v>3</v>
      </c>
      <c r="I374" s="22" t="s">
        <v>353</v>
      </c>
      <c r="J374" s="22">
        <v>1</v>
      </c>
      <c r="K374" s="13">
        <v>6.1728395061728399E-2</v>
      </c>
      <c r="L374" s="13">
        <v>32.4</v>
      </c>
      <c r="M374" s="13">
        <v>0.9</v>
      </c>
      <c r="N374" s="3">
        <v>422</v>
      </c>
      <c r="O374" s="13">
        <v>0.14000000000000001</v>
      </c>
      <c r="P374" s="3">
        <v>0.9</v>
      </c>
      <c r="Q374" s="13">
        <v>422</v>
      </c>
      <c r="R374" s="13">
        <v>0.9</v>
      </c>
      <c r="S374" s="13">
        <v>422</v>
      </c>
      <c r="U374" s="3"/>
      <c r="V374" s="24">
        <v>0.25974025974025972</v>
      </c>
      <c r="W374" s="3">
        <v>14.333333333333334</v>
      </c>
      <c r="X374" s="6"/>
      <c r="Y374" s="5">
        <v>11.722222222222223</v>
      </c>
      <c r="Z374" s="5">
        <v>11.722222222222223</v>
      </c>
      <c r="AA374" s="5">
        <v>1.8234567901234571</v>
      </c>
      <c r="AB374" s="5">
        <v>11.722222222222223</v>
      </c>
      <c r="AD374" s="24">
        <v>2192.25</v>
      </c>
      <c r="AE374" s="5">
        <f t="shared" si="6"/>
        <v>14.382313658591517</v>
      </c>
    </row>
    <row r="375" spans="1:31" ht="25.5" customHeight="1" x14ac:dyDescent="0.2">
      <c r="A375" s="56"/>
      <c r="B375" s="21" t="s">
        <v>479</v>
      </c>
      <c r="C375" s="22">
        <v>150</v>
      </c>
      <c r="D375" s="22">
        <v>2150</v>
      </c>
      <c r="E375" s="22">
        <v>1400</v>
      </c>
      <c r="F375" s="13">
        <v>0.65116279069767447</v>
      </c>
      <c r="G375" s="13">
        <v>0.65116279069767447</v>
      </c>
      <c r="H375" s="22">
        <v>3</v>
      </c>
      <c r="I375" s="22" t="s">
        <v>353</v>
      </c>
      <c r="J375" s="22">
        <v>1</v>
      </c>
      <c r="K375" s="13">
        <v>6.1728395061728399E-2</v>
      </c>
      <c r="L375" s="13">
        <v>32.4</v>
      </c>
      <c r="M375" s="13">
        <v>1.6</v>
      </c>
      <c r="N375" s="3">
        <v>296</v>
      </c>
      <c r="O375" s="13">
        <v>0.25</v>
      </c>
      <c r="P375" s="3">
        <v>1.6</v>
      </c>
      <c r="Q375" s="13">
        <v>296</v>
      </c>
      <c r="R375" s="13">
        <v>1.6</v>
      </c>
      <c r="S375" s="13">
        <v>296</v>
      </c>
      <c r="U375" s="3"/>
      <c r="V375" s="24">
        <v>0.25974025974025972</v>
      </c>
      <c r="W375" s="3">
        <v>14.333333333333334</v>
      </c>
      <c r="X375" s="6"/>
      <c r="Y375" s="5">
        <v>14.617283950617285</v>
      </c>
      <c r="Z375" s="5">
        <v>14.617283950617285</v>
      </c>
      <c r="AA375" s="5">
        <v>2.2839506172839505</v>
      </c>
      <c r="AB375" s="5">
        <v>14.617283950617285</v>
      </c>
      <c r="AD375" s="24">
        <v>1831.5</v>
      </c>
      <c r="AE375" s="5">
        <f t="shared" si="6"/>
        <v>12.015603816038482</v>
      </c>
    </row>
    <row r="376" spans="1:31" ht="25.5" customHeight="1" x14ac:dyDescent="0.2">
      <c r="A376" s="56"/>
      <c r="B376" s="21" t="s">
        <v>480</v>
      </c>
      <c r="C376" s="22">
        <v>150</v>
      </c>
      <c r="D376" s="22">
        <v>2150</v>
      </c>
      <c r="E376" s="22">
        <v>1400</v>
      </c>
      <c r="F376" s="13">
        <v>0.65116279069767447</v>
      </c>
      <c r="G376" s="13">
        <v>0.65116279069767447</v>
      </c>
      <c r="H376" s="22">
        <v>3</v>
      </c>
      <c r="I376" s="22" t="s">
        <v>353</v>
      </c>
      <c r="J376" s="22">
        <v>1</v>
      </c>
      <c r="K376" s="13">
        <v>6.1728395061728399E-2</v>
      </c>
      <c r="L376" s="13">
        <v>32.4</v>
      </c>
      <c r="M376" s="13">
        <v>1.2</v>
      </c>
      <c r="N376" s="3">
        <v>422</v>
      </c>
      <c r="O376" s="13">
        <v>0.19</v>
      </c>
      <c r="P376" s="3">
        <v>1.2</v>
      </c>
      <c r="Q376" s="13">
        <v>422</v>
      </c>
      <c r="R376" s="13">
        <v>1.2</v>
      </c>
      <c r="S376" s="13">
        <v>422</v>
      </c>
      <c r="U376" s="3"/>
      <c r="V376" s="24">
        <v>0.25974025974025972</v>
      </c>
      <c r="W376" s="3">
        <v>14.333333333333334</v>
      </c>
      <c r="X376" s="6"/>
      <c r="Y376" s="5">
        <v>15.62962962962963</v>
      </c>
      <c r="Z376" s="5">
        <v>15.62962962962963</v>
      </c>
      <c r="AA376" s="5">
        <v>2.4746913580246916</v>
      </c>
      <c r="AB376" s="5">
        <v>15.62962962962963</v>
      </c>
      <c r="AD376" s="24">
        <v>1887</v>
      </c>
      <c r="AE376" s="5">
        <f t="shared" si="6"/>
        <v>12.379713022585102</v>
      </c>
    </row>
    <row r="377" spans="1:31" ht="25.5" customHeight="1" x14ac:dyDescent="0.2">
      <c r="A377" s="56"/>
      <c r="B377" s="21" t="s">
        <v>481</v>
      </c>
      <c r="C377" s="22">
        <v>150</v>
      </c>
      <c r="D377" s="22">
        <v>2150</v>
      </c>
      <c r="E377" s="22">
        <v>1400</v>
      </c>
      <c r="F377" s="13">
        <v>0.65116279069767447</v>
      </c>
      <c r="G377" s="13">
        <v>0.65116279069767447</v>
      </c>
      <c r="H377" s="22">
        <v>3</v>
      </c>
      <c r="I377" s="22" t="s">
        <v>353</v>
      </c>
      <c r="J377" s="22">
        <v>1</v>
      </c>
      <c r="K377" s="13">
        <v>6.1728395061728399E-2</v>
      </c>
      <c r="L377" s="13">
        <v>32.4</v>
      </c>
      <c r="M377" s="13">
        <v>0.96</v>
      </c>
      <c r="N377" s="3">
        <v>528</v>
      </c>
      <c r="O377" s="13">
        <v>0.157</v>
      </c>
      <c r="P377" s="3">
        <v>0.96</v>
      </c>
      <c r="Q377" s="13">
        <v>528</v>
      </c>
      <c r="R377" s="13">
        <v>0.96</v>
      </c>
      <c r="S377" s="13">
        <v>528</v>
      </c>
      <c r="U377" s="3"/>
      <c r="V377" s="24">
        <v>0.25974025974025972</v>
      </c>
      <c r="W377" s="3">
        <v>14.333333333333334</v>
      </c>
      <c r="X377" s="6"/>
      <c r="Y377" s="5">
        <v>15.644444444444446</v>
      </c>
      <c r="Z377" s="5">
        <v>15.644444444444446</v>
      </c>
      <c r="AA377" s="5">
        <v>2.5585185185185186</v>
      </c>
      <c r="AB377" s="5">
        <v>15.644444444444446</v>
      </c>
      <c r="AD377" s="24">
        <v>1887</v>
      </c>
      <c r="AE377" s="5">
        <f t="shared" si="6"/>
        <v>12.379713022585102</v>
      </c>
    </row>
    <row r="378" spans="1:31" ht="25.5" customHeight="1" x14ac:dyDescent="0.2">
      <c r="A378" s="56"/>
      <c r="B378" s="21" t="s">
        <v>482</v>
      </c>
      <c r="C378" s="22">
        <v>150</v>
      </c>
      <c r="D378" s="22">
        <v>2150</v>
      </c>
      <c r="E378" s="22">
        <v>1400</v>
      </c>
      <c r="F378" s="13">
        <v>0.65116279069767447</v>
      </c>
      <c r="G378" s="13">
        <v>0.65116279069767447</v>
      </c>
      <c r="H378" s="22">
        <v>3</v>
      </c>
      <c r="I378" s="22" t="s">
        <v>353</v>
      </c>
      <c r="J378" s="22">
        <v>1</v>
      </c>
      <c r="K378" s="13">
        <v>4.8543689320388349E-2</v>
      </c>
      <c r="L378" s="13">
        <v>41.2</v>
      </c>
      <c r="M378" s="13">
        <v>1.6</v>
      </c>
      <c r="N378" s="3">
        <v>296</v>
      </c>
      <c r="O378" s="13">
        <v>0.25</v>
      </c>
      <c r="P378" s="3">
        <v>1.6</v>
      </c>
      <c r="Q378" s="13">
        <v>296</v>
      </c>
      <c r="R378" s="13">
        <v>1.6</v>
      </c>
      <c r="S378" s="13">
        <v>296</v>
      </c>
      <c r="U378" s="3"/>
      <c r="V378" s="24">
        <v>0.25974025974025972</v>
      </c>
      <c r="W378" s="3">
        <v>14.333333333333334</v>
      </c>
      <c r="X378" s="6"/>
      <c r="Y378" s="5">
        <v>11.495145631067961</v>
      </c>
      <c r="Z378" s="5">
        <v>11.495145631067961</v>
      </c>
      <c r="AA378" s="5">
        <v>1.7961165048543688</v>
      </c>
      <c r="AB378" s="5">
        <v>11.495145631067961</v>
      </c>
      <c r="AD378" s="24">
        <v>2109</v>
      </c>
      <c r="AE378" s="5">
        <f t="shared" si="6"/>
        <v>12.26984718875679</v>
      </c>
    </row>
    <row r="379" spans="1:31" ht="25.5" customHeight="1" x14ac:dyDescent="0.2">
      <c r="A379" s="56"/>
      <c r="B379" s="21" t="s">
        <v>483</v>
      </c>
      <c r="C379" s="22">
        <v>150</v>
      </c>
      <c r="D379" s="22">
        <v>2150</v>
      </c>
      <c r="E379" s="22">
        <v>1400</v>
      </c>
      <c r="F379" s="13">
        <v>0.65116279069767447</v>
      </c>
      <c r="G379" s="13">
        <v>0.65116279069767447</v>
      </c>
      <c r="H379" s="22">
        <v>3</v>
      </c>
      <c r="I379" s="22" t="s">
        <v>353</v>
      </c>
      <c r="J379" s="22">
        <v>1</v>
      </c>
      <c r="K379" s="13">
        <v>4.8543689320388349E-2</v>
      </c>
      <c r="L379" s="13">
        <v>41.2</v>
      </c>
      <c r="M379" s="13">
        <v>1.2</v>
      </c>
      <c r="N379" s="3">
        <v>422</v>
      </c>
      <c r="O379" s="13">
        <v>0.19</v>
      </c>
      <c r="P379" s="3">
        <v>1.2</v>
      </c>
      <c r="Q379" s="13">
        <v>422</v>
      </c>
      <c r="R379" s="13">
        <v>1.2</v>
      </c>
      <c r="S379" s="13">
        <v>422</v>
      </c>
      <c r="U379" s="3"/>
      <c r="V379" s="24">
        <v>0.25974025974025972</v>
      </c>
      <c r="W379" s="3">
        <v>14.333333333333334</v>
      </c>
      <c r="X379" s="6"/>
      <c r="Y379" s="5">
        <v>12.291262135922329</v>
      </c>
      <c r="Z379" s="5">
        <v>12.291262135922329</v>
      </c>
      <c r="AA379" s="5">
        <v>1.9461165048543689</v>
      </c>
      <c r="AB379" s="5">
        <v>12.291262135922329</v>
      </c>
      <c r="AD379" s="24">
        <v>2164.5</v>
      </c>
      <c r="AE379" s="5">
        <f t="shared" si="6"/>
        <v>12.59273790425039</v>
      </c>
    </row>
    <row r="380" spans="1:31" ht="25.5" customHeight="1" x14ac:dyDescent="0.2">
      <c r="A380" s="56"/>
      <c r="B380" s="21" t="s">
        <v>484</v>
      </c>
      <c r="C380" s="22">
        <v>150</v>
      </c>
      <c r="D380" s="22">
        <v>2150</v>
      </c>
      <c r="E380" s="22">
        <v>1400</v>
      </c>
      <c r="F380" s="13">
        <v>0.65116279069767447</v>
      </c>
      <c r="G380" s="13">
        <v>0.65116279069767447</v>
      </c>
      <c r="H380" s="22">
        <v>3</v>
      </c>
      <c r="I380" s="22" t="s">
        <v>353</v>
      </c>
      <c r="J380" s="22">
        <v>1</v>
      </c>
      <c r="K380" s="13">
        <v>4.8543689320388349E-2</v>
      </c>
      <c r="L380" s="13">
        <v>41.2</v>
      </c>
      <c r="M380" s="13">
        <v>0.96</v>
      </c>
      <c r="N380" s="3">
        <v>528</v>
      </c>
      <c r="O380" s="13">
        <v>0.16</v>
      </c>
      <c r="P380" s="3">
        <v>0.96</v>
      </c>
      <c r="Q380" s="13">
        <v>528</v>
      </c>
      <c r="R380" s="13">
        <v>0.96</v>
      </c>
      <c r="S380" s="13">
        <v>528</v>
      </c>
      <c r="U380" s="3"/>
      <c r="V380" s="24">
        <v>0.25974025974025972</v>
      </c>
      <c r="W380" s="3">
        <v>14.333333333333334</v>
      </c>
      <c r="X380" s="6"/>
      <c r="Y380" s="5">
        <v>12.302912621359223</v>
      </c>
      <c r="Z380" s="5">
        <v>12.302912621359223</v>
      </c>
      <c r="AA380" s="5">
        <v>2.0504854368932039</v>
      </c>
      <c r="AB380" s="5">
        <v>12.302912621359223</v>
      </c>
      <c r="AD380" s="24">
        <v>2247.75</v>
      </c>
      <c r="AE380" s="5">
        <f t="shared" si="6"/>
        <v>13.077073977490789</v>
      </c>
    </row>
    <row r="381" spans="1:31" ht="25.5" customHeight="1" x14ac:dyDescent="0.2">
      <c r="A381" s="20" t="s">
        <v>485</v>
      </c>
      <c r="B381" s="21" t="s">
        <v>486</v>
      </c>
      <c r="C381" s="22">
        <v>130</v>
      </c>
      <c r="D381" s="22">
        <v>1500</v>
      </c>
      <c r="E381" s="22">
        <v>2250</v>
      </c>
      <c r="F381" s="3">
        <v>2.25</v>
      </c>
      <c r="G381" s="13">
        <v>1.5</v>
      </c>
      <c r="H381" s="22">
        <v>2</v>
      </c>
      <c r="I381" s="22">
        <v>1</v>
      </c>
      <c r="J381" s="22">
        <v>2</v>
      </c>
      <c r="K381" s="3">
        <v>5.2843496372908139E-2</v>
      </c>
      <c r="L381" s="13">
        <v>27.3</v>
      </c>
      <c r="M381" s="13">
        <v>2.5722879999999999</v>
      </c>
      <c r="N381" s="13">
        <v>574.9</v>
      </c>
      <c r="O381" s="13">
        <v>1.0471999999999999</v>
      </c>
      <c r="P381" s="13">
        <v>0.80512820512820515</v>
      </c>
      <c r="Q381" s="13">
        <v>451.3</v>
      </c>
      <c r="R381" s="13">
        <v>0.80512820512820515</v>
      </c>
      <c r="S381" s="13">
        <v>451.3</v>
      </c>
      <c r="U381" s="35" t="s">
        <v>487</v>
      </c>
      <c r="V381" s="24">
        <v>0.24509803921568626</v>
      </c>
      <c r="W381" s="3">
        <v>11.538461538461538</v>
      </c>
      <c r="X381" s="3"/>
      <c r="Y381" s="5">
        <v>13.309683478914248</v>
      </c>
      <c r="Z381" s="5">
        <v>13.309683478914248</v>
      </c>
      <c r="AA381" s="5">
        <v>17.311405128205127</v>
      </c>
      <c r="AB381" s="5">
        <v>54.168804805860795</v>
      </c>
      <c r="AD381" s="19">
        <v>870.29702970296944</v>
      </c>
      <c r="AE381" s="5">
        <f t="shared" si="6"/>
        <v>10.287088299356991</v>
      </c>
    </row>
    <row r="382" spans="1:31" ht="25.5" customHeight="1" x14ac:dyDescent="0.2">
      <c r="A382" s="3" t="s">
        <v>488</v>
      </c>
      <c r="B382" s="34" t="s">
        <v>489</v>
      </c>
      <c r="C382" s="22">
        <v>120</v>
      </c>
      <c r="D382" s="22">
        <v>1000</v>
      </c>
      <c r="E382" s="22">
        <v>1600</v>
      </c>
      <c r="F382" s="13">
        <v>1.6</v>
      </c>
      <c r="G382" s="13">
        <v>1.6</v>
      </c>
      <c r="H382" s="22">
        <v>1</v>
      </c>
      <c r="I382" s="22">
        <v>3</v>
      </c>
      <c r="J382" s="22">
        <v>1</v>
      </c>
      <c r="K382" s="24">
        <v>8.7365591397849468E-2</v>
      </c>
      <c r="L382" s="13">
        <v>31</v>
      </c>
      <c r="M382" s="13">
        <v>1.7453292519943295</v>
      </c>
      <c r="N382" s="3">
        <v>335</v>
      </c>
      <c r="O382" s="13">
        <v>0.55822222222222229</v>
      </c>
      <c r="P382" s="13">
        <v>0.55822222222222218</v>
      </c>
      <c r="Q382" s="3">
        <v>235</v>
      </c>
      <c r="R382" s="13">
        <v>0.60927857524165685</v>
      </c>
      <c r="S382" s="3">
        <v>235</v>
      </c>
      <c r="U382" s="6"/>
      <c r="V382" s="24">
        <v>0.22500000000000001</v>
      </c>
      <c r="W382" s="3">
        <v>8.3333333333333339</v>
      </c>
      <c r="X382" s="6"/>
      <c r="Y382" s="5">
        <v>4.6187246832835278</v>
      </c>
      <c r="Z382" s="5">
        <v>4.2316845878136196</v>
      </c>
      <c r="AA382" s="5">
        <v>4.2316845878136204</v>
      </c>
      <c r="AB382" s="5">
        <v>18.860816110261304</v>
      </c>
      <c r="AD382" s="24">
        <v>274.12799999999999</v>
      </c>
      <c r="AE382" s="5">
        <f t="shared" si="6"/>
        <v>4.9411974177863085</v>
      </c>
    </row>
    <row r="383" spans="1:31" ht="25.5" customHeight="1" x14ac:dyDescent="0.2">
      <c r="A383" s="55" t="s">
        <v>490</v>
      </c>
      <c r="B383" s="34" t="s">
        <v>491</v>
      </c>
      <c r="C383" s="22">
        <v>50</v>
      </c>
      <c r="D383" s="22">
        <v>1120</v>
      </c>
      <c r="E383" s="22">
        <v>600</v>
      </c>
      <c r="F383" s="13">
        <v>0.5357142857142857</v>
      </c>
      <c r="G383" s="13">
        <v>0.5357142857142857</v>
      </c>
      <c r="H383" s="22">
        <v>2</v>
      </c>
      <c r="I383" s="22" t="s">
        <v>353</v>
      </c>
      <c r="J383" s="22">
        <v>1</v>
      </c>
      <c r="K383" s="13">
        <v>0</v>
      </c>
      <c r="L383" s="13">
        <v>15.696</v>
      </c>
      <c r="M383" s="13">
        <v>4.2443999999999997</v>
      </c>
      <c r="N383" s="13">
        <v>382.59</v>
      </c>
      <c r="O383" s="13">
        <v>0.182</v>
      </c>
      <c r="P383" s="13">
        <v>0.25</v>
      </c>
      <c r="Q383" s="13">
        <v>294.3</v>
      </c>
      <c r="R383" s="13">
        <v>0.25</v>
      </c>
      <c r="S383" s="13">
        <v>294.3</v>
      </c>
      <c r="U383" s="35"/>
      <c r="V383" s="24">
        <v>0.20930232558139536</v>
      </c>
      <c r="W383" s="3">
        <v>22.4</v>
      </c>
      <c r="X383" s="6"/>
      <c r="Y383" s="5">
        <v>4.6875</v>
      </c>
      <c r="Z383" s="5">
        <v>4.6875</v>
      </c>
      <c r="AA383" s="5">
        <v>3.4125000000000001</v>
      </c>
      <c r="AB383" s="5">
        <v>103.45724999999999</v>
      </c>
      <c r="AD383" s="51">
        <v>173.637</v>
      </c>
      <c r="AE383" s="5">
        <f t="shared" si="6"/>
        <v>9.425418726258167</v>
      </c>
    </row>
    <row r="384" spans="1:31" ht="25.5" customHeight="1" x14ac:dyDescent="0.2">
      <c r="A384" s="55"/>
      <c r="B384" s="34" t="s">
        <v>492</v>
      </c>
      <c r="C384" s="22">
        <v>50</v>
      </c>
      <c r="D384" s="22">
        <v>1120</v>
      </c>
      <c r="E384" s="22">
        <v>600</v>
      </c>
      <c r="F384" s="13">
        <v>0.5357142857142857</v>
      </c>
      <c r="G384" s="13">
        <v>0.5357142857142857</v>
      </c>
      <c r="H384" s="22">
        <v>2</v>
      </c>
      <c r="I384" s="22" t="s">
        <v>353</v>
      </c>
      <c r="J384" s="22">
        <v>1</v>
      </c>
      <c r="K384" s="13">
        <v>0</v>
      </c>
      <c r="L384" s="13">
        <v>15.696</v>
      </c>
      <c r="M384" s="13">
        <v>4.2443999999999997</v>
      </c>
      <c r="N384" s="13">
        <v>382.59</v>
      </c>
      <c r="O384" s="13">
        <v>0.182</v>
      </c>
      <c r="P384" s="13">
        <v>0.25</v>
      </c>
      <c r="Q384" s="13">
        <v>294.3</v>
      </c>
      <c r="R384" s="13">
        <v>0.25</v>
      </c>
      <c r="S384" s="13">
        <v>294.3</v>
      </c>
      <c r="U384" s="35"/>
      <c r="V384" s="24">
        <v>0.20930232558139536</v>
      </c>
      <c r="W384" s="3">
        <v>22.4</v>
      </c>
      <c r="X384" s="6"/>
      <c r="Y384" s="5">
        <v>4.6875</v>
      </c>
      <c r="Z384" s="5">
        <v>4.6875</v>
      </c>
      <c r="AA384" s="5">
        <v>3.4125000000000001</v>
      </c>
      <c r="AB384" s="5">
        <v>103.45724999999999</v>
      </c>
      <c r="AD384" s="51">
        <v>184.42800000000003</v>
      </c>
      <c r="AE384" s="5">
        <f t="shared" si="6"/>
        <v>10.011179212070825</v>
      </c>
    </row>
    <row r="385" spans="1:31" ht="25.5" customHeight="1" x14ac:dyDescent="0.2">
      <c r="A385" s="55"/>
      <c r="B385" s="34" t="s">
        <v>493</v>
      </c>
      <c r="C385" s="22">
        <v>50</v>
      </c>
      <c r="D385" s="22">
        <v>1120</v>
      </c>
      <c r="E385" s="22">
        <v>600</v>
      </c>
      <c r="F385" s="13">
        <v>0.5357142857142857</v>
      </c>
      <c r="G385" s="13">
        <v>0.5357142857142857</v>
      </c>
      <c r="H385" s="22">
        <v>2</v>
      </c>
      <c r="I385" s="22" t="s">
        <v>353</v>
      </c>
      <c r="J385" s="22">
        <v>1</v>
      </c>
      <c r="K385" s="13">
        <v>0</v>
      </c>
      <c r="L385" s="13">
        <v>15.696</v>
      </c>
      <c r="M385" s="13">
        <v>4.2443999999999997</v>
      </c>
      <c r="N385" s="13">
        <v>382.59</v>
      </c>
      <c r="O385" s="13">
        <v>0.182</v>
      </c>
      <c r="P385" s="13">
        <v>0.25</v>
      </c>
      <c r="Q385" s="13">
        <v>294.3</v>
      </c>
      <c r="R385" s="13">
        <v>0.25</v>
      </c>
      <c r="S385" s="13">
        <v>294.3</v>
      </c>
      <c r="U385" s="35"/>
      <c r="V385" s="24">
        <v>0.20930232558139536</v>
      </c>
      <c r="W385" s="3">
        <v>22.4</v>
      </c>
      <c r="X385" s="6"/>
      <c r="Y385" s="5">
        <v>4.6875</v>
      </c>
      <c r="Z385" s="5">
        <v>4.6875</v>
      </c>
      <c r="AA385" s="5">
        <v>3.4125000000000001</v>
      </c>
      <c r="AB385" s="5">
        <v>103.45724999999999</v>
      </c>
      <c r="AD385" s="51">
        <v>206.99100000000001</v>
      </c>
      <c r="AE385" s="5">
        <f t="shared" si="6"/>
        <v>11.235951136951828</v>
      </c>
    </row>
    <row r="386" spans="1:31" ht="25.5" customHeight="1" x14ac:dyDescent="0.2">
      <c r="A386" s="55"/>
      <c r="B386" s="21" t="s">
        <v>494</v>
      </c>
      <c r="C386" s="22">
        <v>50</v>
      </c>
      <c r="D386" s="22">
        <v>1120</v>
      </c>
      <c r="E386" s="22">
        <v>600</v>
      </c>
      <c r="F386" s="13">
        <v>0.5357142857142857</v>
      </c>
      <c r="G386" s="13">
        <v>0.5357142857142857</v>
      </c>
      <c r="H386" s="22">
        <v>2</v>
      </c>
      <c r="I386" s="22" t="s">
        <v>353</v>
      </c>
      <c r="J386" s="22">
        <v>1</v>
      </c>
      <c r="K386" s="13">
        <v>0</v>
      </c>
      <c r="L386" s="13">
        <v>15.696</v>
      </c>
      <c r="M386" s="13">
        <v>4.2443999999999997</v>
      </c>
      <c r="N386" s="13">
        <v>382.59</v>
      </c>
      <c r="O386" s="13">
        <v>0.182</v>
      </c>
      <c r="P386" s="13">
        <v>0.25</v>
      </c>
      <c r="Q386" s="13">
        <v>294.3</v>
      </c>
      <c r="R386" s="13">
        <v>0.25</v>
      </c>
      <c r="S386" s="13">
        <v>294.3</v>
      </c>
      <c r="U386" s="35"/>
      <c r="V386" s="24">
        <v>0.20930232558139536</v>
      </c>
      <c r="W386" s="3">
        <v>22.4</v>
      </c>
      <c r="X386" s="6"/>
      <c r="Y386" s="5">
        <v>4.6875</v>
      </c>
      <c r="Z386" s="5">
        <v>4.6875</v>
      </c>
      <c r="AA386" s="5">
        <v>3.4125000000000001</v>
      </c>
      <c r="AB386" s="5">
        <v>103.45724999999999</v>
      </c>
      <c r="AD386" s="51">
        <v>226.61100000000002</v>
      </c>
      <c r="AE386" s="5">
        <f t="shared" si="6"/>
        <v>12.300970202065749</v>
      </c>
    </row>
    <row r="387" spans="1:31" ht="25.5" customHeight="1" x14ac:dyDescent="0.2">
      <c r="A387" s="55"/>
      <c r="B387" s="21" t="s">
        <v>495</v>
      </c>
      <c r="C387" s="22">
        <v>50</v>
      </c>
      <c r="D387" s="22">
        <v>1120</v>
      </c>
      <c r="E387" s="22">
        <v>600</v>
      </c>
      <c r="F387" s="13">
        <v>0.5357142857142857</v>
      </c>
      <c r="G387" s="13">
        <v>0.5357142857142857</v>
      </c>
      <c r="H387" s="22">
        <v>2</v>
      </c>
      <c r="I387" s="22" t="s">
        <v>353</v>
      </c>
      <c r="J387" s="22">
        <v>1</v>
      </c>
      <c r="K387" s="24">
        <v>0.14534883720930233</v>
      </c>
      <c r="L387" s="13">
        <v>15.696</v>
      </c>
      <c r="M387" s="13">
        <v>4.2443999999999997</v>
      </c>
      <c r="N387" s="13">
        <v>382.59</v>
      </c>
      <c r="O387" s="13">
        <v>0.182</v>
      </c>
      <c r="P387" s="13">
        <v>0.25</v>
      </c>
      <c r="Q387" s="13">
        <v>294.3</v>
      </c>
      <c r="R387" s="13">
        <v>0.25</v>
      </c>
      <c r="S387" s="13">
        <v>294.3</v>
      </c>
      <c r="U387" s="35"/>
      <c r="V387" s="24">
        <v>0.20930232558139536</v>
      </c>
      <c r="W387" s="3">
        <v>22.4</v>
      </c>
      <c r="X387" s="6"/>
      <c r="Y387" s="5">
        <v>4.6875</v>
      </c>
      <c r="Z387" s="5">
        <v>4.6875</v>
      </c>
      <c r="AA387" s="5">
        <v>3.4125000000000001</v>
      </c>
      <c r="AB387" s="5">
        <v>103.45724999999999</v>
      </c>
      <c r="AD387" s="51">
        <v>334.52100000000002</v>
      </c>
      <c r="AE387" s="5">
        <f t="shared" si="6"/>
        <v>18.158575060192291</v>
      </c>
    </row>
    <row r="388" spans="1:31" ht="25.5" customHeight="1" x14ac:dyDescent="0.2">
      <c r="A388" s="55"/>
      <c r="B388" s="34" t="s">
        <v>496</v>
      </c>
      <c r="C388" s="22">
        <v>50</v>
      </c>
      <c r="D388" s="22">
        <v>1120</v>
      </c>
      <c r="E388" s="22">
        <v>600</v>
      </c>
      <c r="F388" s="13">
        <v>0.5357142857142857</v>
      </c>
      <c r="G388" s="13">
        <v>0.5357142857142857</v>
      </c>
      <c r="H388" s="22">
        <v>2</v>
      </c>
      <c r="I388" s="22" t="s">
        <v>353</v>
      </c>
      <c r="J388" s="22">
        <v>1</v>
      </c>
      <c r="K388" s="13">
        <v>0</v>
      </c>
      <c r="L388" s="13">
        <v>15.696</v>
      </c>
      <c r="M388" s="13">
        <v>4.2443999999999997</v>
      </c>
      <c r="N388" s="13">
        <v>382.59</v>
      </c>
      <c r="O388" s="13">
        <v>0.182</v>
      </c>
      <c r="P388" s="13">
        <v>0.5</v>
      </c>
      <c r="Q388" s="13">
        <v>294.3</v>
      </c>
      <c r="R388" s="13">
        <v>0.5</v>
      </c>
      <c r="S388" s="13">
        <v>294.3</v>
      </c>
      <c r="U388" s="35"/>
      <c r="V388" s="24">
        <v>0.20930232558139536</v>
      </c>
      <c r="W388" s="3">
        <v>22.4</v>
      </c>
      <c r="X388" s="6"/>
      <c r="Y388" s="5">
        <v>9.375</v>
      </c>
      <c r="Z388" s="5">
        <v>9.375</v>
      </c>
      <c r="AA388" s="5">
        <v>3.4125000000000001</v>
      </c>
      <c r="AB388" s="5">
        <v>103.45724999999999</v>
      </c>
      <c r="AD388" s="51">
        <v>235.44</v>
      </c>
      <c r="AE388" s="5">
        <f t="shared" si="6"/>
        <v>12.780228781367009</v>
      </c>
    </row>
    <row r="389" spans="1:31" ht="25.5" customHeight="1" x14ac:dyDescent="0.2">
      <c r="A389" s="55"/>
      <c r="B389" s="34" t="s">
        <v>497</v>
      </c>
      <c r="C389" s="22">
        <v>50</v>
      </c>
      <c r="D389" s="22">
        <v>1120</v>
      </c>
      <c r="E389" s="22">
        <v>600</v>
      </c>
      <c r="F389" s="13">
        <v>0.5357142857142857</v>
      </c>
      <c r="G389" s="13">
        <v>0.5357142857142857</v>
      </c>
      <c r="H389" s="22">
        <v>2</v>
      </c>
      <c r="I389" s="22" t="s">
        <v>353</v>
      </c>
      <c r="J389" s="22">
        <v>1</v>
      </c>
      <c r="K389" s="24">
        <v>0.14534883720930233</v>
      </c>
      <c r="L389" s="13">
        <v>15.696</v>
      </c>
      <c r="M389" s="13">
        <v>4.2443999999999997</v>
      </c>
      <c r="N389" s="13">
        <v>382.59</v>
      </c>
      <c r="O389" s="13">
        <v>0.182</v>
      </c>
      <c r="P389" s="13">
        <v>0.5</v>
      </c>
      <c r="Q389" s="13">
        <v>294.3</v>
      </c>
      <c r="R389" s="13">
        <v>0.5</v>
      </c>
      <c r="S389" s="13">
        <v>294.3</v>
      </c>
      <c r="U389" s="35"/>
      <c r="V389" s="24">
        <v>0.20930232558139536</v>
      </c>
      <c r="W389" s="3">
        <v>22.4</v>
      </c>
      <c r="X389" s="6"/>
      <c r="Y389" s="5">
        <v>9.375</v>
      </c>
      <c r="Z389" s="5">
        <v>9.375</v>
      </c>
      <c r="AA389" s="5">
        <v>3.4125000000000001</v>
      </c>
      <c r="AB389" s="5">
        <v>103.45724999999999</v>
      </c>
      <c r="AD389" s="51">
        <v>304.11</v>
      </c>
      <c r="AE389" s="5">
        <f t="shared" si="6"/>
        <v>16.507795509265719</v>
      </c>
    </row>
    <row r="390" spans="1:31" ht="25.5" customHeight="1" x14ac:dyDescent="0.2">
      <c r="A390" s="55"/>
      <c r="B390" s="34" t="s">
        <v>498</v>
      </c>
      <c r="C390" s="22">
        <v>50</v>
      </c>
      <c r="D390" s="22">
        <v>1120</v>
      </c>
      <c r="E390" s="22">
        <v>600</v>
      </c>
      <c r="F390" s="13">
        <v>0.5357142857142857</v>
      </c>
      <c r="G390" s="13">
        <v>0.5357142857142857</v>
      </c>
      <c r="H390" s="22">
        <v>2</v>
      </c>
      <c r="I390" s="22" t="s">
        <v>353</v>
      </c>
      <c r="J390" s="22">
        <v>1</v>
      </c>
      <c r="K390" s="24">
        <v>0.29069767441860467</v>
      </c>
      <c r="L390" s="13">
        <v>15.696</v>
      </c>
      <c r="M390" s="13">
        <v>4.2443999999999997</v>
      </c>
      <c r="N390" s="13">
        <v>382.59</v>
      </c>
      <c r="O390" s="13">
        <v>0.182</v>
      </c>
      <c r="P390" s="13">
        <v>0.5</v>
      </c>
      <c r="Q390" s="13">
        <v>294.3</v>
      </c>
      <c r="R390" s="13">
        <v>0.5</v>
      </c>
      <c r="S390" s="13">
        <v>294.3</v>
      </c>
      <c r="U390" s="35"/>
      <c r="V390" s="24">
        <v>0.20930232558139536</v>
      </c>
      <c r="W390" s="3">
        <v>22.4</v>
      </c>
      <c r="X390" s="6"/>
      <c r="Y390" s="5">
        <v>9.375</v>
      </c>
      <c r="Z390" s="5">
        <v>9.375</v>
      </c>
      <c r="AA390" s="5">
        <v>3.4125000000000001</v>
      </c>
      <c r="AB390" s="5">
        <v>103.45724999999999</v>
      </c>
      <c r="AD390" s="51">
        <v>281.54700000000003</v>
      </c>
      <c r="AE390" s="5">
        <f t="shared" si="6"/>
        <v>15.283023584384711</v>
      </c>
    </row>
    <row r="391" spans="1:31" ht="25.5" customHeight="1" x14ac:dyDescent="0.2">
      <c r="A391" s="13" t="s">
        <v>499</v>
      </c>
      <c r="B391" s="36" t="s">
        <v>500</v>
      </c>
      <c r="C391" s="22">
        <v>102</v>
      </c>
      <c r="D391" s="22">
        <v>1900</v>
      </c>
      <c r="E391" s="22">
        <v>5500</v>
      </c>
      <c r="F391" s="13">
        <v>2.89</v>
      </c>
      <c r="G391" s="13">
        <v>2.8947368421052633</v>
      </c>
      <c r="H391" s="22">
        <v>1</v>
      </c>
      <c r="I391" s="22">
        <v>2</v>
      </c>
      <c r="J391" s="22">
        <v>1</v>
      </c>
      <c r="K391" s="13">
        <v>0</v>
      </c>
      <c r="L391" s="13">
        <v>23.27</v>
      </c>
      <c r="M391" s="13">
        <v>5.4562658909717729</v>
      </c>
      <c r="N391" s="13">
        <v>476.44</v>
      </c>
      <c r="O391" s="13">
        <v>0.40743944636678198</v>
      </c>
      <c r="P391" s="13">
        <v>0.36359425660027789</v>
      </c>
      <c r="Q391" s="13">
        <v>473</v>
      </c>
      <c r="R391" s="13">
        <v>0.24239617106685193</v>
      </c>
      <c r="S391" s="13">
        <v>473</v>
      </c>
      <c r="U391" s="6"/>
      <c r="V391" s="24">
        <v>0.1436842105263158</v>
      </c>
      <c r="W391" s="3">
        <v>18.627450980392158</v>
      </c>
      <c r="X391" s="6"/>
      <c r="Y391" s="5">
        <v>4.9270901983077335</v>
      </c>
      <c r="Z391" s="5">
        <v>7.3906352974616008</v>
      </c>
      <c r="AA391" s="5">
        <v>8.5474737659162852</v>
      </c>
      <c r="AB391" s="5">
        <v>111.71393730531121</v>
      </c>
      <c r="AD391" s="24">
        <v>334.11211573236869</v>
      </c>
      <c r="AE391" s="5">
        <f t="shared" si="6"/>
        <v>4.3040881900715773</v>
      </c>
    </row>
    <row r="392" spans="1:31" ht="25.5" customHeight="1" x14ac:dyDescent="0.2">
      <c r="A392" s="56" t="s">
        <v>501</v>
      </c>
      <c r="B392" s="21" t="s">
        <v>502</v>
      </c>
      <c r="C392" s="22">
        <v>100</v>
      </c>
      <c r="D392" s="22">
        <v>1500</v>
      </c>
      <c r="E392" s="22">
        <v>2150</v>
      </c>
      <c r="F392" s="3">
        <v>1.43</v>
      </c>
      <c r="G392" s="13">
        <v>1.4333333333333333</v>
      </c>
      <c r="H392" s="22">
        <v>2</v>
      </c>
      <c r="I392" s="22">
        <v>1</v>
      </c>
      <c r="J392" s="22">
        <v>1</v>
      </c>
      <c r="K392" s="22">
        <v>0</v>
      </c>
      <c r="L392" s="13">
        <v>36.6</v>
      </c>
      <c r="M392" s="13">
        <v>2.29</v>
      </c>
      <c r="N392" s="13">
        <v>473</v>
      </c>
      <c r="O392" s="13">
        <v>0.22608</v>
      </c>
      <c r="P392" s="13">
        <v>0.52333333333333332</v>
      </c>
      <c r="Q392" s="13">
        <v>450</v>
      </c>
      <c r="R392" s="13">
        <v>0.39250000000000002</v>
      </c>
      <c r="S392" s="13">
        <v>450</v>
      </c>
      <c r="U392" s="6"/>
      <c r="V392" s="24">
        <v>0.27777777777777779</v>
      </c>
      <c r="W392" s="3">
        <v>15</v>
      </c>
      <c r="X392" s="6"/>
      <c r="Y392" s="5">
        <v>4.8258196721311473</v>
      </c>
      <c r="Z392" s="5">
        <v>6.4344262295081966</v>
      </c>
      <c r="AA392" s="5">
        <v>2.7426098360655735</v>
      </c>
      <c r="AB392" s="5">
        <v>29.594808743169398</v>
      </c>
      <c r="AD392" s="13">
        <v>462.79999999999995</v>
      </c>
      <c r="AE392" s="5">
        <f t="shared" si="6"/>
        <v>6.1418958787932949</v>
      </c>
    </row>
    <row r="393" spans="1:31" ht="25.5" customHeight="1" x14ac:dyDescent="0.2">
      <c r="A393" s="54"/>
      <c r="B393" s="21" t="s">
        <v>503</v>
      </c>
      <c r="C393" s="22">
        <v>100</v>
      </c>
      <c r="D393" s="22">
        <v>1500</v>
      </c>
      <c r="E393" s="22">
        <v>2150</v>
      </c>
      <c r="F393" s="3">
        <v>1.43</v>
      </c>
      <c r="G393" s="13">
        <v>1.4333333333333333</v>
      </c>
      <c r="H393" s="22">
        <v>2</v>
      </c>
      <c r="I393" s="22">
        <v>1</v>
      </c>
      <c r="J393" s="22">
        <v>1</v>
      </c>
      <c r="K393" s="22">
        <v>0</v>
      </c>
      <c r="L393" s="13">
        <v>35.799999999999997</v>
      </c>
      <c r="M393" s="13">
        <v>2.29</v>
      </c>
      <c r="N393" s="13">
        <v>473</v>
      </c>
      <c r="O393" s="13">
        <v>0.22608</v>
      </c>
      <c r="P393" s="13">
        <v>0.78500000000000003</v>
      </c>
      <c r="Q393" s="13">
        <v>450</v>
      </c>
      <c r="R393" s="13">
        <v>0.52333333333333332</v>
      </c>
      <c r="S393" s="13">
        <v>450</v>
      </c>
      <c r="U393" s="6"/>
      <c r="V393" s="24">
        <v>0.27777777777777779</v>
      </c>
      <c r="W393" s="3">
        <v>15</v>
      </c>
      <c r="X393" s="6"/>
      <c r="Y393" s="5">
        <v>6.578212290502794</v>
      </c>
      <c r="Z393" s="5">
        <v>9.867318435754191</v>
      </c>
      <c r="AA393" s="5">
        <v>2.803897206703911</v>
      </c>
      <c r="AB393" s="5">
        <v>30.256145251396653</v>
      </c>
      <c r="AD393" s="13">
        <v>576.75</v>
      </c>
      <c r="AE393" s="5">
        <f t="shared" si="6"/>
        <v>7.7391939765342874</v>
      </c>
    </row>
    <row r="394" spans="1:31" ht="25.5" customHeight="1" x14ac:dyDescent="0.2">
      <c r="A394" s="20" t="s">
        <v>504</v>
      </c>
      <c r="B394" s="21" t="s">
        <v>505</v>
      </c>
      <c r="C394" s="22">
        <v>150</v>
      </c>
      <c r="D394" s="22">
        <v>900</v>
      </c>
      <c r="E394" s="22">
        <v>2000</v>
      </c>
      <c r="F394" s="13">
        <v>2.2222222222222223</v>
      </c>
      <c r="G394" s="13">
        <v>2.2222222222222223</v>
      </c>
      <c r="H394" s="22">
        <v>1</v>
      </c>
      <c r="I394" s="22">
        <v>3</v>
      </c>
      <c r="J394" s="22">
        <v>1</v>
      </c>
      <c r="K394" s="24">
        <v>0.13830508474576272</v>
      </c>
      <c r="L394" s="13">
        <v>29.5</v>
      </c>
      <c r="M394" s="13">
        <v>0.83775804095727824</v>
      </c>
      <c r="N394" s="13">
        <v>478</v>
      </c>
      <c r="O394" s="13">
        <v>0.37699111843077515</v>
      </c>
      <c r="P394" s="13">
        <v>1.0466666666666666</v>
      </c>
      <c r="Q394" s="13">
        <v>465</v>
      </c>
      <c r="R394" s="13">
        <v>0.5777641661774332</v>
      </c>
      <c r="S394" s="13">
        <v>478</v>
      </c>
      <c r="U394" s="6"/>
      <c r="V394" s="24">
        <v>0.17777777777777778</v>
      </c>
      <c r="W394" s="3">
        <v>6</v>
      </c>
      <c r="X394" s="6"/>
      <c r="Y394" s="5">
        <v>9.3617380146716282</v>
      </c>
      <c r="Z394" s="5">
        <v>16.498305084745763</v>
      </c>
      <c r="AA394" s="5">
        <v>4.9967297392011218</v>
      </c>
      <c r="AB394" s="5">
        <v>13.574520121273865</v>
      </c>
      <c r="AD394" s="13">
        <v>181.42</v>
      </c>
      <c r="AE394" s="5">
        <f t="shared" si="6"/>
        <v>2.979760009655021</v>
      </c>
    </row>
    <row r="395" spans="1:31" ht="25.5" customHeight="1" x14ac:dyDescent="0.2">
      <c r="A395" s="20" t="s">
        <v>506</v>
      </c>
      <c r="B395" s="21" t="s">
        <v>437</v>
      </c>
      <c r="C395" s="22">
        <v>150</v>
      </c>
      <c r="D395" s="22">
        <v>1500</v>
      </c>
      <c r="E395" s="22">
        <v>4200</v>
      </c>
      <c r="F395" s="13">
        <v>2.8</v>
      </c>
      <c r="G395" s="13">
        <v>2.8</v>
      </c>
      <c r="H395" s="22">
        <v>2</v>
      </c>
      <c r="I395" s="22">
        <v>3</v>
      </c>
      <c r="J395" s="22">
        <v>1</v>
      </c>
      <c r="K395" s="13">
        <v>0</v>
      </c>
      <c r="L395" s="13">
        <v>28.28</v>
      </c>
      <c r="M395" s="13">
        <v>0.69799999999999995</v>
      </c>
      <c r="N395" s="13">
        <v>489.7</v>
      </c>
      <c r="O395" s="24">
        <v>0.87266462599716499</v>
      </c>
      <c r="P395" s="27">
        <v>0.24822460472808242</v>
      </c>
      <c r="Q395" s="13">
        <v>489.69999000000001</v>
      </c>
      <c r="R395" s="13">
        <v>0.29799999999999999</v>
      </c>
      <c r="S395" s="13">
        <v>492.37</v>
      </c>
      <c r="U395" s="35" t="s">
        <v>507</v>
      </c>
      <c r="V395" s="24">
        <v>0.2857142857142857</v>
      </c>
      <c r="W395" s="3">
        <v>10</v>
      </c>
      <c r="X395" s="6"/>
      <c r="Y395" s="5">
        <v>5.1883401697312586</v>
      </c>
      <c r="Z395" s="5">
        <v>4.2982880641123025</v>
      </c>
      <c r="AA395" s="5">
        <v>15.111169283974954</v>
      </c>
      <c r="AB395" s="5">
        <v>12.08665487977369</v>
      </c>
      <c r="AD395" s="24">
        <v>108</v>
      </c>
      <c r="AE395" s="5">
        <f t="shared" si="6"/>
        <v>1.0870322678484323</v>
      </c>
    </row>
    <row r="396" spans="1:31" ht="25.5" customHeight="1" x14ac:dyDescent="0.2">
      <c r="A396" s="56" t="s">
        <v>508</v>
      </c>
      <c r="B396" s="36" t="s">
        <v>509</v>
      </c>
      <c r="C396" s="22">
        <v>80</v>
      </c>
      <c r="D396" s="22">
        <v>400</v>
      </c>
      <c r="E396" s="22">
        <v>1640</v>
      </c>
      <c r="F396" s="13">
        <v>4.0999999999999996</v>
      </c>
      <c r="G396" s="13">
        <v>4.0999999999999996</v>
      </c>
      <c r="H396" s="22">
        <v>1</v>
      </c>
      <c r="I396" s="22">
        <v>3</v>
      </c>
      <c r="J396" s="22">
        <v>1</v>
      </c>
      <c r="K396" s="13">
        <v>0.25</v>
      </c>
      <c r="L396" s="13">
        <v>50.2</v>
      </c>
      <c r="M396" s="13">
        <v>0</v>
      </c>
      <c r="N396" s="13" t="s">
        <v>26</v>
      </c>
      <c r="O396" s="13">
        <v>0</v>
      </c>
      <c r="P396" s="13">
        <v>0.35619374999999998</v>
      </c>
      <c r="Q396" s="13">
        <v>262</v>
      </c>
      <c r="R396" s="13">
        <v>1.41</v>
      </c>
      <c r="S396" s="13">
        <v>412</v>
      </c>
      <c r="U396" s="6"/>
      <c r="V396" s="24">
        <v>0</v>
      </c>
      <c r="W396" s="3">
        <v>5</v>
      </c>
      <c r="X396" s="6"/>
      <c r="Y396" s="5">
        <v>11.572111553784859</v>
      </c>
      <c r="Z396" s="5">
        <v>1.8590191733067727</v>
      </c>
      <c r="AA396" s="5">
        <v>0</v>
      </c>
      <c r="AB396" s="5">
        <v>0</v>
      </c>
      <c r="AD396" s="24">
        <v>67.907012195121951</v>
      </c>
      <c r="AE396" s="5">
        <f t="shared" si="6"/>
        <v>3.6070626616228489</v>
      </c>
    </row>
    <row r="397" spans="1:31" ht="25.5" customHeight="1" x14ac:dyDescent="0.2">
      <c r="A397" s="54"/>
      <c r="B397" s="36" t="s">
        <v>510</v>
      </c>
      <c r="C397" s="22">
        <v>80</v>
      </c>
      <c r="D397" s="22">
        <v>400</v>
      </c>
      <c r="E397" s="22">
        <v>1640</v>
      </c>
      <c r="F397" s="13">
        <v>4.0999999999999996</v>
      </c>
      <c r="G397" s="13">
        <v>4.0999999999999996</v>
      </c>
      <c r="H397" s="22">
        <v>1</v>
      </c>
      <c r="I397" s="22">
        <v>2</v>
      </c>
      <c r="J397" s="22">
        <v>1</v>
      </c>
      <c r="K397" s="13">
        <v>0.5</v>
      </c>
      <c r="L397" s="13">
        <v>41.8</v>
      </c>
      <c r="M397" s="13">
        <v>0</v>
      </c>
      <c r="N397" s="13" t="s">
        <v>26</v>
      </c>
      <c r="O397" s="13">
        <v>0</v>
      </c>
      <c r="P397" s="13">
        <v>0.35619374999999998</v>
      </c>
      <c r="Q397" s="13">
        <v>262</v>
      </c>
      <c r="R397" s="13">
        <v>1.41</v>
      </c>
      <c r="S397" s="13">
        <v>412</v>
      </c>
      <c r="U397" s="6"/>
      <c r="V397" s="24">
        <v>0</v>
      </c>
      <c r="W397" s="3">
        <v>5</v>
      </c>
      <c r="X397" s="6"/>
      <c r="Y397" s="5">
        <v>13.897607655502393</v>
      </c>
      <c r="Z397" s="5">
        <v>2.2326019736842104</v>
      </c>
      <c r="AA397" s="5">
        <v>0</v>
      </c>
      <c r="AB397" s="5">
        <v>0</v>
      </c>
      <c r="AD397" s="24">
        <v>75.869923780487795</v>
      </c>
      <c r="AE397" s="5">
        <f t="shared" si="6"/>
        <v>4.4164409672500717</v>
      </c>
    </row>
    <row r="398" spans="1:31" ht="25.5" customHeight="1" x14ac:dyDescent="0.2">
      <c r="A398" s="54"/>
      <c r="B398" s="36" t="s">
        <v>511</v>
      </c>
      <c r="C398" s="22">
        <v>80</v>
      </c>
      <c r="D398" s="22">
        <v>400</v>
      </c>
      <c r="E398" s="22">
        <v>1640</v>
      </c>
      <c r="F398" s="13">
        <v>4.0999999999999996</v>
      </c>
      <c r="G398" s="13">
        <v>4.0999999999999996</v>
      </c>
      <c r="H398" s="22">
        <v>1</v>
      </c>
      <c r="I398" s="22">
        <v>2</v>
      </c>
      <c r="J398" s="22">
        <v>1</v>
      </c>
      <c r="K398" s="13">
        <v>0.5</v>
      </c>
      <c r="L398" s="13">
        <v>42.9</v>
      </c>
      <c r="M398" s="13">
        <v>0</v>
      </c>
      <c r="N398" s="13" t="s">
        <v>26</v>
      </c>
      <c r="O398" s="13">
        <v>0</v>
      </c>
      <c r="P398" s="13">
        <v>0.35619374999999998</v>
      </c>
      <c r="Q398" s="13">
        <v>262</v>
      </c>
      <c r="R398" s="17">
        <v>1.41</v>
      </c>
      <c r="S398" s="13">
        <v>412</v>
      </c>
      <c r="U398" s="6"/>
      <c r="V398" s="24">
        <v>0</v>
      </c>
      <c r="W398" s="3">
        <v>5</v>
      </c>
      <c r="X398" s="6"/>
      <c r="Y398" s="5">
        <v>13.541258741258741</v>
      </c>
      <c r="Z398" s="5">
        <v>2.175355769230769</v>
      </c>
      <c r="AA398" s="5">
        <v>0</v>
      </c>
      <c r="AB398" s="5">
        <v>0</v>
      </c>
      <c r="AD398" s="24">
        <v>78.172256097560961</v>
      </c>
      <c r="AE398" s="5">
        <f t="shared" si="6"/>
        <v>4.4917432406809299</v>
      </c>
    </row>
    <row r="399" spans="1:31" ht="25.5" customHeight="1" x14ac:dyDescent="0.2">
      <c r="A399" s="55" t="s">
        <v>512</v>
      </c>
      <c r="B399" s="21" t="s">
        <v>513</v>
      </c>
      <c r="C399" s="22">
        <v>100</v>
      </c>
      <c r="D399" s="22">
        <v>1000</v>
      </c>
      <c r="E399" s="22">
        <v>1000</v>
      </c>
      <c r="F399" s="3">
        <v>1</v>
      </c>
      <c r="G399" s="13">
        <v>1</v>
      </c>
      <c r="H399" s="22">
        <v>3</v>
      </c>
      <c r="I399" s="22">
        <v>1</v>
      </c>
      <c r="J399" s="22">
        <v>1</v>
      </c>
      <c r="K399" s="24">
        <v>5.0032597743841001E-2</v>
      </c>
      <c r="L399" s="13">
        <v>103.3</v>
      </c>
      <c r="M399" s="17">
        <v>3.8797588799999998</v>
      </c>
      <c r="N399" s="13">
        <v>630</v>
      </c>
      <c r="O399" s="17">
        <v>0.61301843200000017</v>
      </c>
      <c r="P399" s="17">
        <v>0.27697626000000003</v>
      </c>
      <c r="Q399" s="13">
        <v>610</v>
      </c>
      <c r="R399" s="17">
        <v>0.36459999999999998</v>
      </c>
      <c r="S399" s="13">
        <v>610</v>
      </c>
      <c r="U399" s="35">
        <v>21</v>
      </c>
      <c r="V399" s="24">
        <v>0.30612244897959184</v>
      </c>
      <c r="W399" s="3">
        <v>10</v>
      </c>
      <c r="X399" s="3"/>
      <c r="Y399" s="5">
        <v>2.1530106485963212</v>
      </c>
      <c r="Z399" s="5">
        <v>1.6355810125847048</v>
      </c>
      <c r="AA399" s="5">
        <v>3.6614944099128763</v>
      </c>
      <c r="AB399" s="5">
        <v>23.661646606001934</v>
      </c>
      <c r="AD399" s="19">
        <v>892.3</v>
      </c>
      <c r="AE399" s="5">
        <f t="shared" si="6"/>
        <v>10.573082804157094</v>
      </c>
    </row>
    <row r="400" spans="1:31" ht="25.5" customHeight="1" x14ac:dyDescent="0.2">
      <c r="A400" s="54"/>
      <c r="B400" s="21" t="s">
        <v>514</v>
      </c>
      <c r="C400" s="22">
        <v>100</v>
      </c>
      <c r="D400" s="22">
        <v>1000</v>
      </c>
      <c r="E400" s="22">
        <v>1000</v>
      </c>
      <c r="F400" s="3">
        <v>1</v>
      </c>
      <c r="G400" s="13">
        <v>1</v>
      </c>
      <c r="H400" s="22">
        <v>3</v>
      </c>
      <c r="I400" s="22">
        <v>1</v>
      </c>
      <c r="J400" s="22">
        <v>1</v>
      </c>
      <c r="K400" s="24">
        <v>5.0071681565188056E-2</v>
      </c>
      <c r="L400" s="13">
        <v>96.8</v>
      </c>
      <c r="M400" s="17">
        <v>3.8797588799999998</v>
      </c>
      <c r="N400" s="13">
        <v>630</v>
      </c>
      <c r="O400" s="17">
        <v>0.61301843200000017</v>
      </c>
      <c r="P400" s="17">
        <v>0.27697626000000003</v>
      </c>
      <c r="Q400" s="13">
        <v>610</v>
      </c>
      <c r="R400" s="17">
        <v>0.98640000000000005</v>
      </c>
      <c r="S400" s="13">
        <v>617</v>
      </c>
      <c r="U400" s="35">
        <v>21</v>
      </c>
      <c r="V400" s="24">
        <v>0.30612244897959184</v>
      </c>
      <c r="W400" s="3">
        <v>10</v>
      </c>
      <c r="X400" s="3"/>
      <c r="Y400" s="5">
        <v>6.2872809917355381</v>
      </c>
      <c r="Z400" s="5">
        <v>1.7454082500000001</v>
      </c>
      <c r="AA400" s="5">
        <v>3.9073592204958687</v>
      </c>
      <c r="AB400" s="5">
        <v>25.250496842975206</v>
      </c>
      <c r="AD400" s="19">
        <v>1267.7750000000001</v>
      </c>
      <c r="AE400" s="5">
        <f t="shared" si="6"/>
        <v>15.518345114566237</v>
      </c>
    </row>
    <row r="401" spans="1:31" ht="25.5" customHeight="1" x14ac:dyDescent="0.2">
      <c r="A401" s="54"/>
      <c r="B401" s="21" t="s">
        <v>515</v>
      </c>
      <c r="C401" s="22">
        <v>100</v>
      </c>
      <c r="D401" s="22">
        <v>1000</v>
      </c>
      <c r="E401" s="22">
        <v>1000</v>
      </c>
      <c r="F401" s="3">
        <v>1</v>
      </c>
      <c r="G401" s="13">
        <v>1</v>
      </c>
      <c r="H401" s="22">
        <v>3</v>
      </c>
      <c r="I401" s="22">
        <v>1</v>
      </c>
      <c r="J401" s="22">
        <v>1</v>
      </c>
      <c r="K401" s="24">
        <v>5.0006452445476836E-2</v>
      </c>
      <c r="L401" s="13">
        <v>110.7</v>
      </c>
      <c r="M401" s="17">
        <v>3.8797588799999998</v>
      </c>
      <c r="N401" s="13">
        <v>630</v>
      </c>
      <c r="O401" s="17">
        <v>0.61301843200000017</v>
      </c>
      <c r="P401" s="17">
        <v>0.74930526499999983</v>
      </c>
      <c r="Q401" s="13">
        <v>617</v>
      </c>
      <c r="R401" s="17">
        <v>0.36459999999999998</v>
      </c>
      <c r="S401" s="13">
        <v>610</v>
      </c>
      <c r="U401" s="35">
        <v>21</v>
      </c>
      <c r="V401" s="24">
        <v>0.30612244897959184</v>
      </c>
      <c r="W401" s="3">
        <v>10</v>
      </c>
      <c r="X401" s="3"/>
      <c r="Y401" s="5">
        <v>2.0090876242095752</v>
      </c>
      <c r="Z401" s="5">
        <v>4.1763446116079486</v>
      </c>
      <c r="AA401" s="5">
        <v>3.4167332659801275</v>
      </c>
      <c r="AB401" s="5">
        <v>22.079928585365852</v>
      </c>
      <c r="AD401" s="19">
        <v>1430.8049999999998</v>
      </c>
      <c r="AE401" s="5">
        <f t="shared" si="6"/>
        <v>16.377497428470484</v>
      </c>
    </row>
    <row r="402" spans="1:31" ht="25.5" customHeight="1" x14ac:dyDescent="0.2">
      <c r="A402" s="54"/>
      <c r="B402" s="21" t="s">
        <v>516</v>
      </c>
      <c r="C402" s="22">
        <v>100</v>
      </c>
      <c r="D402" s="22">
        <v>1000</v>
      </c>
      <c r="E402" s="22">
        <v>1000</v>
      </c>
      <c r="F402" s="3">
        <v>1</v>
      </c>
      <c r="G402" s="13">
        <v>1</v>
      </c>
      <c r="H402" s="22">
        <v>2</v>
      </c>
      <c r="I402" s="22">
        <v>1</v>
      </c>
      <c r="J402" s="22">
        <v>1</v>
      </c>
      <c r="K402" s="24">
        <v>5.0013465163697916E-2</v>
      </c>
      <c r="L402" s="13">
        <v>93.5</v>
      </c>
      <c r="M402" s="17">
        <v>6.9693575624999999</v>
      </c>
      <c r="N402" s="13">
        <v>630</v>
      </c>
      <c r="O402" s="17">
        <v>2.5542434666666671</v>
      </c>
      <c r="P402" s="17">
        <v>0.27697626000000003</v>
      </c>
      <c r="Q402" s="13">
        <v>610</v>
      </c>
      <c r="R402" s="17">
        <v>0.37790000000000001</v>
      </c>
      <c r="S402" s="13">
        <v>610</v>
      </c>
      <c r="U402" s="35">
        <v>21</v>
      </c>
      <c r="V402" s="24">
        <v>0.30215827338129497</v>
      </c>
      <c r="W402" s="3">
        <v>10</v>
      </c>
      <c r="X402" s="3"/>
      <c r="Y402" s="5">
        <v>2.4654438502673797</v>
      </c>
      <c r="Z402" s="5">
        <v>1.807010894117647</v>
      </c>
      <c r="AA402" s="5">
        <v>16.855275068805707</v>
      </c>
      <c r="AB402" s="5">
        <v>46.959307640374334</v>
      </c>
      <c r="AD402" s="19">
        <v>818.43000000000006</v>
      </c>
      <c r="AE402" s="5">
        <f t="shared" si="6"/>
        <v>10.193342949879966</v>
      </c>
    </row>
    <row r="403" spans="1:31" ht="25.5" customHeight="1" x14ac:dyDescent="0.2">
      <c r="A403" s="54"/>
      <c r="B403" s="21" t="s">
        <v>517</v>
      </c>
      <c r="C403" s="22">
        <v>100</v>
      </c>
      <c r="D403" s="22">
        <v>1000</v>
      </c>
      <c r="E403" s="22">
        <v>2000</v>
      </c>
      <c r="F403" s="3">
        <v>2</v>
      </c>
      <c r="G403" s="13">
        <v>2</v>
      </c>
      <c r="H403" s="22">
        <v>3</v>
      </c>
      <c r="I403" s="22">
        <v>1</v>
      </c>
      <c r="J403" s="22">
        <v>1</v>
      </c>
      <c r="K403" s="24">
        <v>5.0032597743841001E-2</v>
      </c>
      <c r="L403" s="13">
        <v>103.3</v>
      </c>
      <c r="M403" s="17">
        <v>3.8797588799999998</v>
      </c>
      <c r="N403" s="13">
        <v>630</v>
      </c>
      <c r="O403" s="17">
        <v>0.61301843200000017</v>
      </c>
      <c r="P403" s="17">
        <v>0.27697626000000003</v>
      </c>
      <c r="Q403" s="13">
        <v>610</v>
      </c>
      <c r="R403" s="17">
        <v>0.36459999999999998</v>
      </c>
      <c r="S403" s="13">
        <v>610</v>
      </c>
      <c r="U403" s="35">
        <v>21</v>
      </c>
      <c r="V403" s="24">
        <v>0.30612244897959184</v>
      </c>
      <c r="W403" s="3">
        <v>10</v>
      </c>
      <c r="X403" s="3"/>
      <c r="Y403" s="5">
        <v>2.1530106485963212</v>
      </c>
      <c r="Z403" s="5">
        <v>1.6355810125847048</v>
      </c>
      <c r="AA403" s="5">
        <v>3.6614944099128763</v>
      </c>
      <c r="AB403" s="5">
        <v>23.661646606001934</v>
      </c>
      <c r="AD403" s="19">
        <v>575.48260000000005</v>
      </c>
      <c r="AE403" s="5">
        <f t="shared" si="6"/>
        <v>6.8190352820257951</v>
      </c>
    </row>
    <row r="404" spans="1:31" ht="25.5" customHeight="1" x14ac:dyDescent="0.2">
      <c r="A404" s="54"/>
      <c r="B404" s="21" t="s">
        <v>518</v>
      </c>
      <c r="C404" s="22">
        <v>100</v>
      </c>
      <c r="D404" s="22">
        <v>1000</v>
      </c>
      <c r="E404" s="22">
        <v>2000</v>
      </c>
      <c r="F404" s="3">
        <v>2</v>
      </c>
      <c r="G404" s="13">
        <v>2</v>
      </c>
      <c r="H404" s="22">
        <v>3</v>
      </c>
      <c r="I404" s="22">
        <v>1</v>
      </c>
      <c r="J404" s="22">
        <v>1</v>
      </c>
      <c r="K404" s="24">
        <v>5.0071681565188056E-2</v>
      </c>
      <c r="L404" s="13">
        <v>96.8</v>
      </c>
      <c r="M404" s="17">
        <v>3.8797588799999998</v>
      </c>
      <c r="N404" s="13">
        <v>630</v>
      </c>
      <c r="O404" s="17">
        <v>0.61301843200000017</v>
      </c>
      <c r="P404" s="17">
        <v>0.27697626000000003</v>
      </c>
      <c r="Q404" s="13">
        <v>610</v>
      </c>
      <c r="R404" s="17">
        <v>0.98640000000000005</v>
      </c>
      <c r="S404" s="13">
        <v>617</v>
      </c>
      <c r="U404" s="35">
        <v>21</v>
      </c>
      <c r="V404" s="24">
        <v>0.30612244897959184</v>
      </c>
      <c r="W404" s="3">
        <v>10</v>
      </c>
      <c r="X404" s="3"/>
      <c r="Y404" s="5">
        <v>6.2872809917355381</v>
      </c>
      <c r="Z404" s="5">
        <v>1.7454082500000001</v>
      </c>
      <c r="AA404" s="5">
        <v>3.9073592204958687</v>
      </c>
      <c r="AB404" s="5">
        <v>25.250496842975206</v>
      </c>
      <c r="AD404" s="19">
        <v>699.26994999999999</v>
      </c>
      <c r="AE404" s="5">
        <f t="shared" si="6"/>
        <v>8.5594939262451746</v>
      </c>
    </row>
    <row r="405" spans="1:31" ht="25.5" customHeight="1" x14ac:dyDescent="0.2">
      <c r="A405" s="54"/>
      <c r="B405" s="21" t="s">
        <v>519</v>
      </c>
      <c r="C405" s="22">
        <v>100</v>
      </c>
      <c r="D405" s="22">
        <v>1000</v>
      </c>
      <c r="E405" s="22">
        <v>2000</v>
      </c>
      <c r="F405" s="3">
        <v>2</v>
      </c>
      <c r="G405" s="13">
        <v>2</v>
      </c>
      <c r="H405" s="22">
        <v>3</v>
      </c>
      <c r="I405" s="22">
        <v>1</v>
      </c>
      <c r="J405" s="22">
        <v>1</v>
      </c>
      <c r="K405" s="24">
        <v>5.0006452445476836E-2</v>
      </c>
      <c r="L405" s="13">
        <v>110.7</v>
      </c>
      <c r="M405" s="17">
        <v>3.8797588799999998</v>
      </c>
      <c r="N405" s="13">
        <v>630</v>
      </c>
      <c r="O405" s="17">
        <v>0.61301843200000017</v>
      </c>
      <c r="P405" s="17">
        <v>0.74930526499999983</v>
      </c>
      <c r="Q405" s="13">
        <v>617</v>
      </c>
      <c r="R405" s="17">
        <v>0.36459999999999998</v>
      </c>
      <c r="S405" s="13">
        <v>610</v>
      </c>
      <c r="U405" s="35">
        <v>21</v>
      </c>
      <c r="V405" s="24">
        <v>0.30612244897959184</v>
      </c>
      <c r="W405" s="3">
        <v>10</v>
      </c>
      <c r="X405" s="3"/>
      <c r="Y405" s="5">
        <v>2.0090876242095752</v>
      </c>
      <c r="Z405" s="5">
        <v>4.1763446116079486</v>
      </c>
      <c r="AA405" s="5">
        <v>3.4167332659801275</v>
      </c>
      <c r="AB405" s="5">
        <v>22.079928585365852</v>
      </c>
      <c r="AD405" s="19">
        <v>876.30690000000004</v>
      </c>
      <c r="AE405" s="5">
        <f t="shared" si="6"/>
        <v>10.030517087444439</v>
      </c>
    </row>
    <row r="406" spans="1:31" ht="25.5" customHeight="1" x14ac:dyDescent="0.2">
      <c r="A406" s="55" t="s">
        <v>520</v>
      </c>
      <c r="B406" s="21" t="s">
        <v>521</v>
      </c>
      <c r="C406" s="22">
        <v>28</v>
      </c>
      <c r="D406" s="22">
        <v>850</v>
      </c>
      <c r="E406" s="22">
        <v>990</v>
      </c>
      <c r="F406" s="3">
        <v>1.1599999999999999</v>
      </c>
      <c r="G406" s="13">
        <v>1.1647058823529413</v>
      </c>
      <c r="H406" s="22">
        <v>2</v>
      </c>
      <c r="I406" s="22">
        <v>2</v>
      </c>
      <c r="J406" s="22">
        <v>1</v>
      </c>
      <c r="K406" s="3">
        <v>0</v>
      </c>
      <c r="L406" s="13">
        <v>85.8</v>
      </c>
      <c r="M406" s="13">
        <v>2.2508915555555555</v>
      </c>
      <c r="N406" s="13">
        <v>814</v>
      </c>
      <c r="O406" s="13">
        <v>0.41866666666666663</v>
      </c>
      <c r="P406" s="13">
        <v>2.2428571428571429</v>
      </c>
      <c r="Q406" s="13">
        <v>423.5</v>
      </c>
      <c r="R406" s="13">
        <v>1.1214285714285714</v>
      </c>
      <c r="S406" s="13">
        <v>423.5</v>
      </c>
      <c r="U406" s="35">
        <v>22</v>
      </c>
      <c r="V406" s="24">
        <v>0.37251655629139074</v>
      </c>
      <c r="W406" s="3">
        <v>30.357142857142858</v>
      </c>
      <c r="X406" s="3"/>
      <c r="Y406" s="5">
        <v>5.5352564102564106</v>
      </c>
      <c r="Z406" s="5">
        <v>11.070512820512821</v>
      </c>
      <c r="AA406" s="5">
        <v>2.0664957264957264</v>
      </c>
      <c r="AB406" s="5">
        <v>21.354612193732194</v>
      </c>
      <c r="AD406" s="19">
        <v>326.09828115000005</v>
      </c>
      <c r="AE406" s="5">
        <f t="shared" si="6"/>
        <v>17.814301975585785</v>
      </c>
    </row>
    <row r="407" spans="1:31" ht="25.5" customHeight="1" x14ac:dyDescent="0.2">
      <c r="A407" s="54"/>
      <c r="B407" s="21" t="s">
        <v>522</v>
      </c>
      <c r="C407" s="22">
        <v>26</v>
      </c>
      <c r="D407" s="22">
        <v>900</v>
      </c>
      <c r="E407" s="22">
        <v>510</v>
      </c>
      <c r="F407" s="3">
        <v>0.56999999999999995</v>
      </c>
      <c r="G407" s="13">
        <v>0.56666666666666665</v>
      </c>
      <c r="H407" s="22">
        <v>2</v>
      </c>
      <c r="I407" s="22">
        <v>2</v>
      </c>
      <c r="J407" s="22">
        <v>1</v>
      </c>
      <c r="K407" s="3">
        <v>1.9839729070946312E-2</v>
      </c>
      <c r="L407" s="13">
        <v>61.2</v>
      </c>
      <c r="M407" s="13">
        <v>2.2508915555555555</v>
      </c>
      <c r="N407" s="13">
        <v>388</v>
      </c>
      <c r="O407" s="13">
        <v>0.41866666666666663</v>
      </c>
      <c r="P407" s="13">
        <v>2.4153846153846152</v>
      </c>
      <c r="Q407" s="13">
        <v>423.5</v>
      </c>
      <c r="R407" s="13">
        <v>1.2076923076923076</v>
      </c>
      <c r="S407" s="13">
        <v>494.6</v>
      </c>
      <c r="U407" s="35">
        <v>22</v>
      </c>
      <c r="V407" s="24">
        <v>0.37128712871287128</v>
      </c>
      <c r="W407" s="3">
        <v>34.615384615384613</v>
      </c>
      <c r="X407" s="3"/>
      <c r="Y407" s="5">
        <v>9.7602061337355455</v>
      </c>
      <c r="Z407" s="5">
        <v>16.714303670186023</v>
      </c>
      <c r="AA407" s="5">
        <v>2.8971459694989106</v>
      </c>
      <c r="AB407" s="5">
        <v>14.270358228031954</v>
      </c>
      <c r="AD407" s="19">
        <v>361.31372865000003</v>
      </c>
      <c r="AE407" s="5">
        <f t="shared" si="6"/>
        <v>23.770252566789974</v>
      </c>
    </row>
    <row r="408" spans="1:31" ht="25.5" customHeight="1" x14ac:dyDescent="0.2">
      <c r="A408" s="53" t="s">
        <v>523</v>
      </c>
      <c r="B408" s="21" t="s">
        <v>524</v>
      </c>
      <c r="C408" s="22">
        <v>80</v>
      </c>
      <c r="D408" s="22">
        <v>1750</v>
      </c>
      <c r="E408" s="22">
        <v>2800</v>
      </c>
      <c r="F408" s="13">
        <v>1.6</v>
      </c>
      <c r="G408" s="13">
        <v>1.6</v>
      </c>
      <c r="H408" s="22">
        <v>2</v>
      </c>
      <c r="I408" s="22">
        <v>3</v>
      </c>
      <c r="J408" s="22">
        <v>1</v>
      </c>
      <c r="K408" s="3">
        <v>0.11204481792717087</v>
      </c>
      <c r="L408" s="13">
        <v>59.5</v>
      </c>
      <c r="M408" s="24">
        <v>1.0047999999999999</v>
      </c>
      <c r="N408" s="13">
        <v>377</v>
      </c>
      <c r="O408" s="13">
        <v>0.56520000000000004</v>
      </c>
      <c r="P408" s="13">
        <v>0.35325000000000001</v>
      </c>
      <c r="Q408" s="13">
        <v>387</v>
      </c>
      <c r="R408" s="13">
        <v>0.3675663404700058</v>
      </c>
      <c r="S408" s="13">
        <v>387</v>
      </c>
      <c r="U408" s="35"/>
      <c r="V408" s="24">
        <v>0.27777777777777779</v>
      </c>
      <c r="W408" s="3">
        <v>21.875</v>
      </c>
      <c r="X408" s="3"/>
      <c r="Y408" s="5">
        <v>2.3907256094435674</v>
      </c>
      <c r="Z408" s="5">
        <v>2.2976092436974791</v>
      </c>
      <c r="AA408" s="5">
        <v>3.6761747899159665</v>
      </c>
      <c r="AB408" s="5">
        <v>6.3665478991596638</v>
      </c>
      <c r="AD408" s="19">
        <v>621</v>
      </c>
      <c r="AE408" s="5">
        <f t="shared" si="6"/>
        <v>6.9254178636510693</v>
      </c>
    </row>
    <row r="409" spans="1:31" ht="25.5" customHeight="1" x14ac:dyDescent="0.2">
      <c r="A409" s="54"/>
      <c r="B409" s="21" t="s">
        <v>525</v>
      </c>
      <c r="C409" s="22">
        <v>80</v>
      </c>
      <c r="D409" s="22">
        <v>1750</v>
      </c>
      <c r="E409" s="22">
        <v>2800</v>
      </c>
      <c r="F409" s="13">
        <v>1.6</v>
      </c>
      <c r="G409" s="13">
        <v>1.6</v>
      </c>
      <c r="H409" s="22">
        <v>2</v>
      </c>
      <c r="I409" s="22">
        <v>3</v>
      </c>
      <c r="J409" s="22">
        <v>1</v>
      </c>
      <c r="K409" s="3">
        <v>0.11204481792717087</v>
      </c>
      <c r="L409" s="13">
        <v>59.5</v>
      </c>
      <c r="M409" s="24">
        <v>1.0047999999999999</v>
      </c>
      <c r="N409" s="13">
        <v>377</v>
      </c>
      <c r="O409" s="13">
        <v>0.28260000000000002</v>
      </c>
      <c r="P409" s="13">
        <v>0.35325000000000001</v>
      </c>
      <c r="Q409" s="13">
        <v>387</v>
      </c>
      <c r="R409" s="13">
        <v>0.3675663404700058</v>
      </c>
      <c r="S409" s="13">
        <v>387</v>
      </c>
      <c r="U409" s="35"/>
      <c r="V409" s="24">
        <v>0.27777777777777779</v>
      </c>
      <c r="W409" s="3">
        <v>21.875</v>
      </c>
      <c r="X409" s="3"/>
      <c r="Y409" s="5">
        <v>2.3907256094435674</v>
      </c>
      <c r="Z409" s="5">
        <v>2.2976092436974791</v>
      </c>
      <c r="AA409" s="5">
        <v>1.8380873949579832</v>
      </c>
      <c r="AB409" s="5">
        <v>6.3665478991596638</v>
      </c>
      <c r="AD409" s="19">
        <f>(633+592)/2</f>
        <v>612.5</v>
      </c>
      <c r="AE409" s="5">
        <f t="shared" si="6"/>
        <v>6.8306255096397406</v>
      </c>
    </row>
    <row r="410" spans="1:31" ht="25.5" customHeight="1" x14ac:dyDescent="0.2">
      <c r="A410" s="54"/>
      <c r="B410" s="21" t="s">
        <v>526</v>
      </c>
      <c r="C410" s="22">
        <v>128</v>
      </c>
      <c r="D410" s="22">
        <v>1750</v>
      </c>
      <c r="E410" s="22">
        <v>2800</v>
      </c>
      <c r="F410" s="13">
        <v>1.6</v>
      </c>
      <c r="G410" s="13">
        <v>1.6</v>
      </c>
      <c r="H410" s="22">
        <v>1</v>
      </c>
      <c r="I410" s="22">
        <v>3</v>
      </c>
      <c r="J410" s="22">
        <v>1</v>
      </c>
      <c r="K410" s="3">
        <v>0.12755102040816327</v>
      </c>
      <c r="L410" s="13">
        <v>52.5</v>
      </c>
      <c r="M410" s="13">
        <v>1.3635384781205699</v>
      </c>
      <c r="N410" s="13">
        <v>387</v>
      </c>
      <c r="O410" s="13">
        <v>4.4156250000000004</v>
      </c>
      <c r="P410" s="13">
        <v>0.22078125000000001</v>
      </c>
      <c r="Q410" s="13">
        <v>387</v>
      </c>
      <c r="R410" s="13">
        <v>0.3675663404700058</v>
      </c>
      <c r="S410" s="13">
        <v>387</v>
      </c>
      <c r="U410" s="35"/>
      <c r="V410" s="24">
        <v>0.30857142857142855</v>
      </c>
      <c r="W410" s="3">
        <v>13.671875</v>
      </c>
      <c r="X410" s="3"/>
      <c r="Y410" s="5">
        <v>2.709489024036043</v>
      </c>
      <c r="Z410" s="5">
        <v>1.6274732142857145</v>
      </c>
      <c r="AA410" s="5">
        <v>32.549464285714286</v>
      </c>
      <c r="AB410" s="5">
        <v>10.051226495860201</v>
      </c>
      <c r="AD410" s="19">
        <f>605</f>
        <v>605</v>
      </c>
      <c r="AE410" s="5">
        <f t="shared" si="6"/>
        <v>4.4891963985095815</v>
      </c>
    </row>
    <row r="411" spans="1:31" ht="25.5" customHeight="1" x14ac:dyDescent="0.2">
      <c r="A411" s="54"/>
      <c r="B411" s="21" t="s">
        <v>527</v>
      </c>
      <c r="C411" s="22">
        <v>128</v>
      </c>
      <c r="D411" s="22">
        <v>1750</v>
      </c>
      <c r="E411" s="22">
        <v>2800</v>
      </c>
      <c r="F411" s="13">
        <v>1.6</v>
      </c>
      <c r="G411" s="13">
        <v>1.6</v>
      </c>
      <c r="H411" s="22">
        <v>1</v>
      </c>
      <c r="I411" s="22">
        <v>3</v>
      </c>
      <c r="J411" s="22">
        <v>1</v>
      </c>
      <c r="K411" s="3">
        <v>0.12755102040816327</v>
      </c>
      <c r="L411" s="13">
        <v>52</v>
      </c>
      <c r="M411" s="13">
        <v>1.3635384781205699</v>
      </c>
      <c r="N411" s="13">
        <v>387</v>
      </c>
      <c r="O411" s="13">
        <v>2.2078125000000002</v>
      </c>
      <c r="P411" s="13">
        <v>0.22078125000000001</v>
      </c>
      <c r="Q411" s="13">
        <v>387</v>
      </c>
      <c r="R411" s="13">
        <v>0.3675663404700058</v>
      </c>
      <c r="S411" s="13">
        <v>387</v>
      </c>
      <c r="U411" s="35"/>
      <c r="V411" s="24">
        <v>0.30857142857142855</v>
      </c>
      <c r="W411" s="3">
        <v>13.671875</v>
      </c>
      <c r="X411" s="3"/>
      <c r="Y411" s="5">
        <v>2.7355418031133123</v>
      </c>
      <c r="Z411" s="5">
        <v>1.6431219951923077</v>
      </c>
      <c r="AA411" s="5">
        <v>16.431219951923079</v>
      </c>
      <c r="AB411" s="5">
        <v>10.147872904474241</v>
      </c>
      <c r="AD411" s="19">
        <v>588</v>
      </c>
      <c r="AE411" s="5">
        <f t="shared" si="6"/>
        <v>4.3839797268226857</v>
      </c>
    </row>
    <row r="412" spans="1:31" ht="25.5" customHeight="1" x14ac:dyDescent="0.2">
      <c r="A412" s="39" t="s">
        <v>528</v>
      </c>
      <c r="B412" s="21" t="s">
        <v>529</v>
      </c>
      <c r="C412" s="22">
        <v>200</v>
      </c>
      <c r="D412" s="22">
        <v>1700</v>
      </c>
      <c r="E412" s="22">
        <v>3300</v>
      </c>
      <c r="F412" s="13">
        <v>1.9411764705882353</v>
      </c>
      <c r="G412" s="13">
        <v>1.9411764705882353</v>
      </c>
      <c r="H412" s="22">
        <v>1</v>
      </c>
      <c r="I412" s="22">
        <v>2</v>
      </c>
      <c r="J412" s="22">
        <v>1</v>
      </c>
      <c r="K412" s="3">
        <v>7.5787815126050428E-2</v>
      </c>
      <c r="L412" s="13">
        <v>37.837837837837832</v>
      </c>
      <c r="M412" s="13">
        <v>1.8834841201849815</v>
      </c>
      <c r="N412" s="13">
        <v>452</v>
      </c>
      <c r="O412" s="13">
        <v>1.0053096491487339</v>
      </c>
      <c r="P412" s="13">
        <v>0.39250000000000002</v>
      </c>
      <c r="Q412" s="13">
        <v>464</v>
      </c>
      <c r="R412" s="13">
        <v>0.40105438130933535</v>
      </c>
      <c r="S412" s="13">
        <v>456</v>
      </c>
      <c r="U412" s="35"/>
      <c r="V412" s="24">
        <v>0.25117647058823528</v>
      </c>
      <c r="W412" s="3">
        <v>8.5</v>
      </c>
      <c r="X412" s="3"/>
      <c r="Y412" s="5">
        <v>4.8332782296079335</v>
      </c>
      <c r="Z412" s="5">
        <v>4.8131714285714295</v>
      </c>
      <c r="AA412" s="5">
        <v>12.699933182031794</v>
      </c>
      <c r="AB412" s="5">
        <v>22.499563161409739</v>
      </c>
      <c r="AD412" s="19">
        <v>769</v>
      </c>
      <c r="AE412" s="5">
        <f t="shared" si="6"/>
        <v>4.4281790015128069</v>
      </c>
    </row>
    <row r="413" spans="1:31" ht="25.5" customHeight="1" x14ac:dyDescent="0.2">
      <c r="A413" s="53" t="s">
        <v>530</v>
      </c>
      <c r="B413" s="36" t="s">
        <v>531</v>
      </c>
      <c r="C413" s="22">
        <v>50</v>
      </c>
      <c r="D413" s="22">
        <v>500</v>
      </c>
      <c r="E413" s="22">
        <v>1500</v>
      </c>
      <c r="F413" s="13">
        <v>3</v>
      </c>
      <c r="G413" s="13">
        <v>3</v>
      </c>
      <c r="H413" s="22">
        <v>1</v>
      </c>
      <c r="I413" s="22">
        <v>2</v>
      </c>
      <c r="J413" s="22">
        <v>1</v>
      </c>
      <c r="K413" s="13">
        <v>0</v>
      </c>
      <c r="L413" s="13">
        <v>21.6</v>
      </c>
      <c r="M413" s="13">
        <v>4.5216000000000003</v>
      </c>
      <c r="N413" s="13">
        <v>276</v>
      </c>
      <c r="O413" s="13">
        <v>0</v>
      </c>
      <c r="P413" s="13">
        <v>0.28260000000000002</v>
      </c>
      <c r="Q413" s="13">
        <v>216</v>
      </c>
      <c r="R413" s="13">
        <v>0.28260000000000002</v>
      </c>
      <c r="S413" s="13">
        <v>216</v>
      </c>
      <c r="U413" s="6"/>
      <c r="V413" s="24">
        <v>0.1</v>
      </c>
      <c r="W413" s="3">
        <v>10</v>
      </c>
      <c r="X413" s="6"/>
      <c r="Y413" s="5">
        <v>2.8260000000000001</v>
      </c>
      <c r="Z413" s="5">
        <v>2.8260000000000001</v>
      </c>
      <c r="AA413" s="5">
        <v>0</v>
      </c>
      <c r="AB413" s="5">
        <v>57.776000000000003</v>
      </c>
      <c r="AD413" s="24">
        <v>15.7</v>
      </c>
      <c r="AE413" s="5">
        <f t="shared" si="6"/>
        <v>1.6273226505179876</v>
      </c>
    </row>
    <row r="414" spans="1:31" ht="25.5" customHeight="1" x14ac:dyDescent="0.2">
      <c r="A414" s="54"/>
      <c r="B414" s="21" t="s">
        <v>532</v>
      </c>
      <c r="C414" s="22">
        <v>50</v>
      </c>
      <c r="D414" s="22">
        <v>500</v>
      </c>
      <c r="E414" s="22">
        <v>1500</v>
      </c>
      <c r="F414" s="13">
        <v>3</v>
      </c>
      <c r="G414" s="13">
        <v>3</v>
      </c>
      <c r="H414" s="22">
        <v>1</v>
      </c>
      <c r="I414" s="22">
        <v>2</v>
      </c>
      <c r="J414" s="22">
        <v>1</v>
      </c>
      <c r="K414" s="13">
        <v>0</v>
      </c>
      <c r="L414" s="13">
        <v>21.6</v>
      </c>
      <c r="M414" s="13">
        <v>2.2608000000000001</v>
      </c>
      <c r="N414" s="13">
        <v>276</v>
      </c>
      <c r="O414" s="13">
        <v>0</v>
      </c>
      <c r="P414" s="13">
        <v>0.28260000000000002</v>
      </c>
      <c r="Q414" s="13">
        <v>216</v>
      </c>
      <c r="R414" s="13">
        <v>0.28260000000000002</v>
      </c>
      <c r="S414" s="13">
        <v>216</v>
      </c>
      <c r="U414" s="6"/>
      <c r="V414" s="24">
        <v>0.2</v>
      </c>
      <c r="W414" s="3">
        <v>10</v>
      </c>
      <c r="X414" s="6"/>
      <c r="Y414" s="5">
        <v>2.8260000000000001</v>
      </c>
      <c r="Z414" s="5">
        <v>2.8260000000000001</v>
      </c>
      <c r="AA414" s="5">
        <v>0</v>
      </c>
      <c r="AB414" s="5">
        <v>28.888000000000002</v>
      </c>
      <c r="AD414" s="24">
        <v>18.399999999999999</v>
      </c>
      <c r="AE414" s="5">
        <f t="shared" si="6"/>
        <v>1.9071806859573868</v>
      </c>
    </row>
    <row r="415" spans="1:31" ht="25.5" customHeight="1" x14ac:dyDescent="0.2">
      <c r="A415" s="54"/>
      <c r="B415" s="21" t="s">
        <v>533</v>
      </c>
      <c r="C415" s="22">
        <v>50</v>
      </c>
      <c r="D415" s="22">
        <v>500</v>
      </c>
      <c r="E415" s="22">
        <v>1500</v>
      </c>
      <c r="F415" s="13">
        <v>3</v>
      </c>
      <c r="G415" s="13">
        <v>3</v>
      </c>
      <c r="H415" s="22">
        <v>1</v>
      </c>
      <c r="I415" s="22">
        <v>2</v>
      </c>
      <c r="J415" s="22">
        <v>1</v>
      </c>
      <c r="K415" s="13">
        <v>0</v>
      </c>
      <c r="L415" s="13">
        <v>22.45</v>
      </c>
      <c r="M415" s="13">
        <v>2.2608000000000001</v>
      </c>
      <c r="N415" s="13">
        <v>276</v>
      </c>
      <c r="O415" s="13">
        <v>0</v>
      </c>
      <c r="P415" s="13">
        <v>0.28260000000000002</v>
      </c>
      <c r="Q415" s="13">
        <v>216</v>
      </c>
      <c r="R415" s="13">
        <v>0.28260000000000002</v>
      </c>
      <c r="S415" s="13">
        <v>216</v>
      </c>
      <c r="U415" s="6"/>
      <c r="V415" s="24">
        <v>0.2</v>
      </c>
      <c r="W415" s="3">
        <v>10</v>
      </c>
      <c r="X415" s="6"/>
      <c r="Y415" s="5">
        <v>2.7190022271714924</v>
      </c>
      <c r="Z415" s="5">
        <v>2.7190022271714924</v>
      </c>
      <c r="AA415" s="5">
        <v>0</v>
      </c>
      <c r="AB415" s="5">
        <v>27.794244988864147</v>
      </c>
      <c r="AD415" s="24">
        <v>15.3</v>
      </c>
      <c r="AE415" s="5">
        <f t="shared" ref="AE415:AE478" si="7">AD415*1000/C415/D415*145.038/SQRT(145.038*L415)</f>
        <v>1.5555506286258454</v>
      </c>
    </row>
    <row r="416" spans="1:31" ht="25.5" customHeight="1" x14ac:dyDescent="0.2">
      <c r="A416" s="54"/>
      <c r="B416" s="21" t="s">
        <v>534</v>
      </c>
      <c r="C416" s="22">
        <v>50</v>
      </c>
      <c r="D416" s="22">
        <v>500</v>
      </c>
      <c r="E416" s="22">
        <v>1500</v>
      </c>
      <c r="F416" s="13">
        <v>3</v>
      </c>
      <c r="G416" s="13">
        <v>3</v>
      </c>
      <c r="H416" s="22">
        <v>1</v>
      </c>
      <c r="I416" s="22">
        <v>2</v>
      </c>
      <c r="J416" s="22">
        <v>1</v>
      </c>
      <c r="K416" s="13">
        <v>0</v>
      </c>
      <c r="L416" s="13">
        <v>23.45</v>
      </c>
      <c r="M416" s="13">
        <v>2.2608000000000001</v>
      </c>
      <c r="N416" s="13">
        <v>276</v>
      </c>
      <c r="O416" s="13">
        <v>0</v>
      </c>
      <c r="P416" s="13">
        <v>0.28260000000000002</v>
      </c>
      <c r="Q416" s="13">
        <v>216</v>
      </c>
      <c r="R416" s="13">
        <v>0.28260000000000002</v>
      </c>
      <c r="S416" s="13">
        <v>216</v>
      </c>
      <c r="U416" s="6"/>
      <c r="V416" s="24">
        <v>0.2</v>
      </c>
      <c r="W416" s="3">
        <v>10</v>
      </c>
      <c r="X416" s="6"/>
      <c r="Y416" s="5">
        <v>2.6030533049040514</v>
      </c>
      <c r="Z416" s="5">
        <v>2.6030533049040514</v>
      </c>
      <c r="AA416" s="5">
        <v>0</v>
      </c>
      <c r="AB416" s="5">
        <v>26.608989339019192</v>
      </c>
      <c r="AD416" s="24">
        <v>20.8116232464929</v>
      </c>
      <c r="AE416" s="5">
        <f t="shared" si="7"/>
        <v>2.0703102116926204</v>
      </c>
    </row>
    <row r="417" spans="1:31" ht="25.5" customHeight="1" x14ac:dyDescent="0.2">
      <c r="A417" s="55" t="s">
        <v>535</v>
      </c>
      <c r="B417" s="36" t="s">
        <v>536</v>
      </c>
      <c r="C417" s="22">
        <v>80</v>
      </c>
      <c r="D417" s="22">
        <v>1700</v>
      </c>
      <c r="E417" s="22">
        <v>2000</v>
      </c>
      <c r="F417" s="13">
        <v>2</v>
      </c>
      <c r="G417" s="13">
        <v>1.1764705882352942</v>
      </c>
      <c r="H417" s="22">
        <v>2</v>
      </c>
      <c r="I417" s="22">
        <v>2</v>
      </c>
      <c r="J417" s="22">
        <v>1</v>
      </c>
      <c r="K417" s="13">
        <v>0.21</v>
      </c>
      <c r="L417" s="13">
        <v>62.6</v>
      </c>
      <c r="M417" s="13">
        <v>2.138832195</v>
      </c>
      <c r="N417" s="13">
        <v>848</v>
      </c>
      <c r="O417" s="13">
        <v>1.0551054166666667</v>
      </c>
      <c r="P417" s="13">
        <v>0.79132906250000001</v>
      </c>
      <c r="Q417" s="13">
        <v>810</v>
      </c>
      <c r="R417" s="13">
        <v>0.79132906250000001</v>
      </c>
      <c r="S417" s="13">
        <v>810</v>
      </c>
      <c r="U417" s="6"/>
      <c r="V417" s="24">
        <v>0.21739130434782608</v>
      </c>
      <c r="W417" s="3">
        <v>21.25</v>
      </c>
      <c r="X417" s="6"/>
      <c r="Y417" s="5">
        <v>10.239241863019169</v>
      </c>
      <c r="Z417" s="5">
        <v>10.239241863019169</v>
      </c>
      <c r="AA417" s="5">
        <v>13.652322484025559</v>
      </c>
      <c r="AB417" s="5">
        <v>28.973317913099041</v>
      </c>
      <c r="AD417" s="24">
        <v>1048.5</v>
      </c>
      <c r="AE417" s="5">
        <f t="shared" si="7"/>
        <v>11.735004515346276</v>
      </c>
    </row>
    <row r="418" spans="1:31" ht="25.5" customHeight="1" x14ac:dyDescent="0.2">
      <c r="A418" s="54"/>
      <c r="B418" s="21" t="s">
        <v>537</v>
      </c>
      <c r="C418" s="22">
        <v>80</v>
      </c>
      <c r="D418" s="22">
        <v>1700</v>
      </c>
      <c r="E418" s="22">
        <v>2000</v>
      </c>
      <c r="F418" s="13">
        <v>2</v>
      </c>
      <c r="G418" s="13">
        <v>1.1764705882352942</v>
      </c>
      <c r="H418" s="22">
        <v>2</v>
      </c>
      <c r="I418" s="22">
        <v>2</v>
      </c>
      <c r="J418" s="22">
        <v>1</v>
      </c>
      <c r="K418" s="13">
        <v>0.21</v>
      </c>
      <c r="L418" s="13">
        <v>68.599999999999994</v>
      </c>
      <c r="M418" s="13">
        <v>2.138832195</v>
      </c>
      <c r="N418" s="13">
        <v>848</v>
      </c>
      <c r="O418" s="13">
        <v>1.0551054166666667</v>
      </c>
      <c r="P418" s="13">
        <v>0.79132906250000001</v>
      </c>
      <c r="Q418" s="13">
        <v>810</v>
      </c>
      <c r="R418" s="13">
        <v>0.79132906250000001</v>
      </c>
      <c r="S418" s="13">
        <v>810</v>
      </c>
      <c r="U418" s="6"/>
      <c r="V418" s="24">
        <v>0.21739130434782608</v>
      </c>
      <c r="W418" s="3">
        <v>21.25</v>
      </c>
      <c r="X418" s="6"/>
      <c r="Y418" s="5">
        <v>9.3436813502186595</v>
      </c>
      <c r="Z418" s="5">
        <v>9.3436813502186595</v>
      </c>
      <c r="AA418" s="5">
        <v>12.458241800291546</v>
      </c>
      <c r="AB418" s="5">
        <v>26.439208474635571</v>
      </c>
      <c r="AD418" s="24">
        <v>1041.05</v>
      </c>
      <c r="AE418" s="5">
        <f t="shared" si="7"/>
        <v>11.130419256495873</v>
      </c>
    </row>
    <row r="419" spans="1:31" ht="25.5" customHeight="1" x14ac:dyDescent="0.2">
      <c r="A419" s="54"/>
      <c r="B419" s="21" t="s">
        <v>538</v>
      </c>
      <c r="C419" s="22">
        <v>80</v>
      </c>
      <c r="D419" s="22">
        <v>1700</v>
      </c>
      <c r="E419" s="22">
        <v>2000</v>
      </c>
      <c r="F419" s="13">
        <v>2</v>
      </c>
      <c r="G419" s="13">
        <v>1.1764705882352942</v>
      </c>
      <c r="H419" s="22">
        <v>2</v>
      </c>
      <c r="I419" s="22">
        <v>2</v>
      </c>
      <c r="J419" s="22">
        <v>1</v>
      </c>
      <c r="K419" s="13">
        <v>0.21</v>
      </c>
      <c r="L419" s="13">
        <v>66.5</v>
      </c>
      <c r="M419" s="13">
        <v>2.138832195</v>
      </c>
      <c r="N419" s="13">
        <v>848</v>
      </c>
      <c r="O419" s="13">
        <v>0.52755270833333334</v>
      </c>
      <c r="P419" s="13">
        <v>0.79132906250000001</v>
      </c>
      <c r="Q419" s="13">
        <v>810</v>
      </c>
      <c r="R419" s="13">
        <v>0.79132906250000001</v>
      </c>
      <c r="S419" s="13">
        <v>810</v>
      </c>
      <c r="U419" s="6"/>
      <c r="V419" s="24">
        <v>0.21739130434782608</v>
      </c>
      <c r="W419" s="3">
        <v>21.25</v>
      </c>
      <c r="X419" s="6"/>
      <c r="Y419" s="5">
        <v>9.6387449718045115</v>
      </c>
      <c r="Z419" s="5">
        <v>9.6387449718045115</v>
      </c>
      <c r="AA419" s="5">
        <v>6.4258299812030071</v>
      </c>
      <c r="AB419" s="5">
        <v>27.274130847518798</v>
      </c>
      <c r="AD419" s="24">
        <v>985.85</v>
      </c>
      <c r="AE419" s="5">
        <f t="shared" si="7"/>
        <v>10.70537810866565</v>
      </c>
    </row>
    <row r="420" spans="1:31" ht="25.5" customHeight="1" x14ac:dyDescent="0.2">
      <c r="A420" s="54"/>
      <c r="B420" s="21" t="s">
        <v>539</v>
      </c>
      <c r="C420" s="22">
        <v>80</v>
      </c>
      <c r="D420" s="22">
        <v>1700</v>
      </c>
      <c r="E420" s="22">
        <v>2000</v>
      </c>
      <c r="F420" s="13">
        <v>2</v>
      </c>
      <c r="G420" s="13">
        <v>1.1764705882352942</v>
      </c>
      <c r="H420" s="22">
        <v>2</v>
      </c>
      <c r="I420" s="22">
        <v>2</v>
      </c>
      <c r="J420" s="22">
        <v>1</v>
      </c>
      <c r="K420" s="13">
        <v>0.18</v>
      </c>
      <c r="L420" s="13">
        <v>61.4</v>
      </c>
      <c r="M420" s="13">
        <v>2.138832195</v>
      </c>
      <c r="N420" s="13">
        <v>848</v>
      </c>
      <c r="O420" s="13">
        <v>1.0551054166666667</v>
      </c>
      <c r="P420" s="13">
        <v>0.79132906250000001</v>
      </c>
      <c r="Q420" s="13">
        <v>810</v>
      </c>
      <c r="R420" s="13">
        <v>0.79132906250000001</v>
      </c>
      <c r="S420" s="13">
        <v>810</v>
      </c>
      <c r="U420" s="6"/>
      <c r="V420" s="24">
        <v>0.21739130434782608</v>
      </c>
      <c r="W420" s="3">
        <v>21.25</v>
      </c>
      <c r="X420" s="6"/>
      <c r="Y420" s="5">
        <v>10.439357339169382</v>
      </c>
      <c r="Z420" s="5">
        <v>10.439357339169382</v>
      </c>
      <c r="AA420" s="5">
        <v>13.919143118892508</v>
      </c>
      <c r="AB420" s="5">
        <v>29.539571683387624</v>
      </c>
      <c r="AD420" s="24">
        <v>947.5</v>
      </c>
      <c r="AE420" s="5">
        <f t="shared" si="7"/>
        <v>10.707720487497399</v>
      </c>
    </row>
    <row r="421" spans="1:31" ht="25.5" customHeight="1" x14ac:dyDescent="0.2">
      <c r="A421" s="54"/>
      <c r="B421" s="21" t="s">
        <v>540</v>
      </c>
      <c r="C421" s="22">
        <v>80</v>
      </c>
      <c r="D421" s="22">
        <v>1700</v>
      </c>
      <c r="E421" s="22">
        <v>2000</v>
      </c>
      <c r="F421" s="13">
        <v>2</v>
      </c>
      <c r="G421" s="13">
        <v>1.1764705882352942</v>
      </c>
      <c r="H421" s="22">
        <v>2</v>
      </c>
      <c r="I421" s="22">
        <v>2</v>
      </c>
      <c r="J421" s="22">
        <v>1</v>
      </c>
      <c r="K421" s="13">
        <v>0.21</v>
      </c>
      <c r="L421" s="13">
        <v>59.7</v>
      </c>
      <c r="M421" s="13">
        <v>2.138832195</v>
      </c>
      <c r="N421" s="13">
        <v>848</v>
      </c>
      <c r="O421" s="13">
        <v>1.0551054166666667</v>
      </c>
      <c r="P421" s="13">
        <v>0.79132906250000001</v>
      </c>
      <c r="Q421" s="13">
        <v>810</v>
      </c>
      <c r="R421" s="13">
        <v>0.79132906250000001</v>
      </c>
      <c r="S421" s="13">
        <v>810</v>
      </c>
      <c r="U421" s="6"/>
      <c r="V421" s="24">
        <v>0.21739130434782608</v>
      </c>
      <c r="W421" s="3">
        <v>21.25</v>
      </c>
      <c r="X421" s="6"/>
      <c r="Y421" s="5">
        <v>10.736625471105526</v>
      </c>
      <c r="Z421" s="5">
        <v>10.736625471105526</v>
      </c>
      <c r="AA421" s="5">
        <v>14.315500628140702</v>
      </c>
      <c r="AB421" s="5">
        <v>30.380732016080401</v>
      </c>
      <c r="AD421" s="24">
        <v>1012</v>
      </c>
      <c r="AE421" s="5">
        <f t="shared" si="7"/>
        <v>11.598326754869399</v>
      </c>
    </row>
    <row r="422" spans="1:31" ht="25.5" customHeight="1" x14ac:dyDescent="0.2">
      <c r="A422" s="56" t="s">
        <v>541</v>
      </c>
      <c r="B422" s="34" t="s">
        <v>542</v>
      </c>
      <c r="C422" s="3">
        <v>120</v>
      </c>
      <c r="D422" s="3">
        <v>1500</v>
      </c>
      <c r="E422" s="3">
        <v>750</v>
      </c>
      <c r="F422" s="3">
        <v>0.5</v>
      </c>
      <c r="G422" s="3">
        <v>0.5</v>
      </c>
      <c r="H422" s="3">
        <v>1</v>
      </c>
      <c r="I422" s="3">
        <v>1</v>
      </c>
      <c r="J422" s="3">
        <v>1</v>
      </c>
      <c r="K422" s="3">
        <v>0</v>
      </c>
      <c r="L422" s="3">
        <v>25.8</v>
      </c>
      <c r="M422" s="3">
        <v>5.15</v>
      </c>
      <c r="N422" s="3">
        <v>440</v>
      </c>
      <c r="O422" s="3">
        <v>0</v>
      </c>
      <c r="P422" s="3">
        <v>0.68</v>
      </c>
      <c r="Q422" s="3">
        <v>481</v>
      </c>
      <c r="R422" s="3">
        <v>0.68</v>
      </c>
      <c r="S422" s="3">
        <v>481</v>
      </c>
      <c r="U422" s="3"/>
      <c r="V422" s="24">
        <v>8.666666666666667E-2</v>
      </c>
      <c r="W422" s="3">
        <v>12.5</v>
      </c>
      <c r="X422" s="6"/>
      <c r="Y422" s="5">
        <v>12.677519379844963</v>
      </c>
      <c r="Z422" s="5">
        <v>12.677519379844963</v>
      </c>
      <c r="AA422" s="5">
        <v>0</v>
      </c>
      <c r="AB422" s="5">
        <v>87.829457364341081</v>
      </c>
      <c r="AD422" s="18">
        <v>666.11699999999996</v>
      </c>
      <c r="AE422" s="5">
        <f t="shared" si="7"/>
        <v>8.7742309322174776</v>
      </c>
    </row>
    <row r="423" spans="1:31" ht="25.5" customHeight="1" x14ac:dyDescent="0.2">
      <c r="A423" s="54"/>
      <c r="B423" s="34" t="s">
        <v>543</v>
      </c>
      <c r="C423" s="3">
        <v>120</v>
      </c>
      <c r="D423" s="3">
        <v>1500</v>
      </c>
      <c r="E423" s="3">
        <v>750</v>
      </c>
      <c r="F423" s="3">
        <v>0.5</v>
      </c>
      <c r="G423" s="3">
        <v>0.5</v>
      </c>
      <c r="H423" s="3">
        <v>1</v>
      </c>
      <c r="I423" s="3">
        <v>1</v>
      </c>
      <c r="J423" s="3">
        <v>1</v>
      </c>
      <c r="K423" s="3">
        <v>0</v>
      </c>
      <c r="L423" s="3">
        <v>29</v>
      </c>
      <c r="M423" s="3">
        <v>5.15</v>
      </c>
      <c r="N423" s="3">
        <v>473</v>
      </c>
      <c r="O423" s="3">
        <v>0</v>
      </c>
      <c r="P423" s="3">
        <v>0.68</v>
      </c>
      <c r="Q423" s="3">
        <v>584</v>
      </c>
      <c r="R423" s="3">
        <v>0.68</v>
      </c>
      <c r="S423" s="3">
        <v>584</v>
      </c>
      <c r="U423" s="3"/>
      <c r="V423" s="24">
        <v>8.666666666666667E-2</v>
      </c>
      <c r="W423" s="3">
        <v>12.5</v>
      </c>
      <c r="X423" s="6"/>
      <c r="Y423" s="5">
        <v>13.693793103448275</v>
      </c>
      <c r="Z423" s="5">
        <v>13.693793103448275</v>
      </c>
      <c r="AA423" s="5">
        <v>0</v>
      </c>
      <c r="AB423" s="5">
        <v>83.998275862068979</v>
      </c>
      <c r="AD423" s="18">
        <v>812.60899999999992</v>
      </c>
      <c r="AE423" s="5">
        <f t="shared" si="7"/>
        <v>10.096039131121127</v>
      </c>
    </row>
    <row r="424" spans="1:31" ht="25.5" customHeight="1" x14ac:dyDescent="0.2">
      <c r="A424" s="54"/>
      <c r="B424" s="34" t="s">
        <v>544</v>
      </c>
      <c r="C424" s="3">
        <v>120</v>
      </c>
      <c r="D424" s="3">
        <v>1500</v>
      </c>
      <c r="E424" s="3">
        <v>750</v>
      </c>
      <c r="F424" s="3">
        <v>0.5</v>
      </c>
      <c r="G424" s="3">
        <v>0.5</v>
      </c>
      <c r="H424" s="3">
        <v>1</v>
      </c>
      <c r="I424" s="3">
        <v>1</v>
      </c>
      <c r="J424" s="3">
        <v>1</v>
      </c>
      <c r="K424" s="3">
        <v>0</v>
      </c>
      <c r="L424" s="3">
        <v>32.1</v>
      </c>
      <c r="M424" s="3">
        <v>0.65</v>
      </c>
      <c r="N424" s="3">
        <v>584</v>
      </c>
      <c r="O424" s="3">
        <v>0</v>
      </c>
      <c r="P424" s="3">
        <v>0.68</v>
      </c>
      <c r="Q424" s="3">
        <v>584</v>
      </c>
      <c r="R424" s="3">
        <v>0.68</v>
      </c>
      <c r="S424" s="3">
        <v>584</v>
      </c>
      <c r="U424" s="3"/>
      <c r="V424" s="24">
        <v>5.3333333333333337E-2</v>
      </c>
      <c r="W424" s="3">
        <v>12.5</v>
      </c>
      <c r="X424" s="6"/>
      <c r="Y424" s="5">
        <v>12.371339563862929</v>
      </c>
      <c r="Z424" s="5">
        <v>12.371339563862929</v>
      </c>
      <c r="AA424" s="5">
        <v>0</v>
      </c>
      <c r="AB424" s="5">
        <v>11.825545171339565</v>
      </c>
      <c r="AD424" s="18">
        <v>382.68849999999998</v>
      </c>
      <c r="AE424" s="5">
        <f t="shared" si="7"/>
        <v>4.5191971884791684</v>
      </c>
    </row>
    <row r="425" spans="1:31" ht="25.5" customHeight="1" x14ac:dyDescent="0.2">
      <c r="A425" s="54"/>
      <c r="B425" s="34" t="s">
        <v>545</v>
      </c>
      <c r="C425" s="3">
        <v>120</v>
      </c>
      <c r="D425" s="3">
        <v>1500</v>
      </c>
      <c r="E425" s="3">
        <v>500</v>
      </c>
      <c r="F425" s="3">
        <v>0.33</v>
      </c>
      <c r="G425" s="3">
        <v>0.33</v>
      </c>
      <c r="H425" s="3">
        <v>1</v>
      </c>
      <c r="I425" s="3">
        <v>1</v>
      </c>
      <c r="J425" s="3">
        <v>1</v>
      </c>
      <c r="K425" s="3">
        <v>0</v>
      </c>
      <c r="L425" s="3">
        <v>34.799999999999997</v>
      </c>
      <c r="M425" s="3">
        <v>3.95</v>
      </c>
      <c r="N425" s="3">
        <v>519</v>
      </c>
      <c r="O425" s="3">
        <v>0</v>
      </c>
      <c r="P425" s="3">
        <v>0.68</v>
      </c>
      <c r="Q425" s="3">
        <v>584</v>
      </c>
      <c r="R425" s="3">
        <v>0.68</v>
      </c>
      <c r="S425" s="3">
        <v>584</v>
      </c>
      <c r="U425" s="3"/>
      <c r="V425" s="24">
        <v>8.666666666666667E-2</v>
      </c>
      <c r="W425" s="3">
        <v>12.5</v>
      </c>
      <c r="X425" s="6"/>
      <c r="Y425" s="5">
        <v>11.411494252873565</v>
      </c>
      <c r="Z425" s="5">
        <v>11.411494252873565</v>
      </c>
      <c r="AA425" s="5">
        <v>0</v>
      </c>
      <c r="AB425" s="5">
        <v>58.909482758620697</v>
      </c>
      <c r="AD425" s="18">
        <v>939.42499999999995</v>
      </c>
      <c r="AE425" s="5">
        <f t="shared" si="7"/>
        <v>10.654691698469382</v>
      </c>
    </row>
    <row r="426" spans="1:31" ht="25.5" customHeight="1" x14ac:dyDescent="0.2">
      <c r="A426" s="54"/>
      <c r="B426" s="34" t="s">
        <v>546</v>
      </c>
      <c r="C426" s="3">
        <v>120</v>
      </c>
      <c r="D426" s="3">
        <v>1500</v>
      </c>
      <c r="E426" s="3">
        <v>1500</v>
      </c>
      <c r="F426" s="3">
        <v>1</v>
      </c>
      <c r="G426" s="3">
        <v>1</v>
      </c>
      <c r="H426" s="3">
        <v>1</v>
      </c>
      <c r="I426" s="3">
        <v>1</v>
      </c>
      <c r="J426" s="3">
        <v>1</v>
      </c>
      <c r="K426" s="3">
        <v>0</v>
      </c>
      <c r="L426" s="3">
        <v>35</v>
      </c>
      <c r="M426" s="3">
        <v>9.75</v>
      </c>
      <c r="N426" s="3">
        <v>528</v>
      </c>
      <c r="O426" s="3">
        <v>0</v>
      </c>
      <c r="P426" s="3">
        <v>0.68</v>
      </c>
      <c r="Q426" s="3">
        <v>584</v>
      </c>
      <c r="R426" s="3">
        <v>0.34</v>
      </c>
      <c r="S426" s="3">
        <v>584</v>
      </c>
      <c r="U426" s="3"/>
      <c r="V426" s="24">
        <v>8.666666666666667E-2</v>
      </c>
      <c r="W426" s="3">
        <v>12.5</v>
      </c>
      <c r="X426" s="6"/>
      <c r="Y426" s="5">
        <v>5.6731428571428575</v>
      </c>
      <c r="Z426" s="5">
        <v>11.346285714285715</v>
      </c>
      <c r="AA426" s="5">
        <v>0</v>
      </c>
      <c r="AB426" s="5">
        <v>147.08571428571429</v>
      </c>
      <c r="AD426" s="18">
        <v>708.78750000000002</v>
      </c>
      <c r="AE426" s="5">
        <f t="shared" si="7"/>
        <v>8.0158655426977212</v>
      </c>
    </row>
    <row r="427" spans="1:31" ht="25.5" customHeight="1" x14ac:dyDescent="0.2">
      <c r="A427" s="54"/>
      <c r="B427" s="34" t="s">
        <v>547</v>
      </c>
      <c r="C427" s="3">
        <v>120</v>
      </c>
      <c r="D427" s="3">
        <v>1500</v>
      </c>
      <c r="E427" s="3">
        <v>1500</v>
      </c>
      <c r="F427" s="3">
        <v>1</v>
      </c>
      <c r="G427" s="3">
        <v>1</v>
      </c>
      <c r="H427" s="3">
        <v>1</v>
      </c>
      <c r="I427" s="3">
        <v>1</v>
      </c>
      <c r="J427" s="3">
        <v>1</v>
      </c>
      <c r="K427" s="3">
        <v>0</v>
      </c>
      <c r="L427" s="3">
        <v>22.6</v>
      </c>
      <c r="M427" s="3">
        <v>9.75</v>
      </c>
      <c r="N427" s="3">
        <v>528</v>
      </c>
      <c r="O427" s="3">
        <v>0</v>
      </c>
      <c r="P427" s="3">
        <v>0.68</v>
      </c>
      <c r="Q427" s="3">
        <v>584</v>
      </c>
      <c r="R427" s="3">
        <v>0.68</v>
      </c>
      <c r="S427" s="3">
        <v>584</v>
      </c>
      <c r="U427" s="3"/>
      <c r="V427" s="24">
        <v>8.666666666666667E-2</v>
      </c>
      <c r="W427" s="3">
        <v>12.5</v>
      </c>
      <c r="X427" s="6"/>
      <c r="Y427" s="5">
        <v>17.571681415929202</v>
      </c>
      <c r="Z427" s="5">
        <v>17.571681415929202</v>
      </c>
      <c r="AA427" s="5">
        <v>0</v>
      </c>
      <c r="AB427" s="5">
        <v>227.78761061946901</v>
      </c>
      <c r="AD427" s="18">
        <v>735.69</v>
      </c>
      <c r="AE427" s="5">
        <f t="shared" si="7"/>
        <v>10.354020711808907</v>
      </c>
    </row>
    <row r="428" spans="1:31" ht="25.5" customHeight="1" x14ac:dyDescent="0.2">
      <c r="A428" s="54"/>
      <c r="B428" s="34" t="s">
        <v>548</v>
      </c>
      <c r="C428" s="3">
        <v>120</v>
      </c>
      <c r="D428" s="3">
        <v>1500</v>
      </c>
      <c r="E428" s="3">
        <v>750</v>
      </c>
      <c r="F428" s="3">
        <v>0.5</v>
      </c>
      <c r="G428" s="3">
        <v>0.5</v>
      </c>
      <c r="H428" s="3">
        <v>1</v>
      </c>
      <c r="I428" s="3">
        <v>1</v>
      </c>
      <c r="J428" s="3">
        <v>1</v>
      </c>
      <c r="K428" s="3">
        <v>0</v>
      </c>
      <c r="L428" s="3">
        <v>24</v>
      </c>
      <c r="M428" s="13">
        <v>2.5999387477984492</v>
      </c>
      <c r="N428" s="3">
        <v>473</v>
      </c>
      <c r="O428" s="13">
        <v>1.1170107212763709</v>
      </c>
      <c r="P428" s="3">
        <v>0.34</v>
      </c>
      <c r="Q428" s="3">
        <v>584</v>
      </c>
      <c r="R428" s="3">
        <v>0.27318196987737331</v>
      </c>
      <c r="S428" s="3">
        <v>584</v>
      </c>
      <c r="U428" s="3"/>
      <c r="V428" s="24">
        <v>0.19333333333333333</v>
      </c>
      <c r="W428" s="3">
        <v>12.5</v>
      </c>
      <c r="X428" s="6"/>
      <c r="Y428" s="5">
        <v>6.6474279336827502</v>
      </c>
      <c r="Z428" s="5">
        <v>8.2733333333333334</v>
      </c>
      <c r="AA428" s="5">
        <v>27.180594217725027</v>
      </c>
      <c r="AB428" s="5">
        <v>51.240459487861102</v>
      </c>
      <c r="AD428" s="18">
        <v>562.69499999999994</v>
      </c>
      <c r="AE428" s="5">
        <f t="shared" si="7"/>
        <v>7.6848577223145131</v>
      </c>
    </row>
    <row r="429" spans="1:31" ht="25.5" customHeight="1" x14ac:dyDescent="0.2">
      <c r="A429" s="54"/>
      <c r="B429" s="34" t="s">
        <v>549</v>
      </c>
      <c r="C429" s="3">
        <v>120</v>
      </c>
      <c r="D429" s="3">
        <v>1500</v>
      </c>
      <c r="E429" s="3">
        <v>750</v>
      </c>
      <c r="F429" s="3">
        <v>0.5</v>
      </c>
      <c r="G429" s="3">
        <v>0.5</v>
      </c>
      <c r="H429" s="3">
        <v>1</v>
      </c>
      <c r="I429" s="3">
        <v>1</v>
      </c>
      <c r="J429" s="3">
        <v>1</v>
      </c>
      <c r="K429" s="3">
        <v>0.05</v>
      </c>
      <c r="L429" s="3">
        <v>26.3</v>
      </c>
      <c r="M429" s="13">
        <v>5.15</v>
      </c>
      <c r="N429" s="3">
        <v>473</v>
      </c>
      <c r="O429" s="3">
        <v>0</v>
      </c>
      <c r="P429" s="3">
        <v>0.34</v>
      </c>
      <c r="Q429" s="3">
        <v>584</v>
      </c>
      <c r="R429" s="3">
        <v>0.25</v>
      </c>
      <c r="S429" s="3">
        <v>584</v>
      </c>
      <c r="U429" s="3"/>
      <c r="V429" s="24">
        <v>8.666666666666667E-2</v>
      </c>
      <c r="W429" s="3">
        <v>12.5</v>
      </c>
      <c r="X429" s="6"/>
      <c r="Y429" s="5">
        <v>5.5513307984790874</v>
      </c>
      <c r="Z429" s="5">
        <v>7.549809885931559</v>
      </c>
      <c r="AA429" s="5">
        <v>0</v>
      </c>
      <c r="AB429" s="5">
        <v>92.621673003802286</v>
      </c>
      <c r="AD429" s="18">
        <v>788.7</v>
      </c>
      <c r="AE429" s="5">
        <f t="shared" si="7"/>
        <v>10.289691701832369</v>
      </c>
    </row>
    <row r="430" spans="1:31" ht="25.5" customHeight="1" x14ac:dyDescent="0.2">
      <c r="A430" s="54"/>
      <c r="B430" s="34" t="s">
        <v>550</v>
      </c>
      <c r="C430" s="3">
        <v>120</v>
      </c>
      <c r="D430" s="3">
        <v>1500</v>
      </c>
      <c r="E430" s="3">
        <v>750</v>
      </c>
      <c r="F430" s="3">
        <v>0.5</v>
      </c>
      <c r="G430" s="3">
        <v>0.5</v>
      </c>
      <c r="H430" s="3">
        <v>1</v>
      </c>
      <c r="I430" s="3">
        <v>1</v>
      </c>
      <c r="J430" s="3">
        <v>1</v>
      </c>
      <c r="K430" s="3">
        <v>0.1</v>
      </c>
      <c r="L430" s="3">
        <v>27</v>
      </c>
      <c r="M430" s="13">
        <v>5.15</v>
      </c>
      <c r="N430" s="3">
        <v>473</v>
      </c>
      <c r="O430" s="3">
        <v>0</v>
      </c>
      <c r="P430" s="3">
        <v>0.34</v>
      </c>
      <c r="Q430" s="3">
        <v>584</v>
      </c>
      <c r="R430" s="3">
        <v>0.34</v>
      </c>
      <c r="S430" s="3">
        <v>584</v>
      </c>
      <c r="U430" s="3"/>
      <c r="V430" s="24">
        <v>8.666666666666667E-2</v>
      </c>
      <c r="W430" s="3">
        <v>12.5</v>
      </c>
      <c r="X430" s="6"/>
      <c r="Y430" s="5">
        <v>7.3540740740740738</v>
      </c>
      <c r="Z430" s="5">
        <v>7.3540740740740738</v>
      </c>
      <c r="AA430" s="5">
        <v>0</v>
      </c>
      <c r="AB430" s="5">
        <v>90.220370370370375</v>
      </c>
      <c r="AD430" s="18">
        <v>865</v>
      </c>
      <c r="AE430" s="5">
        <f t="shared" si="7"/>
        <v>11.137882231843951</v>
      </c>
    </row>
    <row r="431" spans="1:31" ht="25.5" customHeight="1" x14ac:dyDescent="0.2">
      <c r="A431" s="54"/>
      <c r="B431" s="34" t="s">
        <v>551</v>
      </c>
      <c r="C431" s="3">
        <v>120</v>
      </c>
      <c r="D431" s="3">
        <v>1500</v>
      </c>
      <c r="E431" s="3">
        <v>750</v>
      </c>
      <c r="F431" s="3">
        <v>0.5</v>
      </c>
      <c r="G431" s="3">
        <v>0.5</v>
      </c>
      <c r="H431" s="3">
        <v>1</v>
      </c>
      <c r="I431" s="3">
        <v>1</v>
      </c>
      <c r="J431" s="3">
        <v>1</v>
      </c>
      <c r="K431" s="3">
        <v>0</v>
      </c>
      <c r="L431" s="3">
        <v>23.7</v>
      </c>
      <c r="M431" s="13">
        <v>5.15</v>
      </c>
      <c r="N431" s="3">
        <v>440</v>
      </c>
      <c r="O431" s="3">
        <v>0</v>
      </c>
      <c r="P431" s="3">
        <v>0.34</v>
      </c>
      <c r="Q431" s="3">
        <v>481</v>
      </c>
      <c r="R431" s="3">
        <v>0.34</v>
      </c>
      <c r="S431" s="3">
        <v>481</v>
      </c>
      <c r="U431" s="3"/>
      <c r="V431" s="24">
        <v>8.666666666666667E-2</v>
      </c>
      <c r="W431" s="3">
        <v>12.5</v>
      </c>
      <c r="X431" s="6"/>
      <c r="Y431" s="5">
        <v>6.900421940928271</v>
      </c>
      <c r="Z431" s="5">
        <v>6.900421940928271</v>
      </c>
      <c r="AA431" s="5">
        <v>0</v>
      </c>
      <c r="AB431" s="5">
        <v>95.611814345991561</v>
      </c>
      <c r="AD431" s="18">
        <v>634.44650000000001</v>
      </c>
      <c r="AE431" s="5">
        <f t="shared" si="7"/>
        <v>8.7194527576713199</v>
      </c>
    </row>
    <row r="432" spans="1:31" ht="25.5" customHeight="1" x14ac:dyDescent="0.2">
      <c r="A432" s="53" t="s">
        <v>552</v>
      </c>
      <c r="B432" s="36" t="s">
        <v>553</v>
      </c>
      <c r="C432" s="22">
        <v>102</v>
      </c>
      <c r="D432" s="22">
        <v>1220</v>
      </c>
      <c r="E432" s="22">
        <v>3660</v>
      </c>
      <c r="F432" s="13">
        <v>3</v>
      </c>
      <c r="G432" s="13">
        <v>3</v>
      </c>
      <c r="H432" s="22">
        <v>1</v>
      </c>
      <c r="I432" s="22">
        <v>3</v>
      </c>
      <c r="J432" s="22">
        <v>1</v>
      </c>
      <c r="K432" s="13">
        <v>0.1</v>
      </c>
      <c r="L432" s="13">
        <v>31.6</v>
      </c>
      <c r="M432" s="13">
        <v>2.9168339251711184</v>
      </c>
      <c r="N432" s="13">
        <v>433</v>
      </c>
      <c r="O432" s="13">
        <v>0.46662538699690398</v>
      </c>
      <c r="P432" s="13">
        <v>0.32580065359477123</v>
      </c>
      <c r="Q432" s="13">
        <v>433</v>
      </c>
      <c r="R432" s="13">
        <v>0.29749999999999999</v>
      </c>
      <c r="S432" s="13">
        <v>433</v>
      </c>
      <c r="U432" s="6"/>
      <c r="V432" s="24">
        <v>0.15614754098360656</v>
      </c>
      <c r="W432" s="3">
        <v>11.96078431372549</v>
      </c>
      <c r="X432" s="6"/>
      <c r="Y432" s="5">
        <v>4.0765031645569616</v>
      </c>
      <c r="Z432" s="5">
        <v>4.464293766029618</v>
      </c>
      <c r="AA432" s="5">
        <v>6.3939491319512465</v>
      </c>
      <c r="AB432" s="5">
        <v>39.968009164528297</v>
      </c>
      <c r="AD432" s="24">
        <v>144.38499999999999</v>
      </c>
      <c r="AE432" s="5">
        <f t="shared" si="7"/>
        <v>2.4857613705146036</v>
      </c>
    </row>
    <row r="433" spans="1:31" ht="25.5" customHeight="1" x14ac:dyDescent="0.2">
      <c r="A433" s="54"/>
      <c r="B433" s="36" t="s">
        <v>554</v>
      </c>
      <c r="C433" s="22">
        <v>102</v>
      </c>
      <c r="D433" s="22">
        <v>1220</v>
      </c>
      <c r="E433" s="22">
        <v>3660</v>
      </c>
      <c r="F433" s="13">
        <v>3</v>
      </c>
      <c r="G433" s="13">
        <v>3</v>
      </c>
      <c r="H433" s="22">
        <v>1</v>
      </c>
      <c r="I433" s="22">
        <v>3</v>
      </c>
      <c r="J433" s="22">
        <v>1</v>
      </c>
      <c r="K433" s="13">
        <v>0.1</v>
      </c>
      <c r="L433" s="13">
        <v>34</v>
      </c>
      <c r="M433" s="13">
        <v>2.9168339251711184</v>
      </c>
      <c r="N433" s="13">
        <v>433</v>
      </c>
      <c r="O433" s="13">
        <v>0.69536332179930793</v>
      </c>
      <c r="P433" s="13">
        <v>0.32580065359477123</v>
      </c>
      <c r="Q433" s="13">
        <v>433</v>
      </c>
      <c r="R433" s="13">
        <v>0.29749999999999999</v>
      </c>
      <c r="S433" s="13">
        <v>433</v>
      </c>
      <c r="U433" s="6"/>
      <c r="V433" s="24">
        <v>0.15614754098360656</v>
      </c>
      <c r="W433" s="3">
        <v>11.96078431372549</v>
      </c>
      <c r="X433" s="6"/>
      <c r="Y433" s="5">
        <v>3.7887499999999998</v>
      </c>
      <c r="Z433" s="5">
        <v>4.149167147251057</v>
      </c>
      <c r="AA433" s="5">
        <v>8.8556564217382459</v>
      </c>
      <c r="AB433" s="5">
        <v>37.146737929385125</v>
      </c>
      <c r="AD433" s="24">
        <v>159.79500000000002</v>
      </c>
      <c r="AE433" s="5">
        <f t="shared" si="7"/>
        <v>2.6521899578838246</v>
      </c>
    </row>
    <row r="434" spans="1:31" ht="25.5" customHeight="1" x14ac:dyDescent="0.2">
      <c r="A434" s="54"/>
      <c r="B434" s="36" t="s">
        <v>555</v>
      </c>
      <c r="C434" s="22">
        <v>102</v>
      </c>
      <c r="D434" s="22">
        <v>1220</v>
      </c>
      <c r="E434" s="22">
        <v>3360</v>
      </c>
      <c r="F434" s="13">
        <v>2.75</v>
      </c>
      <c r="G434" s="13">
        <v>2.7540983606557377</v>
      </c>
      <c r="H434" s="22">
        <v>3</v>
      </c>
      <c r="I434" s="22">
        <v>3</v>
      </c>
      <c r="J434" s="22">
        <v>1</v>
      </c>
      <c r="K434" s="13">
        <v>0.1</v>
      </c>
      <c r="L434" s="13">
        <v>43.6</v>
      </c>
      <c r="M434" s="13">
        <v>1.57</v>
      </c>
      <c r="N434" s="13">
        <v>433</v>
      </c>
      <c r="O434" s="13">
        <v>0.222</v>
      </c>
      <c r="P434" s="13">
        <v>0.32580065359477123</v>
      </c>
      <c r="Q434" s="13">
        <v>433</v>
      </c>
      <c r="R434" s="13">
        <v>0.32580065359477123</v>
      </c>
      <c r="S434" s="13">
        <v>433</v>
      </c>
      <c r="U434" s="6"/>
      <c r="V434" s="24">
        <v>0.35300925925925924</v>
      </c>
      <c r="W434" s="3">
        <v>11.96078431372549</v>
      </c>
      <c r="X434" s="6"/>
      <c r="Y434" s="5">
        <v>3.2355890597829347</v>
      </c>
      <c r="Z434" s="5">
        <v>3.2355890597829347</v>
      </c>
      <c r="AA434" s="5">
        <v>2.2047247706422017</v>
      </c>
      <c r="AB434" s="5">
        <v>15.591972477064221</v>
      </c>
      <c r="AD434" s="24">
        <v>193</v>
      </c>
      <c r="AE434" s="5">
        <f t="shared" si="7"/>
        <v>2.8287525805519969</v>
      </c>
    </row>
    <row r="435" spans="1:31" ht="25.5" customHeight="1" x14ac:dyDescent="0.2">
      <c r="A435" s="54"/>
      <c r="B435" s="36" t="s">
        <v>556</v>
      </c>
      <c r="C435" s="22">
        <v>102</v>
      </c>
      <c r="D435" s="22">
        <v>1220</v>
      </c>
      <c r="E435" s="22">
        <v>3360</v>
      </c>
      <c r="F435" s="13">
        <v>2.75</v>
      </c>
      <c r="G435" s="13">
        <v>2.7540983606557377</v>
      </c>
      <c r="H435" s="22">
        <v>3</v>
      </c>
      <c r="I435" s="22">
        <v>3</v>
      </c>
      <c r="J435" s="22">
        <v>1</v>
      </c>
      <c r="K435" s="13">
        <v>0.1</v>
      </c>
      <c r="L435" s="13">
        <v>43.6</v>
      </c>
      <c r="M435" s="13">
        <v>2.9168339251711184</v>
      </c>
      <c r="N435" s="13">
        <v>433</v>
      </c>
      <c r="O435" s="13">
        <v>0.46662538699690398</v>
      </c>
      <c r="P435" s="13">
        <v>0.32580065359477123</v>
      </c>
      <c r="Q435" s="13">
        <v>433</v>
      </c>
      <c r="R435" s="13">
        <v>0.32580065359477123</v>
      </c>
      <c r="S435" s="13">
        <v>433</v>
      </c>
      <c r="U435" s="6"/>
      <c r="V435" s="24">
        <v>0.15614754098360656</v>
      </c>
      <c r="W435" s="3">
        <v>11.96078431372549</v>
      </c>
      <c r="X435" s="6"/>
      <c r="Y435" s="5">
        <v>3.2355890597829347</v>
      </c>
      <c r="Z435" s="5">
        <v>3.2355890597829347</v>
      </c>
      <c r="AA435" s="5">
        <v>4.6341466185701696</v>
      </c>
      <c r="AB435" s="5">
        <v>28.967639669703996</v>
      </c>
      <c r="AD435" s="24">
        <v>291.17</v>
      </c>
      <c r="AE435" s="5">
        <f t="shared" si="7"/>
        <v>4.2676056418617865</v>
      </c>
    </row>
    <row r="436" spans="1:31" ht="25.5" customHeight="1" x14ac:dyDescent="0.2">
      <c r="A436" s="54"/>
      <c r="B436" s="36" t="s">
        <v>557</v>
      </c>
      <c r="C436" s="22">
        <v>102</v>
      </c>
      <c r="D436" s="22">
        <v>1220</v>
      </c>
      <c r="E436" s="22">
        <v>3360</v>
      </c>
      <c r="F436" s="13">
        <v>2.75</v>
      </c>
      <c r="G436" s="13">
        <v>2.7540983606557377</v>
      </c>
      <c r="H436" s="22">
        <v>3</v>
      </c>
      <c r="I436" s="22">
        <v>3</v>
      </c>
      <c r="J436" s="22">
        <v>1</v>
      </c>
      <c r="K436" s="13">
        <v>0.1</v>
      </c>
      <c r="L436" s="13">
        <v>41.7</v>
      </c>
      <c r="M436" s="13">
        <v>1.57</v>
      </c>
      <c r="N436" s="13">
        <v>433</v>
      </c>
      <c r="O436" s="13">
        <v>0.14299999999999999</v>
      </c>
      <c r="P436" s="13">
        <v>0.44332160364145656</v>
      </c>
      <c r="Q436" s="13">
        <v>433</v>
      </c>
      <c r="R436" s="13">
        <v>0.40041951296647688</v>
      </c>
      <c r="S436" s="13">
        <v>433</v>
      </c>
      <c r="U436" s="6"/>
      <c r="V436" s="24">
        <v>0.35300925925925924</v>
      </c>
      <c r="W436" s="3">
        <v>11.96078431372549</v>
      </c>
      <c r="X436" s="6"/>
      <c r="Y436" s="5">
        <v>4.1578333120979485</v>
      </c>
      <c r="Z436" s="5">
        <v>4.6033154526798725</v>
      </c>
      <c r="AA436" s="5">
        <v>1.4848681055155875</v>
      </c>
      <c r="AB436" s="5">
        <v>16.302398081534772</v>
      </c>
      <c r="AD436" s="24">
        <v>187.2</v>
      </c>
      <c r="AE436" s="5">
        <f t="shared" si="7"/>
        <v>2.8055545392503585</v>
      </c>
    </row>
    <row r="437" spans="1:31" ht="25.5" customHeight="1" x14ac:dyDescent="0.2">
      <c r="A437" s="54"/>
      <c r="B437" s="36" t="s">
        <v>558</v>
      </c>
      <c r="C437" s="22">
        <v>102</v>
      </c>
      <c r="D437" s="22">
        <v>1220</v>
      </c>
      <c r="E437" s="22">
        <v>3360</v>
      </c>
      <c r="F437" s="13">
        <v>2.75</v>
      </c>
      <c r="G437" s="13">
        <v>2.7540983606557377</v>
      </c>
      <c r="H437" s="22">
        <v>3</v>
      </c>
      <c r="I437" s="22">
        <v>3</v>
      </c>
      <c r="J437" s="22">
        <v>1</v>
      </c>
      <c r="K437" s="13">
        <v>0.1</v>
      </c>
      <c r="L437" s="13">
        <v>41.7</v>
      </c>
      <c r="M437" s="13">
        <v>1.39</v>
      </c>
      <c r="N437" s="13">
        <v>433</v>
      </c>
      <c r="O437" s="13">
        <v>2.0409999999999999</v>
      </c>
      <c r="P437" s="13">
        <v>0.44332160364145656</v>
      </c>
      <c r="Q437" s="13">
        <v>433</v>
      </c>
      <c r="R437" s="13">
        <v>0.40041951296647688</v>
      </c>
      <c r="S437" s="13">
        <v>433</v>
      </c>
      <c r="U437" s="6"/>
      <c r="V437" s="24">
        <v>0.36475409836065575</v>
      </c>
      <c r="W437" s="3">
        <v>11.96078431372549</v>
      </c>
      <c r="X437" s="6"/>
      <c r="Y437" s="5">
        <v>4.1578333120979485</v>
      </c>
      <c r="Z437" s="5">
        <v>4.6033154526798725</v>
      </c>
      <c r="AA437" s="5">
        <v>21.1931175059952</v>
      </c>
      <c r="AB437" s="5">
        <v>14.433333333333332</v>
      </c>
      <c r="AD437" s="24">
        <v>367</v>
      </c>
      <c r="AE437" s="5">
        <f t="shared" si="7"/>
        <v>5.5002057473551371</v>
      </c>
    </row>
    <row r="438" spans="1:31" ht="25.5" customHeight="1" x14ac:dyDescent="0.2">
      <c r="A438" s="53" t="s">
        <v>559</v>
      </c>
      <c r="B438" s="36" t="s">
        <v>560</v>
      </c>
      <c r="C438" s="22">
        <v>100</v>
      </c>
      <c r="D438" s="22">
        <v>600</v>
      </c>
      <c r="E438" s="22">
        <v>850</v>
      </c>
      <c r="F438" s="13">
        <v>1.42</v>
      </c>
      <c r="G438" s="13">
        <v>1.4166666666666667</v>
      </c>
      <c r="H438" s="22">
        <v>1</v>
      </c>
      <c r="I438" s="22">
        <v>1</v>
      </c>
      <c r="J438" s="22">
        <v>1</v>
      </c>
      <c r="K438" s="13">
        <v>0</v>
      </c>
      <c r="L438" s="13">
        <v>16.5</v>
      </c>
      <c r="M438" s="13">
        <v>0</v>
      </c>
      <c r="N438" s="13">
        <v>0</v>
      </c>
      <c r="O438" s="13">
        <v>0</v>
      </c>
      <c r="P438" s="13">
        <v>0.73</v>
      </c>
      <c r="Q438" s="13">
        <v>461</v>
      </c>
      <c r="R438" s="13">
        <v>3.29</v>
      </c>
      <c r="S438" s="13">
        <v>461</v>
      </c>
      <c r="U438" s="6"/>
      <c r="V438" s="24">
        <v>8.3333333333333329E-2</v>
      </c>
      <c r="W438" s="3">
        <v>6</v>
      </c>
      <c r="X438" s="6"/>
      <c r="Y438" s="5">
        <v>91.920606060606062</v>
      </c>
      <c r="Z438" s="5">
        <v>20.395757575757575</v>
      </c>
      <c r="AA438" s="5">
        <v>0</v>
      </c>
      <c r="AB438" s="5">
        <v>0</v>
      </c>
      <c r="AD438" s="24">
        <v>157.30000000000001</v>
      </c>
      <c r="AE438" s="5">
        <f t="shared" si="7"/>
        <v>7.7727804598983603</v>
      </c>
    </row>
    <row r="439" spans="1:31" ht="25.5" customHeight="1" x14ac:dyDescent="0.2">
      <c r="A439" s="54"/>
      <c r="B439" s="36" t="s">
        <v>561</v>
      </c>
      <c r="C439" s="22">
        <v>100</v>
      </c>
      <c r="D439" s="22">
        <v>585</v>
      </c>
      <c r="E439" s="22">
        <v>700</v>
      </c>
      <c r="F439" s="13">
        <v>1.2</v>
      </c>
      <c r="G439" s="13">
        <v>1.1965811965811965</v>
      </c>
      <c r="H439" s="22">
        <v>1</v>
      </c>
      <c r="I439" s="22">
        <v>1</v>
      </c>
      <c r="J439" s="22">
        <v>1</v>
      </c>
      <c r="K439" s="13">
        <v>0</v>
      </c>
      <c r="L439" s="13">
        <v>37</v>
      </c>
      <c r="M439" s="13">
        <v>0</v>
      </c>
      <c r="N439" s="13">
        <v>0</v>
      </c>
      <c r="O439" s="13">
        <v>0</v>
      </c>
      <c r="P439" s="13">
        <v>0.26</v>
      </c>
      <c r="Q439" s="13">
        <v>607.79999999999995</v>
      </c>
      <c r="R439" s="13">
        <v>0.33</v>
      </c>
      <c r="S439" s="13">
        <v>607.79999999999995</v>
      </c>
      <c r="U439" s="6"/>
      <c r="V439" s="24">
        <v>0.34188034188034189</v>
      </c>
      <c r="W439" s="3">
        <v>5.85</v>
      </c>
      <c r="X439" s="6"/>
      <c r="Y439" s="5">
        <v>5.4209189189189182</v>
      </c>
      <c r="Z439" s="5">
        <v>4.271027027027027</v>
      </c>
      <c r="AA439" s="5">
        <v>0</v>
      </c>
      <c r="AB439" s="5">
        <v>0</v>
      </c>
      <c r="AD439" s="24">
        <v>141.55397524413956</v>
      </c>
      <c r="AE439" s="5">
        <f t="shared" si="7"/>
        <v>4.7907801695450782</v>
      </c>
    </row>
    <row r="440" spans="1:31" ht="25.5" customHeight="1" x14ac:dyDescent="0.2">
      <c r="A440" s="54"/>
      <c r="B440" s="36" t="s">
        <v>562</v>
      </c>
      <c r="C440" s="22">
        <v>125</v>
      </c>
      <c r="D440" s="22">
        <v>500</v>
      </c>
      <c r="E440" s="22">
        <v>600</v>
      </c>
      <c r="F440" s="13">
        <v>1.2</v>
      </c>
      <c r="G440" s="13">
        <v>1.2</v>
      </c>
      <c r="H440" s="22">
        <v>1</v>
      </c>
      <c r="I440" s="22">
        <v>1</v>
      </c>
      <c r="J440" s="22">
        <v>1</v>
      </c>
      <c r="K440" s="13">
        <v>0</v>
      </c>
      <c r="L440" s="13">
        <v>16.7</v>
      </c>
      <c r="M440" s="13">
        <v>0</v>
      </c>
      <c r="N440" s="13">
        <v>0</v>
      </c>
      <c r="O440" s="13">
        <v>0</v>
      </c>
      <c r="P440" s="13">
        <v>0.5</v>
      </c>
      <c r="Q440" s="13">
        <v>389.3</v>
      </c>
      <c r="R440" s="13">
        <v>6.25</v>
      </c>
      <c r="S440" s="13">
        <v>389.3</v>
      </c>
      <c r="U440" s="6"/>
      <c r="V440" s="24">
        <v>0</v>
      </c>
      <c r="W440" s="3">
        <v>4</v>
      </c>
      <c r="X440" s="6"/>
      <c r="Y440" s="5">
        <v>145.69610778443115</v>
      </c>
      <c r="Z440" s="5">
        <v>11.655688622754491</v>
      </c>
      <c r="AA440" s="5">
        <v>0</v>
      </c>
      <c r="AB440" s="5">
        <v>0</v>
      </c>
      <c r="AD440" s="24">
        <v>169.96</v>
      </c>
      <c r="AE440" s="5">
        <f t="shared" si="7"/>
        <v>8.0140006018911478</v>
      </c>
    </row>
    <row r="441" spans="1:31" ht="25.5" customHeight="1" x14ac:dyDescent="0.2">
      <c r="A441" s="53" t="s">
        <v>563</v>
      </c>
      <c r="B441" s="36" t="s">
        <v>564</v>
      </c>
      <c r="C441" s="22">
        <v>152</v>
      </c>
      <c r="D441" s="22">
        <v>1219</v>
      </c>
      <c r="E441" s="22">
        <v>2438</v>
      </c>
      <c r="F441" s="13">
        <v>2</v>
      </c>
      <c r="G441" s="13">
        <v>2</v>
      </c>
      <c r="H441" s="22">
        <v>1</v>
      </c>
      <c r="I441" s="22">
        <v>2</v>
      </c>
      <c r="J441" s="22">
        <v>1</v>
      </c>
      <c r="K441" s="13">
        <v>7.2999999999999995E-2</v>
      </c>
      <c r="L441" s="13">
        <v>47.1</v>
      </c>
      <c r="M441" s="13">
        <v>3.0490691794989657</v>
      </c>
      <c r="N441" s="13">
        <v>472.7</v>
      </c>
      <c r="O441" s="17">
        <v>0.83297796052631579</v>
      </c>
      <c r="P441" s="13">
        <v>0.26560150375939851</v>
      </c>
      <c r="Q441" s="13">
        <v>450.2</v>
      </c>
      <c r="R441" s="13">
        <v>0.29249999999999998</v>
      </c>
      <c r="S441" s="13">
        <v>450.2</v>
      </c>
      <c r="U441" s="6"/>
      <c r="V441" s="24">
        <v>0.1878589007383101</v>
      </c>
      <c r="W441" s="3">
        <v>8.0197368421052637</v>
      </c>
      <c r="X441" s="6"/>
      <c r="Y441" s="5">
        <v>2.7958280254777064</v>
      </c>
      <c r="Z441" s="5">
        <v>2.5387218045112783</v>
      </c>
      <c r="AA441" s="5">
        <v>7.4879589912280702</v>
      </c>
      <c r="AB441" s="5">
        <v>30.600743124186007</v>
      </c>
      <c r="AD441" s="24">
        <v>458.5</v>
      </c>
      <c r="AE441" s="5">
        <f t="shared" si="7"/>
        <v>4.3423266909519445</v>
      </c>
    </row>
    <row r="442" spans="1:31" ht="25.5" customHeight="1" x14ac:dyDescent="0.2">
      <c r="A442" s="54"/>
      <c r="B442" s="36" t="s">
        <v>565</v>
      </c>
      <c r="C442" s="22">
        <v>152</v>
      </c>
      <c r="D442" s="22">
        <v>1219</v>
      </c>
      <c r="E442" s="22">
        <v>2438</v>
      </c>
      <c r="F442" s="13">
        <v>2</v>
      </c>
      <c r="G442" s="13">
        <v>2</v>
      </c>
      <c r="H442" s="22">
        <v>1</v>
      </c>
      <c r="I442" s="22">
        <v>2</v>
      </c>
      <c r="J442" s="22">
        <v>1</v>
      </c>
      <c r="K442" s="13">
        <v>7.2999999999999995E-2</v>
      </c>
      <c r="L442" s="13">
        <v>48.6</v>
      </c>
      <c r="M442" s="13">
        <v>6.5131004366812224</v>
      </c>
      <c r="N442" s="13">
        <v>477.2</v>
      </c>
      <c r="O442" s="17">
        <v>0.83297796052631579</v>
      </c>
      <c r="P442" s="13">
        <v>0.61328125</v>
      </c>
      <c r="Q442" s="13">
        <v>443.3</v>
      </c>
      <c r="R442" s="13">
        <v>0.61328125</v>
      </c>
      <c r="S442" s="13">
        <v>443.3</v>
      </c>
      <c r="U442" s="6"/>
      <c r="V442" s="24">
        <v>0.1878589007383101</v>
      </c>
      <c r="W442" s="3">
        <v>8.0197368421052637</v>
      </c>
      <c r="X442" s="6"/>
      <c r="Y442" s="5">
        <v>5.5939830889917701</v>
      </c>
      <c r="Z442" s="5">
        <v>5.5939830889917701</v>
      </c>
      <c r="AA442" s="5">
        <v>7.2568491458197961</v>
      </c>
      <c r="AB442" s="5">
        <v>63.951677538771172</v>
      </c>
      <c r="AD442" s="24">
        <v>742</v>
      </c>
      <c r="AE442" s="5">
        <f t="shared" si="7"/>
        <v>6.9179812133648131</v>
      </c>
    </row>
    <row r="443" spans="1:31" ht="25.5" customHeight="1" x14ac:dyDescent="0.2">
      <c r="A443" s="54"/>
      <c r="B443" s="36" t="s">
        <v>566</v>
      </c>
      <c r="C443" s="22">
        <v>152</v>
      </c>
      <c r="D443" s="22">
        <v>1219</v>
      </c>
      <c r="E443" s="22">
        <v>1829</v>
      </c>
      <c r="F443" s="13">
        <v>1.5</v>
      </c>
      <c r="G443" s="13">
        <v>1.5004101722723544</v>
      </c>
      <c r="H443" s="22">
        <v>1</v>
      </c>
      <c r="I443" s="22">
        <v>2</v>
      </c>
      <c r="J443" s="22">
        <v>1</v>
      </c>
      <c r="K443" s="13">
        <v>7.6999999999999999E-2</v>
      </c>
      <c r="L443" s="13">
        <v>48.7</v>
      </c>
      <c r="M443" s="13">
        <v>3.0490691794989657</v>
      </c>
      <c r="N443" s="13">
        <v>472.7</v>
      </c>
      <c r="O443" s="17">
        <v>0.83297796052631579</v>
      </c>
      <c r="P443" s="13">
        <v>0.32617728531855955</v>
      </c>
      <c r="Q443" s="13">
        <v>450.2</v>
      </c>
      <c r="R443" s="13">
        <v>0.3412</v>
      </c>
      <c r="S443" s="13">
        <v>450.2</v>
      </c>
      <c r="U443" s="6"/>
      <c r="V443" s="24">
        <v>0.1878589007383101</v>
      </c>
      <c r="W443" s="3">
        <v>8.0197368421052637</v>
      </c>
      <c r="X443" s="6"/>
      <c r="Y443" s="5">
        <v>3.1541733059548251</v>
      </c>
      <c r="Z443" s="5">
        <v>3.0152980256758832</v>
      </c>
      <c r="AA443" s="5">
        <v>7.2419480182103095</v>
      </c>
      <c r="AB443" s="5">
        <v>29.595379900393446</v>
      </c>
      <c r="AD443" s="24">
        <v>589</v>
      </c>
      <c r="AE443" s="5">
        <f t="shared" si="7"/>
        <v>5.4858562317768005</v>
      </c>
    </row>
    <row r="444" spans="1:31" ht="25.5" customHeight="1" x14ac:dyDescent="0.2">
      <c r="A444" s="54"/>
      <c r="B444" s="36" t="s">
        <v>567</v>
      </c>
      <c r="C444" s="22">
        <v>152</v>
      </c>
      <c r="D444" s="22">
        <v>1219</v>
      </c>
      <c r="E444" s="22">
        <v>1829</v>
      </c>
      <c r="F444" s="13">
        <v>1.5</v>
      </c>
      <c r="G444" s="13">
        <v>1.5004101722723544</v>
      </c>
      <c r="H444" s="22">
        <v>1</v>
      </c>
      <c r="I444" s="22">
        <v>2</v>
      </c>
      <c r="J444" s="22">
        <v>1</v>
      </c>
      <c r="K444" s="13">
        <v>6.4000000000000001E-2</v>
      </c>
      <c r="L444" s="13">
        <v>55.8</v>
      </c>
      <c r="M444" s="13">
        <v>5.57</v>
      </c>
      <c r="N444" s="13">
        <v>474.6</v>
      </c>
      <c r="O444" s="17">
        <v>0.83297796052631579</v>
      </c>
      <c r="P444" s="13">
        <v>0.734005905511811</v>
      </c>
      <c r="Q444" s="13">
        <v>443.3</v>
      </c>
      <c r="R444" s="13">
        <v>0.734005905511811</v>
      </c>
      <c r="S444" s="13">
        <v>443.3</v>
      </c>
      <c r="U444" s="6"/>
      <c r="V444" s="24">
        <v>0.1878589007383101</v>
      </c>
      <c r="W444" s="3">
        <v>8.0197368421052637</v>
      </c>
      <c r="X444" s="6"/>
      <c r="Y444" s="5">
        <v>5.8312691382327211</v>
      </c>
      <c r="Z444" s="5">
        <v>5.8312691382327211</v>
      </c>
      <c r="AA444" s="5">
        <v>6.3204815141011128</v>
      </c>
      <c r="AB444" s="5">
        <v>47.374946236559147</v>
      </c>
      <c r="AD444" s="24">
        <v>841</v>
      </c>
      <c r="AE444" s="5">
        <f t="shared" si="7"/>
        <v>7.3176646666479339</v>
      </c>
    </row>
    <row r="445" spans="1:31" ht="25.5" customHeight="1" x14ac:dyDescent="0.2">
      <c r="A445" s="54"/>
      <c r="B445" s="36" t="s">
        <v>568</v>
      </c>
      <c r="C445" s="22">
        <v>152</v>
      </c>
      <c r="D445" s="22">
        <v>1219</v>
      </c>
      <c r="E445" s="22">
        <v>1829</v>
      </c>
      <c r="F445" s="13">
        <v>1.5</v>
      </c>
      <c r="G445" s="13">
        <v>1.5004101722723544</v>
      </c>
      <c r="H445" s="22">
        <v>1</v>
      </c>
      <c r="I445" s="22">
        <v>2</v>
      </c>
      <c r="J445" s="22">
        <v>1</v>
      </c>
      <c r="K445" s="13">
        <v>1.6E-2</v>
      </c>
      <c r="L445" s="13">
        <v>57.5</v>
      </c>
      <c r="M445" s="13">
        <v>5.57</v>
      </c>
      <c r="N445" s="13">
        <v>474.6</v>
      </c>
      <c r="O445" s="17">
        <v>0.83297796052631579</v>
      </c>
      <c r="P445" s="13">
        <v>0.61328125</v>
      </c>
      <c r="Q445" s="13">
        <v>443.3</v>
      </c>
      <c r="R445" s="13">
        <v>0.61328125</v>
      </c>
      <c r="S445" s="13">
        <v>443.3</v>
      </c>
      <c r="U445" s="6"/>
      <c r="V445" s="24">
        <v>0.1878589007383101</v>
      </c>
      <c r="W445" s="3">
        <v>8.0197368421052637</v>
      </c>
      <c r="X445" s="6"/>
      <c r="Y445" s="5">
        <v>4.7281317934782612</v>
      </c>
      <c r="Z445" s="5">
        <v>4.7281317934782612</v>
      </c>
      <c r="AA445" s="5">
        <v>6.1336151041189932</v>
      </c>
      <c r="AB445" s="5">
        <v>45.974295652173922</v>
      </c>
      <c r="AD445" s="24">
        <v>665</v>
      </c>
      <c r="AE445" s="5">
        <f t="shared" si="7"/>
        <v>5.7000849824709903</v>
      </c>
    </row>
    <row r="446" spans="1:31" ht="25.5" customHeight="1" x14ac:dyDescent="0.2">
      <c r="A446" s="56" t="s">
        <v>569</v>
      </c>
      <c r="B446" s="34" t="s">
        <v>570</v>
      </c>
      <c r="C446" s="3">
        <v>150</v>
      </c>
      <c r="D446" s="3">
        <v>2000</v>
      </c>
      <c r="E446" s="3">
        <v>2000</v>
      </c>
      <c r="F446" s="3">
        <v>3</v>
      </c>
      <c r="G446" s="3">
        <v>1</v>
      </c>
      <c r="H446" s="3">
        <v>1</v>
      </c>
      <c r="I446" s="3">
        <v>3</v>
      </c>
      <c r="J446" s="3">
        <v>2</v>
      </c>
      <c r="K446" s="3">
        <v>5.5E-2</v>
      </c>
      <c r="L446" s="3">
        <v>35.94</v>
      </c>
      <c r="M446" s="13">
        <v>2.2847946571562132</v>
      </c>
      <c r="N446" s="3">
        <v>307.5</v>
      </c>
      <c r="O446" s="13">
        <v>1.3708767942937279</v>
      </c>
      <c r="P446" s="13">
        <v>0.6981317007977319</v>
      </c>
      <c r="Q446" s="3">
        <v>258.2</v>
      </c>
      <c r="R446" s="3">
        <v>0.55000000000000004</v>
      </c>
      <c r="S446" s="3">
        <v>258.2</v>
      </c>
      <c r="U446" s="3"/>
      <c r="V446" s="3">
        <v>0.16500000000000001</v>
      </c>
      <c r="W446" s="3">
        <v>13.333333333333334</v>
      </c>
      <c r="X446" s="3"/>
      <c r="Y446" s="5">
        <v>3.9513077351140797</v>
      </c>
      <c r="Z446" s="5">
        <v>5.015514889982593</v>
      </c>
      <c r="AA446" s="5">
        <v>14.364835857846911</v>
      </c>
      <c r="AB446" s="5">
        <v>19.548535255301491</v>
      </c>
      <c r="AD446" s="19">
        <v>268.14999999999998</v>
      </c>
      <c r="AE446" s="5">
        <f t="shared" si="7"/>
        <v>1.7955950992673411</v>
      </c>
    </row>
    <row r="447" spans="1:31" ht="25.5" customHeight="1" x14ac:dyDescent="0.2">
      <c r="A447" s="56"/>
      <c r="B447" s="34" t="s">
        <v>571</v>
      </c>
      <c r="C447" s="3">
        <v>150</v>
      </c>
      <c r="D447" s="3">
        <v>2000</v>
      </c>
      <c r="E447" s="3">
        <v>2000</v>
      </c>
      <c r="F447" s="3">
        <v>3</v>
      </c>
      <c r="G447" s="3">
        <v>1</v>
      </c>
      <c r="H447" s="3">
        <v>1</v>
      </c>
      <c r="I447" s="3">
        <v>3</v>
      </c>
      <c r="J447" s="3">
        <v>2</v>
      </c>
      <c r="K447" s="3">
        <v>5.5E-2</v>
      </c>
      <c r="L447" s="3">
        <v>37.71</v>
      </c>
      <c r="M447" s="13">
        <v>2.2847946571562132</v>
      </c>
      <c r="N447" s="3">
        <v>307.5</v>
      </c>
      <c r="O447" s="13">
        <v>1.0471975511965976</v>
      </c>
      <c r="P447" s="13">
        <v>0.6981317007977319</v>
      </c>
      <c r="Q447" s="3">
        <v>258.2</v>
      </c>
      <c r="R447" s="3">
        <v>0.55000000000000004</v>
      </c>
      <c r="S447" s="3">
        <v>258.2</v>
      </c>
      <c r="U447" s="3"/>
      <c r="V447" s="3">
        <v>0.16500000000000001</v>
      </c>
      <c r="W447" s="3">
        <v>13.333333333333334</v>
      </c>
      <c r="X447" s="3"/>
      <c r="Y447" s="5">
        <v>3.7658446035534343</v>
      </c>
      <c r="Z447" s="5">
        <v>4.7801009054885801</v>
      </c>
      <c r="AA447" s="5">
        <v>10.458090633270714</v>
      </c>
      <c r="AB447" s="5">
        <v>18.630982685641357</v>
      </c>
      <c r="AD447" s="19">
        <v>262.64999999999998</v>
      </c>
      <c r="AE447" s="5">
        <f t="shared" si="7"/>
        <v>1.7169940312364254</v>
      </c>
    </row>
    <row r="448" spans="1:31" ht="25.5" customHeight="1" x14ac:dyDescent="0.2">
      <c r="A448" s="56"/>
      <c r="B448" s="34" t="s">
        <v>572</v>
      </c>
      <c r="C448" s="3">
        <v>150</v>
      </c>
      <c r="D448" s="3">
        <v>2000</v>
      </c>
      <c r="E448" s="3">
        <v>2000</v>
      </c>
      <c r="F448" s="3">
        <v>3</v>
      </c>
      <c r="G448" s="3">
        <v>1</v>
      </c>
      <c r="H448" s="3">
        <v>1</v>
      </c>
      <c r="I448" s="3">
        <v>3</v>
      </c>
      <c r="J448" s="3">
        <v>2</v>
      </c>
      <c r="K448" s="3">
        <v>5.5E-2</v>
      </c>
      <c r="L448" s="3">
        <v>41.31</v>
      </c>
      <c r="M448" s="13">
        <v>2.2847946571562132</v>
      </c>
      <c r="N448" s="3">
        <v>307.5</v>
      </c>
      <c r="O448" s="13">
        <v>1.9192280018581491</v>
      </c>
      <c r="P448" s="13">
        <v>0.69813170079773201</v>
      </c>
      <c r="Q448" s="3">
        <v>258.2</v>
      </c>
      <c r="R448" s="13">
        <v>0.5470434968937451</v>
      </c>
      <c r="S448" s="3">
        <v>258.2</v>
      </c>
      <c r="U448" s="3"/>
      <c r="V448" s="3"/>
      <c r="W448" s="3"/>
      <c r="X448" s="3"/>
      <c r="Y448" s="5">
        <v>3.4191873855716528</v>
      </c>
      <c r="Z448" s="5">
        <v>4.3635343777771576</v>
      </c>
      <c r="AA448" s="5">
        <v>17.496520588229945</v>
      </c>
      <c r="AB448" s="5">
        <v>17.007367636783719</v>
      </c>
      <c r="AD448" s="19">
        <v>280</v>
      </c>
      <c r="AE448" s="5">
        <f t="shared" si="7"/>
        <v>1.7488400093197121</v>
      </c>
    </row>
    <row r="449" spans="1:31" ht="25.5" customHeight="1" x14ac:dyDescent="0.2">
      <c r="A449" s="61" t="s">
        <v>573</v>
      </c>
      <c r="B449" s="34" t="s">
        <v>574</v>
      </c>
      <c r="C449" s="3">
        <v>150</v>
      </c>
      <c r="D449" s="3">
        <v>2000</v>
      </c>
      <c r="E449" s="3">
        <v>2000</v>
      </c>
      <c r="F449" s="3">
        <v>3</v>
      </c>
      <c r="G449" s="3">
        <v>1</v>
      </c>
      <c r="H449" s="3">
        <v>1</v>
      </c>
      <c r="I449" s="3">
        <v>3</v>
      </c>
      <c r="J449" s="3">
        <v>2</v>
      </c>
      <c r="K449" s="24">
        <v>2.1970286391760199E-2</v>
      </c>
      <c r="L449" s="3">
        <v>89.97</v>
      </c>
      <c r="M449" s="13">
        <v>2.2847946571562132</v>
      </c>
      <c r="N449" s="3">
        <v>307.5</v>
      </c>
      <c r="O449" s="13">
        <v>1.3708767942937279</v>
      </c>
      <c r="P449" s="13">
        <v>0.69813170079773201</v>
      </c>
      <c r="Q449" s="3">
        <v>258.2</v>
      </c>
      <c r="R449" s="13">
        <v>0.5470434968937451</v>
      </c>
      <c r="S449" s="3">
        <v>258.2</v>
      </c>
      <c r="U449" s="3"/>
      <c r="V449" s="3"/>
      <c r="W449" s="3"/>
      <c r="X449" s="3"/>
      <c r="Y449" s="5">
        <v>1.5699303200840835</v>
      </c>
      <c r="Z449" s="5">
        <v>2.0035301227739737</v>
      </c>
      <c r="AA449" s="5">
        <v>5.7382705427477818</v>
      </c>
      <c r="AB449" s="5">
        <v>7.8089847401971273</v>
      </c>
      <c r="AD449" s="19">
        <v>275</v>
      </c>
      <c r="AE449" s="5">
        <f t="shared" si="7"/>
        <v>1.1638673366012198</v>
      </c>
    </row>
    <row r="450" spans="1:31" ht="25.5" customHeight="1" x14ac:dyDescent="0.2">
      <c r="A450" s="61"/>
      <c r="B450" s="34" t="s">
        <v>575</v>
      </c>
      <c r="C450" s="3">
        <v>150</v>
      </c>
      <c r="D450" s="3">
        <v>2000</v>
      </c>
      <c r="E450" s="3">
        <v>2000</v>
      </c>
      <c r="F450" s="3">
        <v>3</v>
      </c>
      <c r="G450" s="3">
        <v>1</v>
      </c>
      <c r="H450" s="3">
        <v>1</v>
      </c>
      <c r="I450" s="3">
        <v>3</v>
      </c>
      <c r="J450" s="3">
        <v>2</v>
      </c>
      <c r="K450" s="24">
        <v>1.9850007978299E-2</v>
      </c>
      <c r="L450" s="3">
        <v>104.45</v>
      </c>
      <c r="M450" s="13">
        <v>2.2847946571562132</v>
      </c>
      <c r="N450" s="3">
        <v>307.5</v>
      </c>
      <c r="O450" s="13">
        <v>1.0471975511965976</v>
      </c>
      <c r="P450" s="13">
        <v>0.69813170079773201</v>
      </c>
      <c r="Q450" s="3">
        <v>258.2</v>
      </c>
      <c r="R450" s="13">
        <v>0.5470434968937451</v>
      </c>
      <c r="S450" s="3">
        <v>258.2</v>
      </c>
      <c r="U450" s="3"/>
      <c r="V450" s="3"/>
      <c r="W450" s="3"/>
      <c r="X450" s="3"/>
      <c r="Y450" s="5">
        <v>1.3522894293725705</v>
      </c>
      <c r="Z450" s="5">
        <v>1.7257788908183282</v>
      </c>
      <c r="AA450" s="5">
        <v>3.7857519897734351</v>
      </c>
      <c r="AB450" s="5">
        <v>6.7264179710439018</v>
      </c>
      <c r="AD450" s="19">
        <v>285</v>
      </c>
      <c r="AE450" s="5">
        <f t="shared" si="7"/>
        <v>1.1194643927199006</v>
      </c>
    </row>
    <row r="451" spans="1:31" ht="25.5" customHeight="1" x14ac:dyDescent="0.2">
      <c r="A451" s="55" t="s">
        <v>576</v>
      </c>
      <c r="B451" s="21" t="s">
        <v>577</v>
      </c>
      <c r="C451" s="22">
        <v>203.2</v>
      </c>
      <c r="D451" s="22">
        <v>1524</v>
      </c>
      <c r="E451" s="22">
        <v>3657.6000000000004</v>
      </c>
      <c r="F451" s="3">
        <v>2.4</v>
      </c>
      <c r="G451" s="13">
        <v>2.4000000000000004</v>
      </c>
      <c r="H451" s="22">
        <v>1</v>
      </c>
      <c r="I451" s="22">
        <v>3</v>
      </c>
      <c r="J451" s="22">
        <v>1</v>
      </c>
      <c r="K451" s="13">
        <v>8.8999999999999996E-2</v>
      </c>
      <c r="L451" s="13">
        <v>33</v>
      </c>
      <c r="M451" s="13">
        <v>4.4624895647582283</v>
      </c>
      <c r="N451" s="13">
        <v>460</v>
      </c>
      <c r="O451" s="24">
        <v>0.22496439701230408</v>
      </c>
      <c r="P451" s="13">
        <v>0.60415243338265257</v>
      </c>
      <c r="Q451" s="13">
        <v>530</v>
      </c>
      <c r="R451" s="13">
        <v>0.31415926535897926</v>
      </c>
      <c r="S451" s="13">
        <v>430</v>
      </c>
      <c r="U451" s="35" t="s">
        <v>578</v>
      </c>
      <c r="V451" s="24">
        <v>0.14208361750056833</v>
      </c>
      <c r="W451" s="3">
        <v>7.5</v>
      </c>
      <c r="X451" s="6"/>
      <c r="Y451" s="5">
        <v>4.0935904274048811</v>
      </c>
      <c r="Z451" s="5">
        <v>9.7030542331153296</v>
      </c>
      <c r="AA451" s="5">
        <v>3.2722094110880597</v>
      </c>
      <c r="AB451" s="5">
        <v>62.204399993599552</v>
      </c>
      <c r="AD451" s="19">
        <v>698.5</v>
      </c>
      <c r="AE451" s="5">
        <f t="shared" si="7"/>
        <v>4.7286990080636588</v>
      </c>
    </row>
    <row r="452" spans="1:31" ht="25.5" customHeight="1" x14ac:dyDescent="0.2">
      <c r="A452" s="54"/>
      <c r="B452" s="21" t="s">
        <v>579</v>
      </c>
      <c r="C452" s="22">
        <v>203.2</v>
      </c>
      <c r="D452" s="22">
        <v>1524</v>
      </c>
      <c r="E452" s="22">
        <v>3657.6000000000004</v>
      </c>
      <c r="F452" s="3">
        <v>2.4</v>
      </c>
      <c r="G452" s="13">
        <v>2.4000000000000004</v>
      </c>
      <c r="H452" s="22">
        <v>1</v>
      </c>
      <c r="I452" s="22">
        <v>3</v>
      </c>
      <c r="J452" s="22">
        <v>1</v>
      </c>
      <c r="K452" s="13">
        <v>0.09</v>
      </c>
      <c r="L452" s="13">
        <v>32.5</v>
      </c>
      <c r="M452" s="13">
        <v>4.4624895647582283</v>
      </c>
      <c r="N452" s="13">
        <v>460</v>
      </c>
      <c r="O452" s="24">
        <v>0</v>
      </c>
      <c r="P452" s="13">
        <v>0.60415243338265257</v>
      </c>
      <c r="Q452" s="13">
        <v>530</v>
      </c>
      <c r="R452" s="13">
        <v>0.31415926535897926</v>
      </c>
      <c r="S452" s="13">
        <v>430</v>
      </c>
      <c r="U452" s="3" t="s">
        <v>578</v>
      </c>
      <c r="V452" s="24">
        <v>0.14208361750056833</v>
      </c>
      <c r="W452" s="3">
        <v>7.5</v>
      </c>
      <c r="X452" s="6"/>
      <c r="Y452" s="5">
        <v>4.1565687416726487</v>
      </c>
      <c r="Z452" s="5">
        <v>9.8523319905478726</v>
      </c>
      <c r="AA452" s="5">
        <v>0</v>
      </c>
      <c r="AB452" s="5">
        <v>63.161390762731848</v>
      </c>
      <c r="AD452" s="19">
        <v>698.5</v>
      </c>
      <c r="AE452" s="5">
        <f t="shared" si="7"/>
        <v>4.7649347794146673</v>
      </c>
    </row>
    <row r="453" spans="1:31" ht="25.5" customHeight="1" x14ac:dyDescent="0.2">
      <c r="A453" s="54"/>
      <c r="B453" s="21" t="s">
        <v>580</v>
      </c>
      <c r="C453" s="22">
        <v>203.2</v>
      </c>
      <c r="D453" s="22">
        <v>1524</v>
      </c>
      <c r="E453" s="22">
        <v>3657.6000000000004</v>
      </c>
      <c r="F453" s="3">
        <v>2.4</v>
      </c>
      <c r="G453" s="13">
        <v>2.4000000000000004</v>
      </c>
      <c r="H453" s="22">
        <v>1</v>
      </c>
      <c r="I453" s="22">
        <v>3</v>
      </c>
      <c r="J453" s="22">
        <v>1</v>
      </c>
      <c r="K453" s="13">
        <v>9.0999999999999998E-2</v>
      </c>
      <c r="L453" s="13">
        <v>32</v>
      </c>
      <c r="M453" s="13">
        <v>10.33418636049274</v>
      </c>
      <c r="N453" s="13">
        <v>470</v>
      </c>
      <c r="O453" s="24">
        <v>0</v>
      </c>
      <c r="P453" s="13">
        <v>0.60415243338265257</v>
      </c>
      <c r="Q453" s="13">
        <v>460</v>
      </c>
      <c r="R453" s="13">
        <v>0.61577496658384323</v>
      </c>
      <c r="S453" s="13">
        <v>430</v>
      </c>
      <c r="U453" s="3" t="s">
        <v>578</v>
      </c>
      <c r="V453" s="24">
        <v>0.12270857875049083</v>
      </c>
      <c r="W453" s="3">
        <v>7.5</v>
      </c>
      <c r="X453" s="6"/>
      <c r="Y453" s="5">
        <v>8.2744761134703939</v>
      </c>
      <c r="Z453" s="5">
        <v>8.6846912298756305</v>
      </c>
      <c r="AA453" s="5">
        <v>0</v>
      </c>
      <c r="AB453" s="5">
        <v>151.78336216973713</v>
      </c>
      <c r="AD453" s="19">
        <v>749.5</v>
      </c>
      <c r="AE453" s="5">
        <f t="shared" si="7"/>
        <v>5.1526290610114742</v>
      </c>
    </row>
    <row r="454" spans="1:31" ht="25.5" customHeight="1" x14ac:dyDescent="0.2">
      <c r="A454" s="54"/>
      <c r="B454" s="21" t="s">
        <v>581</v>
      </c>
      <c r="C454" s="22">
        <v>203.2</v>
      </c>
      <c r="D454" s="22">
        <v>1524</v>
      </c>
      <c r="E454" s="22">
        <v>3657.6000000000004</v>
      </c>
      <c r="F454" s="3">
        <v>2.4</v>
      </c>
      <c r="G454" s="13">
        <v>2.4000000000000004</v>
      </c>
      <c r="H454" s="22">
        <v>1</v>
      </c>
      <c r="I454" s="22">
        <v>3</v>
      </c>
      <c r="J454" s="22">
        <v>1</v>
      </c>
      <c r="K454" s="13">
        <v>9.0999999999999998E-2</v>
      </c>
      <c r="L454" s="13">
        <v>32</v>
      </c>
      <c r="M454" s="13">
        <v>8.9249791295164567</v>
      </c>
      <c r="N454" s="13">
        <v>460</v>
      </c>
      <c r="O454" s="24">
        <v>0</v>
      </c>
      <c r="P454" s="13">
        <v>0.60415243338265257</v>
      </c>
      <c r="Q454" s="13">
        <v>530</v>
      </c>
      <c r="R454" s="13">
        <v>0.62831853071795851</v>
      </c>
      <c r="S454" s="13">
        <v>430</v>
      </c>
      <c r="U454" s="3" t="s">
        <v>578</v>
      </c>
      <c r="V454" s="24">
        <v>0.14208361750056833</v>
      </c>
      <c r="W454" s="3">
        <v>7.5</v>
      </c>
      <c r="X454" s="6"/>
      <c r="Y454" s="5">
        <v>8.443030256522567</v>
      </c>
      <c r="Z454" s="5">
        <v>10.006274677900183</v>
      </c>
      <c r="AA454" s="5">
        <v>0</v>
      </c>
      <c r="AB454" s="5">
        <v>128.29657498679907</v>
      </c>
      <c r="AD454" s="19">
        <v>698</v>
      </c>
      <c r="AE454" s="5">
        <f t="shared" si="7"/>
        <v>4.798579165558384</v>
      </c>
    </row>
    <row r="455" spans="1:31" ht="25.5" customHeight="1" x14ac:dyDescent="0.2">
      <c r="A455" s="39" t="s">
        <v>582</v>
      </c>
      <c r="B455" s="21" t="s">
        <v>305</v>
      </c>
      <c r="C455" s="22">
        <v>160</v>
      </c>
      <c r="D455" s="22">
        <v>1300</v>
      </c>
      <c r="E455" s="22">
        <v>2400</v>
      </c>
      <c r="F455" s="13">
        <v>1.8461538461538463</v>
      </c>
      <c r="G455" s="13">
        <v>1.8461538461538463</v>
      </c>
      <c r="H455" s="22">
        <v>1</v>
      </c>
      <c r="I455" s="22">
        <v>3</v>
      </c>
      <c r="J455" s="22">
        <v>1</v>
      </c>
      <c r="K455" s="13">
        <v>9.5593645484949835E-2</v>
      </c>
      <c r="L455" s="13">
        <v>20.72072072072072</v>
      </c>
      <c r="M455" s="13">
        <v>1.6978460296974249</v>
      </c>
      <c r="N455" s="13">
        <v>451.7</v>
      </c>
      <c r="O455" s="24">
        <v>0.62831853071795862</v>
      </c>
      <c r="P455" s="13">
        <v>0.31415926535897931</v>
      </c>
      <c r="Q455" s="13">
        <v>418</v>
      </c>
      <c r="R455" s="13">
        <v>0.30402509550868967</v>
      </c>
      <c r="S455" s="13">
        <v>418</v>
      </c>
      <c r="U455" s="3"/>
      <c r="V455" s="24">
        <v>0.26153846153846155</v>
      </c>
      <c r="W455" s="3">
        <v>8.125</v>
      </c>
      <c r="X455" s="6"/>
      <c r="Y455" s="5">
        <v>6.1331114701792098</v>
      </c>
      <c r="Z455" s="5">
        <v>6.3375485191851837</v>
      </c>
      <c r="AA455" s="5">
        <v>12.675097038370367</v>
      </c>
      <c r="AB455" s="5">
        <v>37.012083795300121</v>
      </c>
      <c r="AD455" s="19">
        <v>314.10000000000002</v>
      </c>
      <c r="AE455" s="5">
        <f t="shared" si="7"/>
        <v>3.9952418480353247</v>
      </c>
    </row>
    <row r="456" spans="1:31" ht="25.5" customHeight="1" x14ac:dyDescent="0.2">
      <c r="A456" s="39" t="s">
        <v>583</v>
      </c>
      <c r="B456" s="21" t="s">
        <v>584</v>
      </c>
      <c r="C456" s="22">
        <v>200</v>
      </c>
      <c r="D456" s="22">
        <v>1200</v>
      </c>
      <c r="E456" s="22">
        <v>2700</v>
      </c>
      <c r="F456" s="13">
        <v>2.25</v>
      </c>
      <c r="G456" s="13">
        <v>2.25</v>
      </c>
      <c r="H456" s="22">
        <v>1</v>
      </c>
      <c r="I456" s="22">
        <v>3</v>
      </c>
      <c r="J456" s="22">
        <v>1</v>
      </c>
      <c r="K456" s="13">
        <v>0.15622302867383514</v>
      </c>
      <c r="L456" s="13">
        <v>27.9</v>
      </c>
      <c r="M456" s="13">
        <v>2.5132741228718345</v>
      </c>
      <c r="N456" s="13">
        <v>452.3</v>
      </c>
      <c r="O456" s="24">
        <v>1.2566370614359172</v>
      </c>
      <c r="P456" s="13">
        <v>0.52359877559829882</v>
      </c>
      <c r="Q456" s="13">
        <v>457.5</v>
      </c>
      <c r="R456" s="13">
        <v>0.39269908169872414</v>
      </c>
      <c r="S456" s="13">
        <v>457.5</v>
      </c>
      <c r="U456" s="3"/>
      <c r="V456" s="24">
        <v>0.33333333333333331</v>
      </c>
      <c r="W456" s="3">
        <v>6</v>
      </c>
      <c r="X456" s="6"/>
      <c r="Y456" s="5">
        <v>6.4394204257048848</v>
      </c>
      <c r="Z456" s="5">
        <v>8.5858939009398458</v>
      </c>
      <c r="AA456" s="5">
        <v>19.944046265370044</v>
      </c>
      <c r="AB456" s="5">
        <v>40.743866873653431</v>
      </c>
      <c r="AD456" s="24" t="s">
        <v>737</v>
      </c>
      <c r="AE456" s="5" t="e">
        <f t="shared" si="7"/>
        <v>#VALUE!</v>
      </c>
    </row>
    <row r="457" spans="1:31" ht="25.5" customHeight="1" x14ac:dyDescent="0.2">
      <c r="A457" s="53" t="s">
        <v>585</v>
      </c>
      <c r="B457" s="36" t="s">
        <v>586</v>
      </c>
      <c r="C457" s="22">
        <v>100</v>
      </c>
      <c r="D457" s="22">
        <v>700</v>
      </c>
      <c r="E457" s="22">
        <v>1550</v>
      </c>
      <c r="F457" s="13">
        <v>2.36</v>
      </c>
      <c r="G457" s="13">
        <v>2.2142857142857144</v>
      </c>
      <c r="H457" s="22">
        <v>1</v>
      </c>
      <c r="I457" s="22">
        <v>3</v>
      </c>
      <c r="J457" s="22">
        <v>1</v>
      </c>
      <c r="K457" s="13">
        <v>0.15</v>
      </c>
      <c r="L457" s="13">
        <v>117</v>
      </c>
      <c r="M457" s="13">
        <v>3.6172800000000001</v>
      </c>
      <c r="N457" s="13">
        <v>392</v>
      </c>
      <c r="O457" s="13">
        <v>1.6956</v>
      </c>
      <c r="P457" s="13">
        <v>0.70650000000000002</v>
      </c>
      <c r="Q457" s="13">
        <v>275</v>
      </c>
      <c r="R457" s="13">
        <v>0.62829999999999997</v>
      </c>
      <c r="S457" s="13">
        <v>275</v>
      </c>
      <c r="U457" s="6"/>
      <c r="V457" s="24">
        <v>0.17857142857142858</v>
      </c>
      <c r="W457" s="3">
        <v>7</v>
      </c>
      <c r="X457" s="6"/>
      <c r="Y457" s="5">
        <v>1.4767735042735042</v>
      </c>
      <c r="Z457" s="5">
        <v>1.660576923076923</v>
      </c>
      <c r="AA457" s="5">
        <v>3.9853846153846155</v>
      </c>
      <c r="AB457" s="5">
        <v>12.119433846153846</v>
      </c>
      <c r="AD457" s="24">
        <v>330.66792136178373</v>
      </c>
      <c r="AE457" s="5">
        <f t="shared" si="7"/>
        <v>5.2594701625783502</v>
      </c>
    </row>
    <row r="458" spans="1:31" ht="25.5" customHeight="1" x14ac:dyDescent="0.2">
      <c r="A458" s="54"/>
      <c r="B458" s="36" t="s">
        <v>587</v>
      </c>
      <c r="C458" s="22">
        <v>100</v>
      </c>
      <c r="D458" s="22">
        <v>700</v>
      </c>
      <c r="E458" s="22">
        <v>1550</v>
      </c>
      <c r="F458" s="13">
        <v>2.36</v>
      </c>
      <c r="G458" s="13">
        <v>2.2142857142857144</v>
      </c>
      <c r="H458" s="22">
        <v>1</v>
      </c>
      <c r="I458" s="22">
        <v>3</v>
      </c>
      <c r="J458" s="22">
        <v>1</v>
      </c>
      <c r="K458" s="13">
        <v>0.15</v>
      </c>
      <c r="L458" s="13">
        <v>117</v>
      </c>
      <c r="M458" s="13">
        <v>2.8759887999999996</v>
      </c>
      <c r="N458" s="13">
        <v>1450.8</v>
      </c>
      <c r="O458" s="13">
        <v>2.9079999999999999</v>
      </c>
      <c r="P458" s="13">
        <v>0.83</v>
      </c>
      <c r="Q458" s="13">
        <v>1450.8</v>
      </c>
      <c r="R458" s="13">
        <v>0.72889999999999999</v>
      </c>
      <c r="S458" s="13">
        <v>1450.8</v>
      </c>
      <c r="U458" s="6"/>
      <c r="V458" s="24">
        <v>0.17857142857142858</v>
      </c>
      <c r="W458" s="3">
        <v>7</v>
      </c>
      <c r="X458" s="6"/>
      <c r="Y458" s="5">
        <v>9.0383599999999991</v>
      </c>
      <c r="Z458" s="5">
        <v>10.292</v>
      </c>
      <c r="AA458" s="5">
        <v>36.059199999999997</v>
      </c>
      <c r="AB458" s="5">
        <v>35.662261119999989</v>
      </c>
      <c r="AD458" s="24">
        <v>360.95</v>
      </c>
      <c r="AE458" s="5">
        <f t="shared" si="7"/>
        <v>5.7411246526862527</v>
      </c>
    </row>
    <row r="459" spans="1:31" ht="25.5" customHeight="1" x14ac:dyDescent="0.2">
      <c r="A459" s="54"/>
      <c r="B459" s="36" t="s">
        <v>588</v>
      </c>
      <c r="C459" s="22">
        <v>100</v>
      </c>
      <c r="D459" s="22">
        <v>700</v>
      </c>
      <c r="E459" s="22">
        <v>1550</v>
      </c>
      <c r="F459" s="13">
        <v>2.36</v>
      </c>
      <c r="G459" s="13">
        <v>2.2142857142857144</v>
      </c>
      <c r="H459" s="22">
        <v>1</v>
      </c>
      <c r="I459" s="22">
        <v>3</v>
      </c>
      <c r="J459" s="22">
        <v>1</v>
      </c>
      <c r="K459" s="13">
        <v>0.15</v>
      </c>
      <c r="L459" s="13">
        <v>117</v>
      </c>
      <c r="M459" s="13">
        <v>3.6172800000000001</v>
      </c>
      <c r="N459" s="13">
        <v>392</v>
      </c>
      <c r="O459" s="13">
        <v>1.6956</v>
      </c>
      <c r="P459" s="13">
        <v>0.70650000000000002</v>
      </c>
      <c r="Q459" s="13">
        <v>275</v>
      </c>
      <c r="R459" s="13">
        <v>0.62829999999999997</v>
      </c>
      <c r="S459" s="13">
        <v>275</v>
      </c>
      <c r="U459" s="6"/>
      <c r="V459" s="24">
        <v>0.17857142857142858</v>
      </c>
      <c r="W459" s="3">
        <v>7</v>
      </c>
      <c r="X459" s="6"/>
      <c r="Y459" s="5">
        <v>1.4767735042735042</v>
      </c>
      <c r="Z459" s="5">
        <v>1.660576923076923</v>
      </c>
      <c r="AA459" s="5">
        <v>3.9853846153846155</v>
      </c>
      <c r="AB459" s="5">
        <v>12.119433846153846</v>
      </c>
      <c r="AD459" s="24">
        <v>223</v>
      </c>
      <c r="AE459" s="5">
        <f t="shared" si="7"/>
        <v>3.5469477699100551</v>
      </c>
    </row>
    <row r="460" spans="1:31" ht="25.5" customHeight="1" x14ac:dyDescent="0.2">
      <c r="A460" s="54"/>
      <c r="B460" s="36" t="s">
        <v>589</v>
      </c>
      <c r="C460" s="22">
        <v>100</v>
      </c>
      <c r="D460" s="22">
        <v>700</v>
      </c>
      <c r="E460" s="22">
        <v>1550</v>
      </c>
      <c r="F460" s="13">
        <v>2.36</v>
      </c>
      <c r="G460" s="13">
        <v>2.2142857142857144</v>
      </c>
      <c r="H460" s="22">
        <v>1</v>
      </c>
      <c r="I460" s="22">
        <v>2</v>
      </c>
      <c r="J460" s="22">
        <v>1</v>
      </c>
      <c r="K460" s="13">
        <v>0.25</v>
      </c>
      <c r="L460" s="13">
        <v>117</v>
      </c>
      <c r="M460" s="13">
        <v>3.6172800000000001</v>
      </c>
      <c r="N460" s="13">
        <v>392</v>
      </c>
      <c r="O460" s="13">
        <v>1.6956</v>
      </c>
      <c r="P460" s="13">
        <v>0.70650000000000002</v>
      </c>
      <c r="Q460" s="13">
        <v>275</v>
      </c>
      <c r="R460" s="13">
        <v>0.62829999999999997</v>
      </c>
      <c r="S460" s="13">
        <v>275</v>
      </c>
      <c r="U460" s="6"/>
      <c r="V460" s="24">
        <v>0.17857142857142858</v>
      </c>
      <c r="W460" s="3">
        <v>7</v>
      </c>
      <c r="X460" s="6"/>
      <c r="Y460" s="5">
        <v>1.4767735042735042</v>
      </c>
      <c r="Z460" s="5">
        <v>1.660576923076923</v>
      </c>
      <c r="AA460" s="5">
        <v>3.9853846153846155</v>
      </c>
      <c r="AB460" s="5">
        <v>12.119433846153846</v>
      </c>
      <c r="AD460" s="24">
        <v>363.54738553749996</v>
      </c>
      <c r="AE460" s="5">
        <f t="shared" si="7"/>
        <v>5.7824376160935724</v>
      </c>
    </row>
    <row r="461" spans="1:31" ht="25.5" customHeight="1" x14ac:dyDescent="0.2">
      <c r="A461" s="54"/>
      <c r="B461" s="36" t="s">
        <v>590</v>
      </c>
      <c r="C461" s="22">
        <v>100</v>
      </c>
      <c r="D461" s="22">
        <v>700</v>
      </c>
      <c r="E461" s="22">
        <v>950</v>
      </c>
      <c r="F461" s="13">
        <v>1.5</v>
      </c>
      <c r="G461" s="13">
        <v>1.3571428571428572</v>
      </c>
      <c r="H461" s="22">
        <v>1</v>
      </c>
      <c r="I461" s="22">
        <v>1</v>
      </c>
      <c r="J461" s="22">
        <v>1</v>
      </c>
      <c r="K461" s="13">
        <v>0.15</v>
      </c>
      <c r="L461" s="13">
        <v>117</v>
      </c>
      <c r="M461" s="13">
        <v>3.6172800000000001</v>
      </c>
      <c r="N461" s="13">
        <v>392</v>
      </c>
      <c r="O461" s="13">
        <v>1.6956</v>
      </c>
      <c r="P461" s="13">
        <v>0.70650000000000002</v>
      </c>
      <c r="Q461" s="13">
        <v>275</v>
      </c>
      <c r="R461" s="13">
        <v>0.62829999999999997</v>
      </c>
      <c r="S461" s="13">
        <v>275</v>
      </c>
      <c r="U461" s="6"/>
      <c r="V461" s="24">
        <v>0.17857142857142858</v>
      </c>
      <c r="W461" s="3">
        <v>7</v>
      </c>
      <c r="X461" s="6"/>
      <c r="Y461" s="5">
        <v>1.4767735042735042</v>
      </c>
      <c r="Z461" s="5">
        <v>1.660576923076923</v>
      </c>
      <c r="AA461" s="5">
        <v>3.9853846153846155</v>
      </c>
      <c r="AB461" s="5">
        <v>12.119433846153846</v>
      </c>
      <c r="AD461" s="24">
        <v>448.5</v>
      </c>
      <c r="AE461" s="5">
        <f t="shared" si="7"/>
        <v>7.1336595282720179</v>
      </c>
    </row>
    <row r="462" spans="1:31" ht="25.5" customHeight="1" x14ac:dyDescent="0.2">
      <c r="A462" s="39" t="s">
        <v>591</v>
      </c>
      <c r="B462" s="44" t="s">
        <v>41</v>
      </c>
      <c r="C462" s="16">
        <v>120</v>
      </c>
      <c r="D462" s="16">
        <v>2000</v>
      </c>
      <c r="E462" s="16">
        <v>2300</v>
      </c>
      <c r="F462" s="16">
        <v>1.25</v>
      </c>
      <c r="G462" s="16">
        <v>1.1499999999999999</v>
      </c>
      <c r="H462" s="16">
        <v>1</v>
      </c>
      <c r="I462" s="16">
        <v>3</v>
      </c>
      <c r="J462" s="16">
        <v>1</v>
      </c>
      <c r="K462" s="16">
        <v>0</v>
      </c>
      <c r="L462" s="16">
        <v>34</v>
      </c>
      <c r="M462" s="17">
        <v>0</v>
      </c>
      <c r="N462" s="18" t="s">
        <v>26</v>
      </c>
      <c r="O462" s="17">
        <v>0</v>
      </c>
      <c r="P462" s="17">
        <v>0.4</v>
      </c>
      <c r="Q462" s="18">
        <v>475</v>
      </c>
      <c r="R462" s="16">
        <v>0.5</v>
      </c>
      <c r="S462" s="18">
        <v>475</v>
      </c>
      <c r="U462" s="16"/>
      <c r="V462" s="19">
        <v>0</v>
      </c>
      <c r="W462" s="17">
        <v>16.666666666666668</v>
      </c>
      <c r="X462" s="6"/>
      <c r="Y462" s="5">
        <v>6.9852941176470589</v>
      </c>
      <c r="Z462" s="5">
        <v>5.5882352941176467</v>
      </c>
      <c r="AA462" s="5">
        <v>0</v>
      </c>
      <c r="AB462" s="5">
        <v>0</v>
      </c>
      <c r="AD462" s="19">
        <v>274</v>
      </c>
      <c r="AE462" s="5">
        <f t="shared" si="7"/>
        <v>2.357983510914591</v>
      </c>
    </row>
    <row r="463" spans="1:31" ht="25.5" customHeight="1" x14ac:dyDescent="0.2">
      <c r="A463" s="39" t="s">
        <v>592</v>
      </c>
      <c r="B463" s="44" t="s">
        <v>593</v>
      </c>
      <c r="C463" s="16">
        <v>170</v>
      </c>
      <c r="D463" s="16">
        <v>1200</v>
      </c>
      <c r="E463" s="16">
        <v>3150</v>
      </c>
      <c r="F463" s="16">
        <v>2.625</v>
      </c>
      <c r="G463" s="16">
        <v>2.625</v>
      </c>
      <c r="H463" s="16">
        <v>1</v>
      </c>
      <c r="I463" s="16">
        <v>3</v>
      </c>
      <c r="J463" s="16">
        <v>1</v>
      </c>
      <c r="K463" s="29">
        <v>6.5000000000000002E-2</v>
      </c>
      <c r="L463" s="16">
        <v>21.1</v>
      </c>
      <c r="M463" s="17">
        <v>0</v>
      </c>
      <c r="N463" s="18" t="s">
        <v>26</v>
      </c>
      <c r="O463" s="17">
        <v>0</v>
      </c>
      <c r="P463" s="17">
        <v>0.461998919645558</v>
      </c>
      <c r="Q463" s="18">
        <v>508</v>
      </c>
      <c r="R463" s="19">
        <v>0.53899862745098037</v>
      </c>
      <c r="S463" s="18">
        <v>508</v>
      </c>
      <c r="U463" s="16"/>
      <c r="V463" s="19"/>
      <c r="W463" s="17"/>
      <c r="X463" s="6"/>
      <c r="Y463" s="5">
        <v>12.976838992658674</v>
      </c>
      <c r="Z463" s="5">
        <v>11.12300716492623</v>
      </c>
      <c r="AA463" s="5">
        <v>0</v>
      </c>
      <c r="AB463" s="5">
        <v>0</v>
      </c>
      <c r="AD463" s="19">
        <v>115.6</v>
      </c>
      <c r="AE463" s="5">
        <f t="shared" si="7"/>
        <v>1.4856870581502466</v>
      </c>
    </row>
    <row r="464" spans="1:31" ht="25.5" customHeight="1" x14ac:dyDescent="0.2">
      <c r="A464" s="61" t="s">
        <v>594</v>
      </c>
      <c r="B464" s="44" t="s">
        <v>595</v>
      </c>
      <c r="C464" s="16">
        <v>170</v>
      </c>
      <c r="D464" s="16">
        <v>1200</v>
      </c>
      <c r="E464" s="16">
        <v>3150</v>
      </c>
      <c r="F464" s="16">
        <v>2.625</v>
      </c>
      <c r="G464" s="16">
        <v>2.625</v>
      </c>
      <c r="H464" s="16">
        <v>2</v>
      </c>
      <c r="I464" s="16">
        <v>3</v>
      </c>
      <c r="J464" s="16">
        <v>1</v>
      </c>
      <c r="K464" s="16">
        <v>0.1031</v>
      </c>
      <c r="L464" s="16">
        <v>29.1</v>
      </c>
      <c r="M464" s="17">
        <v>1.6989734400000003</v>
      </c>
      <c r="N464" s="18">
        <v>472</v>
      </c>
      <c r="O464" s="17">
        <v>0.48470286655385386</v>
      </c>
      <c r="P464" s="17">
        <v>0.461998919645558</v>
      </c>
      <c r="Q464" s="18">
        <v>424</v>
      </c>
      <c r="R464" s="19">
        <v>0.39599899159663898</v>
      </c>
      <c r="S464" s="18">
        <v>424</v>
      </c>
      <c r="U464" s="16"/>
      <c r="V464" s="19">
        <v>0.30637254901960786</v>
      </c>
      <c r="W464" s="17">
        <v>7.0588235294117645</v>
      </c>
      <c r="X464" s="6"/>
      <c r="Y464" s="5">
        <v>5.7698822143290354</v>
      </c>
      <c r="Z464" s="5">
        <v>6.7315306505057251</v>
      </c>
      <c r="AA464" s="5">
        <v>6.9623985642443609</v>
      </c>
      <c r="AB464" s="5">
        <v>27.557232428865984</v>
      </c>
      <c r="AD464" s="19">
        <v>363</v>
      </c>
      <c r="AE464" s="5">
        <f t="shared" si="7"/>
        <v>3.9725636496098522</v>
      </c>
    </row>
    <row r="465" spans="1:31" ht="25.5" customHeight="1" x14ac:dyDescent="0.2">
      <c r="A465" s="61"/>
      <c r="B465" s="44" t="s">
        <v>596</v>
      </c>
      <c r="C465" s="16">
        <v>170</v>
      </c>
      <c r="D465" s="16">
        <v>1200</v>
      </c>
      <c r="E465" s="16">
        <v>3150</v>
      </c>
      <c r="F465" s="16">
        <v>2.625</v>
      </c>
      <c r="G465" s="16">
        <v>2.625</v>
      </c>
      <c r="H465" s="16">
        <v>2</v>
      </c>
      <c r="I465" s="16">
        <v>3</v>
      </c>
      <c r="J465" s="16">
        <v>1</v>
      </c>
      <c r="K465" s="16">
        <v>0.1031</v>
      </c>
      <c r="L465" s="16">
        <v>29.1</v>
      </c>
      <c r="M465" s="17">
        <v>1.6989734400000003</v>
      </c>
      <c r="N465" s="18">
        <v>472</v>
      </c>
      <c r="O465" s="17">
        <v>0.75398223686155041</v>
      </c>
      <c r="P465" s="17">
        <v>0.461998919645558</v>
      </c>
      <c r="Q465" s="18">
        <v>424</v>
      </c>
      <c r="R465" s="19">
        <v>0.39599899159663898</v>
      </c>
      <c r="S465" s="18">
        <v>424</v>
      </c>
      <c r="U465" s="16"/>
      <c r="V465" s="19"/>
      <c r="W465" s="17"/>
      <c r="X465" s="6"/>
      <c r="Y465" s="5">
        <v>5.7698822143290354</v>
      </c>
      <c r="Z465" s="5">
        <v>6.7315306505057251</v>
      </c>
      <c r="AA465" s="5">
        <v>10.830397766602339</v>
      </c>
      <c r="AB465" s="5">
        <v>27.557232428865984</v>
      </c>
      <c r="AD465" s="19">
        <v>359</v>
      </c>
      <c r="AE465" s="5">
        <f t="shared" si="7"/>
        <v>3.9287888435535461</v>
      </c>
    </row>
    <row r="466" spans="1:31" ht="25.5" customHeight="1" x14ac:dyDescent="0.2">
      <c r="A466" s="39" t="s">
        <v>597</v>
      </c>
      <c r="B466" s="44" t="s">
        <v>598</v>
      </c>
      <c r="C466" s="16">
        <v>180</v>
      </c>
      <c r="D466" s="16">
        <v>1200</v>
      </c>
      <c r="E466" s="16">
        <v>3125</v>
      </c>
      <c r="F466" s="17">
        <v>2.6041666666666665</v>
      </c>
      <c r="G466" s="17">
        <v>2.6041666666666665</v>
      </c>
      <c r="H466" s="16">
        <v>1</v>
      </c>
      <c r="I466" s="16">
        <v>3</v>
      </c>
      <c r="J466" s="16">
        <v>1</v>
      </c>
      <c r="K466" s="29">
        <v>0.15</v>
      </c>
      <c r="L466" s="16">
        <v>30.7</v>
      </c>
      <c r="M466" s="17">
        <v>0</v>
      </c>
      <c r="N466" s="18" t="s">
        <v>26</v>
      </c>
      <c r="O466" s="17">
        <v>0</v>
      </c>
      <c r="P466" s="17">
        <v>0.39628093365612949</v>
      </c>
      <c r="Q466" s="18">
        <v>512</v>
      </c>
      <c r="R466" s="19">
        <v>0.73539448032781085</v>
      </c>
      <c r="S466" s="18">
        <v>666</v>
      </c>
      <c r="U466" s="16"/>
      <c r="V466" s="19"/>
      <c r="W466" s="17"/>
      <c r="X466" s="6"/>
      <c r="Y466" s="5">
        <v>15.953508921769446</v>
      </c>
      <c r="Z466" s="5">
        <v>6.6089849521804007</v>
      </c>
      <c r="AA466" s="5">
        <v>0</v>
      </c>
      <c r="AB466" s="5">
        <v>0</v>
      </c>
      <c r="AD466" s="19">
        <v>330.8</v>
      </c>
      <c r="AE466" s="5">
        <f t="shared" si="7"/>
        <v>3.3287675044403415</v>
      </c>
    </row>
    <row r="467" spans="1:31" ht="25.5" customHeight="1" x14ac:dyDescent="0.2">
      <c r="A467" s="61" t="s">
        <v>599</v>
      </c>
      <c r="B467" s="44" t="s">
        <v>305</v>
      </c>
      <c r="C467" s="16">
        <v>200</v>
      </c>
      <c r="D467" s="16">
        <v>1280</v>
      </c>
      <c r="E467" s="16">
        <v>2360</v>
      </c>
      <c r="F467" s="16">
        <v>2</v>
      </c>
      <c r="G467" s="17">
        <v>1.84375</v>
      </c>
      <c r="H467" s="16">
        <v>1</v>
      </c>
      <c r="I467" s="16">
        <v>3</v>
      </c>
      <c r="J467" s="16">
        <v>1</v>
      </c>
      <c r="K467" s="16">
        <v>0.13</v>
      </c>
      <c r="L467" s="16">
        <v>45.9</v>
      </c>
      <c r="M467" s="17">
        <v>2.56</v>
      </c>
      <c r="N467" s="18">
        <v>473</v>
      </c>
      <c r="O467" s="17">
        <v>0.79</v>
      </c>
      <c r="P467" s="17">
        <v>0.33</v>
      </c>
      <c r="Q467" s="18">
        <v>544</v>
      </c>
      <c r="R467" s="16">
        <v>0.29599999999999999</v>
      </c>
      <c r="S467" s="18">
        <v>544</v>
      </c>
      <c r="U467" s="16"/>
      <c r="V467" s="19">
        <v>0.16875000000000001</v>
      </c>
      <c r="W467" s="17">
        <v>6.4</v>
      </c>
      <c r="X467" s="6"/>
      <c r="Y467" s="5">
        <v>3.5081481481481482</v>
      </c>
      <c r="Z467" s="5">
        <v>3.9111111111111114</v>
      </c>
      <c r="AA467" s="5">
        <v>8.4335511982570814</v>
      </c>
      <c r="AB467" s="5">
        <v>26.380827886710243</v>
      </c>
      <c r="AD467" s="19">
        <v>653</v>
      </c>
      <c r="AE467" s="5">
        <f t="shared" si="7"/>
        <v>4.5342741461889826</v>
      </c>
    </row>
    <row r="468" spans="1:31" ht="25.5" customHeight="1" x14ac:dyDescent="0.2">
      <c r="A468" s="61"/>
      <c r="B468" s="44" t="s">
        <v>307</v>
      </c>
      <c r="C468" s="16">
        <v>200</v>
      </c>
      <c r="D468" s="16">
        <v>1280</v>
      </c>
      <c r="E468" s="16">
        <v>2360</v>
      </c>
      <c r="F468" s="16">
        <v>2</v>
      </c>
      <c r="G468" s="17">
        <v>1.84375</v>
      </c>
      <c r="H468" s="16">
        <v>1</v>
      </c>
      <c r="I468" s="16">
        <v>3</v>
      </c>
      <c r="J468" s="16">
        <v>1</v>
      </c>
      <c r="K468" s="16">
        <v>0.13</v>
      </c>
      <c r="L468" s="16">
        <v>45.9</v>
      </c>
      <c r="M468" s="17">
        <v>2.56</v>
      </c>
      <c r="N468" s="18">
        <v>473</v>
      </c>
      <c r="O468" s="17">
        <v>0.79</v>
      </c>
      <c r="P468" s="17">
        <v>0.71</v>
      </c>
      <c r="Q468" s="18">
        <v>544</v>
      </c>
      <c r="R468" s="16">
        <v>0.83</v>
      </c>
      <c r="S468" s="18">
        <v>544</v>
      </c>
      <c r="U468" s="16"/>
      <c r="V468" s="19">
        <v>0.16875000000000001</v>
      </c>
      <c r="W468" s="17">
        <v>6.4</v>
      </c>
      <c r="X468" s="6"/>
      <c r="Y468" s="5">
        <v>9.837037037037037</v>
      </c>
      <c r="Z468" s="5">
        <v>8.4148148148148145</v>
      </c>
      <c r="AA468" s="5">
        <v>8.4335511982570814</v>
      </c>
      <c r="AB468" s="5">
        <v>26.380827886710243</v>
      </c>
      <c r="AD468" s="19">
        <v>740</v>
      </c>
      <c r="AE468" s="5">
        <f t="shared" si="7"/>
        <v>5.1383811151299339</v>
      </c>
    </row>
    <row r="469" spans="1:31" ht="25.25" customHeight="1" x14ac:dyDescent="0.2">
      <c r="A469" s="53" t="s">
        <v>600</v>
      </c>
      <c r="B469" s="36" t="s">
        <v>601</v>
      </c>
      <c r="C469" s="22">
        <v>85</v>
      </c>
      <c r="D469" s="22">
        <v>1200</v>
      </c>
      <c r="E469" s="22">
        <v>2000</v>
      </c>
      <c r="F469" s="13">
        <v>1.67</v>
      </c>
      <c r="G469" s="13">
        <v>1.6666666666666667</v>
      </c>
      <c r="H469" s="22">
        <v>2</v>
      </c>
      <c r="I469" s="22">
        <v>2</v>
      </c>
      <c r="J469" s="22">
        <v>1</v>
      </c>
      <c r="K469" s="13">
        <v>0.24</v>
      </c>
      <c r="L469" s="13">
        <v>65</v>
      </c>
      <c r="M469" s="13">
        <v>1.9382716049382716</v>
      </c>
      <c r="N469" s="13">
        <v>413.9</v>
      </c>
      <c r="O469" s="13">
        <v>0.78500000000000003</v>
      </c>
      <c r="P469" s="13">
        <v>0.55411764705882349</v>
      </c>
      <c r="Q469" s="13">
        <v>571.79999999999995</v>
      </c>
      <c r="R469" s="13">
        <v>0.55411764705882349</v>
      </c>
      <c r="S469" s="13">
        <v>571.79999999999995</v>
      </c>
      <c r="U469" s="6"/>
      <c r="V469" s="24">
        <v>0.23788546255506607</v>
      </c>
      <c r="W469" s="3">
        <v>14.117647058823529</v>
      </c>
      <c r="X469" s="6"/>
      <c r="Y469" s="5">
        <v>4.8745303167420806</v>
      </c>
      <c r="Z469" s="5">
        <v>4.8745303167420806</v>
      </c>
      <c r="AA469" s="5">
        <v>6.9055846153846154</v>
      </c>
      <c r="AB469" s="5">
        <v>12.342317188983854</v>
      </c>
      <c r="AD469" s="24">
        <v>434.95</v>
      </c>
      <c r="AE469" s="5">
        <f t="shared" si="7"/>
        <v>6.3697646498136509</v>
      </c>
    </row>
    <row r="470" spans="1:31" ht="25.5" customHeight="1" x14ac:dyDescent="0.2">
      <c r="A470" s="54"/>
      <c r="B470" s="36" t="s">
        <v>602</v>
      </c>
      <c r="C470" s="22">
        <v>85</v>
      </c>
      <c r="D470" s="22">
        <v>1200</v>
      </c>
      <c r="E470" s="22">
        <v>2000</v>
      </c>
      <c r="F470" s="13">
        <v>1.67</v>
      </c>
      <c r="G470" s="13">
        <v>1.6666666666666667</v>
      </c>
      <c r="H470" s="22">
        <v>2</v>
      </c>
      <c r="I470" s="22">
        <v>2</v>
      </c>
      <c r="J470" s="22">
        <v>1</v>
      </c>
      <c r="K470" s="13">
        <v>0.12</v>
      </c>
      <c r="L470" s="13">
        <v>65</v>
      </c>
      <c r="M470" s="13">
        <v>1.9382716049382716</v>
      </c>
      <c r="N470" s="13">
        <v>413.9</v>
      </c>
      <c r="O470" s="13">
        <v>0.78500000000000003</v>
      </c>
      <c r="P470" s="13">
        <v>0.55411764705882349</v>
      </c>
      <c r="Q470" s="13">
        <v>571.79999999999995</v>
      </c>
      <c r="R470" s="13">
        <v>0.55411764705882349</v>
      </c>
      <c r="S470" s="13">
        <v>571.79999999999995</v>
      </c>
      <c r="U470" s="6"/>
      <c r="V470" s="24">
        <v>0.23788546255506607</v>
      </c>
      <c r="W470" s="3">
        <v>14.117647058823529</v>
      </c>
      <c r="X470" s="6"/>
      <c r="Y470" s="5">
        <v>4.8745303167420806</v>
      </c>
      <c r="Z470" s="5">
        <v>4.8745303167420806</v>
      </c>
      <c r="AA470" s="5">
        <v>6.9055846153846154</v>
      </c>
      <c r="AB470" s="5">
        <v>12.342317188983854</v>
      </c>
      <c r="AD470" s="24">
        <v>348.73524999999995</v>
      </c>
      <c r="AE470" s="5">
        <f t="shared" si="7"/>
        <v>5.1071651168960246</v>
      </c>
    </row>
    <row r="471" spans="1:31" ht="25.5" customHeight="1" x14ac:dyDescent="0.2">
      <c r="A471" s="54"/>
      <c r="B471" s="36" t="s">
        <v>603</v>
      </c>
      <c r="C471" s="22">
        <v>85</v>
      </c>
      <c r="D471" s="22">
        <v>1200</v>
      </c>
      <c r="E471" s="22">
        <v>2000</v>
      </c>
      <c r="F471" s="13">
        <v>1.67</v>
      </c>
      <c r="G471" s="13">
        <v>1.6666666666666667</v>
      </c>
      <c r="H471" s="22">
        <v>2</v>
      </c>
      <c r="I471" s="22">
        <v>2</v>
      </c>
      <c r="J471" s="22">
        <v>1</v>
      </c>
      <c r="K471" s="13">
        <v>0</v>
      </c>
      <c r="L471" s="13">
        <v>65</v>
      </c>
      <c r="M471" s="13">
        <v>1.9382716049382716</v>
      </c>
      <c r="N471" s="13">
        <v>413.9</v>
      </c>
      <c r="O471" s="13">
        <v>0.78500000000000003</v>
      </c>
      <c r="P471" s="13">
        <v>0.55411764705882349</v>
      </c>
      <c r="Q471" s="13">
        <v>571.79999999999995</v>
      </c>
      <c r="R471" s="13">
        <v>0.55411764705882349</v>
      </c>
      <c r="S471" s="13">
        <v>571.79999999999995</v>
      </c>
      <c r="U471" s="6"/>
      <c r="V471" s="24">
        <v>0.23788546255506607</v>
      </c>
      <c r="W471" s="3">
        <v>14.117647058823529</v>
      </c>
      <c r="X471" s="6"/>
      <c r="Y471" s="5">
        <v>4.8745303167420806</v>
      </c>
      <c r="Z471" s="5">
        <v>4.8745303167420806</v>
      </c>
      <c r="AA471" s="5">
        <v>6.9055846153846154</v>
      </c>
      <c r="AB471" s="5">
        <v>12.342317188983854</v>
      </c>
      <c r="AD471" s="24">
        <v>237.6783698925</v>
      </c>
      <c r="AE471" s="5">
        <f t="shared" si="7"/>
        <v>3.4807570492391764</v>
      </c>
    </row>
    <row r="472" spans="1:31" ht="25.5" customHeight="1" x14ac:dyDescent="0.2">
      <c r="A472" s="54"/>
      <c r="B472" s="36" t="s">
        <v>604</v>
      </c>
      <c r="C472" s="22">
        <v>85</v>
      </c>
      <c r="D472" s="22">
        <v>1200</v>
      </c>
      <c r="E472" s="22">
        <v>2000</v>
      </c>
      <c r="F472" s="13">
        <v>1.67</v>
      </c>
      <c r="G472" s="13">
        <v>1.6666666666666667</v>
      </c>
      <c r="H472" s="22">
        <v>2</v>
      </c>
      <c r="I472" s="22">
        <v>2</v>
      </c>
      <c r="J472" s="22">
        <v>1</v>
      </c>
      <c r="K472" s="13">
        <v>0.12</v>
      </c>
      <c r="L472" s="13">
        <v>65</v>
      </c>
      <c r="M472" s="13">
        <v>1.9382716049382716</v>
      </c>
      <c r="N472" s="13">
        <v>413.9</v>
      </c>
      <c r="O472" s="13">
        <v>0.78500000000000003</v>
      </c>
      <c r="P472" s="13">
        <v>1.108235294117647</v>
      </c>
      <c r="Q472" s="13">
        <v>571.79999999999995</v>
      </c>
      <c r="R472" s="13">
        <v>0.55411764705882349</v>
      </c>
      <c r="S472" s="13">
        <v>571.79999999999995</v>
      </c>
      <c r="U472" s="6"/>
      <c r="V472" s="24">
        <v>0.23788546255506607</v>
      </c>
      <c r="W472" s="3">
        <v>14.117647058823529</v>
      </c>
      <c r="X472" s="6"/>
      <c r="Y472" s="5">
        <v>4.8745303167420806</v>
      </c>
      <c r="Z472" s="5">
        <v>9.7490606334841612</v>
      </c>
      <c r="AA472" s="5">
        <v>6.9055846153846154</v>
      </c>
      <c r="AB472" s="5">
        <v>12.342317188983854</v>
      </c>
      <c r="AD472" s="24">
        <v>352.9588</v>
      </c>
      <c r="AE472" s="5">
        <f t="shared" si="7"/>
        <v>5.1690182482599054</v>
      </c>
    </row>
    <row r="473" spans="1:31" ht="25.5" customHeight="1" x14ac:dyDescent="0.2">
      <c r="A473" s="54"/>
      <c r="B473" s="36" t="s">
        <v>605</v>
      </c>
      <c r="C473" s="22">
        <v>85</v>
      </c>
      <c r="D473" s="22">
        <v>1200</v>
      </c>
      <c r="E473" s="22">
        <v>2000</v>
      </c>
      <c r="F473" s="13">
        <v>1.67</v>
      </c>
      <c r="G473" s="13">
        <v>1.6666666666666667</v>
      </c>
      <c r="H473" s="22">
        <v>2</v>
      </c>
      <c r="I473" s="22">
        <v>2</v>
      </c>
      <c r="J473" s="22">
        <v>1</v>
      </c>
      <c r="K473" s="13">
        <v>0.12</v>
      </c>
      <c r="L473" s="13">
        <v>65</v>
      </c>
      <c r="M473" s="13">
        <v>1.9382716049382716</v>
      </c>
      <c r="N473" s="13">
        <v>413.9</v>
      </c>
      <c r="O473" s="13">
        <v>0.78500000000000003</v>
      </c>
      <c r="P473" s="13">
        <v>0.27705882352941175</v>
      </c>
      <c r="Q473" s="13">
        <v>571.79999999999995</v>
      </c>
      <c r="R473" s="13">
        <v>0.55411764705882349</v>
      </c>
      <c r="S473" s="13">
        <v>571.79999999999995</v>
      </c>
      <c r="U473" s="6"/>
      <c r="V473" s="24">
        <v>0.23788546255506607</v>
      </c>
      <c r="W473" s="3">
        <v>14.117647058823529</v>
      </c>
      <c r="X473" s="6"/>
      <c r="Y473" s="5">
        <v>4.8745303167420806</v>
      </c>
      <c r="Z473" s="5">
        <v>2.4372651583710403</v>
      </c>
      <c r="AA473" s="5">
        <v>6.9055846153846154</v>
      </c>
      <c r="AB473" s="5">
        <v>12.342317188983854</v>
      </c>
      <c r="AD473" s="24">
        <v>357.22524999999996</v>
      </c>
      <c r="AE473" s="5">
        <f t="shared" si="7"/>
        <v>5.2314996424206086</v>
      </c>
    </row>
    <row r="474" spans="1:31" ht="25.5" customHeight="1" x14ac:dyDescent="0.2">
      <c r="A474" s="36" t="s">
        <v>606</v>
      </c>
      <c r="B474" s="36" t="s">
        <v>607</v>
      </c>
      <c r="C474" s="22">
        <v>120</v>
      </c>
      <c r="D474" s="22">
        <v>1050</v>
      </c>
      <c r="E474" s="22">
        <v>2100</v>
      </c>
      <c r="F474" s="13">
        <v>2</v>
      </c>
      <c r="G474" s="13">
        <v>2</v>
      </c>
      <c r="H474" s="22">
        <v>1</v>
      </c>
      <c r="I474" s="22">
        <v>3</v>
      </c>
      <c r="J474" s="22">
        <v>1</v>
      </c>
      <c r="K474" s="13">
        <v>0.15020333202151384</v>
      </c>
      <c r="L474" s="13">
        <v>24.2</v>
      </c>
      <c r="M474" s="13">
        <v>1.7939824205544286</v>
      </c>
      <c r="N474" s="13">
        <v>360</v>
      </c>
      <c r="O474" s="13">
        <v>0</v>
      </c>
      <c r="P474" s="13">
        <v>0.52333333333333332</v>
      </c>
      <c r="Q474" s="13">
        <v>347</v>
      </c>
      <c r="R474" s="13">
        <v>0.24436781686292727</v>
      </c>
      <c r="S474" s="13">
        <v>347</v>
      </c>
      <c r="U474" s="6"/>
      <c r="V474" s="24">
        <v>0.11738095238095238</v>
      </c>
      <c r="W474" s="3">
        <v>8.75</v>
      </c>
      <c r="X474" s="6"/>
      <c r="Y474" s="5">
        <v>3.5039517541915606</v>
      </c>
      <c r="Z474" s="5">
        <v>7.503994490358127</v>
      </c>
      <c r="AA474" s="5">
        <v>0</v>
      </c>
      <c r="AB474" s="5">
        <v>26.687341793371669</v>
      </c>
      <c r="AD474" s="24">
        <f>(187+162)/2</f>
        <v>174.5</v>
      </c>
      <c r="AE474" s="5">
        <f t="shared" si="7"/>
        <v>3.3904559356325228</v>
      </c>
    </row>
    <row r="475" spans="1:31" ht="25.5" customHeight="1" x14ac:dyDescent="0.2">
      <c r="A475" s="53" t="s">
        <v>608</v>
      </c>
      <c r="B475" s="36" t="s">
        <v>609</v>
      </c>
      <c r="C475" s="22">
        <v>100</v>
      </c>
      <c r="D475" s="22">
        <v>700</v>
      </c>
      <c r="E475" s="22">
        <v>1500</v>
      </c>
      <c r="F475" s="13">
        <v>1.8</v>
      </c>
      <c r="G475" s="13">
        <v>2.1428571428571428</v>
      </c>
      <c r="H475" s="22">
        <v>1</v>
      </c>
      <c r="I475" s="22">
        <v>3</v>
      </c>
      <c r="J475" s="22">
        <v>1</v>
      </c>
      <c r="K475" s="13">
        <v>0.24</v>
      </c>
      <c r="L475" s="13">
        <v>24.7</v>
      </c>
      <c r="M475" s="13">
        <v>6.1543999999999999</v>
      </c>
      <c r="N475" s="13">
        <v>405</v>
      </c>
      <c r="O475" s="13">
        <v>1.1304000000000001</v>
      </c>
      <c r="P475" s="13">
        <v>1.0047999999999999</v>
      </c>
      <c r="Q475" s="13">
        <v>305</v>
      </c>
      <c r="R475" s="13">
        <v>0.60318578948924029</v>
      </c>
      <c r="S475" s="13">
        <v>305</v>
      </c>
      <c r="U475" s="6"/>
      <c r="V475" s="24">
        <v>0.14285714285714285</v>
      </c>
      <c r="W475" s="3">
        <v>7</v>
      </c>
      <c r="X475" s="6"/>
      <c r="Y475" s="5">
        <v>7.4482455787132915</v>
      </c>
      <c r="Z475" s="5">
        <v>12.40744939271255</v>
      </c>
      <c r="AA475" s="5">
        <v>16.750056680161943</v>
      </c>
      <c r="AB475" s="5">
        <v>100.91222672064778</v>
      </c>
      <c r="AD475" s="24">
        <v>199.59014999999999</v>
      </c>
      <c r="AE475" s="5">
        <f t="shared" si="7"/>
        <v>6.9092910761890156</v>
      </c>
    </row>
    <row r="476" spans="1:31" ht="25.5" customHeight="1" x14ac:dyDescent="0.2">
      <c r="A476" s="54"/>
      <c r="B476" s="36" t="s">
        <v>610</v>
      </c>
      <c r="C476" s="22">
        <v>100</v>
      </c>
      <c r="D476" s="22">
        <v>700</v>
      </c>
      <c r="E476" s="22">
        <v>1500</v>
      </c>
      <c r="F476" s="13">
        <v>1.8</v>
      </c>
      <c r="G476" s="13">
        <v>2.1428571428571428</v>
      </c>
      <c r="H476" s="22">
        <v>1</v>
      </c>
      <c r="I476" s="22">
        <v>3</v>
      </c>
      <c r="J476" s="22">
        <v>1</v>
      </c>
      <c r="K476" s="13">
        <v>0.35</v>
      </c>
      <c r="L476" s="13">
        <v>27</v>
      </c>
      <c r="M476" s="13">
        <v>4.5216000000000003</v>
      </c>
      <c r="N476" s="13">
        <v>432</v>
      </c>
      <c r="O476" s="13">
        <v>1.1304000000000001</v>
      </c>
      <c r="P476" s="13">
        <v>1.0047999999999999</v>
      </c>
      <c r="Q476" s="13">
        <v>305</v>
      </c>
      <c r="R476" s="13">
        <v>0.60318578948924029</v>
      </c>
      <c r="S476" s="13">
        <v>305</v>
      </c>
      <c r="U476" s="6"/>
      <c r="V476" s="24">
        <v>0.14285714285714285</v>
      </c>
      <c r="W476" s="3">
        <v>7</v>
      </c>
      <c r="X476" s="6"/>
      <c r="Y476" s="5">
        <v>6.8137653997858632</v>
      </c>
      <c r="Z476" s="5">
        <v>11.350518518518518</v>
      </c>
      <c r="AA476" s="5">
        <v>15.3232</v>
      </c>
      <c r="AB476" s="5">
        <v>72.345600000000005</v>
      </c>
      <c r="AD476" s="24">
        <v>223.98755</v>
      </c>
      <c r="AE476" s="5">
        <f t="shared" si="7"/>
        <v>7.4162584904024227</v>
      </c>
    </row>
    <row r="477" spans="1:31" ht="25.5" customHeight="1" x14ac:dyDescent="0.2">
      <c r="A477" s="54"/>
      <c r="B477" s="36" t="s">
        <v>611</v>
      </c>
      <c r="C477" s="22">
        <v>100</v>
      </c>
      <c r="D477" s="22">
        <v>700</v>
      </c>
      <c r="E477" s="22">
        <v>1500</v>
      </c>
      <c r="F477" s="13">
        <v>1.8</v>
      </c>
      <c r="G477" s="13">
        <v>2.1428571428571428</v>
      </c>
      <c r="H477" s="22">
        <v>1</v>
      </c>
      <c r="I477" s="22">
        <v>1</v>
      </c>
      <c r="J477" s="22">
        <v>1</v>
      </c>
      <c r="K477" s="13">
        <v>0.24</v>
      </c>
      <c r="L477" s="13">
        <v>29.4</v>
      </c>
      <c r="M477" s="13">
        <v>12.56</v>
      </c>
      <c r="N477" s="13">
        <v>375</v>
      </c>
      <c r="O477" s="13">
        <v>0.75359999999999994</v>
      </c>
      <c r="P477" s="13">
        <v>1.7174039839624198</v>
      </c>
      <c r="Q477" s="13">
        <v>305</v>
      </c>
      <c r="R477" s="13">
        <v>0.60318578948924029</v>
      </c>
      <c r="S477" s="13">
        <v>305</v>
      </c>
      <c r="U477" s="6"/>
      <c r="V477" s="24">
        <v>0.14285714285714285</v>
      </c>
      <c r="W477" s="3">
        <v>7</v>
      </c>
      <c r="X477" s="6"/>
      <c r="Y477" s="5">
        <v>6.2575396528645681</v>
      </c>
      <c r="Z477" s="5">
        <v>17.816605956072721</v>
      </c>
      <c r="AA477" s="5">
        <v>9.3815510204081622</v>
      </c>
      <c r="AB477" s="5">
        <v>160.20408163265307</v>
      </c>
      <c r="AD477" s="24">
        <v>302.82074999999998</v>
      </c>
      <c r="AE477" s="5">
        <f t="shared" si="7"/>
        <v>9.6084830142046993</v>
      </c>
    </row>
    <row r="478" spans="1:31" ht="25.5" customHeight="1" x14ac:dyDescent="0.2">
      <c r="A478" s="53" t="s">
        <v>612</v>
      </c>
      <c r="B478" s="36" t="s">
        <v>613</v>
      </c>
      <c r="C478" s="22">
        <v>125</v>
      </c>
      <c r="D478" s="22">
        <v>850</v>
      </c>
      <c r="E478" s="22">
        <v>1600</v>
      </c>
      <c r="F478" s="13">
        <v>1.88</v>
      </c>
      <c r="G478" s="13">
        <v>1.8823529411764706</v>
      </c>
      <c r="H478" s="22">
        <v>1</v>
      </c>
      <c r="I478" s="22">
        <v>3</v>
      </c>
      <c r="J478" s="22">
        <v>1</v>
      </c>
      <c r="K478" s="13">
        <v>0.16</v>
      </c>
      <c r="L478" s="13">
        <v>26.46</v>
      </c>
      <c r="M478" s="13">
        <v>0</v>
      </c>
      <c r="N478" s="13" t="s">
        <v>26</v>
      </c>
      <c r="O478" s="13">
        <v>0</v>
      </c>
      <c r="P478" s="13">
        <v>0.4297690368</v>
      </c>
      <c r="Q478" s="13">
        <v>392</v>
      </c>
      <c r="R478" s="13">
        <v>0.44259999999999999</v>
      </c>
      <c r="S478" s="13">
        <v>392</v>
      </c>
      <c r="U478" s="6"/>
      <c r="V478" s="24">
        <v>0</v>
      </c>
      <c r="W478" s="3">
        <v>6.8</v>
      </c>
      <c r="X478" s="6"/>
      <c r="Y478" s="5">
        <v>6.5570370370370368</v>
      </c>
      <c r="Z478" s="5">
        <v>6.3669486933333328</v>
      </c>
      <c r="AA478" s="5">
        <v>0</v>
      </c>
      <c r="AB478" s="5">
        <v>0</v>
      </c>
      <c r="AD478" s="24">
        <v>111.4462</v>
      </c>
      <c r="AE478" s="5">
        <f t="shared" si="7"/>
        <v>2.4557395656598997</v>
      </c>
    </row>
    <row r="479" spans="1:31" ht="25.5" customHeight="1" x14ac:dyDescent="0.2">
      <c r="A479" s="54"/>
      <c r="B479" s="36" t="s">
        <v>614</v>
      </c>
      <c r="C479" s="22">
        <v>125</v>
      </c>
      <c r="D479" s="22">
        <v>850</v>
      </c>
      <c r="E479" s="22">
        <v>1600</v>
      </c>
      <c r="F479" s="13">
        <v>1.88</v>
      </c>
      <c r="G479" s="13">
        <v>1.8823529411764706</v>
      </c>
      <c r="H479" s="22">
        <v>1</v>
      </c>
      <c r="I479" s="22">
        <v>3</v>
      </c>
      <c r="J479" s="22">
        <v>1</v>
      </c>
      <c r="K479" s="13">
        <v>0.16</v>
      </c>
      <c r="L479" s="13">
        <v>26.46</v>
      </c>
      <c r="M479" s="13">
        <v>1.2675926127659576</v>
      </c>
      <c r="N479" s="13">
        <v>379</v>
      </c>
      <c r="O479" s="13">
        <v>0.2313476337349398</v>
      </c>
      <c r="P479" s="13">
        <v>0.4297690368</v>
      </c>
      <c r="Q479" s="13">
        <v>392</v>
      </c>
      <c r="R479" s="13">
        <v>0.56579999999999997</v>
      </c>
      <c r="S479" s="13">
        <v>392</v>
      </c>
      <c r="U479" s="6"/>
      <c r="V479" s="24">
        <v>0.22117647058823531</v>
      </c>
      <c r="W479" s="3">
        <v>6.8</v>
      </c>
      <c r="X479" s="6"/>
      <c r="Y479" s="5">
        <v>8.3822222222222216</v>
      </c>
      <c r="Z479" s="5">
        <v>6.3669486933333328</v>
      </c>
      <c r="AA479" s="5">
        <v>3.0426672917520423</v>
      </c>
      <c r="AB479" s="5">
        <v>18.156371891092135</v>
      </c>
      <c r="AD479" s="24">
        <v>151.22635</v>
      </c>
      <c r="AE479" s="5">
        <f t="shared" ref="AE479:AE542" si="8">AD479*1000/C479/D479*145.038/SQRT(145.038*L479)</f>
        <v>3.3323032195385038</v>
      </c>
    </row>
    <row r="480" spans="1:31" ht="25.5" customHeight="1" x14ac:dyDescent="0.2">
      <c r="A480" s="54"/>
      <c r="B480" s="36" t="s">
        <v>615</v>
      </c>
      <c r="C480" s="22">
        <v>125</v>
      </c>
      <c r="D480" s="22">
        <v>850</v>
      </c>
      <c r="E480" s="22">
        <v>1600</v>
      </c>
      <c r="F480" s="13">
        <v>1.88</v>
      </c>
      <c r="G480" s="13">
        <v>1.8823529411764706</v>
      </c>
      <c r="H480" s="22">
        <v>1</v>
      </c>
      <c r="I480" s="22">
        <v>3</v>
      </c>
      <c r="J480" s="22">
        <v>1</v>
      </c>
      <c r="K480" s="13">
        <v>0.16</v>
      </c>
      <c r="L480" s="13">
        <v>26.46</v>
      </c>
      <c r="M480" s="13">
        <v>1.2979046257777778</v>
      </c>
      <c r="N480" s="13">
        <v>379</v>
      </c>
      <c r="O480" s="13">
        <v>0.85271634285714293</v>
      </c>
      <c r="P480" s="13">
        <v>0.4297690368</v>
      </c>
      <c r="Q480" s="13">
        <v>392</v>
      </c>
      <c r="R480" s="13">
        <v>0.40310000000000001</v>
      </c>
      <c r="S480" s="13">
        <v>392</v>
      </c>
      <c r="U480" s="6"/>
      <c r="V480" s="24">
        <v>0.26470588235294118</v>
      </c>
      <c r="W480" s="3">
        <v>6.8</v>
      </c>
      <c r="X480" s="6"/>
      <c r="Y480" s="5">
        <v>5.9718518518518513</v>
      </c>
      <c r="Z480" s="5">
        <v>6.3669486933333328</v>
      </c>
      <c r="AA480" s="5">
        <v>12.632834708994711</v>
      </c>
      <c r="AB480" s="5">
        <v>18.5905462271269</v>
      </c>
      <c r="AD480" s="24">
        <v>163.40565000000001</v>
      </c>
      <c r="AE480" s="5">
        <f t="shared" si="8"/>
        <v>3.6006765592489791</v>
      </c>
    </row>
    <row r="481" spans="1:31" ht="25.5" customHeight="1" x14ac:dyDescent="0.2">
      <c r="A481" s="54"/>
      <c r="B481" s="36" t="s">
        <v>616</v>
      </c>
      <c r="C481" s="22">
        <v>125</v>
      </c>
      <c r="D481" s="22">
        <v>1000</v>
      </c>
      <c r="E481" s="22">
        <v>2000</v>
      </c>
      <c r="F481" s="13">
        <v>2</v>
      </c>
      <c r="G481" s="13">
        <v>2</v>
      </c>
      <c r="H481" s="22">
        <v>1</v>
      </c>
      <c r="I481" s="22">
        <v>3</v>
      </c>
      <c r="J481" s="22">
        <v>1</v>
      </c>
      <c r="K481" s="13">
        <v>0.3</v>
      </c>
      <c r="L481" s="13">
        <v>30.8</v>
      </c>
      <c r="M481" s="13">
        <v>1.7873055840000001</v>
      </c>
      <c r="N481" s="13">
        <v>379</v>
      </c>
      <c r="O481" s="13">
        <v>0.24002317000000004</v>
      </c>
      <c r="P481" s="13">
        <v>0.15361482880000002</v>
      </c>
      <c r="Q481" s="13">
        <v>348</v>
      </c>
      <c r="R481" s="13">
        <v>0.44790000000000002</v>
      </c>
      <c r="S481" s="13">
        <v>392</v>
      </c>
      <c r="U481" s="6"/>
      <c r="V481" s="24">
        <v>0.2</v>
      </c>
      <c r="W481" s="3">
        <v>8</v>
      </c>
      <c r="X481" s="6"/>
      <c r="Y481" s="5">
        <v>5.7005454545454555</v>
      </c>
      <c r="Z481" s="5">
        <v>1.7356480656623379</v>
      </c>
      <c r="AA481" s="5">
        <v>2.7119501025974029</v>
      </c>
      <c r="AB481" s="5">
        <v>21.993143387532466</v>
      </c>
      <c r="AD481" s="24">
        <v>262.92836</v>
      </c>
      <c r="AE481" s="5">
        <f t="shared" si="8"/>
        <v>4.5644973838350795</v>
      </c>
    </row>
    <row r="482" spans="1:31" ht="25.5" customHeight="1" x14ac:dyDescent="0.2">
      <c r="A482" s="54"/>
      <c r="B482" s="36" t="s">
        <v>617</v>
      </c>
      <c r="C482" s="22">
        <v>125</v>
      </c>
      <c r="D482" s="22">
        <v>1000</v>
      </c>
      <c r="E482" s="22">
        <v>2000</v>
      </c>
      <c r="F482" s="13">
        <v>2</v>
      </c>
      <c r="G482" s="13">
        <v>2</v>
      </c>
      <c r="H482" s="22">
        <v>1</v>
      </c>
      <c r="I482" s="22">
        <v>3</v>
      </c>
      <c r="J482" s="22">
        <v>1</v>
      </c>
      <c r="K482" s="13">
        <v>0.3</v>
      </c>
      <c r="L482" s="13">
        <v>30.8</v>
      </c>
      <c r="M482" s="13">
        <v>1.7873055840000001</v>
      </c>
      <c r="N482" s="13">
        <v>379</v>
      </c>
      <c r="O482" s="13">
        <v>0.6715141200000001</v>
      </c>
      <c r="P482" s="13">
        <v>0.4297690368</v>
      </c>
      <c r="Q482" s="13">
        <v>392</v>
      </c>
      <c r="R482" s="13">
        <v>0.44790000000000002</v>
      </c>
      <c r="S482" s="13">
        <v>392</v>
      </c>
      <c r="U482" s="6"/>
      <c r="V482" s="24">
        <v>0.2</v>
      </c>
      <c r="W482" s="3">
        <v>8</v>
      </c>
      <c r="X482" s="6"/>
      <c r="Y482" s="5">
        <v>5.7005454545454555</v>
      </c>
      <c r="Z482" s="5">
        <v>5.4697877410909088</v>
      </c>
      <c r="AA482" s="5">
        <v>8.5465433454545465</v>
      </c>
      <c r="AB482" s="5">
        <v>21.993143387532466</v>
      </c>
      <c r="AD482" s="24">
        <v>215.46964</v>
      </c>
      <c r="AE482" s="5">
        <f t="shared" si="8"/>
        <v>3.7406029843105797</v>
      </c>
    </row>
    <row r="483" spans="1:31" ht="25.5" customHeight="1" x14ac:dyDescent="0.2">
      <c r="A483" s="54"/>
      <c r="B483" s="36" t="s">
        <v>618</v>
      </c>
      <c r="C483" s="22">
        <v>125</v>
      </c>
      <c r="D483" s="22">
        <v>1000</v>
      </c>
      <c r="E483" s="22">
        <v>2000</v>
      </c>
      <c r="F483" s="13">
        <v>2</v>
      </c>
      <c r="G483" s="13">
        <v>2</v>
      </c>
      <c r="H483" s="22">
        <v>1</v>
      </c>
      <c r="I483" s="22">
        <v>3</v>
      </c>
      <c r="J483" s="22">
        <v>1</v>
      </c>
      <c r="K483" s="13">
        <v>0.3</v>
      </c>
      <c r="L483" s="13">
        <v>30.8</v>
      </c>
      <c r="M483" s="13">
        <v>1.7873055840000001</v>
      </c>
      <c r="N483" s="13">
        <v>379</v>
      </c>
      <c r="O483" s="13">
        <v>0.89535215999999995</v>
      </c>
      <c r="P483" s="13">
        <v>0.4297690368</v>
      </c>
      <c r="Q483" s="13">
        <v>392</v>
      </c>
      <c r="R483" s="13">
        <v>0.44790000000000002</v>
      </c>
      <c r="S483" s="13">
        <v>392</v>
      </c>
      <c r="U483" s="6"/>
      <c r="V483" s="24">
        <v>0.2</v>
      </c>
      <c r="W483" s="3">
        <v>8</v>
      </c>
      <c r="X483" s="6"/>
      <c r="Y483" s="5">
        <v>5.7005454545454555</v>
      </c>
      <c r="Z483" s="5">
        <v>5.4697877410909088</v>
      </c>
      <c r="AA483" s="5">
        <v>11.395391127272728</v>
      </c>
      <c r="AB483" s="5">
        <v>21.993143387532466</v>
      </c>
      <c r="AD483" s="24">
        <v>294.38472000000002</v>
      </c>
      <c r="AE483" s="5">
        <f t="shared" si="8"/>
        <v>5.110587097873438</v>
      </c>
    </row>
    <row r="484" spans="1:31" ht="25.5" customHeight="1" x14ac:dyDescent="0.2">
      <c r="A484" s="56" t="s">
        <v>619</v>
      </c>
      <c r="B484" s="21" t="s">
        <v>620</v>
      </c>
      <c r="C484" s="22">
        <v>125</v>
      </c>
      <c r="D484" s="22">
        <v>1000</v>
      </c>
      <c r="E484" s="22">
        <v>2000</v>
      </c>
      <c r="F484" s="13">
        <v>2</v>
      </c>
      <c r="G484" s="13">
        <v>2</v>
      </c>
      <c r="H484" s="22">
        <v>1</v>
      </c>
      <c r="I484" s="22">
        <v>3</v>
      </c>
      <c r="J484" s="22">
        <v>1</v>
      </c>
      <c r="K484" s="13">
        <v>0.1</v>
      </c>
      <c r="L484" s="13">
        <v>20.7</v>
      </c>
      <c r="M484" s="13">
        <v>1.6248232581818183</v>
      </c>
      <c r="N484" s="13">
        <v>379</v>
      </c>
      <c r="O484" s="13">
        <v>0.6715141200000001</v>
      </c>
      <c r="P484" s="13">
        <v>0.4297690368</v>
      </c>
      <c r="Q484" s="13">
        <v>392</v>
      </c>
      <c r="R484" s="13">
        <v>0.4297690368</v>
      </c>
      <c r="S484" s="13">
        <v>392</v>
      </c>
      <c r="U484" s="6"/>
      <c r="V484" s="24">
        <v>0.22</v>
      </c>
      <c r="W484" s="3">
        <v>8</v>
      </c>
      <c r="X484" s="6"/>
      <c r="Y484" s="5">
        <v>8.1386213732173918</v>
      </c>
      <c r="Z484" s="5">
        <v>8.1386213732173918</v>
      </c>
      <c r="AA484" s="5">
        <v>12.716595895652176</v>
      </c>
      <c r="AB484" s="5">
        <v>29.749179461396576</v>
      </c>
      <c r="AD484" s="24">
        <v>195.1</v>
      </c>
      <c r="AE484" s="5">
        <f t="shared" si="8"/>
        <v>4.1314546015013489</v>
      </c>
    </row>
    <row r="485" spans="1:31" ht="25.5" customHeight="1" x14ac:dyDescent="0.2">
      <c r="A485" s="54"/>
      <c r="B485" s="21" t="s">
        <v>621</v>
      </c>
      <c r="C485" s="22">
        <v>125</v>
      </c>
      <c r="D485" s="22">
        <v>1000</v>
      </c>
      <c r="E485" s="22">
        <v>2000</v>
      </c>
      <c r="F485" s="13">
        <v>2</v>
      </c>
      <c r="G485" s="13">
        <v>2</v>
      </c>
      <c r="H485" s="22">
        <v>1</v>
      </c>
      <c r="I485" s="22">
        <v>3</v>
      </c>
      <c r="J485" s="22">
        <v>1</v>
      </c>
      <c r="K485" s="13">
        <v>0.2</v>
      </c>
      <c r="L485" s="13">
        <v>20.7</v>
      </c>
      <c r="M485" s="13">
        <v>1.6248232581818183</v>
      </c>
      <c r="N485" s="13">
        <v>379</v>
      </c>
      <c r="O485" s="13">
        <v>0.6715141200000001</v>
      </c>
      <c r="P485" s="13">
        <v>0.4297690368</v>
      </c>
      <c r="Q485" s="13">
        <v>392</v>
      </c>
      <c r="R485" s="13">
        <v>0.4297690368</v>
      </c>
      <c r="S485" s="13">
        <v>392</v>
      </c>
      <c r="U485" s="6"/>
      <c r="V485" s="24">
        <v>0.22</v>
      </c>
      <c r="W485" s="3">
        <v>8</v>
      </c>
      <c r="X485" s="6"/>
      <c r="Y485" s="5">
        <v>8.1386213732173918</v>
      </c>
      <c r="Z485" s="5">
        <v>8.1386213732173918</v>
      </c>
      <c r="AA485" s="5">
        <v>12.716595895652176</v>
      </c>
      <c r="AB485" s="5">
        <v>29.749179461396576</v>
      </c>
      <c r="AD485" s="24">
        <v>242.5</v>
      </c>
      <c r="AE485" s="5">
        <f t="shared" si="8"/>
        <v>5.1352011320557507</v>
      </c>
    </row>
    <row r="486" spans="1:31" ht="25.5" customHeight="1" x14ac:dyDescent="0.2">
      <c r="A486" s="54"/>
      <c r="B486" s="21" t="s">
        <v>622</v>
      </c>
      <c r="C486" s="22">
        <v>125</v>
      </c>
      <c r="D486" s="22">
        <v>1000</v>
      </c>
      <c r="E486" s="22">
        <v>2000</v>
      </c>
      <c r="F486" s="13">
        <v>2</v>
      </c>
      <c r="G486" s="13">
        <v>2</v>
      </c>
      <c r="H486" s="22">
        <v>1</v>
      </c>
      <c r="I486" s="22">
        <v>3</v>
      </c>
      <c r="J486" s="22">
        <v>1</v>
      </c>
      <c r="K486" s="13">
        <v>0.3</v>
      </c>
      <c r="L486" s="13">
        <v>20.7</v>
      </c>
      <c r="M486" s="13">
        <v>1.6248232581818183</v>
      </c>
      <c r="N486" s="13">
        <v>379</v>
      </c>
      <c r="O486" s="13">
        <v>0.6715141200000001</v>
      </c>
      <c r="P486" s="13">
        <v>0.4297690368</v>
      </c>
      <c r="Q486" s="13">
        <v>392</v>
      </c>
      <c r="R486" s="13">
        <v>0.4297690368</v>
      </c>
      <c r="S486" s="13">
        <v>392</v>
      </c>
      <c r="U486" s="6"/>
      <c r="V486" s="24">
        <v>0.22</v>
      </c>
      <c r="W486" s="3">
        <v>8</v>
      </c>
      <c r="X486" s="6"/>
      <c r="Y486" s="5">
        <v>8.1386213732173918</v>
      </c>
      <c r="Z486" s="5">
        <v>8.1386213732173918</v>
      </c>
      <c r="AA486" s="5">
        <v>12.716595895652176</v>
      </c>
      <c r="AB486" s="5">
        <v>29.749179461396576</v>
      </c>
      <c r="AD486" s="24">
        <v>233.55</v>
      </c>
      <c r="AE486" s="5">
        <f t="shared" si="8"/>
        <v>4.945675152130395</v>
      </c>
    </row>
    <row r="487" spans="1:31" ht="25.5" customHeight="1" x14ac:dyDescent="0.2">
      <c r="A487" s="54"/>
      <c r="B487" s="21" t="s">
        <v>623</v>
      </c>
      <c r="C487" s="22">
        <v>125</v>
      </c>
      <c r="D487" s="22">
        <v>1000</v>
      </c>
      <c r="E487" s="22">
        <v>2000</v>
      </c>
      <c r="F487" s="13">
        <v>2</v>
      </c>
      <c r="G487" s="13">
        <v>2</v>
      </c>
      <c r="H487" s="22">
        <v>1</v>
      </c>
      <c r="I487" s="22">
        <v>3</v>
      </c>
      <c r="J487" s="22">
        <v>1</v>
      </c>
      <c r="K487" s="13">
        <v>0.4</v>
      </c>
      <c r="L487" s="13">
        <v>20.7</v>
      </c>
      <c r="M487" s="13">
        <v>1.6248232581818183</v>
      </c>
      <c r="N487" s="13">
        <v>379</v>
      </c>
      <c r="O487" s="13">
        <v>0.6715141200000001</v>
      </c>
      <c r="P487" s="13">
        <v>0.4297690368</v>
      </c>
      <c r="Q487" s="13">
        <v>392</v>
      </c>
      <c r="R487" s="13">
        <v>0.4297690368</v>
      </c>
      <c r="S487" s="13">
        <v>392</v>
      </c>
      <c r="U487" s="6"/>
      <c r="V487" s="24">
        <v>0.22</v>
      </c>
      <c r="W487" s="3">
        <v>8</v>
      </c>
      <c r="X487" s="6"/>
      <c r="Y487" s="5">
        <v>8.1386213732173918</v>
      </c>
      <c r="Z487" s="5">
        <v>8.1386213732173918</v>
      </c>
      <c r="AA487" s="5">
        <v>12.716595895652176</v>
      </c>
      <c r="AB487" s="5">
        <v>29.749179461396576</v>
      </c>
      <c r="AD487" s="24">
        <v>201.2</v>
      </c>
      <c r="AE487" s="5">
        <f t="shared" si="8"/>
        <v>4.2606287330705861</v>
      </c>
    </row>
    <row r="488" spans="1:31" ht="25.5" customHeight="1" x14ac:dyDescent="0.2">
      <c r="A488" s="54"/>
      <c r="B488" s="21" t="s">
        <v>624</v>
      </c>
      <c r="C488" s="22">
        <v>125</v>
      </c>
      <c r="D488" s="22">
        <v>1000</v>
      </c>
      <c r="E488" s="22">
        <v>1000</v>
      </c>
      <c r="F488" s="13">
        <v>1</v>
      </c>
      <c r="G488" s="13">
        <v>1</v>
      </c>
      <c r="H488" s="22">
        <v>1</v>
      </c>
      <c r="I488" s="22">
        <v>1</v>
      </c>
      <c r="J488" s="22">
        <v>1</v>
      </c>
      <c r="K488" s="13">
        <v>0.3</v>
      </c>
      <c r="L488" s="13">
        <v>30.8</v>
      </c>
      <c r="M488" s="13">
        <v>1.6248232581818183</v>
      </c>
      <c r="N488" s="13">
        <v>379</v>
      </c>
      <c r="O488" s="13">
        <v>0.6715141200000001</v>
      </c>
      <c r="P488" s="13">
        <v>0.4297690368</v>
      </c>
      <c r="Q488" s="13">
        <v>392</v>
      </c>
      <c r="R488" s="13">
        <v>0.4297690368</v>
      </c>
      <c r="S488" s="13">
        <v>392</v>
      </c>
      <c r="U488" s="6"/>
      <c r="V488" s="24">
        <v>0.22</v>
      </c>
      <c r="W488" s="3">
        <v>8</v>
      </c>
      <c r="X488" s="6"/>
      <c r="Y488" s="5">
        <v>5.4697877410909088</v>
      </c>
      <c r="Z488" s="5">
        <v>5.4697877410909088</v>
      </c>
      <c r="AA488" s="5">
        <v>8.5465433454545465</v>
      </c>
      <c r="AB488" s="5">
        <v>19.993766715938605</v>
      </c>
      <c r="AD488" s="24">
        <v>508.7</v>
      </c>
      <c r="AE488" s="5">
        <f t="shared" si="8"/>
        <v>8.8311501245316624</v>
      </c>
    </row>
    <row r="489" spans="1:31" ht="25.5" customHeight="1" x14ac:dyDescent="0.2">
      <c r="A489" s="54"/>
      <c r="B489" s="21" t="s">
        <v>625</v>
      </c>
      <c r="C489" s="22">
        <v>125</v>
      </c>
      <c r="D489" s="22">
        <v>1000</v>
      </c>
      <c r="E489" s="22">
        <v>1500</v>
      </c>
      <c r="F489" s="13">
        <v>1.5</v>
      </c>
      <c r="G489" s="13">
        <v>1.5</v>
      </c>
      <c r="H489" s="22">
        <v>1</v>
      </c>
      <c r="I489" s="22">
        <v>2</v>
      </c>
      <c r="J489" s="22">
        <v>1</v>
      </c>
      <c r="K489" s="13">
        <v>0.3</v>
      </c>
      <c r="L489" s="13">
        <v>30.8</v>
      </c>
      <c r="M489" s="13">
        <v>1.6248232581818183</v>
      </c>
      <c r="N489" s="13">
        <v>379</v>
      </c>
      <c r="O489" s="13">
        <v>0.6715141200000001</v>
      </c>
      <c r="P489" s="13">
        <v>0.4297690368</v>
      </c>
      <c r="Q489" s="13">
        <v>392</v>
      </c>
      <c r="R489" s="13">
        <v>0.4297690368</v>
      </c>
      <c r="S489" s="13">
        <v>392</v>
      </c>
      <c r="U489" s="6"/>
      <c r="V489" s="24">
        <v>0.22</v>
      </c>
      <c r="W489" s="3">
        <v>8</v>
      </c>
      <c r="X489" s="6"/>
      <c r="Y489" s="5">
        <v>5.4697877410909088</v>
      </c>
      <c r="Z489" s="5">
        <v>5.4697877410909088</v>
      </c>
      <c r="AA489" s="5">
        <v>8.5465433454545465</v>
      </c>
      <c r="AB489" s="5">
        <v>19.993766715938605</v>
      </c>
      <c r="AD489" s="24">
        <v>329.05</v>
      </c>
      <c r="AE489" s="5">
        <f t="shared" si="8"/>
        <v>5.7123844082507231</v>
      </c>
    </row>
    <row r="490" spans="1:31" ht="25.5" customHeight="1" x14ac:dyDescent="0.2">
      <c r="A490" s="54"/>
      <c r="B490" s="21" t="s">
        <v>626</v>
      </c>
      <c r="C490" s="22">
        <v>125</v>
      </c>
      <c r="D490" s="22">
        <v>1000</v>
      </c>
      <c r="E490" s="22">
        <v>2000</v>
      </c>
      <c r="F490" s="13">
        <v>2</v>
      </c>
      <c r="G490" s="13">
        <v>2</v>
      </c>
      <c r="H490" s="22">
        <v>1</v>
      </c>
      <c r="I490" s="22">
        <v>3</v>
      </c>
      <c r="J490" s="22">
        <v>1</v>
      </c>
      <c r="K490" s="13">
        <v>0.3</v>
      </c>
      <c r="L490" s="13">
        <v>30.8</v>
      </c>
      <c r="M490" s="13">
        <v>1.6248232581818183</v>
      </c>
      <c r="N490" s="13">
        <v>379</v>
      </c>
      <c r="O490" s="13">
        <v>0.6715141200000001</v>
      </c>
      <c r="P490" s="13">
        <v>0.4297690368</v>
      </c>
      <c r="Q490" s="13">
        <v>392</v>
      </c>
      <c r="R490" s="13">
        <v>0.4297690368</v>
      </c>
      <c r="S490" s="13">
        <v>392</v>
      </c>
      <c r="U490" s="6"/>
      <c r="V490" s="24">
        <v>0.22</v>
      </c>
      <c r="W490" s="3">
        <v>8</v>
      </c>
      <c r="X490" s="6"/>
      <c r="Y490" s="5">
        <v>5.4697877410909088</v>
      </c>
      <c r="Z490" s="5">
        <v>5.4697877410909088</v>
      </c>
      <c r="AA490" s="5">
        <v>8.5465433454545465</v>
      </c>
      <c r="AB490" s="5">
        <v>19.993766715938605</v>
      </c>
      <c r="AD490" s="24">
        <v>226.05</v>
      </c>
      <c r="AE490" s="5">
        <f t="shared" si="8"/>
        <v>3.9242804907615132</v>
      </c>
    </row>
    <row r="491" spans="1:31" ht="25.5" customHeight="1" x14ac:dyDescent="0.2">
      <c r="A491" s="54"/>
      <c r="B491" s="21" t="s">
        <v>627</v>
      </c>
      <c r="C491" s="22">
        <v>125</v>
      </c>
      <c r="D491" s="22">
        <v>1000</v>
      </c>
      <c r="E491" s="22">
        <v>2500</v>
      </c>
      <c r="F491" s="13">
        <v>2.5</v>
      </c>
      <c r="G491" s="13">
        <v>2.5</v>
      </c>
      <c r="H491" s="22">
        <v>1</v>
      </c>
      <c r="I491" s="22">
        <v>3</v>
      </c>
      <c r="J491" s="22">
        <v>1</v>
      </c>
      <c r="K491" s="13">
        <v>0.3</v>
      </c>
      <c r="L491" s="13">
        <v>30.8</v>
      </c>
      <c r="M491" s="13">
        <v>1.6248232581818183</v>
      </c>
      <c r="N491" s="13">
        <v>379</v>
      </c>
      <c r="O491" s="13">
        <v>0.6715141200000001</v>
      </c>
      <c r="P491" s="13">
        <v>0.4297690368</v>
      </c>
      <c r="Q491" s="13">
        <v>392</v>
      </c>
      <c r="R491" s="13">
        <v>0.4297690368</v>
      </c>
      <c r="S491" s="13">
        <v>392</v>
      </c>
      <c r="U491" s="6"/>
      <c r="V491" s="24">
        <v>0.22</v>
      </c>
      <c r="W491" s="3">
        <v>8</v>
      </c>
      <c r="X491" s="6"/>
      <c r="Y491" s="5">
        <v>5.4697877410909088</v>
      </c>
      <c r="Z491" s="5">
        <v>5.4697877410909088</v>
      </c>
      <c r="AA491" s="5">
        <v>8.5465433454545465</v>
      </c>
      <c r="AB491" s="5">
        <v>19.993766715938605</v>
      </c>
      <c r="AD491" s="24">
        <v>223</v>
      </c>
      <c r="AE491" s="5">
        <f t="shared" si="8"/>
        <v>3.8713317825251825</v>
      </c>
    </row>
    <row r="492" spans="1:31" ht="25.5" customHeight="1" x14ac:dyDescent="0.2">
      <c r="A492" s="54"/>
      <c r="B492" s="21" t="s">
        <v>628</v>
      </c>
      <c r="C492" s="22">
        <v>125</v>
      </c>
      <c r="D492" s="22">
        <v>1000</v>
      </c>
      <c r="E492" s="22">
        <v>2000</v>
      </c>
      <c r="F492" s="13">
        <v>2</v>
      </c>
      <c r="G492" s="13">
        <v>2</v>
      </c>
      <c r="H492" s="22">
        <v>1</v>
      </c>
      <c r="I492" s="22">
        <v>3</v>
      </c>
      <c r="J492" s="22">
        <v>1</v>
      </c>
      <c r="K492" s="13">
        <v>0.3</v>
      </c>
      <c r="L492" s="13">
        <v>30.8</v>
      </c>
      <c r="M492" s="13">
        <v>1.109890090909091</v>
      </c>
      <c r="N492" s="13">
        <v>343</v>
      </c>
      <c r="O492" s="13">
        <v>0.6715141200000001</v>
      </c>
      <c r="P492" s="13">
        <v>0.4297690368</v>
      </c>
      <c r="Q492" s="13">
        <v>392</v>
      </c>
      <c r="R492" s="13">
        <v>0.4297690368</v>
      </c>
      <c r="S492" s="13">
        <v>392</v>
      </c>
      <c r="U492" s="6"/>
      <c r="V492" s="24">
        <v>0.22</v>
      </c>
      <c r="W492" s="3">
        <v>8</v>
      </c>
      <c r="X492" s="6"/>
      <c r="Y492" s="5">
        <v>5.4697877410909088</v>
      </c>
      <c r="Z492" s="5">
        <v>5.4697877410909088</v>
      </c>
      <c r="AA492" s="5">
        <v>8.5465433454545465</v>
      </c>
      <c r="AB492" s="5">
        <v>12.360139648760331</v>
      </c>
      <c r="AD492" s="24">
        <v>234.5</v>
      </c>
      <c r="AE492" s="5">
        <f t="shared" si="8"/>
        <v>4.0709744529244629</v>
      </c>
    </row>
    <row r="493" spans="1:31" ht="25.5" customHeight="1" x14ac:dyDescent="0.2">
      <c r="A493" s="54"/>
      <c r="B493" s="21" t="s">
        <v>629</v>
      </c>
      <c r="C493" s="22">
        <v>125</v>
      </c>
      <c r="D493" s="22">
        <v>1000</v>
      </c>
      <c r="E493" s="22">
        <v>2000</v>
      </c>
      <c r="F493" s="13">
        <v>2</v>
      </c>
      <c r="G493" s="13">
        <v>2</v>
      </c>
      <c r="H493" s="22">
        <v>1</v>
      </c>
      <c r="I493" s="22">
        <v>3</v>
      </c>
      <c r="J493" s="22">
        <v>1</v>
      </c>
      <c r="K493" s="13">
        <v>0.3</v>
      </c>
      <c r="L493" s="13">
        <v>30.8</v>
      </c>
      <c r="M493" s="13">
        <v>1.5165874581818184</v>
      </c>
      <c r="N493" s="13">
        <v>352</v>
      </c>
      <c r="O493" s="13">
        <v>0.6715141200000001</v>
      </c>
      <c r="P493" s="13">
        <v>0.4297690368</v>
      </c>
      <c r="Q493" s="13">
        <v>392</v>
      </c>
      <c r="R493" s="13">
        <v>0.4297690368</v>
      </c>
      <c r="S493" s="13">
        <v>392</v>
      </c>
      <c r="U493" s="6"/>
      <c r="V493" s="24">
        <v>0.22</v>
      </c>
      <c r="W493" s="3">
        <v>8</v>
      </c>
      <c r="X493" s="6"/>
      <c r="Y493" s="5">
        <v>5.4697877410909088</v>
      </c>
      <c r="Z493" s="5">
        <v>5.4697877410909088</v>
      </c>
      <c r="AA493" s="5">
        <v>8.5465433454545465</v>
      </c>
      <c r="AB493" s="5">
        <v>17.332428093506493</v>
      </c>
      <c r="AD493" s="24">
        <v>222.75</v>
      </c>
      <c r="AE493" s="5">
        <f t="shared" si="8"/>
        <v>3.8669917244730239</v>
      </c>
    </row>
    <row r="494" spans="1:31" ht="25.5" customHeight="1" x14ac:dyDescent="0.2">
      <c r="A494" s="54"/>
      <c r="B494" s="21" t="s">
        <v>630</v>
      </c>
      <c r="C494" s="22">
        <v>125</v>
      </c>
      <c r="D494" s="22">
        <v>1000</v>
      </c>
      <c r="E494" s="22">
        <v>2000</v>
      </c>
      <c r="F494" s="13">
        <v>2</v>
      </c>
      <c r="G494" s="13">
        <v>2</v>
      </c>
      <c r="H494" s="22">
        <v>1</v>
      </c>
      <c r="I494" s="22">
        <v>3</v>
      </c>
      <c r="J494" s="22">
        <v>1</v>
      </c>
      <c r="K494" s="13">
        <v>0.2</v>
      </c>
      <c r="L494" s="13">
        <v>30.8</v>
      </c>
      <c r="M494" s="13">
        <v>2.6975882727272729</v>
      </c>
      <c r="N494" s="13">
        <v>325</v>
      </c>
      <c r="O494" s="13">
        <v>0.6715141200000001</v>
      </c>
      <c r="P494" s="13">
        <v>0.4297690368</v>
      </c>
      <c r="Q494" s="13">
        <v>392</v>
      </c>
      <c r="R494" s="13">
        <v>0.4297690368</v>
      </c>
      <c r="S494" s="13">
        <v>392</v>
      </c>
      <c r="U494" s="6"/>
      <c r="V494" s="24">
        <v>0.22</v>
      </c>
      <c r="W494" s="3">
        <v>8</v>
      </c>
      <c r="X494" s="6"/>
      <c r="Y494" s="5">
        <v>5.4697877410909088</v>
      </c>
      <c r="Z494" s="5">
        <v>5.4697877410909088</v>
      </c>
      <c r="AA494" s="5">
        <v>8.5465433454545465</v>
      </c>
      <c r="AB494" s="5">
        <v>28.464811319362454</v>
      </c>
      <c r="AD494" s="24">
        <v>268</v>
      </c>
      <c r="AE494" s="5">
        <f t="shared" si="8"/>
        <v>4.6525422319136718</v>
      </c>
    </row>
    <row r="495" spans="1:31" ht="25.5" customHeight="1" x14ac:dyDescent="0.2">
      <c r="A495" s="54"/>
      <c r="B495" s="21" t="s">
        <v>631</v>
      </c>
      <c r="C495" s="22">
        <v>125</v>
      </c>
      <c r="D495" s="22">
        <v>1000</v>
      </c>
      <c r="E495" s="22">
        <v>2000</v>
      </c>
      <c r="F495" s="13">
        <v>2</v>
      </c>
      <c r="G495" s="13">
        <v>2</v>
      </c>
      <c r="H495" s="22">
        <v>1</v>
      </c>
      <c r="I495" s="22">
        <v>3</v>
      </c>
      <c r="J495" s="22">
        <v>1</v>
      </c>
      <c r="K495" s="13">
        <v>0.3</v>
      </c>
      <c r="L495" s="13">
        <v>30.8</v>
      </c>
      <c r="M495" s="13">
        <v>1.3239300622222223</v>
      </c>
      <c r="N495" s="13">
        <v>379</v>
      </c>
      <c r="O495" s="13">
        <v>0.6715141200000001</v>
      </c>
      <c r="P495" s="13">
        <v>0.4297690368</v>
      </c>
      <c r="Q495" s="13">
        <v>392</v>
      </c>
      <c r="R495" s="13">
        <v>0.4297690368</v>
      </c>
      <c r="S495" s="13">
        <v>392</v>
      </c>
      <c r="U495" s="6"/>
      <c r="V495" s="24">
        <v>0.27</v>
      </c>
      <c r="W495" s="3">
        <v>8</v>
      </c>
      <c r="X495" s="6"/>
      <c r="Y495" s="5">
        <v>5.4697877410909088</v>
      </c>
      <c r="Z495" s="5">
        <v>5.4697877410909088</v>
      </c>
      <c r="AA495" s="5">
        <v>8.5465433454545465</v>
      </c>
      <c r="AB495" s="5">
        <v>16.291217324098124</v>
      </c>
      <c r="AD495" s="24">
        <v>237.51000000000002</v>
      </c>
      <c r="AE495" s="5">
        <f t="shared" si="8"/>
        <v>4.1232287518724497</v>
      </c>
    </row>
    <row r="496" spans="1:31" ht="25.5" customHeight="1" x14ac:dyDescent="0.2">
      <c r="A496" s="54"/>
      <c r="B496" s="21" t="s">
        <v>632</v>
      </c>
      <c r="C496" s="22">
        <v>125</v>
      </c>
      <c r="D496" s="22">
        <v>1000</v>
      </c>
      <c r="E496" s="22">
        <v>2000</v>
      </c>
      <c r="F496" s="13">
        <v>2</v>
      </c>
      <c r="G496" s="13">
        <v>2</v>
      </c>
      <c r="H496" s="22">
        <v>1</v>
      </c>
      <c r="I496" s="22">
        <v>3</v>
      </c>
      <c r="J496" s="22">
        <v>1</v>
      </c>
      <c r="K496" s="13">
        <v>0.3</v>
      </c>
      <c r="L496" s="13">
        <v>30.8</v>
      </c>
      <c r="M496" s="13">
        <v>2.102712451764706</v>
      </c>
      <c r="N496" s="13">
        <v>379</v>
      </c>
      <c r="O496" s="13">
        <v>0.6715141200000001</v>
      </c>
      <c r="P496" s="13">
        <v>0.4297690368</v>
      </c>
      <c r="Q496" s="13">
        <v>392</v>
      </c>
      <c r="R496" s="13">
        <v>0.4297690368</v>
      </c>
      <c r="S496" s="13">
        <v>392</v>
      </c>
      <c r="U496" s="6"/>
      <c r="V496" s="24">
        <v>0.17</v>
      </c>
      <c r="W496" s="3">
        <v>8</v>
      </c>
      <c r="X496" s="6"/>
      <c r="Y496" s="5">
        <v>5.4697877410909088</v>
      </c>
      <c r="Z496" s="5">
        <v>5.4697877410909088</v>
      </c>
      <c r="AA496" s="5">
        <v>8.5465433454545465</v>
      </c>
      <c r="AB496" s="5">
        <v>25.874286338273492</v>
      </c>
      <c r="AD496" s="24">
        <v>280.32499999999999</v>
      </c>
      <c r="AE496" s="5">
        <f t="shared" si="8"/>
        <v>4.8665070938850752</v>
      </c>
    </row>
    <row r="497" spans="1:31" ht="25.5" customHeight="1" x14ac:dyDescent="0.2">
      <c r="A497" s="20" t="s">
        <v>633</v>
      </c>
      <c r="B497" s="21" t="s">
        <v>73</v>
      </c>
      <c r="C497" s="22">
        <v>175</v>
      </c>
      <c r="D497" s="22">
        <v>925</v>
      </c>
      <c r="E497" s="22">
        <v>1700</v>
      </c>
      <c r="F497" s="13">
        <v>1.8378378378378379</v>
      </c>
      <c r="G497" s="13">
        <v>1.8378378378378379</v>
      </c>
      <c r="H497" s="22">
        <v>1</v>
      </c>
      <c r="I497" s="22">
        <v>3</v>
      </c>
      <c r="J497" s="22">
        <v>1</v>
      </c>
      <c r="K497" s="13">
        <v>0.39535984775359778</v>
      </c>
      <c r="L497" s="13">
        <v>28.160000000000004</v>
      </c>
      <c r="M497" s="13">
        <v>1.8464871106813479</v>
      </c>
      <c r="N497" s="13">
        <v>661.25</v>
      </c>
      <c r="O497" s="13">
        <v>1.4361566416410483</v>
      </c>
      <c r="P497" s="13">
        <v>0.7659502088752258</v>
      </c>
      <c r="Q497" s="13">
        <v>505.96</v>
      </c>
      <c r="R497" s="13">
        <v>0.44957947042676294</v>
      </c>
      <c r="S497" s="13">
        <v>505.96</v>
      </c>
      <c r="U497" s="6"/>
      <c r="V497" s="24">
        <v>0.1891891891891892</v>
      </c>
      <c r="W497" s="3">
        <v>5.2857142857142856</v>
      </c>
      <c r="X497" s="6"/>
      <c r="Y497" s="5">
        <v>8.0777425020285847</v>
      </c>
      <c r="Z497" s="5">
        <v>13.762079818270921</v>
      </c>
      <c r="AA497" s="5">
        <v>25.803899659257976</v>
      </c>
      <c r="AB497" s="5">
        <v>43.359005750640662</v>
      </c>
      <c r="AD497" s="24">
        <v>454.64</v>
      </c>
      <c r="AE497" s="5">
        <f t="shared" si="8"/>
        <v>6.3740055544399237</v>
      </c>
    </row>
    <row r="498" spans="1:31" ht="25.5" customHeight="1" x14ac:dyDescent="0.2">
      <c r="A498" s="20" t="s">
        <v>634</v>
      </c>
      <c r="B498" s="21" t="s">
        <v>635</v>
      </c>
      <c r="C498" s="22">
        <v>150</v>
      </c>
      <c r="D498" s="22">
        <v>1200</v>
      </c>
      <c r="E498" s="22">
        <v>2320</v>
      </c>
      <c r="F498" s="13">
        <v>1.9333333333333333</v>
      </c>
      <c r="G498" s="13">
        <v>1.9333333333333333</v>
      </c>
      <c r="H498" s="22">
        <v>1</v>
      </c>
      <c r="I498" s="22">
        <v>3</v>
      </c>
      <c r="J498" s="22">
        <v>1</v>
      </c>
      <c r="K498" s="13">
        <v>0.161</v>
      </c>
      <c r="L498" s="13">
        <v>48.195333333333338</v>
      </c>
      <c r="M498" s="13">
        <v>4.0715040790523718</v>
      </c>
      <c r="N498" s="13">
        <v>476.3</v>
      </c>
      <c r="O498" s="13">
        <v>0.74467381418424727</v>
      </c>
      <c r="P498" s="13">
        <v>0.83775804095727824</v>
      </c>
      <c r="Q498" s="13">
        <v>508.98</v>
      </c>
      <c r="R498" s="13">
        <v>0.37923511318333936</v>
      </c>
      <c r="S498" s="13">
        <v>390.69</v>
      </c>
      <c r="U498" s="6"/>
      <c r="V498" s="24">
        <v>0.20833333333333334</v>
      </c>
      <c r="W498" s="3">
        <v>8</v>
      </c>
      <c r="X498" s="6"/>
      <c r="Y498" s="5">
        <v>3.0742264057986013</v>
      </c>
      <c r="Z498" s="5">
        <v>8.84737293416587</v>
      </c>
      <c r="AA498" s="5">
        <v>7.8643314970363276</v>
      </c>
      <c r="AB498" s="5">
        <v>40.23745161051508</v>
      </c>
      <c r="AD498" s="24">
        <v>611</v>
      </c>
      <c r="AE498" s="5">
        <f t="shared" si="8"/>
        <v>5.8885329858708291</v>
      </c>
    </row>
    <row r="499" spans="1:31" ht="25.5" customHeight="1" x14ac:dyDescent="0.2">
      <c r="A499" s="55" t="s">
        <v>636</v>
      </c>
      <c r="B499" s="21" t="s">
        <v>637</v>
      </c>
      <c r="C499" s="22">
        <v>200</v>
      </c>
      <c r="D499" s="22">
        <v>1600</v>
      </c>
      <c r="E499" s="22">
        <v>3200</v>
      </c>
      <c r="F499" s="13">
        <v>2</v>
      </c>
      <c r="G499" s="13">
        <v>2</v>
      </c>
      <c r="H499" s="22">
        <v>1</v>
      </c>
      <c r="I499" s="22">
        <v>3</v>
      </c>
      <c r="J499" s="22">
        <v>1</v>
      </c>
      <c r="K499" s="13">
        <v>4.1893115942028991E-2</v>
      </c>
      <c r="L499" s="13">
        <v>37.297297297297291</v>
      </c>
      <c r="M499" s="13">
        <v>1.102181670829832</v>
      </c>
      <c r="N499" s="13">
        <v>480</v>
      </c>
      <c r="O499" s="13">
        <v>0.67020643276582259</v>
      </c>
      <c r="P499" s="13">
        <v>0.52359877559829882</v>
      </c>
      <c r="Q499" s="13">
        <v>402.5</v>
      </c>
      <c r="R499" s="37">
        <v>0.30921187535332612</v>
      </c>
      <c r="S499" s="13">
        <v>402.5</v>
      </c>
      <c r="U499" s="6"/>
      <c r="V499" s="24">
        <v>0.26187500000000002</v>
      </c>
      <c r="W499" s="3">
        <v>8</v>
      </c>
      <c r="X499" s="6"/>
      <c r="Y499" s="5">
        <v>3.3369114881879782</v>
      </c>
      <c r="Z499" s="5">
        <v>5.6505034533316421</v>
      </c>
      <c r="AA499" s="5">
        <v>8.8498816819385535</v>
      </c>
      <c r="AB499" s="5">
        <v>14.18459889415784</v>
      </c>
      <c r="AD499" s="24">
        <f>(382.6+377.9)/2</f>
        <v>380.25</v>
      </c>
      <c r="AE499" s="5">
        <f t="shared" si="8"/>
        <v>2.3432653166419817</v>
      </c>
    </row>
    <row r="500" spans="1:31" ht="25.5" customHeight="1" x14ac:dyDescent="0.2">
      <c r="A500" s="55"/>
      <c r="B500" s="21" t="s">
        <v>638</v>
      </c>
      <c r="C500" s="22">
        <v>200</v>
      </c>
      <c r="D500" s="22">
        <v>1600</v>
      </c>
      <c r="E500" s="22">
        <v>3200</v>
      </c>
      <c r="F500" s="22">
        <v>2</v>
      </c>
      <c r="G500" s="22">
        <v>2</v>
      </c>
      <c r="H500" s="22">
        <v>1</v>
      </c>
      <c r="I500" s="22">
        <v>3</v>
      </c>
      <c r="J500" s="22">
        <v>1</v>
      </c>
      <c r="K500" s="13">
        <v>6.2001811594202913E-2</v>
      </c>
      <c r="L500" s="13">
        <v>37.297297297297291</v>
      </c>
      <c r="M500" s="13">
        <v>1.102181670829832</v>
      </c>
      <c r="N500" s="13">
        <v>480</v>
      </c>
      <c r="O500" s="13">
        <v>0.67020643276582259</v>
      </c>
      <c r="P500" s="13">
        <v>0.52359877559829882</v>
      </c>
      <c r="Q500" s="13">
        <v>402.5</v>
      </c>
      <c r="R500" s="37">
        <v>0.30921187535332612</v>
      </c>
      <c r="S500" s="13">
        <v>402.5</v>
      </c>
      <c r="U500" s="6">
        <v>0</v>
      </c>
      <c r="V500" s="24">
        <v>0.26187500000000002</v>
      </c>
      <c r="W500" s="3">
        <v>8</v>
      </c>
      <c r="X500" s="6"/>
      <c r="Y500" s="5">
        <v>3.3369114881879782</v>
      </c>
      <c r="Z500" s="5">
        <v>5.6505034533316421</v>
      </c>
      <c r="AA500" s="5">
        <v>8.8498816819385535</v>
      </c>
      <c r="AB500" s="5">
        <v>14.18459889415784</v>
      </c>
      <c r="AD500" s="24">
        <f>(397.8+433.3)/2</f>
        <v>415.55</v>
      </c>
      <c r="AE500" s="5">
        <f t="shared" si="8"/>
        <v>2.5607992171744258</v>
      </c>
    </row>
    <row r="501" spans="1:31" ht="25.5" customHeight="1" x14ac:dyDescent="0.2">
      <c r="A501" s="20" t="s">
        <v>639</v>
      </c>
      <c r="B501" s="21" t="s">
        <v>640</v>
      </c>
      <c r="C501" s="22">
        <v>200</v>
      </c>
      <c r="D501" s="22">
        <v>1600</v>
      </c>
      <c r="E501" s="22">
        <v>3200</v>
      </c>
      <c r="F501" s="22">
        <v>2</v>
      </c>
      <c r="G501" s="22">
        <v>2</v>
      </c>
      <c r="H501" s="22">
        <v>1</v>
      </c>
      <c r="I501" s="22">
        <v>3</v>
      </c>
      <c r="J501" s="22">
        <v>1</v>
      </c>
      <c r="K501" s="13">
        <v>0.13341346153846156</v>
      </c>
      <c r="L501" s="13">
        <v>35.13513513513513</v>
      </c>
      <c r="M501" s="13">
        <v>1.102181670829832</v>
      </c>
      <c r="N501" s="13">
        <v>448</v>
      </c>
      <c r="O501" s="13">
        <v>0.67020643276582259</v>
      </c>
      <c r="P501" s="13">
        <v>0.52359877559829882</v>
      </c>
      <c r="Q501" s="13">
        <v>365</v>
      </c>
      <c r="R501" s="37">
        <v>0.30921187535332612</v>
      </c>
      <c r="S501" s="13">
        <v>382</v>
      </c>
      <c r="U501" s="6"/>
      <c r="V501" s="24">
        <v>0.26187500000000002</v>
      </c>
      <c r="W501" s="3">
        <v>8</v>
      </c>
      <c r="X501" s="6"/>
      <c r="Y501" s="5">
        <v>3.3618466509568554</v>
      </c>
      <c r="Z501" s="5">
        <v>5.4393857418884819</v>
      </c>
      <c r="AA501" s="5">
        <v>6.9624137496172578</v>
      </c>
      <c r="AB501" s="5">
        <v>14.053664135134843</v>
      </c>
      <c r="AD501" s="24">
        <v>594.1</v>
      </c>
      <c r="AE501" s="5">
        <f t="shared" si="8"/>
        <v>3.7720692844306196</v>
      </c>
    </row>
    <row r="502" spans="1:31" ht="25.5" customHeight="1" x14ac:dyDescent="0.2">
      <c r="A502" s="20" t="s">
        <v>641</v>
      </c>
      <c r="B502" s="21" t="s">
        <v>584</v>
      </c>
      <c r="C502" s="22">
        <v>200</v>
      </c>
      <c r="D502" s="22">
        <v>1200</v>
      </c>
      <c r="E502" s="22">
        <v>2800</v>
      </c>
      <c r="F502" s="13">
        <v>2.3333333333333335</v>
      </c>
      <c r="G502" s="13">
        <v>2.3333333333333335</v>
      </c>
      <c r="H502" s="22">
        <v>1</v>
      </c>
      <c r="I502" s="22">
        <v>3</v>
      </c>
      <c r="J502" s="22">
        <v>1</v>
      </c>
      <c r="K502" s="24">
        <v>0.10351966873706005</v>
      </c>
      <c r="L502" s="13">
        <v>43.47</v>
      </c>
      <c r="M502" s="13">
        <v>0.78539816339744828</v>
      </c>
      <c r="N502" s="13">
        <v>424</v>
      </c>
      <c r="O502" s="13">
        <v>0.78539816339744828</v>
      </c>
      <c r="P502" s="13">
        <v>0.78539816339744828</v>
      </c>
      <c r="Q502" s="13">
        <v>424</v>
      </c>
      <c r="R502" s="13">
        <v>0.39269908169872414</v>
      </c>
      <c r="S502" s="13">
        <v>424</v>
      </c>
      <c r="U502" s="6"/>
      <c r="V502" s="24">
        <v>0.16666666666666666</v>
      </c>
      <c r="W502" s="3">
        <v>6</v>
      </c>
      <c r="X502" s="6"/>
      <c r="Y502" s="5">
        <v>3.8303292072753403</v>
      </c>
      <c r="Z502" s="5">
        <v>7.6606584145506806</v>
      </c>
      <c r="AA502" s="5">
        <v>7.6606584145506806</v>
      </c>
      <c r="AB502" s="5">
        <v>7.6606584145506806</v>
      </c>
      <c r="AD502" s="24">
        <v>350</v>
      </c>
      <c r="AE502" s="5">
        <f t="shared" si="8"/>
        <v>2.6638077846534363</v>
      </c>
    </row>
    <row r="503" spans="1:31" ht="25.5" customHeight="1" x14ac:dyDescent="0.2">
      <c r="A503" s="20" t="s">
        <v>642</v>
      </c>
      <c r="B503" s="21" t="s">
        <v>643</v>
      </c>
      <c r="C503" s="22">
        <v>200</v>
      </c>
      <c r="D503" s="22">
        <v>1600</v>
      </c>
      <c r="E503" s="22">
        <v>3200</v>
      </c>
      <c r="F503" s="13">
        <v>2</v>
      </c>
      <c r="G503" s="13">
        <v>2</v>
      </c>
      <c r="H503" s="22">
        <v>1</v>
      </c>
      <c r="I503" s="22">
        <v>3</v>
      </c>
      <c r="J503" s="22">
        <v>1</v>
      </c>
      <c r="K503" s="24">
        <v>4.5509708737864078E-2</v>
      </c>
      <c r="L503" s="13">
        <v>41.2</v>
      </c>
      <c r="M503" s="13">
        <v>1.1545353001942491</v>
      </c>
      <c r="N503" s="13">
        <v>510</v>
      </c>
      <c r="O503" s="13">
        <v>0.50265482457436694</v>
      </c>
      <c r="P503" s="13">
        <v>0.39269908169872414</v>
      </c>
      <c r="Q503" s="13">
        <v>610</v>
      </c>
      <c r="R503" s="13">
        <v>0.56548667764616278</v>
      </c>
      <c r="S503" s="13">
        <v>505</v>
      </c>
      <c r="U503" s="6"/>
      <c r="V503" s="24">
        <v>0.25</v>
      </c>
      <c r="W503" s="3">
        <v>8</v>
      </c>
      <c r="X503" s="6"/>
      <c r="Y503" s="5">
        <v>6.9313294226046649</v>
      </c>
      <c r="Z503" s="5">
        <v>5.8142339766073237</v>
      </c>
      <c r="AA503" s="5">
        <v>4.0261187405228425</v>
      </c>
      <c r="AB503" s="5">
        <v>14.291577745122986</v>
      </c>
      <c r="AD503" s="24">
        <v>482</v>
      </c>
      <c r="AE503" s="5">
        <f t="shared" si="8"/>
        <v>2.8261118958278502</v>
      </c>
    </row>
    <row r="504" spans="1:31" ht="25.5" customHeight="1" x14ac:dyDescent="0.2">
      <c r="A504" s="20" t="s">
        <v>644</v>
      </c>
      <c r="B504" s="21" t="s">
        <v>228</v>
      </c>
      <c r="C504" s="22">
        <v>200</v>
      </c>
      <c r="D504" s="22">
        <v>1700</v>
      </c>
      <c r="E504" s="22">
        <v>3400</v>
      </c>
      <c r="F504" s="13">
        <v>2</v>
      </c>
      <c r="G504" s="13">
        <v>2</v>
      </c>
      <c r="H504" s="22">
        <v>1</v>
      </c>
      <c r="I504" s="22">
        <v>3</v>
      </c>
      <c r="J504" s="22">
        <v>1</v>
      </c>
      <c r="K504" s="24">
        <v>6.113864614581975E-2</v>
      </c>
      <c r="L504" s="13">
        <v>36.080000000000005</v>
      </c>
      <c r="M504" s="13">
        <v>1.9012948447257378</v>
      </c>
      <c r="N504" s="13">
        <v>430</v>
      </c>
      <c r="O504" s="13">
        <v>1.0053096491487339</v>
      </c>
      <c r="P504" s="13">
        <v>0.39269908169872414</v>
      </c>
      <c r="Q504" s="13">
        <v>439</v>
      </c>
      <c r="R504" s="13">
        <v>0.39729743160151954</v>
      </c>
      <c r="S504" s="13">
        <v>445</v>
      </c>
      <c r="U504" s="6"/>
      <c r="V504" s="24">
        <v>0.24882352941176469</v>
      </c>
      <c r="W504" s="3">
        <v>8.5</v>
      </c>
      <c r="X504" s="6"/>
      <c r="Y504" s="5">
        <v>4.9001484773469004</v>
      </c>
      <c r="Z504" s="5">
        <v>4.7781290705582</v>
      </c>
      <c r="AA504" s="5">
        <v>12.733550711224259</v>
      </c>
      <c r="AB504" s="5">
        <v>22.659556076276804</v>
      </c>
      <c r="AD504" s="24">
        <v>633</v>
      </c>
      <c r="AE504" s="5">
        <f t="shared" si="8"/>
        <v>3.7327803027298323</v>
      </c>
    </row>
    <row r="505" spans="1:31" ht="25.5" customHeight="1" x14ac:dyDescent="0.2">
      <c r="A505" s="53" t="s">
        <v>645</v>
      </c>
      <c r="B505" s="36" t="s">
        <v>646</v>
      </c>
      <c r="C505" s="22">
        <v>75</v>
      </c>
      <c r="D505" s="22">
        <v>900</v>
      </c>
      <c r="E505" s="22">
        <v>2250</v>
      </c>
      <c r="F505" s="13">
        <v>2.5</v>
      </c>
      <c r="G505" s="13">
        <v>2.5</v>
      </c>
      <c r="H505" s="22">
        <v>1</v>
      </c>
      <c r="I505" s="22">
        <v>3</v>
      </c>
      <c r="J505" s="22">
        <v>1</v>
      </c>
      <c r="K505" s="13">
        <v>0.1</v>
      </c>
      <c r="L505" s="13">
        <v>30.08</v>
      </c>
      <c r="M505" s="13">
        <v>3.7214814814814816</v>
      </c>
      <c r="N505" s="13">
        <v>526.70000000000005</v>
      </c>
      <c r="O505" s="13">
        <v>1.1164444444444446</v>
      </c>
      <c r="P505" s="13">
        <v>0.83733333333333337</v>
      </c>
      <c r="Q505" s="13">
        <v>345</v>
      </c>
      <c r="R505" s="13">
        <v>0.69810000000000005</v>
      </c>
      <c r="S505" s="13">
        <v>345</v>
      </c>
      <c r="U505" s="3"/>
      <c r="V505" s="24">
        <v>0.2</v>
      </c>
      <c r="W505" s="3">
        <v>12</v>
      </c>
      <c r="X505" s="6"/>
      <c r="Y505" s="5">
        <v>8.0067985372340438</v>
      </c>
      <c r="Z505" s="5">
        <v>9.6037234042553195</v>
      </c>
      <c r="AA505" s="5">
        <v>11.134751773049649</v>
      </c>
      <c r="AB505" s="5">
        <v>65.163041765169439</v>
      </c>
      <c r="AD505" s="24">
        <v>134.07628500000001</v>
      </c>
      <c r="AE505" s="5">
        <f t="shared" si="8"/>
        <v>4.3616436493562993</v>
      </c>
    </row>
    <row r="506" spans="1:31" ht="25.5" customHeight="1" x14ac:dyDescent="0.2">
      <c r="A506" s="54"/>
      <c r="B506" s="36" t="s">
        <v>647</v>
      </c>
      <c r="C506" s="22">
        <v>75</v>
      </c>
      <c r="D506" s="22">
        <v>900</v>
      </c>
      <c r="E506" s="22">
        <v>2250</v>
      </c>
      <c r="F506" s="13">
        <v>2.5</v>
      </c>
      <c r="G506" s="13">
        <v>2.5</v>
      </c>
      <c r="H506" s="22">
        <v>1</v>
      </c>
      <c r="I506" s="22">
        <v>3</v>
      </c>
      <c r="J506" s="22">
        <v>1</v>
      </c>
      <c r="K506" s="13">
        <v>0.2</v>
      </c>
      <c r="L506" s="13">
        <v>30.08</v>
      </c>
      <c r="M506" s="13">
        <v>3.7214814814814816</v>
      </c>
      <c r="N506" s="13">
        <v>526.70000000000005</v>
      </c>
      <c r="O506" s="13">
        <v>1.1164444444444446</v>
      </c>
      <c r="P506" s="13">
        <v>0.83733333333333337</v>
      </c>
      <c r="Q506" s="13">
        <v>345</v>
      </c>
      <c r="R506" s="13">
        <v>0.69810000000000005</v>
      </c>
      <c r="S506" s="13">
        <v>345</v>
      </c>
      <c r="U506" s="6"/>
      <c r="V506" s="24">
        <v>0.2</v>
      </c>
      <c r="W506" s="3">
        <v>12</v>
      </c>
      <c r="X506" s="6"/>
      <c r="Y506" s="5">
        <v>8.0067985372340438</v>
      </c>
      <c r="Z506" s="5">
        <v>9.6037234042553195</v>
      </c>
      <c r="AA506" s="5">
        <v>11.134751773049649</v>
      </c>
      <c r="AB506" s="5">
        <v>65.163041765169439</v>
      </c>
      <c r="AD506" s="24">
        <v>151.52488499999998</v>
      </c>
      <c r="AE506" s="5">
        <f t="shared" si="8"/>
        <v>4.9292650999369014</v>
      </c>
    </row>
    <row r="507" spans="1:31" ht="25.5" customHeight="1" x14ac:dyDescent="0.2">
      <c r="A507" s="20" t="s">
        <v>648</v>
      </c>
      <c r="B507" s="36" t="s">
        <v>68</v>
      </c>
      <c r="C507" s="22">
        <v>200</v>
      </c>
      <c r="D507" s="22">
        <v>1600</v>
      </c>
      <c r="E507" s="22">
        <v>3200</v>
      </c>
      <c r="F507" s="13">
        <v>2</v>
      </c>
      <c r="G507" s="13">
        <v>2</v>
      </c>
      <c r="H507" s="22">
        <v>1</v>
      </c>
      <c r="I507" s="22">
        <v>2</v>
      </c>
      <c r="J507" s="22">
        <v>1</v>
      </c>
      <c r="K507" s="13">
        <v>0.12644143232854541</v>
      </c>
      <c r="L507" s="13">
        <v>49.43</v>
      </c>
      <c r="M507" s="13">
        <v>2.3856469213197493</v>
      </c>
      <c r="N507" s="13">
        <v>471</v>
      </c>
      <c r="O507" s="13">
        <v>0.62831853071795862</v>
      </c>
      <c r="P507" s="13">
        <v>0.65449846949787394</v>
      </c>
      <c r="Q507" s="13">
        <v>573</v>
      </c>
      <c r="R507" s="37">
        <v>0.82466807156732069</v>
      </c>
      <c r="S507" s="13">
        <v>540</v>
      </c>
      <c r="U507" s="6"/>
      <c r="V507" s="24">
        <v>0.2</v>
      </c>
      <c r="W507" s="3">
        <v>8</v>
      </c>
      <c r="X507" s="6"/>
      <c r="Y507" s="5">
        <v>9.0091191310207002</v>
      </c>
      <c r="Z507" s="5">
        <v>7.587044770833133</v>
      </c>
      <c r="AA507" s="5">
        <v>7.2835629799998038</v>
      </c>
      <c r="AB507" s="5">
        <v>22.731938093093305</v>
      </c>
      <c r="AD507" s="24">
        <v>800</v>
      </c>
      <c r="AE507" s="5">
        <f t="shared" si="8"/>
        <v>4.2823839694809678</v>
      </c>
    </row>
    <row r="508" spans="1:31" ht="25.5" customHeight="1" x14ac:dyDescent="0.2">
      <c r="A508" s="20" t="s">
        <v>649</v>
      </c>
      <c r="B508" s="21" t="s">
        <v>650</v>
      </c>
      <c r="C508" s="22">
        <v>200</v>
      </c>
      <c r="D508" s="22">
        <v>1700</v>
      </c>
      <c r="E508" s="22">
        <v>3280</v>
      </c>
      <c r="F508" s="13">
        <v>1.93</v>
      </c>
      <c r="G508" s="13">
        <v>1.9294117647058824</v>
      </c>
      <c r="H508" s="22">
        <v>1</v>
      </c>
      <c r="I508" s="22">
        <v>2</v>
      </c>
      <c r="J508" s="22">
        <v>1</v>
      </c>
      <c r="K508" s="13">
        <v>9.2999999999999999E-2</v>
      </c>
      <c r="L508" s="13">
        <v>30</v>
      </c>
      <c r="M508" s="13">
        <v>2.0110000000000001</v>
      </c>
      <c r="N508" s="13">
        <v>438</v>
      </c>
      <c r="O508" s="24">
        <v>0.50265482457436694</v>
      </c>
      <c r="P508" s="13">
        <v>0.39250000000000002</v>
      </c>
      <c r="Q508" s="13">
        <v>430</v>
      </c>
      <c r="R508" s="13">
        <v>0.34899999999999998</v>
      </c>
      <c r="S508" s="13">
        <v>430</v>
      </c>
      <c r="U508" s="35" t="s">
        <v>310</v>
      </c>
      <c r="V508" s="24">
        <v>0.23529411764705882</v>
      </c>
      <c r="W508" s="3">
        <v>8.5</v>
      </c>
      <c r="X508" s="6"/>
      <c r="Y508" s="5">
        <v>5.0023333333333335</v>
      </c>
      <c r="Z508" s="5">
        <v>5.6258333333333335</v>
      </c>
      <c r="AA508" s="5">
        <v>7.5565775294346498</v>
      </c>
      <c r="AB508" s="5">
        <v>29.360600000000002</v>
      </c>
      <c r="AD508" s="17">
        <v>679.17795000000001</v>
      </c>
      <c r="AE508" s="5">
        <f t="shared" si="8"/>
        <v>4.392228590589724</v>
      </c>
    </row>
    <row r="509" spans="1:31" ht="25.5" customHeight="1" x14ac:dyDescent="0.2">
      <c r="A509" s="40" t="s">
        <v>651</v>
      </c>
      <c r="B509" s="21" t="s">
        <v>652</v>
      </c>
      <c r="C509" s="22">
        <v>100</v>
      </c>
      <c r="D509" s="3">
        <v>2200</v>
      </c>
      <c r="E509" s="3">
        <v>1100</v>
      </c>
      <c r="F509" s="3">
        <v>0.5</v>
      </c>
      <c r="G509" s="13">
        <v>0.5</v>
      </c>
      <c r="H509" s="22">
        <v>2</v>
      </c>
      <c r="I509" s="22">
        <v>2</v>
      </c>
      <c r="J509" s="22">
        <v>1</v>
      </c>
      <c r="K509" s="13">
        <v>3.108003108003108E-2</v>
      </c>
      <c r="L509" s="13">
        <v>29.7</v>
      </c>
      <c r="M509" s="13">
        <v>3.9799500000000001</v>
      </c>
      <c r="N509" s="13">
        <v>368</v>
      </c>
      <c r="O509" s="13">
        <v>1.1304000000000001</v>
      </c>
      <c r="P509" s="13">
        <v>0.75360000000000005</v>
      </c>
      <c r="Q509" s="13">
        <v>362</v>
      </c>
      <c r="R509" s="13">
        <v>0.75360000000000005</v>
      </c>
      <c r="S509" s="13">
        <v>362</v>
      </c>
      <c r="U509" s="35" t="s">
        <v>653</v>
      </c>
      <c r="V509" s="24">
        <v>0.15384615384615385</v>
      </c>
      <c r="W509" s="3">
        <v>22</v>
      </c>
      <c r="X509" s="3"/>
      <c r="Y509" s="5">
        <v>9.1852929292929293</v>
      </c>
      <c r="Z509" s="5">
        <v>9.1852929292929293</v>
      </c>
      <c r="AA509" s="5">
        <v>13.777939393939395</v>
      </c>
      <c r="AB509" s="5">
        <v>49.313858585858583</v>
      </c>
      <c r="AD509" s="24">
        <v>1016</v>
      </c>
      <c r="AE509" s="5">
        <f t="shared" si="8"/>
        <v>10.205486291530399</v>
      </c>
    </row>
    <row r="510" spans="1:31" ht="25.5" customHeight="1" x14ac:dyDescent="0.2">
      <c r="A510" s="60" t="s">
        <v>654</v>
      </c>
      <c r="B510" s="21" t="s">
        <v>655</v>
      </c>
      <c r="C510" s="22">
        <v>80</v>
      </c>
      <c r="D510" s="3">
        <v>2250</v>
      </c>
      <c r="E510" s="3">
        <v>1875</v>
      </c>
      <c r="F510" s="3">
        <v>0.83</v>
      </c>
      <c r="G510" s="13">
        <v>0.83333333333333337</v>
      </c>
      <c r="H510" s="22">
        <v>2</v>
      </c>
      <c r="I510" s="22">
        <v>2</v>
      </c>
      <c r="J510" s="22">
        <v>1</v>
      </c>
      <c r="K510" s="13">
        <v>5.4424528301886793E-2</v>
      </c>
      <c r="L510" s="13">
        <v>26</v>
      </c>
      <c r="M510" s="13">
        <v>0.81032095999999998</v>
      </c>
      <c r="N510" s="13">
        <v>358.7</v>
      </c>
      <c r="O510" s="13">
        <v>1.01736</v>
      </c>
      <c r="P510" s="13">
        <v>1.413</v>
      </c>
      <c r="Q510" s="13">
        <v>623.28</v>
      </c>
      <c r="R510" s="13">
        <v>0.70650000000000002</v>
      </c>
      <c r="S510" s="13">
        <v>623.29999999999995</v>
      </c>
      <c r="U510" s="35"/>
      <c r="V510" s="24">
        <v>0.23584905660377359</v>
      </c>
      <c r="W510" s="3">
        <v>28.125</v>
      </c>
      <c r="X510" s="3"/>
      <c r="Y510" s="5">
        <v>16.936978846153846</v>
      </c>
      <c r="Z510" s="5">
        <v>33.872870769230765</v>
      </c>
      <c r="AA510" s="5">
        <v>13.957396615384615</v>
      </c>
      <c r="AB510" s="5">
        <v>11.179312628923075</v>
      </c>
      <c r="AD510" s="24">
        <v>654.1069</v>
      </c>
      <c r="AE510" s="5">
        <f t="shared" si="8"/>
        <v>8.5828288536500938</v>
      </c>
    </row>
    <row r="511" spans="1:31" ht="25.5" customHeight="1" x14ac:dyDescent="0.2">
      <c r="A511" s="59"/>
      <c r="B511" s="21" t="s">
        <v>656</v>
      </c>
      <c r="C511" s="22">
        <v>80</v>
      </c>
      <c r="D511" s="3">
        <v>2250</v>
      </c>
      <c r="E511" s="3">
        <v>1875</v>
      </c>
      <c r="F511" s="3">
        <v>0.83</v>
      </c>
      <c r="G511" s="13">
        <v>0.83333333333333337</v>
      </c>
      <c r="H511" s="22">
        <v>2</v>
      </c>
      <c r="I511" s="22">
        <v>2</v>
      </c>
      <c r="J511" s="22">
        <v>1</v>
      </c>
      <c r="K511" s="13">
        <v>5.752358490566039E-2</v>
      </c>
      <c r="L511" s="13">
        <v>24.6</v>
      </c>
      <c r="M511" s="13">
        <v>0.81032095999999998</v>
      </c>
      <c r="N511" s="13">
        <v>358.7</v>
      </c>
      <c r="O511" s="13">
        <v>0.22608</v>
      </c>
      <c r="P511" s="13">
        <v>0.47099999999999997</v>
      </c>
      <c r="Q511" s="13">
        <v>623.28</v>
      </c>
      <c r="R511" s="13">
        <v>0.23549999999999999</v>
      </c>
      <c r="S511" s="13">
        <v>623.29999999999995</v>
      </c>
      <c r="U511" s="35"/>
      <c r="V511" s="24">
        <v>0.23584905660377359</v>
      </c>
      <c r="W511" s="3">
        <v>28.125</v>
      </c>
      <c r="X511" s="3"/>
      <c r="Y511" s="5">
        <v>5.9669573170731693</v>
      </c>
      <c r="Z511" s="5">
        <v>11.933531707317071</v>
      </c>
      <c r="AA511" s="5">
        <v>5.7282790243902433</v>
      </c>
      <c r="AB511" s="5">
        <v>11.815533672845527</v>
      </c>
      <c r="AD511" s="24">
        <v>484.45</v>
      </c>
      <c r="AE511" s="5">
        <f t="shared" si="8"/>
        <v>6.5350633631539772</v>
      </c>
    </row>
    <row r="512" spans="1:31" ht="25.5" customHeight="1" x14ac:dyDescent="0.2">
      <c r="A512" s="59"/>
      <c r="B512" s="21" t="s">
        <v>657</v>
      </c>
      <c r="C512" s="22">
        <v>80</v>
      </c>
      <c r="D512" s="3">
        <v>2250</v>
      </c>
      <c r="E512" s="3">
        <v>1875</v>
      </c>
      <c r="F512" s="3">
        <v>0.83</v>
      </c>
      <c r="G512" s="13">
        <v>0.83333333333333337</v>
      </c>
      <c r="H512" s="22">
        <v>2</v>
      </c>
      <c r="I512" s="22">
        <v>2</v>
      </c>
      <c r="J512" s="22">
        <v>1</v>
      </c>
      <c r="K512" s="13">
        <v>5.4424528301886793E-2</v>
      </c>
      <c r="L512" s="13">
        <v>26</v>
      </c>
      <c r="M512" s="13">
        <v>0.81032095999999998</v>
      </c>
      <c r="N512" s="13">
        <v>358.7</v>
      </c>
      <c r="O512" s="13">
        <v>0.22608</v>
      </c>
      <c r="P512" s="13">
        <v>0.47099999999999997</v>
      </c>
      <c r="Q512" s="13">
        <v>623.28</v>
      </c>
      <c r="R512" s="13">
        <v>0.23549999999999999</v>
      </c>
      <c r="S512" s="13">
        <v>623.29999999999995</v>
      </c>
      <c r="U512" s="35"/>
      <c r="V512" s="24">
        <v>0.23584905660377359</v>
      </c>
      <c r="W512" s="3">
        <v>28.125</v>
      </c>
      <c r="X512" s="3"/>
      <c r="Y512" s="5">
        <v>5.6456596153846146</v>
      </c>
      <c r="Z512" s="5">
        <v>11.290956923076921</v>
      </c>
      <c r="AA512" s="5">
        <v>5.4198332307692301</v>
      </c>
      <c r="AB512" s="5">
        <v>11.179312628923075</v>
      </c>
      <c r="AD512" s="24">
        <v>524.66</v>
      </c>
      <c r="AE512" s="5">
        <f t="shared" si="8"/>
        <v>6.8842982490416436</v>
      </c>
    </row>
    <row r="513" spans="1:31" ht="25.5" customHeight="1" x14ac:dyDescent="0.2">
      <c r="A513" s="59"/>
      <c r="B513" s="21" t="s">
        <v>658</v>
      </c>
      <c r="C513" s="22">
        <v>50</v>
      </c>
      <c r="D513" s="3">
        <v>2250</v>
      </c>
      <c r="E513" s="3">
        <v>1875</v>
      </c>
      <c r="F513" s="3">
        <v>0.83</v>
      </c>
      <c r="G513" s="13">
        <v>0.83333333333333337</v>
      </c>
      <c r="H513" s="22">
        <v>2</v>
      </c>
      <c r="I513" s="22">
        <v>3</v>
      </c>
      <c r="J513" s="22">
        <v>1</v>
      </c>
      <c r="K513" s="13">
        <v>7.1735294117647064E-2</v>
      </c>
      <c r="L513" s="13">
        <v>24.6</v>
      </c>
      <c r="M513" s="13">
        <v>0.81032095999999998</v>
      </c>
      <c r="N513" s="13">
        <v>358.7</v>
      </c>
      <c r="O513" s="13">
        <v>0.22608</v>
      </c>
      <c r="P513" s="13">
        <v>0.75360000000000005</v>
      </c>
      <c r="Q513" s="13">
        <v>623.28</v>
      </c>
      <c r="R513" s="13">
        <v>0.37680000000000002</v>
      </c>
      <c r="S513" s="13">
        <v>623.29999999999995</v>
      </c>
      <c r="U513" s="35"/>
      <c r="V513" s="24">
        <v>0.29411764705882354</v>
      </c>
      <c r="W513" s="3">
        <v>45</v>
      </c>
      <c r="X513" s="3"/>
      <c r="Y513" s="5">
        <v>9.5471317073170727</v>
      </c>
      <c r="Z513" s="5">
        <v>19.093650731707314</v>
      </c>
      <c r="AA513" s="5">
        <v>5.7282790243902433</v>
      </c>
      <c r="AB513" s="5">
        <v>11.815533672845527</v>
      </c>
      <c r="AD513" s="24">
        <v>466.8</v>
      </c>
      <c r="AE513" s="5">
        <f t="shared" si="8"/>
        <v>10.075153523939401</v>
      </c>
    </row>
    <row r="514" spans="1:31" ht="25.5" customHeight="1" x14ac:dyDescent="0.2">
      <c r="A514" s="59"/>
      <c r="B514" s="21" t="s">
        <v>659</v>
      </c>
      <c r="C514" s="22">
        <v>50</v>
      </c>
      <c r="D514" s="3">
        <v>2250</v>
      </c>
      <c r="E514" s="3">
        <v>875</v>
      </c>
      <c r="F514" s="3">
        <v>0.39</v>
      </c>
      <c r="G514" s="13">
        <v>0.3888888888888889</v>
      </c>
      <c r="H514" s="22">
        <v>2</v>
      </c>
      <c r="I514" s="22">
        <v>3</v>
      </c>
      <c r="J514" s="22">
        <v>1</v>
      </c>
      <c r="K514" s="13">
        <v>6.7870588235294113E-2</v>
      </c>
      <c r="L514" s="13">
        <v>26</v>
      </c>
      <c r="M514" s="13">
        <v>0.81032095999999998</v>
      </c>
      <c r="N514" s="13">
        <v>358.7</v>
      </c>
      <c r="O514" s="13">
        <v>1.01736</v>
      </c>
      <c r="P514" s="13">
        <v>2.2608000000000001</v>
      </c>
      <c r="Q514" s="13">
        <v>623.28</v>
      </c>
      <c r="R514" s="13">
        <v>1.1304000000000001</v>
      </c>
      <c r="S514" s="13">
        <v>623.29999999999995</v>
      </c>
      <c r="U514" s="35"/>
      <c r="V514" s="24">
        <v>0.29411764705882354</v>
      </c>
      <c r="W514" s="3">
        <v>45</v>
      </c>
      <c r="X514" s="3"/>
      <c r="Y514" s="5">
        <v>27.099166153846152</v>
      </c>
      <c r="Z514" s="5">
        <v>54.196593230769231</v>
      </c>
      <c r="AA514" s="5">
        <v>13.957396615384615</v>
      </c>
      <c r="AB514" s="5">
        <v>11.179312628923075</v>
      </c>
      <c r="AD514" s="24">
        <v>799</v>
      </c>
      <c r="AE514" s="5">
        <f t="shared" si="8"/>
        <v>16.774457518344903</v>
      </c>
    </row>
    <row r="515" spans="1:31" ht="25.5" customHeight="1" x14ac:dyDescent="0.2">
      <c r="A515" s="58" t="s">
        <v>660</v>
      </c>
      <c r="B515" s="34" t="s">
        <v>145</v>
      </c>
      <c r="C515" s="22">
        <v>150</v>
      </c>
      <c r="D515" s="38">
        <v>1200</v>
      </c>
      <c r="E515" s="38">
        <v>3250</v>
      </c>
      <c r="F515" s="13">
        <v>2.7</v>
      </c>
      <c r="G515" s="13">
        <v>2.7</v>
      </c>
      <c r="H515" s="22">
        <v>1</v>
      </c>
      <c r="I515" s="22" t="s">
        <v>661</v>
      </c>
      <c r="J515" s="22">
        <v>1</v>
      </c>
      <c r="K515" s="22">
        <v>0</v>
      </c>
      <c r="L515" s="13">
        <v>31.2</v>
      </c>
      <c r="M515" s="13">
        <v>4.3499999999999996</v>
      </c>
      <c r="N515" s="3">
        <v>460</v>
      </c>
      <c r="O515" s="13" t="s">
        <v>26</v>
      </c>
      <c r="P515" s="13">
        <v>0.53486662124917428</v>
      </c>
      <c r="Q515" s="3">
        <v>549.9</v>
      </c>
      <c r="R515" s="3">
        <v>0.19700000000000001</v>
      </c>
      <c r="S515" s="3">
        <v>470</v>
      </c>
      <c r="U515" s="6"/>
      <c r="V515" s="24">
        <v>7.6666666666666661E-2</v>
      </c>
      <c r="W515" s="3">
        <v>8</v>
      </c>
      <c r="X515" s="6"/>
      <c r="Y515" s="5">
        <v>2.9676282051282055</v>
      </c>
      <c r="Z515" s="5">
        <v>9.4270241995166977</v>
      </c>
      <c r="AA515" s="5">
        <v>0</v>
      </c>
      <c r="AB515" s="5">
        <v>64.134615384615373</v>
      </c>
      <c r="AD515" s="24">
        <v>95.2</v>
      </c>
      <c r="AE515" s="5">
        <f t="shared" si="8"/>
        <v>1.140323429237011</v>
      </c>
    </row>
    <row r="516" spans="1:31" ht="25.5" customHeight="1" x14ac:dyDescent="0.2">
      <c r="A516" s="59"/>
      <c r="B516" s="34" t="s">
        <v>146</v>
      </c>
      <c r="C516" s="22">
        <v>150</v>
      </c>
      <c r="D516" s="38">
        <v>1200</v>
      </c>
      <c r="E516" s="38">
        <v>3250</v>
      </c>
      <c r="F516" s="13">
        <v>2.7</v>
      </c>
      <c r="G516" s="13">
        <v>2.7</v>
      </c>
      <c r="H516" s="22">
        <v>1</v>
      </c>
      <c r="I516" s="22" t="s">
        <v>661</v>
      </c>
      <c r="J516" s="22">
        <v>1</v>
      </c>
      <c r="K516" s="22">
        <v>0</v>
      </c>
      <c r="L516" s="13">
        <v>30.4</v>
      </c>
      <c r="M516" s="13">
        <v>6.11</v>
      </c>
      <c r="N516" s="3">
        <v>460</v>
      </c>
      <c r="O516" s="13" t="s">
        <v>26</v>
      </c>
      <c r="P516" s="13">
        <v>0.53486662124917428</v>
      </c>
      <c r="Q516" s="3">
        <v>549.9</v>
      </c>
      <c r="R516" s="3">
        <v>0.21</v>
      </c>
      <c r="S516" s="3">
        <v>470</v>
      </c>
      <c r="U516" s="6"/>
      <c r="V516" s="24">
        <v>0.10916666666666666</v>
      </c>
      <c r="W516" s="3">
        <v>8</v>
      </c>
      <c r="X516" s="6"/>
      <c r="Y516" s="5">
        <v>3.2467105263157898</v>
      </c>
      <c r="Z516" s="5">
        <v>9.6751037837145049</v>
      </c>
      <c r="AA516" s="5">
        <v>0</v>
      </c>
      <c r="AB516" s="5">
        <v>92.453947368421069</v>
      </c>
      <c r="AD516" s="24">
        <v>140.5</v>
      </c>
      <c r="AE516" s="5">
        <f t="shared" si="8"/>
        <v>1.7049354012767768</v>
      </c>
    </row>
    <row r="517" spans="1:31" ht="25.5" customHeight="1" x14ac:dyDescent="0.2">
      <c r="A517" s="58" t="s">
        <v>662</v>
      </c>
      <c r="B517" s="34" t="s">
        <v>663</v>
      </c>
      <c r="C517" s="22">
        <v>80</v>
      </c>
      <c r="D517" s="38">
        <v>2000</v>
      </c>
      <c r="E517" s="38">
        <v>2300</v>
      </c>
      <c r="F517" s="13">
        <v>1.1499999999999999</v>
      </c>
      <c r="G517" s="13">
        <v>1.1499999999999999</v>
      </c>
      <c r="H517" s="22">
        <v>2</v>
      </c>
      <c r="I517" s="22">
        <v>1</v>
      </c>
      <c r="J517" s="22">
        <v>1</v>
      </c>
      <c r="K517" s="22">
        <v>0</v>
      </c>
      <c r="L517" s="13">
        <v>28.6</v>
      </c>
      <c r="M517" s="13">
        <v>1.81</v>
      </c>
      <c r="N517" s="3">
        <v>515.48</v>
      </c>
      <c r="O517" s="13">
        <v>0.56705747397295769</v>
      </c>
      <c r="P517" s="13">
        <v>0.36</v>
      </c>
      <c r="Q517" s="3">
        <v>364.56</v>
      </c>
      <c r="R517" s="3">
        <v>3.5999999999999999E-3</v>
      </c>
      <c r="S517" s="3">
        <v>364.56</v>
      </c>
      <c r="U517" s="6"/>
      <c r="V517" s="24">
        <v>0.21929824561403508</v>
      </c>
      <c r="W517" s="3">
        <v>25</v>
      </c>
      <c r="X517" s="6"/>
      <c r="Y517" s="5">
        <v>4.5888671328671325E-2</v>
      </c>
      <c r="Z517" s="5">
        <v>4.5888671328671329</v>
      </c>
      <c r="AA517" s="5">
        <v>10.220517016908399</v>
      </c>
      <c r="AB517" s="5">
        <v>32.623034965034968</v>
      </c>
      <c r="AD517" s="24">
        <v>493</v>
      </c>
      <c r="AE517" s="5">
        <f t="shared" si="8"/>
        <v>6.9388072130032841</v>
      </c>
    </row>
    <row r="518" spans="1:31" ht="25.5" customHeight="1" x14ac:dyDescent="0.2">
      <c r="A518" s="59"/>
      <c r="B518" s="34" t="s">
        <v>664</v>
      </c>
      <c r="C518" s="22">
        <v>80</v>
      </c>
      <c r="D518" s="38">
        <v>3000</v>
      </c>
      <c r="E518" s="38">
        <v>2300</v>
      </c>
      <c r="F518" s="13">
        <v>0.77</v>
      </c>
      <c r="G518" s="13">
        <v>0.77</v>
      </c>
      <c r="H518" s="22">
        <v>2</v>
      </c>
      <c r="I518" s="22">
        <v>1</v>
      </c>
      <c r="J518" s="22">
        <v>1</v>
      </c>
      <c r="K518" s="22">
        <v>0</v>
      </c>
      <c r="L518" s="13">
        <v>27.3</v>
      </c>
      <c r="M518" s="13">
        <v>1.81</v>
      </c>
      <c r="N518" s="3">
        <v>515.48</v>
      </c>
      <c r="O518" s="13">
        <v>0.56705747397295769</v>
      </c>
      <c r="P518" s="13">
        <v>0.36</v>
      </c>
      <c r="Q518" s="3">
        <v>364.56</v>
      </c>
      <c r="R518" s="3">
        <v>3.5999999999999999E-3</v>
      </c>
      <c r="S518" s="3">
        <v>364.56</v>
      </c>
      <c r="U518" s="6"/>
      <c r="V518" s="24">
        <v>0.19201228878648233</v>
      </c>
      <c r="W518" s="3">
        <v>37.5</v>
      </c>
      <c r="X518" s="6"/>
      <c r="Y518" s="5">
        <v>4.8073846153846155E-2</v>
      </c>
      <c r="Z518" s="5">
        <v>4.8073846153846151</v>
      </c>
      <c r="AA518" s="5">
        <v>10.707208303427848</v>
      </c>
      <c r="AB518" s="5">
        <v>34.176512820512819</v>
      </c>
      <c r="AD518" s="24">
        <v>660.02</v>
      </c>
      <c r="AE518" s="5">
        <f t="shared" si="8"/>
        <v>6.3387763917772553</v>
      </c>
    </row>
    <row r="519" spans="1:31" ht="25.5" customHeight="1" x14ac:dyDescent="0.2">
      <c r="A519" s="58" t="s">
        <v>665</v>
      </c>
      <c r="B519" s="21" t="s">
        <v>666</v>
      </c>
      <c r="C519" s="22">
        <v>200</v>
      </c>
      <c r="D519" s="38">
        <v>1520</v>
      </c>
      <c r="E519" s="38">
        <v>3310</v>
      </c>
      <c r="F519" s="3">
        <v>2.2000000000000002</v>
      </c>
      <c r="G519" s="13">
        <v>2.2000000000000002</v>
      </c>
      <c r="H519" s="22">
        <v>1</v>
      </c>
      <c r="I519" s="22">
        <v>0</v>
      </c>
      <c r="J519" s="22">
        <v>1</v>
      </c>
      <c r="K519" s="13">
        <v>9.9000000000000005E-2</v>
      </c>
      <c r="L519" s="13">
        <v>29.5</v>
      </c>
      <c r="M519" s="13">
        <v>8.9249791295164567</v>
      </c>
      <c r="N519" s="13">
        <v>460</v>
      </c>
      <c r="O519" s="24">
        <v>0.22496439701230408</v>
      </c>
      <c r="P519" s="13">
        <v>0.60415243338265257</v>
      </c>
      <c r="Q519" s="13">
        <v>530</v>
      </c>
      <c r="R519" s="13">
        <v>0.62831853071795851</v>
      </c>
      <c r="S519" s="13">
        <v>430</v>
      </c>
      <c r="U519" s="3" t="s">
        <v>578</v>
      </c>
      <c r="V519" s="24">
        <v>0.14473684210526316</v>
      </c>
      <c r="W519" s="3">
        <v>7.6</v>
      </c>
      <c r="X519" s="7"/>
      <c r="Y519" s="5">
        <v>9.1585412952109202</v>
      </c>
      <c r="Z519" s="5">
        <v>10.854264057383249</v>
      </c>
      <c r="AA519" s="5">
        <v>3.6604376463018973</v>
      </c>
      <c r="AB519" s="5">
        <v>139.16916608737526</v>
      </c>
      <c r="AD519" s="24">
        <v>721</v>
      </c>
      <c r="AE519" s="5">
        <f t="shared" si="8"/>
        <v>5.2588595767122861</v>
      </c>
    </row>
    <row r="520" spans="1:31" ht="25.5" customHeight="1" x14ac:dyDescent="0.2">
      <c r="A520" s="59"/>
      <c r="B520" s="21" t="s">
        <v>667</v>
      </c>
      <c r="C520" s="22">
        <v>200</v>
      </c>
      <c r="D520" s="38">
        <v>1520</v>
      </c>
      <c r="E520" s="38">
        <v>3310</v>
      </c>
      <c r="F520" s="3">
        <v>2.2000000000000002</v>
      </c>
      <c r="G520" s="13">
        <v>2.2000000000000002</v>
      </c>
      <c r="H520" s="22">
        <v>1</v>
      </c>
      <c r="I520" s="22">
        <v>0</v>
      </c>
      <c r="J520" s="22">
        <v>1</v>
      </c>
      <c r="K520" s="13">
        <v>9.2999999999999999E-2</v>
      </c>
      <c r="L520" s="13">
        <v>31.5</v>
      </c>
      <c r="M520" s="13">
        <v>8.9249791295164567</v>
      </c>
      <c r="N520" s="13">
        <v>460</v>
      </c>
      <c r="O520" s="24">
        <v>0.22496439701230408</v>
      </c>
      <c r="P520" s="13">
        <v>0.60415243338265257</v>
      </c>
      <c r="Q520" s="13">
        <v>530</v>
      </c>
      <c r="R520" s="13">
        <v>0.62831853071795851</v>
      </c>
      <c r="S520" s="13">
        <v>430</v>
      </c>
      <c r="U520" s="3" t="s">
        <v>578</v>
      </c>
      <c r="V520" s="24">
        <v>0.14473684210526316</v>
      </c>
      <c r="W520" s="3">
        <v>7.6</v>
      </c>
      <c r="X520" s="7"/>
      <c r="Y520" s="5">
        <v>8.5770466098007034</v>
      </c>
      <c r="Z520" s="5">
        <v>10.16510443469225</v>
      </c>
      <c r="AA520" s="5">
        <v>3.4280289068541578</v>
      </c>
      <c r="AB520" s="5">
        <v>130.3330285580181</v>
      </c>
      <c r="AD520" s="24">
        <v>730</v>
      </c>
      <c r="AE520" s="5">
        <f t="shared" si="8"/>
        <v>5.1527005111921493</v>
      </c>
    </row>
    <row r="521" spans="1:31" ht="25.5" customHeight="1" x14ac:dyDescent="0.2">
      <c r="A521" s="60" t="s">
        <v>668</v>
      </c>
      <c r="B521" s="21" t="s">
        <v>669</v>
      </c>
      <c r="C521" s="22">
        <v>50</v>
      </c>
      <c r="D521" s="22">
        <v>1350</v>
      </c>
      <c r="E521" s="22">
        <v>1200</v>
      </c>
      <c r="F521" s="3">
        <v>0.89</v>
      </c>
      <c r="G521" s="13">
        <v>0.88888888888888884</v>
      </c>
      <c r="H521" s="22">
        <v>2</v>
      </c>
      <c r="I521" s="22">
        <v>3</v>
      </c>
      <c r="J521" s="22">
        <v>1</v>
      </c>
      <c r="K521" s="3">
        <v>9.9881118881118877E-2</v>
      </c>
      <c r="L521" s="13">
        <v>24.2</v>
      </c>
      <c r="M521" s="13">
        <v>1.2594888888888889</v>
      </c>
      <c r="N521" s="13">
        <v>375</v>
      </c>
      <c r="O521" s="13"/>
      <c r="P521" s="13">
        <v>1.0047999999999999</v>
      </c>
      <c r="Q521" s="13">
        <v>237</v>
      </c>
      <c r="R521" s="13">
        <v>1.0047999999999999</v>
      </c>
      <c r="S521" s="13">
        <v>237</v>
      </c>
      <c r="U521" s="35"/>
      <c r="V521" s="24">
        <v>0.23076923076923078</v>
      </c>
      <c r="W521" s="3">
        <v>27</v>
      </c>
      <c r="X521" s="3"/>
      <c r="Y521" s="5">
        <v>9.840396694214876</v>
      </c>
      <c r="Z521" s="5">
        <v>9.840396694214876</v>
      </c>
      <c r="AA521" s="5">
        <v>0</v>
      </c>
      <c r="AB521" s="5">
        <v>19.516873278236915</v>
      </c>
      <c r="AD521" s="24">
        <v>377</v>
      </c>
      <c r="AE521" s="5">
        <f t="shared" si="8"/>
        <v>13.67321981147542</v>
      </c>
    </row>
    <row r="522" spans="1:31" ht="25.5" customHeight="1" x14ac:dyDescent="0.2">
      <c r="A522" s="59"/>
      <c r="B522" s="21" t="s">
        <v>670</v>
      </c>
      <c r="C522" s="22">
        <v>50</v>
      </c>
      <c r="D522" s="22">
        <v>1350</v>
      </c>
      <c r="E522" s="22">
        <v>1200</v>
      </c>
      <c r="F522" s="3">
        <v>0.89</v>
      </c>
      <c r="G522" s="13">
        <v>0.88888888888888884</v>
      </c>
      <c r="H522" s="22">
        <v>2</v>
      </c>
      <c r="I522" s="22">
        <v>3</v>
      </c>
      <c r="J522" s="22">
        <v>1</v>
      </c>
      <c r="K522" s="3">
        <v>9.9881118881118877E-2</v>
      </c>
      <c r="L522" s="13">
        <v>24.2</v>
      </c>
      <c r="M522" s="13">
        <v>1.2594888888888889</v>
      </c>
      <c r="N522" s="13">
        <v>375</v>
      </c>
      <c r="O522" s="13"/>
      <c r="P522" s="13">
        <v>1.0047999999999999</v>
      </c>
      <c r="Q522" s="13">
        <v>237</v>
      </c>
      <c r="R522" s="13">
        <v>1.0047999999999999</v>
      </c>
      <c r="S522" s="13">
        <v>237</v>
      </c>
      <c r="U522" s="35"/>
      <c r="V522" s="24">
        <v>0.23076923076923078</v>
      </c>
      <c r="W522" s="3">
        <v>27</v>
      </c>
      <c r="X522" s="3"/>
      <c r="Y522" s="5">
        <v>9.840396694214876</v>
      </c>
      <c r="Z522" s="5">
        <v>9.840396694214876</v>
      </c>
      <c r="AA522" s="5">
        <v>0</v>
      </c>
      <c r="AB522" s="5">
        <v>19.516873278236915</v>
      </c>
      <c r="AD522" s="24">
        <v>399</v>
      </c>
      <c r="AE522" s="5">
        <f t="shared" si="8"/>
        <v>14.471126537874516</v>
      </c>
    </row>
    <row r="523" spans="1:31" ht="25.5" customHeight="1" x14ac:dyDescent="0.2">
      <c r="A523" s="59"/>
      <c r="B523" s="21" t="s">
        <v>671</v>
      </c>
      <c r="C523" s="22">
        <v>50</v>
      </c>
      <c r="D523" s="22">
        <v>1350</v>
      </c>
      <c r="E523" s="22">
        <v>1200</v>
      </c>
      <c r="F523" s="3">
        <v>0.89</v>
      </c>
      <c r="G523" s="13">
        <v>0.88888888888888884</v>
      </c>
      <c r="H523" s="22">
        <v>2</v>
      </c>
      <c r="I523" s="22">
        <v>3</v>
      </c>
      <c r="J523" s="22">
        <v>1</v>
      </c>
      <c r="K523" s="3">
        <v>9.9881118881118891E-2</v>
      </c>
      <c r="L523" s="13">
        <v>24.9</v>
      </c>
      <c r="M523" s="13">
        <v>2.5189777777777778</v>
      </c>
      <c r="N523" s="13">
        <v>368</v>
      </c>
      <c r="O523" s="13"/>
      <c r="P523" s="13">
        <v>1.0047999999999999</v>
      </c>
      <c r="Q523" s="13">
        <v>160</v>
      </c>
      <c r="R523" s="13">
        <v>1.0047999999999999</v>
      </c>
      <c r="S523" s="13">
        <v>160</v>
      </c>
      <c r="U523" s="35"/>
      <c r="V523" s="24">
        <v>0.23076923076923078</v>
      </c>
      <c r="W523" s="3">
        <v>27</v>
      </c>
      <c r="X523" s="3"/>
      <c r="Y523" s="5">
        <v>6.4565461847389551</v>
      </c>
      <c r="Z523" s="5">
        <v>6.4565461847389551</v>
      </c>
      <c r="AA523" s="5">
        <v>0</v>
      </c>
      <c r="AB523" s="5">
        <v>37.228265952699687</v>
      </c>
      <c r="AD523" s="24">
        <v>374</v>
      </c>
      <c r="AE523" s="5">
        <f t="shared" si="8"/>
        <v>13.372390705713132</v>
      </c>
    </row>
    <row r="524" spans="1:31" ht="25.5" customHeight="1" x14ac:dyDescent="0.2">
      <c r="A524" s="59"/>
      <c r="B524" s="21" t="s">
        <v>672</v>
      </c>
      <c r="C524" s="22">
        <v>50</v>
      </c>
      <c r="D524" s="22">
        <v>1350</v>
      </c>
      <c r="E524" s="22">
        <v>1200</v>
      </c>
      <c r="F524" s="3">
        <v>0.89</v>
      </c>
      <c r="G524" s="13">
        <v>0.88888888888888884</v>
      </c>
      <c r="H524" s="22">
        <v>2</v>
      </c>
      <c r="I524" s="22">
        <v>3</v>
      </c>
      <c r="J524" s="22">
        <v>1</v>
      </c>
      <c r="K524" s="3">
        <v>9.9881118881118891E-2</v>
      </c>
      <c r="L524" s="13">
        <v>24.9</v>
      </c>
      <c r="M524" s="13">
        <v>2.5189777777777778</v>
      </c>
      <c r="N524" s="13">
        <v>368</v>
      </c>
      <c r="O524" s="13"/>
      <c r="P524" s="13">
        <v>1.0047999999999999</v>
      </c>
      <c r="Q524" s="13">
        <v>160</v>
      </c>
      <c r="R524" s="13">
        <v>2.5722880000000004</v>
      </c>
      <c r="S524" s="13">
        <v>160</v>
      </c>
      <c r="U524" s="35"/>
      <c r="V524" s="24">
        <v>0.23076923076923078</v>
      </c>
      <c r="W524" s="3">
        <v>27</v>
      </c>
      <c r="X524" s="3"/>
      <c r="Y524" s="5">
        <v>16.528758232931729</v>
      </c>
      <c r="Z524" s="5">
        <v>6.4565461847389551</v>
      </c>
      <c r="AA524" s="5">
        <v>0</v>
      </c>
      <c r="AB524" s="5">
        <v>37.228265952699687</v>
      </c>
      <c r="AD524" s="24">
        <v>478</v>
      </c>
      <c r="AE524" s="5">
        <f t="shared" si="8"/>
        <v>17.090916463451542</v>
      </c>
    </row>
    <row r="525" spans="1:31" ht="25.5" customHeight="1" x14ac:dyDescent="0.2">
      <c r="A525" s="59"/>
      <c r="B525" s="21" t="s">
        <v>673</v>
      </c>
      <c r="C525" s="22">
        <v>50</v>
      </c>
      <c r="D525" s="22">
        <v>1350</v>
      </c>
      <c r="E525" s="22">
        <v>1200</v>
      </c>
      <c r="F525" s="3">
        <v>0.89</v>
      </c>
      <c r="G525" s="13">
        <v>0.88888888888888884</v>
      </c>
      <c r="H525" s="22">
        <v>2</v>
      </c>
      <c r="I525" s="22">
        <v>1</v>
      </c>
      <c r="J525" s="22">
        <v>1</v>
      </c>
      <c r="K525" s="3">
        <v>9.5538461538461544E-2</v>
      </c>
      <c r="L525" s="13">
        <v>27</v>
      </c>
      <c r="M525" s="13">
        <v>4.5017831111111111</v>
      </c>
      <c r="N525" s="13">
        <v>354</v>
      </c>
      <c r="O525" s="13"/>
      <c r="P525" s="13">
        <v>1.0047999999999999</v>
      </c>
      <c r="Q525" s="13">
        <v>160</v>
      </c>
      <c r="R525" s="13">
        <v>2.5722880000000004</v>
      </c>
      <c r="S525" s="13">
        <v>160</v>
      </c>
      <c r="U525" s="35"/>
      <c r="V525" s="24">
        <v>0.23076923076923078</v>
      </c>
      <c r="W525" s="3">
        <v>27</v>
      </c>
      <c r="X525" s="3"/>
      <c r="Y525" s="5">
        <v>15.24318814814815</v>
      </c>
      <c r="Z525" s="5">
        <v>5.954370370370369</v>
      </c>
      <c r="AA525" s="5">
        <v>0</v>
      </c>
      <c r="AB525" s="5">
        <v>59.023378567901233</v>
      </c>
      <c r="AD525" s="24">
        <v>567</v>
      </c>
      <c r="AE525" s="5">
        <f t="shared" si="8"/>
        <v>19.468760617974635</v>
      </c>
    </row>
    <row r="526" spans="1:31" ht="25.5" customHeight="1" x14ac:dyDescent="0.2">
      <c r="A526" s="59"/>
      <c r="B526" s="21" t="s">
        <v>674</v>
      </c>
      <c r="C526" s="22">
        <v>50</v>
      </c>
      <c r="D526" s="22">
        <v>1350</v>
      </c>
      <c r="E526" s="22">
        <v>1200</v>
      </c>
      <c r="F526" s="3">
        <v>0.89</v>
      </c>
      <c r="G526" s="13">
        <v>0.88888888888888884</v>
      </c>
      <c r="H526" s="22">
        <v>2</v>
      </c>
      <c r="I526" s="22">
        <v>1</v>
      </c>
      <c r="J526" s="22">
        <v>1</v>
      </c>
      <c r="K526" s="3">
        <v>9.5538461538461544E-2</v>
      </c>
      <c r="L526" s="13">
        <v>27</v>
      </c>
      <c r="M526" s="13">
        <v>4.5017831111111111</v>
      </c>
      <c r="N526" s="13">
        <v>354</v>
      </c>
      <c r="O526" s="13"/>
      <c r="P526" s="13">
        <v>1.0047999999999999</v>
      </c>
      <c r="Q526" s="13">
        <v>160</v>
      </c>
      <c r="R526" s="13">
        <v>2.5722880000000004</v>
      </c>
      <c r="S526" s="13">
        <v>160</v>
      </c>
      <c r="U526" s="35"/>
      <c r="V526" s="24">
        <v>0.23076923076923078</v>
      </c>
      <c r="W526" s="3">
        <v>27</v>
      </c>
      <c r="X526" s="3"/>
      <c r="Y526" s="5">
        <v>15.24318814814815</v>
      </c>
      <c r="Z526" s="5">
        <v>5.954370370370369</v>
      </c>
      <c r="AA526" s="5">
        <v>0</v>
      </c>
      <c r="AB526" s="5">
        <v>59.023378567901233</v>
      </c>
      <c r="AD526" s="24">
        <v>655</v>
      </c>
      <c r="AE526" s="5">
        <f t="shared" si="8"/>
        <v>22.490367204185866</v>
      </c>
    </row>
    <row r="527" spans="1:31" ht="25.5" customHeight="1" x14ac:dyDescent="0.2">
      <c r="A527" s="58" t="s">
        <v>675</v>
      </c>
      <c r="B527" s="21" t="s">
        <v>676</v>
      </c>
      <c r="C527" s="22">
        <v>30</v>
      </c>
      <c r="D527" s="22">
        <v>430</v>
      </c>
      <c r="E527" s="22">
        <v>150</v>
      </c>
      <c r="F527" s="3">
        <v>0.34883720930232559</v>
      </c>
      <c r="G527" s="13">
        <v>0.34883720930232559</v>
      </c>
      <c r="H527" s="22">
        <v>3</v>
      </c>
      <c r="I527" s="22">
        <v>1</v>
      </c>
      <c r="J527" s="22">
        <v>1</v>
      </c>
      <c r="K527" s="13">
        <v>0</v>
      </c>
      <c r="L527" s="13">
        <v>22.4</v>
      </c>
      <c r="M527" s="13">
        <v>0.68382222222222222</v>
      </c>
      <c r="N527" s="13">
        <v>382.2</v>
      </c>
      <c r="O527" s="13">
        <v>0.17095555555555556</v>
      </c>
      <c r="P527" s="13">
        <v>0.34191111111111105</v>
      </c>
      <c r="Q527" s="13">
        <v>382.2</v>
      </c>
      <c r="R527" s="13">
        <v>0.34191111111111105</v>
      </c>
      <c r="S527" s="13">
        <v>382.2</v>
      </c>
      <c r="U527" s="6"/>
      <c r="V527" s="24">
        <v>0.22388059701492538</v>
      </c>
      <c r="W527" s="3">
        <v>14.333333333333334</v>
      </c>
      <c r="X527" s="6"/>
      <c r="Y527" s="5">
        <v>5.8338583333333327</v>
      </c>
      <c r="Z527" s="5">
        <v>5.8338583333333327</v>
      </c>
      <c r="AA527" s="5">
        <v>2.9169291666666668</v>
      </c>
      <c r="AB527" s="5">
        <v>11.667716666666667</v>
      </c>
      <c r="AD527" s="24">
        <v>21.187080986468796</v>
      </c>
      <c r="AE527" s="5">
        <f t="shared" si="8"/>
        <v>4.1792495888560408</v>
      </c>
    </row>
    <row r="528" spans="1:31" ht="25.5" customHeight="1" x14ac:dyDescent="0.2">
      <c r="A528" s="59"/>
      <c r="B528" s="21" t="s">
        <v>677</v>
      </c>
      <c r="C528" s="22">
        <v>30</v>
      </c>
      <c r="D528" s="22">
        <v>430</v>
      </c>
      <c r="E528" s="22">
        <v>150</v>
      </c>
      <c r="F528" s="3">
        <v>0.34883720930232559</v>
      </c>
      <c r="G528" s="13">
        <v>0.34883720930232559</v>
      </c>
      <c r="H528" s="22">
        <v>3</v>
      </c>
      <c r="I528" s="22">
        <v>1</v>
      </c>
      <c r="J528" s="22">
        <v>1</v>
      </c>
      <c r="K528" s="13">
        <v>0</v>
      </c>
      <c r="L528" s="13">
        <v>16.899999999999999</v>
      </c>
      <c r="M528" s="13">
        <v>0.68382222222222222</v>
      </c>
      <c r="N528" s="13">
        <v>382.2</v>
      </c>
      <c r="O528" s="13">
        <v>0.17095555555555556</v>
      </c>
      <c r="P528" s="13">
        <v>0.34191111111111105</v>
      </c>
      <c r="Q528" s="13">
        <v>382.2</v>
      </c>
      <c r="R528" s="13">
        <v>0.34191111111111105</v>
      </c>
      <c r="S528" s="13">
        <v>382.2</v>
      </c>
      <c r="U528" s="6"/>
      <c r="V528" s="24">
        <v>0.22388059701492538</v>
      </c>
      <c r="W528" s="3">
        <v>14.333333333333334</v>
      </c>
      <c r="X528" s="6"/>
      <c r="Y528" s="5">
        <v>7.7324512820512812</v>
      </c>
      <c r="Z528" s="5">
        <v>7.7324512820512812</v>
      </c>
      <c r="AA528" s="5">
        <v>3.8662256410256415</v>
      </c>
      <c r="AB528" s="5">
        <v>15.464902564102566</v>
      </c>
      <c r="AD528" s="24">
        <v>17.53846477530945</v>
      </c>
      <c r="AE528" s="5">
        <f t="shared" si="8"/>
        <v>3.982900099823564</v>
      </c>
    </row>
    <row r="529" spans="1:31" ht="25.5" customHeight="1" x14ac:dyDescent="0.2">
      <c r="A529" s="59"/>
      <c r="B529" s="21" t="s">
        <v>678</v>
      </c>
      <c r="C529" s="22">
        <v>30</v>
      </c>
      <c r="D529" s="22">
        <v>430</v>
      </c>
      <c r="E529" s="22">
        <v>150</v>
      </c>
      <c r="F529" s="3">
        <v>0.34883720930232559</v>
      </c>
      <c r="G529" s="13">
        <v>0.34883720930232559</v>
      </c>
      <c r="H529" s="22">
        <v>3</v>
      </c>
      <c r="I529" s="22">
        <v>1</v>
      </c>
      <c r="J529" s="22">
        <v>1</v>
      </c>
      <c r="K529" s="13">
        <v>0</v>
      </c>
      <c r="L529" s="13">
        <v>16.899999999999999</v>
      </c>
      <c r="M529" s="13">
        <v>0.68382222222222222</v>
      </c>
      <c r="N529" s="13">
        <v>382.2</v>
      </c>
      <c r="O529" s="13">
        <v>0.17095555555555556</v>
      </c>
      <c r="P529" s="13">
        <v>0.34888888888888892</v>
      </c>
      <c r="Q529" s="13">
        <v>333.2</v>
      </c>
      <c r="R529" s="13">
        <v>0.34888888888888892</v>
      </c>
      <c r="S529" s="13">
        <v>333.2</v>
      </c>
      <c r="U529" s="6"/>
      <c r="V529" s="24">
        <v>0.22388059701492538</v>
      </c>
      <c r="W529" s="3">
        <v>14.333333333333334</v>
      </c>
      <c r="X529" s="6"/>
      <c r="Y529" s="5">
        <v>6.8786850756081535</v>
      </c>
      <c r="Z529" s="5">
        <v>6.8786850756081535</v>
      </c>
      <c r="AA529" s="5">
        <v>3.8662256410256415</v>
      </c>
      <c r="AB529" s="5">
        <v>15.464902564102566</v>
      </c>
      <c r="AD529" s="24">
        <v>19.52598306697946</v>
      </c>
      <c r="AE529" s="5">
        <f t="shared" si="8"/>
        <v>4.4342558429692174</v>
      </c>
    </row>
    <row r="530" spans="1:31" ht="25.5" customHeight="1" x14ac:dyDescent="0.2">
      <c r="A530" s="59"/>
      <c r="B530" s="21" t="s">
        <v>679</v>
      </c>
      <c r="C530" s="22">
        <v>30</v>
      </c>
      <c r="D530" s="22">
        <v>430</v>
      </c>
      <c r="E530" s="22">
        <v>150</v>
      </c>
      <c r="F530" s="3">
        <v>0.34883720930232559</v>
      </c>
      <c r="G530" s="13">
        <v>0.34883720930232559</v>
      </c>
      <c r="H530" s="22">
        <v>3</v>
      </c>
      <c r="I530" s="22">
        <v>1</v>
      </c>
      <c r="J530" s="22">
        <v>1</v>
      </c>
      <c r="K530" s="13">
        <v>0</v>
      </c>
      <c r="L530" s="13">
        <v>16.899999999999999</v>
      </c>
      <c r="M530" s="13">
        <v>0.68382222222222222</v>
      </c>
      <c r="N530" s="13">
        <v>382.2</v>
      </c>
      <c r="O530" s="13">
        <v>0.17095555555555556</v>
      </c>
      <c r="P530" s="13">
        <v>0.34191111111111105</v>
      </c>
      <c r="Q530" s="13">
        <v>382.2</v>
      </c>
      <c r="R530" s="13">
        <v>0.34191111111111105</v>
      </c>
      <c r="S530" s="13">
        <v>382.2</v>
      </c>
      <c r="U530" s="6"/>
      <c r="V530" s="24">
        <v>0.22388059701492538</v>
      </c>
      <c r="W530" s="3">
        <v>14.333333333333334</v>
      </c>
      <c r="X530" s="6"/>
      <c r="Y530" s="5">
        <v>7.7324512820512812</v>
      </c>
      <c r="Z530" s="5">
        <v>7.7324512820512812</v>
      </c>
      <c r="AA530" s="5">
        <v>3.8662256410256415</v>
      </c>
      <c r="AB530" s="5">
        <v>15.464902564102566</v>
      </c>
      <c r="AD530" s="24">
        <v>23.590627803668248</v>
      </c>
      <c r="AE530" s="5">
        <f t="shared" si="8"/>
        <v>5.3573169053203511</v>
      </c>
    </row>
    <row r="531" spans="1:31" ht="25.5" customHeight="1" x14ac:dyDescent="0.2">
      <c r="A531" s="59"/>
      <c r="B531" s="21" t="s">
        <v>680</v>
      </c>
      <c r="C531" s="22">
        <v>30</v>
      </c>
      <c r="D531" s="22">
        <v>430</v>
      </c>
      <c r="E531" s="22">
        <v>150</v>
      </c>
      <c r="F531" s="3">
        <v>0.34883720930232559</v>
      </c>
      <c r="G531" s="13">
        <v>0.34883720930232559</v>
      </c>
      <c r="H531" s="22">
        <v>3</v>
      </c>
      <c r="I531" s="22">
        <v>1</v>
      </c>
      <c r="J531" s="22">
        <v>1</v>
      </c>
      <c r="K531" s="13">
        <v>0</v>
      </c>
      <c r="L531" s="13">
        <v>16.100000000000001</v>
      </c>
      <c r="M531" s="13">
        <v>0.68382222222222222</v>
      </c>
      <c r="N531" s="13">
        <v>382.2</v>
      </c>
      <c r="O531" s="13">
        <v>0.17095555555555556</v>
      </c>
      <c r="P531" s="13">
        <v>0.34191111111111105</v>
      </c>
      <c r="Q531" s="13">
        <v>382.2</v>
      </c>
      <c r="R531" s="13">
        <v>0.34191111111111105</v>
      </c>
      <c r="S531" s="13">
        <v>382.2</v>
      </c>
      <c r="U531" s="6"/>
      <c r="V531" s="24">
        <v>0.22388059701492538</v>
      </c>
      <c r="W531" s="3">
        <v>14.333333333333334</v>
      </c>
      <c r="X531" s="6"/>
      <c r="Y531" s="5">
        <v>8.1166724637681131</v>
      </c>
      <c r="Z531" s="5">
        <v>8.1166724637681131</v>
      </c>
      <c r="AA531" s="5">
        <v>4.0583362318840575</v>
      </c>
      <c r="AB531" s="5">
        <v>16.23334492753623</v>
      </c>
      <c r="AD531" s="24">
        <v>19.651858514171188</v>
      </c>
      <c r="AE531" s="5">
        <f t="shared" si="8"/>
        <v>4.5723754220915289</v>
      </c>
    </row>
    <row r="532" spans="1:31" ht="25.5" customHeight="1" x14ac:dyDescent="0.2">
      <c r="A532" s="59"/>
      <c r="B532" s="21" t="s">
        <v>681</v>
      </c>
      <c r="C532" s="22">
        <v>30</v>
      </c>
      <c r="D532" s="22">
        <v>430</v>
      </c>
      <c r="E532" s="22">
        <v>150</v>
      </c>
      <c r="F532" s="3">
        <v>0.34883720930232559</v>
      </c>
      <c r="G532" s="13">
        <v>0.34883720930232559</v>
      </c>
      <c r="H532" s="22">
        <v>3</v>
      </c>
      <c r="I532" s="22">
        <v>1</v>
      </c>
      <c r="J532" s="22">
        <v>1</v>
      </c>
      <c r="K532" s="13">
        <v>0</v>
      </c>
      <c r="L532" s="13">
        <v>16.100000000000001</v>
      </c>
      <c r="M532" s="13">
        <v>0.68382222222222222</v>
      </c>
      <c r="N532" s="13">
        <v>382.2</v>
      </c>
      <c r="O532" s="13">
        <v>0.17095555555555556</v>
      </c>
      <c r="P532" s="13">
        <v>0.34191111111111105</v>
      </c>
      <c r="Q532" s="13">
        <v>382.2</v>
      </c>
      <c r="R532" s="13">
        <v>0.34191111111111105</v>
      </c>
      <c r="S532" s="13">
        <v>382.2</v>
      </c>
      <c r="U532" s="6"/>
      <c r="V532" s="24">
        <v>0.22388059701492538</v>
      </c>
      <c r="W532" s="3">
        <v>14.333333333333334</v>
      </c>
      <c r="X532" s="6"/>
      <c r="Y532" s="5">
        <v>8.1166724637681131</v>
      </c>
      <c r="Z532" s="5">
        <v>8.1166724637681131</v>
      </c>
      <c r="AA532" s="5">
        <v>4.0583362318840575</v>
      </c>
      <c r="AB532" s="5">
        <v>16.23334492753623</v>
      </c>
      <c r="AD532" s="24">
        <v>21.647347296904641</v>
      </c>
      <c r="AE532" s="5">
        <f t="shared" si="8"/>
        <v>5.0366635126377881</v>
      </c>
    </row>
    <row r="533" spans="1:31" ht="25.5" customHeight="1" x14ac:dyDescent="0.2">
      <c r="A533" s="59"/>
      <c r="B533" s="21" t="s">
        <v>682</v>
      </c>
      <c r="C533" s="22">
        <v>25</v>
      </c>
      <c r="D533" s="22">
        <v>430</v>
      </c>
      <c r="E533" s="22">
        <v>150</v>
      </c>
      <c r="F533" s="3">
        <v>0.34883720930232559</v>
      </c>
      <c r="G533" s="13">
        <v>0.34883720930232559</v>
      </c>
      <c r="H533" s="22">
        <v>3</v>
      </c>
      <c r="I533" s="22">
        <v>1</v>
      </c>
      <c r="J533" s="22">
        <v>1</v>
      </c>
      <c r="K533" s="13">
        <v>0</v>
      </c>
      <c r="L533" s="13">
        <v>26.5</v>
      </c>
      <c r="M533" s="13">
        <v>0.70740229885057471</v>
      </c>
      <c r="N533" s="13">
        <v>401.8</v>
      </c>
      <c r="O533" s="13">
        <v>0.17685057471264368</v>
      </c>
      <c r="P533" s="13">
        <v>0.41029333333333329</v>
      </c>
      <c r="Q533" s="13">
        <v>401.8</v>
      </c>
      <c r="R533" s="13">
        <v>0.41029333333333329</v>
      </c>
      <c r="S533" s="13">
        <v>401.8</v>
      </c>
      <c r="U533" s="6"/>
      <c r="V533" s="24">
        <v>0.24233983286908078</v>
      </c>
      <c r="W533" s="3">
        <v>17.2</v>
      </c>
      <c r="X533" s="6"/>
      <c r="Y533" s="5">
        <v>6.2209758993710684</v>
      </c>
      <c r="Z533" s="5">
        <v>6.2209758993710684</v>
      </c>
      <c r="AA533" s="5">
        <v>2.6814551290392536</v>
      </c>
      <c r="AB533" s="5">
        <v>10.725820516157015</v>
      </c>
      <c r="AD533" s="24">
        <v>29.053562862414658</v>
      </c>
      <c r="AE533" s="5">
        <f t="shared" si="8"/>
        <v>6.3227920400988689</v>
      </c>
    </row>
    <row r="534" spans="1:31" ht="25.5" customHeight="1" x14ac:dyDescent="0.2">
      <c r="A534" s="59"/>
      <c r="B534" s="21" t="s">
        <v>683</v>
      </c>
      <c r="C534" s="22">
        <v>23</v>
      </c>
      <c r="D534" s="22">
        <v>430</v>
      </c>
      <c r="E534" s="22">
        <v>150</v>
      </c>
      <c r="F534" s="3">
        <v>0.34883720930232559</v>
      </c>
      <c r="G534" s="13">
        <v>0.34883720930232559</v>
      </c>
      <c r="H534" s="22">
        <v>3</v>
      </c>
      <c r="I534" s="22">
        <v>1</v>
      </c>
      <c r="J534" s="22">
        <v>1</v>
      </c>
      <c r="K534" s="13">
        <v>0</v>
      </c>
      <c r="L534" s="13">
        <v>17.899999999999999</v>
      </c>
      <c r="M534" s="13">
        <v>0.70740229885057471</v>
      </c>
      <c r="N534" s="13">
        <v>401.8</v>
      </c>
      <c r="O534" s="13">
        <v>0.17685057471264368</v>
      </c>
      <c r="P534" s="13">
        <v>0.44597101449275356</v>
      </c>
      <c r="Q534" s="13">
        <v>401.8</v>
      </c>
      <c r="R534" s="13">
        <v>0.44597101449275356</v>
      </c>
      <c r="S534" s="13">
        <v>401.8</v>
      </c>
      <c r="U534" s="6"/>
      <c r="V534" s="24">
        <v>0.25276002324230101</v>
      </c>
      <c r="W534" s="3">
        <v>18.695652173913043</v>
      </c>
      <c r="X534" s="6"/>
      <c r="Y534" s="5">
        <v>10.010678973362481</v>
      </c>
      <c r="Z534" s="5">
        <v>10.010678973362481</v>
      </c>
      <c r="AA534" s="5">
        <v>3.9697520066782253</v>
      </c>
      <c r="AB534" s="5">
        <v>15.879008026712901</v>
      </c>
      <c r="AD534" s="24">
        <v>24.3313455282122</v>
      </c>
      <c r="AE534" s="5">
        <f t="shared" si="8"/>
        <v>7.0030015148657192</v>
      </c>
    </row>
    <row r="535" spans="1:31" ht="25.5" customHeight="1" x14ac:dyDescent="0.2">
      <c r="A535" s="59"/>
      <c r="B535" s="21" t="s">
        <v>684</v>
      </c>
      <c r="C535" s="22">
        <v>25</v>
      </c>
      <c r="D535" s="22">
        <v>430</v>
      </c>
      <c r="E535" s="22">
        <v>150</v>
      </c>
      <c r="F535" s="3">
        <v>0.34883720930232559</v>
      </c>
      <c r="G535" s="13">
        <v>0.34883720930232559</v>
      </c>
      <c r="H535" s="22">
        <v>3</v>
      </c>
      <c r="I535" s="22">
        <v>1</v>
      </c>
      <c r="J535" s="22">
        <v>1</v>
      </c>
      <c r="K535" s="13">
        <v>0</v>
      </c>
      <c r="L535" s="13">
        <v>17.899999999999999</v>
      </c>
      <c r="M535" s="13">
        <v>0.70740229885057471</v>
      </c>
      <c r="N535" s="13">
        <v>401.8</v>
      </c>
      <c r="O535" s="13">
        <v>0.17685057471264368</v>
      </c>
      <c r="P535" s="13">
        <v>0.41866666666666669</v>
      </c>
      <c r="Q535" s="13">
        <v>323.39999999999998</v>
      </c>
      <c r="R535" s="13">
        <v>0.41866666666666669</v>
      </c>
      <c r="S535" s="13">
        <v>323.39999999999998</v>
      </c>
      <c r="U535" s="6"/>
      <c r="V535" s="24">
        <v>0.24233983286908078</v>
      </c>
      <c r="W535" s="3">
        <v>17.2</v>
      </c>
      <c r="X535" s="6"/>
      <c r="Y535" s="5">
        <v>7.5640670391061446</v>
      </c>
      <c r="Z535" s="5">
        <v>7.5640670391061446</v>
      </c>
      <c r="AA535" s="5">
        <v>3.9697520066782253</v>
      </c>
      <c r="AB535" s="5">
        <v>15.879008026712901</v>
      </c>
      <c r="AD535" s="24">
        <v>24.782666835720878</v>
      </c>
      <c r="AE535" s="5">
        <f t="shared" si="8"/>
        <v>6.5622679574539955</v>
      </c>
    </row>
    <row r="536" spans="1:31" ht="25.5" customHeight="1" x14ac:dyDescent="0.2">
      <c r="A536" s="59"/>
      <c r="B536" s="21" t="s">
        <v>685</v>
      </c>
      <c r="C536" s="22">
        <v>20</v>
      </c>
      <c r="D536" s="22">
        <v>430</v>
      </c>
      <c r="E536" s="22">
        <v>150</v>
      </c>
      <c r="F536" s="3">
        <v>0.34883720930232559</v>
      </c>
      <c r="G536" s="13">
        <v>0.34883720930232559</v>
      </c>
      <c r="H536" s="22">
        <v>3</v>
      </c>
      <c r="I536" s="22">
        <v>1</v>
      </c>
      <c r="J536" s="22">
        <v>1</v>
      </c>
      <c r="K536" s="13">
        <v>0</v>
      </c>
      <c r="L536" s="13">
        <v>15.4</v>
      </c>
      <c r="M536" s="13">
        <v>0.70740229885057471</v>
      </c>
      <c r="N536" s="13">
        <v>401.8</v>
      </c>
      <c r="O536" s="13">
        <v>0.17685057471264368</v>
      </c>
      <c r="P536" s="13">
        <v>0.52333333333333332</v>
      </c>
      <c r="Q536" s="13">
        <v>323.39999999999998</v>
      </c>
      <c r="R536" s="13">
        <v>0.52333333333333332</v>
      </c>
      <c r="S536" s="13">
        <v>323.39999999999998</v>
      </c>
      <c r="U536" s="6"/>
      <c r="V536" s="24">
        <v>0.27018633540372672</v>
      </c>
      <c r="W536" s="3">
        <v>21.5</v>
      </c>
      <c r="X536" s="6"/>
      <c r="Y536" s="5">
        <v>10.989999999999998</v>
      </c>
      <c r="Z536" s="5">
        <v>10.989999999999998</v>
      </c>
      <c r="AA536" s="5">
        <v>4.6141922675026121</v>
      </c>
      <c r="AB536" s="5">
        <v>18.456769070010449</v>
      </c>
      <c r="AD536" s="24">
        <v>25.411647750486861</v>
      </c>
      <c r="AE536" s="5">
        <f t="shared" si="8"/>
        <v>9.0680710904731381</v>
      </c>
    </row>
    <row r="537" spans="1:31" ht="25.5" customHeight="1" x14ac:dyDescent="0.2">
      <c r="A537" s="59"/>
      <c r="B537" s="21" t="s">
        <v>686</v>
      </c>
      <c r="C537" s="22">
        <v>27</v>
      </c>
      <c r="D537" s="22">
        <v>430</v>
      </c>
      <c r="E537" s="22">
        <v>400</v>
      </c>
      <c r="F537" s="3">
        <v>0.93023255813953487</v>
      </c>
      <c r="G537" s="13">
        <v>0.93023255813953487</v>
      </c>
      <c r="H537" s="22">
        <v>3</v>
      </c>
      <c r="I537" s="22">
        <v>1</v>
      </c>
      <c r="J537" s="22">
        <v>1</v>
      </c>
      <c r="K537" s="13">
        <v>0</v>
      </c>
      <c r="L537" s="13">
        <v>14.2</v>
      </c>
      <c r="M537" s="13">
        <v>0.70740229885057471</v>
      </c>
      <c r="N537" s="13">
        <v>406.99400000000003</v>
      </c>
      <c r="O537" s="13">
        <v>0.17685057471264368</v>
      </c>
      <c r="P537" s="13">
        <v>0.58148148148148149</v>
      </c>
      <c r="Q537" s="13">
        <v>401.8</v>
      </c>
      <c r="R537" s="13">
        <v>0.58148148148148149</v>
      </c>
      <c r="S537" s="13">
        <v>382.2</v>
      </c>
      <c r="U537" s="6"/>
      <c r="V537" s="24">
        <v>0.23274478330658105</v>
      </c>
      <c r="W537" s="3">
        <v>15.925925925925926</v>
      </c>
      <c r="X537" s="6"/>
      <c r="Y537" s="5">
        <v>15.650860719874805</v>
      </c>
      <c r="Z537" s="5">
        <v>16.453468961919668</v>
      </c>
      <c r="AA537" s="5">
        <v>5.0041240084183265</v>
      </c>
      <c r="AB537" s="5">
        <v>20.27524586045006</v>
      </c>
      <c r="AD537" s="24">
        <v>25.504759856306581</v>
      </c>
      <c r="AE537" s="5">
        <f t="shared" si="8"/>
        <v>7.0207862015501172</v>
      </c>
    </row>
    <row r="538" spans="1:31" ht="25.5" customHeight="1" x14ac:dyDescent="0.2">
      <c r="A538" s="59"/>
      <c r="B538" s="21" t="s">
        <v>687</v>
      </c>
      <c r="C538" s="22">
        <v>24</v>
      </c>
      <c r="D538" s="22">
        <v>430</v>
      </c>
      <c r="E538" s="22">
        <v>400</v>
      </c>
      <c r="F538" s="3">
        <v>0.93023255813953487</v>
      </c>
      <c r="G538" s="13">
        <v>0.93023255813953487</v>
      </c>
      <c r="H538" s="22">
        <v>3</v>
      </c>
      <c r="I538" s="22">
        <v>1</v>
      </c>
      <c r="J538" s="22">
        <v>1</v>
      </c>
      <c r="K538" s="13">
        <v>0</v>
      </c>
      <c r="L538" s="13">
        <v>14.2</v>
      </c>
      <c r="M538" s="13">
        <v>0.70740229885057471</v>
      </c>
      <c r="N538" s="13">
        <v>406.99400000000003</v>
      </c>
      <c r="O538" s="13">
        <v>0.17685057471264368</v>
      </c>
      <c r="P538" s="13">
        <v>0.65416666666666667</v>
      </c>
      <c r="Q538" s="13">
        <v>323.39999999999998</v>
      </c>
      <c r="R538" s="13">
        <v>0.65416666666666667</v>
      </c>
      <c r="S538" s="13">
        <v>382.2</v>
      </c>
      <c r="U538" s="6"/>
      <c r="V538" s="24">
        <v>0.24744027303754265</v>
      </c>
      <c r="W538" s="3">
        <v>17.916666666666668</v>
      </c>
      <c r="X538" s="6"/>
      <c r="Y538" s="5">
        <v>17.607218309859157</v>
      </c>
      <c r="Z538" s="5">
        <v>14.898415492957746</v>
      </c>
      <c r="AA538" s="5">
        <v>5.0041240084183265</v>
      </c>
      <c r="AB538" s="5">
        <v>20.27524586045006</v>
      </c>
      <c r="AD538" s="24">
        <v>23.764165310135517</v>
      </c>
      <c r="AE538" s="5">
        <f t="shared" si="8"/>
        <v>7.3593523501432809</v>
      </c>
    </row>
    <row r="539" spans="1:31" ht="25.5" customHeight="1" x14ac:dyDescent="0.2">
      <c r="A539" s="59"/>
      <c r="B539" s="21" t="s">
        <v>688</v>
      </c>
      <c r="C539" s="22">
        <v>22</v>
      </c>
      <c r="D539" s="22">
        <v>430</v>
      </c>
      <c r="E539" s="22">
        <v>400</v>
      </c>
      <c r="F539" s="3">
        <v>0.93023255813953487</v>
      </c>
      <c r="G539" s="13">
        <v>0.93023255813953487</v>
      </c>
      <c r="H539" s="22">
        <v>3</v>
      </c>
      <c r="I539" s="22">
        <v>1</v>
      </c>
      <c r="J539" s="22">
        <v>1</v>
      </c>
      <c r="K539" s="13">
        <v>0</v>
      </c>
      <c r="L539" s="13">
        <v>16.2</v>
      </c>
      <c r="M539" s="13">
        <v>1.5209149425287354</v>
      </c>
      <c r="N539" s="13">
        <v>406.99400000000003</v>
      </c>
      <c r="O539" s="13">
        <v>0.45981149425287349</v>
      </c>
      <c r="P539" s="13">
        <v>0.46624242424242418</v>
      </c>
      <c r="Q539" s="13">
        <v>323.39999999999998</v>
      </c>
      <c r="R539" s="13">
        <v>0.46624242424242418</v>
      </c>
      <c r="S539" s="13">
        <v>382.2</v>
      </c>
      <c r="U539" s="6"/>
      <c r="V539" s="24">
        <v>0.25831353919239908</v>
      </c>
      <c r="W539" s="3">
        <v>19.545454545454547</v>
      </c>
      <c r="X539" s="6"/>
      <c r="Y539" s="5">
        <v>10.999867564534229</v>
      </c>
      <c r="Z539" s="5">
        <v>9.3075802469135791</v>
      </c>
      <c r="AA539" s="5">
        <v>11.404460394494111</v>
      </c>
      <c r="AB539" s="5">
        <v>38.210077538243226</v>
      </c>
      <c r="AD539" s="24">
        <v>19.997758797825121</v>
      </c>
      <c r="AE539" s="5">
        <f t="shared" si="8"/>
        <v>6.3251901127212076</v>
      </c>
    </row>
    <row r="540" spans="1:31" ht="25.5" customHeight="1" x14ac:dyDescent="0.2">
      <c r="A540" s="59"/>
      <c r="B540" s="21" t="s">
        <v>689</v>
      </c>
      <c r="C540" s="22">
        <v>16</v>
      </c>
      <c r="D540" s="22">
        <v>430</v>
      </c>
      <c r="E540" s="22">
        <v>400</v>
      </c>
      <c r="F540" s="3">
        <v>0.93023255813953487</v>
      </c>
      <c r="G540" s="13">
        <v>0.93023255813953487</v>
      </c>
      <c r="H540" s="22">
        <v>3</v>
      </c>
      <c r="I540" s="22">
        <v>1</v>
      </c>
      <c r="J540" s="22">
        <v>1</v>
      </c>
      <c r="K540" s="13">
        <v>0</v>
      </c>
      <c r="L540" s="13">
        <v>13.8</v>
      </c>
      <c r="M540" s="13">
        <v>1.5209149425287354</v>
      </c>
      <c r="N540" s="13">
        <v>406.99400000000003</v>
      </c>
      <c r="O540" s="13">
        <v>0.45981149425287349</v>
      </c>
      <c r="P540" s="13">
        <v>0.64108333333333323</v>
      </c>
      <c r="Q540" s="13">
        <v>323.39999999999998</v>
      </c>
      <c r="R540" s="13">
        <v>0.64108333333333323</v>
      </c>
      <c r="S540" s="13">
        <v>382.2</v>
      </c>
      <c r="U540" s="6"/>
      <c r="V540" s="24">
        <v>0.29753761969904241</v>
      </c>
      <c r="W540" s="3">
        <v>26.875</v>
      </c>
      <c r="X540" s="6"/>
      <c r="Y540" s="5">
        <v>17.755221014492751</v>
      </c>
      <c r="Z540" s="5">
        <v>15.023648550724634</v>
      </c>
      <c r="AA540" s="5">
        <v>13.387844810927866</v>
      </c>
      <c r="AB540" s="5">
        <v>44.855308414459429</v>
      </c>
      <c r="AD540" s="24">
        <v>20.221122961086902</v>
      </c>
      <c r="AE540" s="5">
        <f t="shared" si="8"/>
        <v>9.5283607144419342</v>
      </c>
    </row>
    <row r="541" spans="1:31" ht="25.5" customHeight="1" x14ac:dyDescent="0.2">
      <c r="A541" s="59"/>
      <c r="B541" s="21" t="s">
        <v>690</v>
      </c>
      <c r="C541" s="22">
        <v>22</v>
      </c>
      <c r="D541" s="22">
        <v>430</v>
      </c>
      <c r="E541" s="22">
        <v>400</v>
      </c>
      <c r="F541" s="3">
        <v>0.93023255813953487</v>
      </c>
      <c r="G541" s="13">
        <v>0.93023255813953487</v>
      </c>
      <c r="H541" s="22">
        <v>3</v>
      </c>
      <c r="I541" s="22">
        <v>1</v>
      </c>
      <c r="J541" s="22">
        <v>1</v>
      </c>
      <c r="K541" s="13">
        <v>0</v>
      </c>
      <c r="L541" s="13">
        <v>17.899999999999999</v>
      </c>
      <c r="M541" s="13">
        <v>1.5209149425287354</v>
      </c>
      <c r="N541" s="13">
        <v>406.99400000000003</v>
      </c>
      <c r="O541" s="13">
        <v>0.45981149425287349</v>
      </c>
      <c r="P541" s="13">
        <v>0.47575757575757577</v>
      </c>
      <c r="Q541" s="13">
        <v>323.39999999999998</v>
      </c>
      <c r="R541" s="13">
        <v>0.47575757575757577</v>
      </c>
      <c r="S541" s="13">
        <v>401.8</v>
      </c>
      <c r="U541" s="6"/>
      <c r="V541" s="24">
        <v>0.25831353919239908</v>
      </c>
      <c r="W541" s="3">
        <v>19.545454545454547</v>
      </c>
      <c r="X541" s="6"/>
      <c r="Y541" s="5">
        <v>10.679295750804132</v>
      </c>
      <c r="Z541" s="5">
        <v>8.5955307262569836</v>
      </c>
      <c r="AA541" s="5">
        <v>10.321355217363385</v>
      </c>
      <c r="AB541" s="5">
        <v>34.581187492711749</v>
      </c>
      <c r="AD541" s="24">
        <v>25.218554323445801</v>
      </c>
      <c r="AE541" s="5">
        <f t="shared" si="8"/>
        <v>7.588281544583797</v>
      </c>
    </row>
    <row r="542" spans="1:31" ht="25.5" customHeight="1" x14ac:dyDescent="0.2">
      <c r="A542" s="59"/>
      <c r="B542" s="21" t="s">
        <v>691</v>
      </c>
      <c r="C542" s="22">
        <v>22</v>
      </c>
      <c r="D542" s="22">
        <v>430</v>
      </c>
      <c r="E542" s="22">
        <v>400</v>
      </c>
      <c r="F542" s="3">
        <v>0.93023255813953487</v>
      </c>
      <c r="G542" s="13">
        <v>0.93023255813953487</v>
      </c>
      <c r="H542" s="22">
        <v>3</v>
      </c>
      <c r="I542" s="22">
        <v>1</v>
      </c>
      <c r="J542" s="22">
        <v>1</v>
      </c>
      <c r="K542" s="13">
        <v>0</v>
      </c>
      <c r="L542" s="13">
        <v>16.8</v>
      </c>
      <c r="M542" s="13">
        <v>1.5209149425287354</v>
      </c>
      <c r="N542" s="13">
        <v>406.99400000000003</v>
      </c>
      <c r="O542" s="13">
        <v>0.45981149425287349</v>
      </c>
      <c r="P542" s="13">
        <v>0.47575757575757577</v>
      </c>
      <c r="Q542" s="13">
        <v>323.39999999999998</v>
      </c>
      <c r="R542" s="13">
        <v>0.47575757575757577</v>
      </c>
      <c r="S542" s="13">
        <v>401.8</v>
      </c>
      <c r="U542" s="6"/>
      <c r="V542" s="24">
        <v>0.25831353919239908</v>
      </c>
      <c r="W542" s="3">
        <v>19.545454545454547</v>
      </c>
      <c r="X542" s="6"/>
      <c r="Y542" s="5">
        <v>11.378535353535353</v>
      </c>
      <c r="Z542" s="5">
        <v>9.1583333333333314</v>
      </c>
      <c r="AA542" s="5">
        <v>10.997158237547891</v>
      </c>
      <c r="AB542" s="5">
        <v>36.845431911877391</v>
      </c>
      <c r="AD542" s="24">
        <v>26.165264042883418</v>
      </c>
      <c r="AE542" s="5">
        <f t="shared" si="8"/>
        <v>8.1268126074652844</v>
      </c>
    </row>
    <row r="543" spans="1:31" ht="25.5" customHeight="1" x14ac:dyDescent="0.2">
      <c r="A543" s="59"/>
      <c r="B543" s="21" t="s">
        <v>692</v>
      </c>
      <c r="C543" s="22">
        <v>24</v>
      </c>
      <c r="D543" s="22">
        <v>430</v>
      </c>
      <c r="E543" s="22">
        <v>330</v>
      </c>
      <c r="F543" s="3">
        <v>0.76744186046511631</v>
      </c>
      <c r="G543" s="13">
        <v>0.76744186046511631</v>
      </c>
      <c r="H543" s="22">
        <v>3</v>
      </c>
      <c r="I543" s="22">
        <v>1</v>
      </c>
      <c r="J543" s="22">
        <v>1</v>
      </c>
      <c r="K543" s="13">
        <v>0</v>
      </c>
      <c r="L543" s="13">
        <v>23.9</v>
      </c>
      <c r="M543" s="13">
        <v>1.5209149425287354</v>
      </c>
      <c r="N543" s="13">
        <v>406.99400000000003</v>
      </c>
      <c r="O543" s="13">
        <v>0.45981149425287349</v>
      </c>
      <c r="P543" s="13">
        <v>0.65416666666666667</v>
      </c>
      <c r="Q543" s="13">
        <v>323.39999999999998</v>
      </c>
      <c r="R543" s="13">
        <v>0.65416666666666667</v>
      </c>
      <c r="S543" s="13">
        <v>323.39999999999998</v>
      </c>
      <c r="U543" s="6"/>
      <c r="V543" s="24">
        <v>0.24744027303754265</v>
      </c>
      <c r="W543" s="3">
        <v>17.916666666666668</v>
      </c>
      <c r="X543" s="6"/>
      <c r="Y543" s="5">
        <v>8.851778242677824</v>
      </c>
      <c r="Z543" s="5">
        <v>8.851778242677824</v>
      </c>
      <c r="AA543" s="5">
        <v>7.7302200163516561</v>
      </c>
      <c r="AB543" s="5">
        <v>25.899717829269466</v>
      </c>
      <c r="AD543" s="24">
        <v>27.922590770782499</v>
      </c>
      <c r="AE543" s="5">
        <f t="shared" ref="AE543:AE584" si="9">AD543*1000/C543/D543*145.038/SQRT(145.038*L543)</f>
        <v>6.6652733480004391</v>
      </c>
    </row>
    <row r="544" spans="1:31" ht="25.5" customHeight="1" x14ac:dyDescent="0.2">
      <c r="A544" s="59"/>
      <c r="B544" s="21" t="s">
        <v>693</v>
      </c>
      <c r="C544" s="22">
        <v>23</v>
      </c>
      <c r="D544" s="22">
        <v>430</v>
      </c>
      <c r="E544" s="22">
        <v>330</v>
      </c>
      <c r="F544" s="3">
        <v>0.76744186046511631</v>
      </c>
      <c r="G544" s="13">
        <v>0.76744186046511631</v>
      </c>
      <c r="H544" s="22">
        <v>3</v>
      </c>
      <c r="I544" s="22">
        <v>1</v>
      </c>
      <c r="J544" s="22">
        <v>1</v>
      </c>
      <c r="K544" s="13">
        <v>0</v>
      </c>
      <c r="L544" s="13">
        <v>16.2</v>
      </c>
      <c r="M544" s="13">
        <v>1.5209149425287354</v>
      </c>
      <c r="N544" s="13">
        <v>406.99400000000003</v>
      </c>
      <c r="O544" s="13">
        <v>0.45981149425287349</v>
      </c>
      <c r="P544" s="13">
        <v>0.68260869565217386</v>
      </c>
      <c r="Q544" s="13">
        <v>323.39999999999998</v>
      </c>
      <c r="R544" s="13">
        <v>0.68260869565217386</v>
      </c>
      <c r="S544" s="13">
        <v>323.39999999999998</v>
      </c>
      <c r="U544" s="6"/>
      <c r="V544" s="24">
        <v>0.25276002324230101</v>
      </c>
      <c r="W544" s="3">
        <v>18.695652173913043</v>
      </c>
      <c r="X544" s="6"/>
      <c r="Y544" s="5">
        <v>13.626892109500803</v>
      </c>
      <c r="Z544" s="5">
        <v>13.626892109500803</v>
      </c>
      <c r="AA544" s="5">
        <v>11.404460394494111</v>
      </c>
      <c r="AB544" s="5">
        <v>38.210077538243226</v>
      </c>
      <c r="AD544" s="24">
        <v>27.376953817326196</v>
      </c>
      <c r="AE544" s="5">
        <f t="shared" si="9"/>
        <v>8.2827056114112683</v>
      </c>
    </row>
    <row r="545" spans="1:31" ht="25.5" customHeight="1" x14ac:dyDescent="0.2">
      <c r="A545" s="59"/>
      <c r="B545" s="21" t="s">
        <v>694</v>
      </c>
      <c r="C545" s="22">
        <v>23</v>
      </c>
      <c r="D545" s="22">
        <v>430</v>
      </c>
      <c r="E545" s="22">
        <v>330</v>
      </c>
      <c r="F545" s="3">
        <v>0.76744186046511631</v>
      </c>
      <c r="G545" s="13">
        <v>0.76744186046511631</v>
      </c>
      <c r="H545" s="22">
        <v>3</v>
      </c>
      <c r="I545" s="22">
        <v>1</v>
      </c>
      <c r="J545" s="22">
        <v>1</v>
      </c>
      <c r="K545" s="13">
        <v>0</v>
      </c>
      <c r="L545" s="13">
        <v>15.7</v>
      </c>
      <c r="M545" s="13">
        <v>1.5209149425287354</v>
      </c>
      <c r="N545" s="13">
        <v>406.99400000000003</v>
      </c>
      <c r="O545" s="13">
        <v>0.38907126436781603</v>
      </c>
      <c r="P545" s="13">
        <v>0.44597101449275356</v>
      </c>
      <c r="Q545" s="13">
        <v>323.39999999999998</v>
      </c>
      <c r="R545" s="13">
        <v>0.44597101449275356</v>
      </c>
      <c r="S545" s="13">
        <v>323.39999999999998</v>
      </c>
      <c r="U545" s="6"/>
      <c r="V545" s="24">
        <v>0.25276002324230101</v>
      </c>
      <c r="W545" s="3">
        <v>18.695652173913043</v>
      </c>
      <c r="X545" s="6"/>
      <c r="Y545" s="5">
        <v>9.1864347826086945</v>
      </c>
      <c r="Z545" s="5">
        <v>9.1864347826086945</v>
      </c>
      <c r="AA545" s="5">
        <v>9.9572505747126421</v>
      </c>
      <c r="AB545" s="5">
        <v>39.426958988505746</v>
      </c>
      <c r="AD545" s="24">
        <v>26.017740429046601</v>
      </c>
      <c r="AE545" s="5">
        <f t="shared" si="9"/>
        <v>7.9958448760212235</v>
      </c>
    </row>
    <row r="546" spans="1:31" ht="25.5" customHeight="1" x14ac:dyDescent="0.2">
      <c r="A546" s="58" t="s">
        <v>695</v>
      </c>
      <c r="B546" s="21" t="s">
        <v>696</v>
      </c>
      <c r="C546" s="22">
        <v>90</v>
      </c>
      <c r="D546" s="22">
        <v>430</v>
      </c>
      <c r="E546" s="22">
        <v>725</v>
      </c>
      <c r="F546" s="3">
        <v>2.79</v>
      </c>
      <c r="G546" s="13">
        <v>1.6860465116279071</v>
      </c>
      <c r="H546" s="22">
        <v>1</v>
      </c>
      <c r="I546" s="22">
        <v>2</v>
      </c>
      <c r="J546" s="22">
        <v>1</v>
      </c>
      <c r="K546" s="24">
        <v>0.39970930232558138</v>
      </c>
      <c r="L546" s="13">
        <v>32</v>
      </c>
      <c r="M546" s="13">
        <v>0.89002267573696148</v>
      </c>
      <c r="N546" s="13">
        <v>393</v>
      </c>
      <c r="O546" s="13">
        <v>1.256</v>
      </c>
      <c r="P546" s="13">
        <v>1.1593132730293521</v>
      </c>
      <c r="Q546" s="13">
        <v>372</v>
      </c>
      <c r="R546" s="13">
        <v>2.9074074074074074</v>
      </c>
      <c r="S546" s="13">
        <v>393</v>
      </c>
      <c r="U546" s="6"/>
      <c r="V546" s="24">
        <v>0.45581395348837211</v>
      </c>
      <c r="W546" s="3">
        <v>4.7777777777777777</v>
      </c>
      <c r="X546" s="6"/>
      <c r="Y546" s="5">
        <v>35.706597222222221</v>
      </c>
      <c r="Z546" s="5">
        <v>13.477016798966218</v>
      </c>
      <c r="AA546" s="5">
        <v>14.601000000000001</v>
      </c>
      <c r="AB546" s="5">
        <v>10.930590986394558</v>
      </c>
      <c r="AD546" s="13">
        <v>95</v>
      </c>
      <c r="AE546" s="5">
        <f t="shared" si="9"/>
        <v>5.2261100690416731</v>
      </c>
    </row>
    <row r="547" spans="1:31" ht="25.5" customHeight="1" x14ac:dyDescent="0.2">
      <c r="A547" s="59"/>
      <c r="B547" s="21" t="s">
        <v>697</v>
      </c>
      <c r="C547" s="22">
        <v>90</v>
      </c>
      <c r="D547" s="22">
        <v>430</v>
      </c>
      <c r="E547" s="22">
        <v>725</v>
      </c>
      <c r="F547" s="3">
        <v>2.79</v>
      </c>
      <c r="G547" s="13">
        <v>1.6860465116279071</v>
      </c>
      <c r="H547" s="22">
        <v>1</v>
      </c>
      <c r="I547" s="22">
        <v>2</v>
      </c>
      <c r="J547" s="22">
        <v>1</v>
      </c>
      <c r="K547" s="24">
        <v>0.39992049294374876</v>
      </c>
      <c r="L547" s="13">
        <v>32.5</v>
      </c>
      <c r="M547" s="13">
        <v>0</v>
      </c>
      <c r="N547" s="13">
        <v>393</v>
      </c>
      <c r="O547" s="13">
        <v>0</v>
      </c>
      <c r="P547" s="13">
        <v>1.1593132730293521</v>
      </c>
      <c r="Q547" s="13">
        <v>372</v>
      </c>
      <c r="R547" s="13">
        <v>2.9074074074074074</v>
      </c>
      <c r="S547" s="13">
        <v>393</v>
      </c>
      <c r="U547" s="6"/>
      <c r="V547" s="24">
        <v>0</v>
      </c>
      <c r="W547" s="3">
        <v>4.7777777777777777</v>
      </c>
      <c r="X547" s="6"/>
      <c r="Y547" s="5">
        <v>35.157264957264957</v>
      </c>
      <c r="Z547" s="5">
        <v>13.269678078982123</v>
      </c>
      <c r="AA547" s="5">
        <v>0</v>
      </c>
      <c r="AB547" s="5">
        <v>0</v>
      </c>
      <c r="AD547" s="13">
        <v>101</v>
      </c>
      <c r="AE547" s="5">
        <f t="shared" si="9"/>
        <v>5.5132746703246269</v>
      </c>
    </row>
    <row r="548" spans="1:31" ht="25.5" customHeight="1" x14ac:dyDescent="0.2">
      <c r="A548" s="59"/>
      <c r="B548" s="21" t="s">
        <v>698</v>
      </c>
      <c r="C548" s="22">
        <v>90</v>
      </c>
      <c r="D548" s="22">
        <v>430</v>
      </c>
      <c r="E548" s="22">
        <v>725</v>
      </c>
      <c r="F548" s="3">
        <v>2.79</v>
      </c>
      <c r="G548" s="13">
        <v>1.6860465116279071</v>
      </c>
      <c r="H548" s="22">
        <v>1</v>
      </c>
      <c r="I548" s="22">
        <v>2</v>
      </c>
      <c r="J548" s="22">
        <v>1</v>
      </c>
      <c r="K548" s="24">
        <v>0.39995506122907537</v>
      </c>
      <c r="L548" s="13">
        <v>34.5</v>
      </c>
      <c r="M548" s="13">
        <v>10.902777777777779</v>
      </c>
      <c r="N548" s="13">
        <v>393</v>
      </c>
      <c r="O548" s="13">
        <v>1.256</v>
      </c>
      <c r="P548" s="13">
        <v>1.1593132730293521</v>
      </c>
      <c r="Q548" s="13">
        <v>372</v>
      </c>
      <c r="R548" s="13">
        <v>2.9074074074074074</v>
      </c>
      <c r="S548" s="13">
        <v>393</v>
      </c>
      <c r="U548" s="6"/>
      <c r="V548" s="24">
        <v>3.7209302325581395E-2</v>
      </c>
      <c r="W548" s="3">
        <v>4.7777777777777777</v>
      </c>
      <c r="X548" s="6"/>
      <c r="Y548" s="5">
        <v>33.11916264090177</v>
      </c>
      <c r="Z548" s="5">
        <v>12.500421378751275</v>
      </c>
      <c r="AA548" s="5">
        <v>13.542956521739132</v>
      </c>
      <c r="AB548" s="5">
        <v>124.19685990338165</v>
      </c>
      <c r="AD548" s="13">
        <v>102</v>
      </c>
      <c r="AE548" s="5">
        <f t="shared" si="9"/>
        <v>5.4040649546218447</v>
      </c>
    </row>
    <row r="549" spans="1:31" ht="25.5" customHeight="1" x14ac:dyDescent="0.2">
      <c r="A549" s="59"/>
      <c r="B549" s="21" t="s">
        <v>699</v>
      </c>
      <c r="C549" s="22">
        <v>90</v>
      </c>
      <c r="D549" s="22">
        <v>430</v>
      </c>
      <c r="E549" s="22">
        <v>725</v>
      </c>
      <c r="F549" s="3">
        <v>2.79</v>
      </c>
      <c r="G549" s="13">
        <v>1.6860465116279071</v>
      </c>
      <c r="H549" s="22">
        <v>1</v>
      </c>
      <c r="I549" s="22">
        <v>2</v>
      </c>
      <c r="J549" s="22">
        <v>1</v>
      </c>
      <c r="K549" s="24">
        <v>0.40021978674745312</v>
      </c>
      <c r="L549" s="13">
        <v>34.799999999999997</v>
      </c>
      <c r="M549" s="13">
        <v>10.902777777777779</v>
      </c>
      <c r="N549" s="13">
        <v>393</v>
      </c>
      <c r="O549" s="13">
        <v>0</v>
      </c>
      <c r="P549" s="13">
        <v>1.1593132730293521</v>
      </c>
      <c r="Q549" s="13">
        <v>372</v>
      </c>
      <c r="R549" s="13">
        <v>2.9074074074074074</v>
      </c>
      <c r="S549" s="13">
        <v>393</v>
      </c>
      <c r="U549" s="6"/>
      <c r="V549" s="24">
        <v>3.7209302325581395E-2</v>
      </c>
      <c r="W549" s="3">
        <v>4.7777777777777777</v>
      </c>
      <c r="X549" s="6"/>
      <c r="Y549" s="5">
        <v>32.833652618135382</v>
      </c>
      <c r="Z549" s="5">
        <v>12.392659125486178</v>
      </c>
      <c r="AA549" s="5">
        <v>0</v>
      </c>
      <c r="AB549" s="5">
        <v>123.12619731800768</v>
      </c>
      <c r="AD549" s="13">
        <v>110</v>
      </c>
      <c r="AE549" s="5">
        <f t="shared" si="9"/>
        <v>5.8027384976665308</v>
      </c>
    </row>
    <row r="550" spans="1:31" ht="25.5" customHeight="1" x14ac:dyDescent="0.2">
      <c r="A550" s="59"/>
      <c r="B550" s="21" t="s">
        <v>700</v>
      </c>
      <c r="C550" s="22">
        <v>90</v>
      </c>
      <c r="D550" s="22">
        <v>430</v>
      </c>
      <c r="E550" s="22">
        <v>725</v>
      </c>
      <c r="F550" s="3">
        <v>2.79</v>
      </c>
      <c r="G550" s="13">
        <v>1.6860465116279071</v>
      </c>
      <c r="H550" s="22">
        <v>1</v>
      </c>
      <c r="I550" s="22">
        <v>2</v>
      </c>
      <c r="J550" s="22">
        <v>1</v>
      </c>
      <c r="K550" s="24">
        <v>0.19993131194190952</v>
      </c>
      <c r="L550" s="13">
        <v>63.2</v>
      </c>
      <c r="M550" s="13">
        <v>0.89002267573696148</v>
      </c>
      <c r="N550" s="13">
        <v>393</v>
      </c>
      <c r="O550" s="13">
        <v>0</v>
      </c>
      <c r="P550" s="13">
        <v>1.1593132730293521</v>
      </c>
      <c r="Q550" s="13">
        <v>372</v>
      </c>
      <c r="R550" s="13">
        <v>2.9074074074074074</v>
      </c>
      <c r="S550" s="13">
        <v>393</v>
      </c>
      <c r="U550" s="6"/>
      <c r="V550" s="24">
        <v>0.45581395348837211</v>
      </c>
      <c r="W550" s="3">
        <v>4.7777777777777777</v>
      </c>
      <c r="X550" s="6"/>
      <c r="Y550" s="5">
        <v>18.079289732770743</v>
      </c>
      <c r="Z550" s="5">
        <v>6.82380597416011</v>
      </c>
      <c r="AA550" s="5">
        <v>0</v>
      </c>
      <c r="AB550" s="5">
        <v>5.5344764488073706</v>
      </c>
      <c r="AD550" s="13">
        <v>108</v>
      </c>
      <c r="AE550" s="5">
        <f t="shared" si="9"/>
        <v>4.2276122976202473</v>
      </c>
    </row>
    <row r="551" spans="1:31" ht="25.5" customHeight="1" x14ac:dyDescent="0.2">
      <c r="A551" s="59"/>
      <c r="B551" s="21" t="s">
        <v>701</v>
      </c>
      <c r="C551" s="22">
        <v>90</v>
      </c>
      <c r="D551" s="22">
        <v>430</v>
      </c>
      <c r="E551" s="22">
        <v>725</v>
      </c>
      <c r="F551" s="3">
        <v>2.79</v>
      </c>
      <c r="G551" s="13">
        <v>1.6860465116279071</v>
      </c>
      <c r="H551" s="22">
        <v>1</v>
      </c>
      <c r="I551" s="22">
        <v>2</v>
      </c>
      <c r="J551" s="22">
        <v>1</v>
      </c>
      <c r="K551" s="24">
        <v>0.19980525310773045</v>
      </c>
      <c r="L551" s="13">
        <v>61.3</v>
      </c>
      <c r="M551" s="13">
        <v>0</v>
      </c>
      <c r="N551" s="13">
        <v>393</v>
      </c>
      <c r="O551" s="13">
        <v>0</v>
      </c>
      <c r="P551" s="13">
        <v>1.1593132730293521</v>
      </c>
      <c r="Q551" s="13">
        <v>372</v>
      </c>
      <c r="R551" s="13">
        <v>2.9074074074074074</v>
      </c>
      <c r="S551" s="13">
        <v>393</v>
      </c>
      <c r="U551" s="6"/>
      <c r="V551" s="24">
        <v>0</v>
      </c>
      <c r="W551" s="3">
        <v>4.7777777777777777</v>
      </c>
      <c r="X551" s="6"/>
      <c r="Y551" s="5">
        <v>18.639659235091536</v>
      </c>
      <c r="Z551" s="5">
        <v>7.0353105638975366</v>
      </c>
      <c r="AA551" s="5">
        <v>0</v>
      </c>
      <c r="AB551" s="5">
        <v>0</v>
      </c>
      <c r="AD551" s="13">
        <v>114</v>
      </c>
      <c r="AE551" s="5">
        <f t="shared" si="9"/>
        <v>4.5311094237419436</v>
      </c>
    </row>
    <row r="552" spans="1:31" ht="25.5" customHeight="1" x14ac:dyDescent="0.2">
      <c r="A552" s="59"/>
      <c r="B552" s="21" t="s">
        <v>702</v>
      </c>
      <c r="C552" s="22">
        <v>90</v>
      </c>
      <c r="D552" s="22">
        <v>430</v>
      </c>
      <c r="E552" s="22">
        <v>725</v>
      </c>
      <c r="F552" s="3">
        <v>2.79</v>
      </c>
      <c r="G552" s="13">
        <v>1.6860465116279071</v>
      </c>
      <c r="H552" s="22">
        <v>1</v>
      </c>
      <c r="I552" s="22">
        <v>2</v>
      </c>
      <c r="J552" s="22">
        <v>1</v>
      </c>
      <c r="K552" s="24">
        <v>0.19999840001279989</v>
      </c>
      <c r="L552" s="13">
        <v>64.599999999999994</v>
      </c>
      <c r="M552" s="13">
        <v>10.902777777777779</v>
      </c>
      <c r="N552" s="13">
        <v>393</v>
      </c>
      <c r="O552" s="13">
        <v>1.256</v>
      </c>
      <c r="P552" s="13">
        <v>1.1593132730293521</v>
      </c>
      <c r="Q552" s="13">
        <v>372</v>
      </c>
      <c r="R552" s="13">
        <v>2.9074074074074074</v>
      </c>
      <c r="S552" s="13">
        <v>393</v>
      </c>
      <c r="U552" s="6"/>
      <c r="V552" s="24">
        <v>3.7209302325581395E-2</v>
      </c>
      <c r="W552" s="3">
        <v>4.7777777777777777</v>
      </c>
      <c r="X552" s="6"/>
      <c r="Y552" s="5">
        <v>17.687478500171999</v>
      </c>
      <c r="Z552" s="5">
        <v>6.6759216341628331</v>
      </c>
      <c r="AA552" s="5">
        <v>7.2326934984520133</v>
      </c>
      <c r="AB552" s="5">
        <v>66.328044375645007</v>
      </c>
      <c r="AD552" s="13">
        <v>125</v>
      </c>
      <c r="AE552" s="5">
        <f t="shared" si="9"/>
        <v>4.8397584884274236</v>
      </c>
    </row>
    <row r="553" spans="1:31" ht="25.5" customHeight="1" x14ac:dyDescent="0.2">
      <c r="A553" s="59"/>
      <c r="B553" s="21" t="s">
        <v>703</v>
      </c>
      <c r="C553" s="22">
        <v>90</v>
      </c>
      <c r="D553" s="22">
        <v>430</v>
      </c>
      <c r="E553" s="22">
        <v>725</v>
      </c>
      <c r="F553" s="3">
        <v>2.79</v>
      </c>
      <c r="G553" s="13">
        <v>1.6860465116279071</v>
      </c>
      <c r="H553" s="22">
        <v>1</v>
      </c>
      <c r="I553" s="22">
        <v>2</v>
      </c>
      <c r="J553" s="22">
        <v>1</v>
      </c>
      <c r="K553" s="24">
        <v>0.19986819971212041</v>
      </c>
      <c r="L553" s="13">
        <v>59.6</v>
      </c>
      <c r="M553" s="13">
        <v>10.902777777777779</v>
      </c>
      <c r="N553" s="13">
        <v>393</v>
      </c>
      <c r="O553" s="13">
        <v>0</v>
      </c>
      <c r="P553" s="13">
        <v>1.1593132730293521</v>
      </c>
      <c r="Q553" s="13">
        <v>372</v>
      </c>
      <c r="R553" s="13">
        <v>2.9074074074074074</v>
      </c>
      <c r="S553" s="13">
        <v>393</v>
      </c>
      <c r="U553" s="6"/>
      <c r="V553" s="24">
        <v>3.7209302325581395E-2</v>
      </c>
      <c r="W553" s="3">
        <v>4.7777777777777777</v>
      </c>
      <c r="X553" s="6"/>
      <c r="Y553" s="5">
        <v>19.171327367636092</v>
      </c>
      <c r="Z553" s="5">
        <v>7.2359821739415935</v>
      </c>
      <c r="AA553" s="5">
        <v>0</v>
      </c>
      <c r="AB553" s="5">
        <v>71.892477628635348</v>
      </c>
      <c r="AD553" s="13">
        <v>121</v>
      </c>
      <c r="AE553" s="5">
        <f t="shared" si="9"/>
        <v>4.8774427069594726</v>
      </c>
    </row>
    <row r="554" spans="1:31" ht="25.5" customHeight="1" x14ac:dyDescent="0.2">
      <c r="A554" s="59"/>
      <c r="B554" s="21" t="s">
        <v>704</v>
      </c>
      <c r="C554" s="22">
        <v>90</v>
      </c>
      <c r="D554" s="22">
        <v>430</v>
      </c>
      <c r="E554" s="22">
        <v>725</v>
      </c>
      <c r="F554" s="3">
        <v>2.79</v>
      </c>
      <c r="G554" s="13">
        <v>1.6860465116279071</v>
      </c>
      <c r="H554" s="22">
        <v>1</v>
      </c>
      <c r="I554" s="22">
        <v>2</v>
      </c>
      <c r="J554" s="22">
        <v>1</v>
      </c>
      <c r="K554" s="24">
        <v>0.26609694012578256</v>
      </c>
      <c r="L554" s="13">
        <v>53.7</v>
      </c>
      <c r="M554" s="13">
        <v>10.902777777777779</v>
      </c>
      <c r="N554" s="13">
        <v>393</v>
      </c>
      <c r="O554" s="13">
        <v>1.256</v>
      </c>
      <c r="P554" s="13">
        <v>1.1593132730293521</v>
      </c>
      <c r="Q554" s="13">
        <v>372</v>
      </c>
      <c r="R554" s="13">
        <v>2.9074074074074074</v>
      </c>
      <c r="S554" s="13">
        <v>393</v>
      </c>
      <c r="U554" s="6"/>
      <c r="V554" s="24">
        <v>3.7209302325581395E-2</v>
      </c>
      <c r="W554" s="3">
        <v>4.7777777777777777</v>
      </c>
      <c r="X554" s="6"/>
      <c r="Y554" s="5">
        <v>21.277674322367059</v>
      </c>
      <c r="Z554" s="5">
        <v>8.0309969751754</v>
      </c>
      <c r="AA554" s="5">
        <v>8.7007821229050286</v>
      </c>
      <c r="AB554" s="5">
        <v>79.791278708876476</v>
      </c>
      <c r="AD554" s="13">
        <v>116</v>
      </c>
      <c r="AE554" s="5">
        <f t="shared" si="9"/>
        <v>4.9260723099787089</v>
      </c>
    </row>
    <row r="555" spans="1:31" ht="25.5" customHeight="1" x14ac:dyDescent="0.2">
      <c r="A555" s="59"/>
      <c r="B555" s="21" t="s">
        <v>705</v>
      </c>
      <c r="C555" s="22">
        <v>90</v>
      </c>
      <c r="D555" s="22">
        <v>430</v>
      </c>
      <c r="E555" s="22">
        <v>725</v>
      </c>
      <c r="F555" s="3">
        <v>2.79</v>
      </c>
      <c r="G555" s="13">
        <v>1.6860465116279071</v>
      </c>
      <c r="H555" s="22">
        <v>1</v>
      </c>
      <c r="I555" s="22">
        <v>2</v>
      </c>
      <c r="J555" s="22">
        <v>1</v>
      </c>
      <c r="K555" s="24">
        <v>0.39650717277020403</v>
      </c>
      <c r="L555" s="13">
        <v>34.799999999999997</v>
      </c>
      <c r="M555" s="13">
        <v>27.911111111111111</v>
      </c>
      <c r="N555" s="13">
        <v>393</v>
      </c>
      <c r="O555" s="13">
        <v>1.256</v>
      </c>
      <c r="P555" s="13">
        <v>1.1593132730293521</v>
      </c>
      <c r="Q555" s="13">
        <v>372</v>
      </c>
      <c r="R555" s="13">
        <v>2.9074074074074074</v>
      </c>
      <c r="S555" s="13">
        <v>393</v>
      </c>
      <c r="U555" s="6"/>
      <c r="V555" s="24">
        <v>3.7209302325581395E-2</v>
      </c>
      <c r="W555" s="3">
        <v>4.7777777777777777</v>
      </c>
      <c r="X555" s="6"/>
      <c r="Y555" s="5">
        <v>32.833652618135382</v>
      </c>
      <c r="Z555" s="5">
        <v>12.392659125486178</v>
      </c>
      <c r="AA555" s="5">
        <v>13.426206896551726</v>
      </c>
      <c r="AB555" s="5">
        <v>315.20306513409969</v>
      </c>
      <c r="AD555" s="13">
        <v>114</v>
      </c>
      <c r="AE555" s="5">
        <f t="shared" si="9"/>
        <v>6.0137471703089513</v>
      </c>
    </row>
    <row r="556" spans="1:31" ht="25.5" customHeight="1" x14ac:dyDescent="0.2">
      <c r="A556" s="59"/>
      <c r="B556" s="21" t="s">
        <v>706</v>
      </c>
      <c r="C556" s="22">
        <v>90</v>
      </c>
      <c r="D556" s="22">
        <v>430</v>
      </c>
      <c r="E556" s="22">
        <v>725</v>
      </c>
      <c r="F556" s="3">
        <v>2.79</v>
      </c>
      <c r="G556" s="13">
        <v>1.6860465116279071</v>
      </c>
      <c r="H556" s="22">
        <v>1</v>
      </c>
      <c r="I556" s="22">
        <v>2</v>
      </c>
      <c r="J556" s="22">
        <v>1</v>
      </c>
      <c r="K556" s="24">
        <v>0.19560171925849551</v>
      </c>
      <c r="L556" s="13">
        <v>60.9</v>
      </c>
      <c r="M556" s="13">
        <v>27.911111111111111</v>
      </c>
      <c r="N556" s="13">
        <v>393</v>
      </c>
      <c r="O556" s="13">
        <v>1.256</v>
      </c>
      <c r="P556" s="13">
        <v>1.1593132730293521</v>
      </c>
      <c r="Q556" s="13">
        <v>372</v>
      </c>
      <c r="R556" s="13">
        <v>2.9074074074074074</v>
      </c>
      <c r="S556" s="13">
        <v>393</v>
      </c>
      <c r="U556" s="6"/>
      <c r="V556" s="24">
        <v>3.7209302325581395E-2</v>
      </c>
      <c r="W556" s="3">
        <v>4.7777777777777777</v>
      </c>
      <c r="X556" s="6"/>
      <c r="Y556" s="5">
        <v>18.762087210363074</v>
      </c>
      <c r="Z556" s="5">
        <v>7.0815195002778157</v>
      </c>
      <c r="AA556" s="5">
        <v>7.6721182266009862</v>
      </c>
      <c r="AB556" s="5">
        <v>180.11603721948552</v>
      </c>
      <c r="AD556" s="13">
        <v>122</v>
      </c>
      <c r="AE556" s="5">
        <f t="shared" si="9"/>
        <v>4.864980687095783</v>
      </c>
    </row>
    <row r="557" spans="1:31" ht="25.5" customHeight="1" x14ac:dyDescent="0.2">
      <c r="A557" s="56" t="s">
        <v>707</v>
      </c>
      <c r="B557" s="21" t="s">
        <v>708</v>
      </c>
      <c r="C557" s="22">
        <v>150</v>
      </c>
      <c r="D557" s="3">
        <v>1300</v>
      </c>
      <c r="E557" s="22">
        <v>1750</v>
      </c>
      <c r="F557" s="13">
        <v>1.35</v>
      </c>
      <c r="G557" s="13">
        <v>1.3461538461538463</v>
      </c>
      <c r="H557" s="22">
        <v>1</v>
      </c>
      <c r="I557" s="22">
        <v>3</v>
      </c>
      <c r="J557" s="22">
        <v>1</v>
      </c>
      <c r="K557" s="13">
        <v>5.5741360089186183E-2</v>
      </c>
      <c r="L557" s="13">
        <v>18.399999999999999</v>
      </c>
      <c r="M557" s="13" t="s">
        <v>26</v>
      </c>
      <c r="N557" s="13" t="s">
        <v>26</v>
      </c>
      <c r="O557" s="13" t="s">
        <v>26</v>
      </c>
      <c r="P557" s="13">
        <v>0.18</v>
      </c>
      <c r="Q557" s="13">
        <v>530</v>
      </c>
      <c r="R557" s="13">
        <v>0.20138414446088421</v>
      </c>
      <c r="S557" s="13">
        <v>530</v>
      </c>
      <c r="U557" s="35"/>
      <c r="V557" s="24">
        <v>0</v>
      </c>
      <c r="W557" s="3">
        <v>8.6666666666666661</v>
      </c>
      <c r="X557" s="3"/>
      <c r="Y557" s="5">
        <v>5.8007389437102521</v>
      </c>
      <c r="Z557" s="5">
        <v>5.1847826086956523</v>
      </c>
      <c r="AA557" s="5">
        <v>0</v>
      </c>
      <c r="AB557" s="5">
        <v>0</v>
      </c>
      <c r="AD557" s="24">
        <v>162</v>
      </c>
      <c r="AE557" s="5">
        <f t="shared" si="9"/>
        <v>2.3324502696424267</v>
      </c>
    </row>
    <row r="558" spans="1:31" ht="25.5" customHeight="1" x14ac:dyDescent="0.2">
      <c r="A558" s="54"/>
      <c r="B558" s="21" t="s">
        <v>709</v>
      </c>
      <c r="C558" s="22">
        <v>230</v>
      </c>
      <c r="D558" s="3">
        <v>1300</v>
      </c>
      <c r="E558" s="22">
        <v>1750</v>
      </c>
      <c r="F558" s="13">
        <v>1.35</v>
      </c>
      <c r="G558" s="13">
        <v>1.3461538461538463</v>
      </c>
      <c r="H558" s="22">
        <v>1</v>
      </c>
      <c r="I558" s="22">
        <v>3</v>
      </c>
      <c r="J558" s="22">
        <v>1</v>
      </c>
      <c r="K558" s="13">
        <v>4.800691299547135E-2</v>
      </c>
      <c r="L558" s="13">
        <v>20.9</v>
      </c>
      <c r="M558" s="13" t="s">
        <v>26</v>
      </c>
      <c r="N558" s="13" t="s">
        <v>26</v>
      </c>
      <c r="O558" s="13" t="s">
        <v>26</v>
      </c>
      <c r="P558" s="13">
        <v>0.12</v>
      </c>
      <c r="Q558" s="13">
        <v>300</v>
      </c>
      <c r="R558" s="13">
        <v>0.13133748551796795</v>
      </c>
      <c r="S558" s="13">
        <v>300</v>
      </c>
      <c r="U558" s="35"/>
      <c r="V558" s="24">
        <v>0</v>
      </c>
      <c r="W558" s="3">
        <v>5.6521739130434785</v>
      </c>
      <c r="X558" s="3"/>
      <c r="Y558" s="5">
        <v>1.8852270648512146</v>
      </c>
      <c r="Z558" s="5">
        <v>1.7224880382775121</v>
      </c>
      <c r="AA558" s="5">
        <v>0</v>
      </c>
      <c r="AB558" s="5">
        <v>0</v>
      </c>
      <c r="AD558" s="24">
        <v>174</v>
      </c>
      <c r="AE558" s="5">
        <f t="shared" si="9"/>
        <v>1.5330129308708922</v>
      </c>
    </row>
    <row r="559" spans="1:31" ht="25.5" customHeight="1" x14ac:dyDescent="0.2">
      <c r="A559" s="54"/>
      <c r="B559" s="21" t="s">
        <v>710</v>
      </c>
      <c r="C559" s="22">
        <v>150</v>
      </c>
      <c r="D559" s="3">
        <v>1300</v>
      </c>
      <c r="E559" s="22">
        <v>2400</v>
      </c>
      <c r="F559" s="13">
        <v>0.92</v>
      </c>
      <c r="G559" s="13">
        <v>1.8461538461538463</v>
      </c>
      <c r="H559" s="22">
        <v>1</v>
      </c>
      <c r="I559" s="22">
        <v>3</v>
      </c>
      <c r="J559" s="22">
        <v>2</v>
      </c>
      <c r="K559" s="13">
        <v>0</v>
      </c>
      <c r="L559" s="13">
        <v>19.600000000000001</v>
      </c>
      <c r="M559" s="13">
        <v>7.5359999999999996</v>
      </c>
      <c r="N559" s="13">
        <v>388</v>
      </c>
      <c r="O559" s="13" t="s">
        <v>26</v>
      </c>
      <c r="P559" s="13">
        <v>0.17158469945355193</v>
      </c>
      <c r="Q559" s="13">
        <v>351</v>
      </c>
      <c r="R559" s="13">
        <v>0.21458966213045039</v>
      </c>
      <c r="S559" s="13">
        <v>351</v>
      </c>
      <c r="U559" s="35"/>
      <c r="V559" s="24">
        <v>3.0769230769230771E-2</v>
      </c>
      <c r="W559" s="3">
        <v>8.6666666666666661</v>
      </c>
      <c r="X559" s="3"/>
      <c r="Y559" s="5">
        <v>3.8429067044789833</v>
      </c>
      <c r="Z559" s="5">
        <v>3.0727668116426896</v>
      </c>
      <c r="AA559" s="5">
        <v>0</v>
      </c>
      <c r="AB559" s="5">
        <v>149.18204081632652</v>
      </c>
      <c r="AD559" s="24">
        <v>159</v>
      </c>
      <c r="AE559" s="5">
        <f t="shared" si="9"/>
        <v>2.2180706669075545</v>
      </c>
    </row>
    <row r="560" spans="1:31" ht="25.5" customHeight="1" x14ac:dyDescent="0.2">
      <c r="A560" s="54"/>
      <c r="B560" s="21" t="s">
        <v>711</v>
      </c>
      <c r="C560" s="22">
        <v>230</v>
      </c>
      <c r="D560" s="3">
        <v>1300</v>
      </c>
      <c r="E560" s="22">
        <v>2400</v>
      </c>
      <c r="F560" s="13">
        <v>0.92</v>
      </c>
      <c r="G560" s="13">
        <v>1.8461538461538463</v>
      </c>
      <c r="H560" s="22">
        <v>1</v>
      </c>
      <c r="I560" s="22">
        <v>3</v>
      </c>
      <c r="J560" s="22">
        <v>2</v>
      </c>
      <c r="K560" s="13">
        <v>0</v>
      </c>
      <c r="L560" s="13">
        <v>16.2</v>
      </c>
      <c r="M560" s="13">
        <v>4.9147826086956519</v>
      </c>
      <c r="N560" s="13">
        <v>305</v>
      </c>
      <c r="O560" s="13" t="s">
        <v>26</v>
      </c>
      <c r="P560" s="13">
        <v>0.11190306486101212</v>
      </c>
      <c r="Q560" s="13">
        <v>351</v>
      </c>
      <c r="R560" s="13">
        <v>0.13994977965029373</v>
      </c>
      <c r="S560" s="13">
        <v>351</v>
      </c>
      <c r="U560" s="35"/>
      <c r="V560" s="24">
        <v>3.0769230769230771E-2</v>
      </c>
      <c r="W560" s="3">
        <v>5.6521739130434785</v>
      </c>
      <c r="X560" s="3"/>
      <c r="Y560" s="5">
        <v>3.0322452257563643</v>
      </c>
      <c r="Z560" s="5">
        <v>2.4245664053219294</v>
      </c>
      <c r="AA560" s="5">
        <v>0</v>
      </c>
      <c r="AB560" s="5">
        <v>92.531400966183568</v>
      </c>
      <c r="AD560" s="24">
        <v>149</v>
      </c>
      <c r="AE560" s="5">
        <f t="shared" si="9"/>
        <v>1.4910715163060031</v>
      </c>
    </row>
    <row r="561" spans="1:31" ht="25.5" customHeight="1" x14ac:dyDescent="0.2">
      <c r="A561" s="54"/>
      <c r="B561" s="21" t="s">
        <v>712</v>
      </c>
      <c r="C561" s="22">
        <v>150</v>
      </c>
      <c r="D561" s="3">
        <v>1300</v>
      </c>
      <c r="E561" s="22">
        <v>2400</v>
      </c>
      <c r="F561" s="13">
        <v>0.92</v>
      </c>
      <c r="G561" s="13">
        <v>1.8461538461538463</v>
      </c>
      <c r="H561" s="22">
        <v>1</v>
      </c>
      <c r="I561" s="22">
        <v>3</v>
      </c>
      <c r="J561" s="22">
        <v>2</v>
      </c>
      <c r="K561" s="13">
        <v>0</v>
      </c>
      <c r="L561" s="13">
        <v>29.4</v>
      </c>
      <c r="M561" s="13">
        <v>7.5359999999999996</v>
      </c>
      <c r="N561" s="13">
        <v>516</v>
      </c>
      <c r="O561" s="13" t="s">
        <v>26</v>
      </c>
      <c r="P561" s="13">
        <v>0.17158469945355193</v>
      </c>
      <c r="Q561" s="13">
        <v>348</v>
      </c>
      <c r="R561" s="13">
        <v>0.21458966213045039</v>
      </c>
      <c r="S561" s="13">
        <v>348</v>
      </c>
      <c r="U561" s="35"/>
      <c r="V561" s="24">
        <v>3.0769230769230771E-2</v>
      </c>
      <c r="W561" s="3">
        <v>8.6666666666666661</v>
      </c>
      <c r="X561" s="3"/>
      <c r="Y561" s="5">
        <v>2.5400408986869638</v>
      </c>
      <c r="Z561" s="5">
        <v>2.0310025649604104</v>
      </c>
      <c r="AA561" s="5">
        <v>0</v>
      </c>
      <c r="AB561" s="5">
        <v>132.26448979591837</v>
      </c>
      <c r="AD561" s="24">
        <v>199</v>
      </c>
      <c r="AE561" s="5">
        <f t="shared" si="9"/>
        <v>2.2666564530907793</v>
      </c>
    </row>
    <row r="562" spans="1:31" ht="25.5" customHeight="1" x14ac:dyDescent="0.2">
      <c r="A562" s="54"/>
      <c r="B562" s="21" t="s">
        <v>713</v>
      </c>
      <c r="C562" s="22">
        <v>230</v>
      </c>
      <c r="D562" s="3">
        <v>1300</v>
      </c>
      <c r="E562" s="22">
        <v>2400</v>
      </c>
      <c r="F562" s="13">
        <v>0.92</v>
      </c>
      <c r="G562" s="13">
        <v>1.8461538461538463</v>
      </c>
      <c r="H562" s="22">
        <v>1</v>
      </c>
      <c r="I562" s="22">
        <v>3</v>
      </c>
      <c r="J562" s="22">
        <v>2</v>
      </c>
      <c r="K562" s="13">
        <v>0</v>
      </c>
      <c r="L562" s="13">
        <v>24.8</v>
      </c>
      <c r="M562" s="13">
        <v>4.9147826086956519</v>
      </c>
      <c r="N562" s="13">
        <v>516</v>
      </c>
      <c r="O562" s="13" t="s">
        <v>26</v>
      </c>
      <c r="P562" s="13">
        <v>0.11190306486101212</v>
      </c>
      <c r="Q562" s="13">
        <v>348</v>
      </c>
      <c r="R562" s="13">
        <v>0.13994977965029373</v>
      </c>
      <c r="S562" s="13">
        <v>348</v>
      </c>
      <c r="U562" s="35"/>
      <c r="V562" s="24">
        <v>3.0769230769230771E-2</v>
      </c>
      <c r="W562" s="3">
        <v>5.6521739130434785</v>
      </c>
      <c r="X562" s="3"/>
      <c r="Y562" s="5">
        <v>1.9638114241250895</v>
      </c>
      <c r="Z562" s="5">
        <v>1.5702526843400086</v>
      </c>
      <c r="AA562" s="5">
        <v>0</v>
      </c>
      <c r="AB562" s="5">
        <v>102.25918653576437</v>
      </c>
      <c r="AD562" s="24">
        <v>194</v>
      </c>
      <c r="AE562" s="5">
        <f t="shared" si="9"/>
        <v>1.5690818629254628</v>
      </c>
    </row>
    <row r="563" spans="1:31" ht="25.5" customHeight="1" x14ac:dyDescent="0.2">
      <c r="A563" s="54"/>
      <c r="B563" s="21" t="s">
        <v>714</v>
      </c>
      <c r="C563" s="22">
        <v>150</v>
      </c>
      <c r="D563" s="3">
        <v>1300</v>
      </c>
      <c r="E563" s="22">
        <v>2400</v>
      </c>
      <c r="F563" s="13">
        <v>0.92</v>
      </c>
      <c r="G563" s="13">
        <v>1.8461538461538463</v>
      </c>
      <c r="H563" s="22">
        <v>1</v>
      </c>
      <c r="I563" s="22">
        <v>3</v>
      </c>
      <c r="J563" s="22">
        <v>2</v>
      </c>
      <c r="K563" s="13">
        <v>4.8152160828217168E-2</v>
      </c>
      <c r="L563" s="13">
        <v>21.3</v>
      </c>
      <c r="M563" s="13">
        <v>7.5359999999999996</v>
      </c>
      <c r="N563" s="13">
        <v>305</v>
      </c>
      <c r="O563" s="13" t="s">
        <v>26</v>
      </c>
      <c r="P563" s="13">
        <v>0.17158469945355193</v>
      </c>
      <c r="Q563" s="13">
        <v>344</v>
      </c>
      <c r="R563" s="13">
        <v>0.21458966213045039</v>
      </c>
      <c r="S563" s="13">
        <v>344</v>
      </c>
      <c r="U563" s="35"/>
      <c r="V563" s="24">
        <v>3.0769230769230771E-2</v>
      </c>
      <c r="W563" s="3">
        <v>8.6666666666666661</v>
      </c>
      <c r="X563" s="3"/>
      <c r="Y563" s="5">
        <v>3.4656734165668981</v>
      </c>
      <c r="Z563" s="5">
        <v>2.7711331742733267</v>
      </c>
      <c r="AA563" s="5">
        <v>0</v>
      </c>
      <c r="AB563" s="5">
        <v>107.90985915492958</v>
      </c>
      <c r="AD563" s="24">
        <v>231</v>
      </c>
      <c r="AE563" s="5">
        <f t="shared" si="9"/>
        <v>3.0912097035711801</v>
      </c>
    </row>
    <row r="564" spans="1:31" ht="25.5" customHeight="1" x14ac:dyDescent="0.2">
      <c r="A564" s="54"/>
      <c r="B564" s="21" t="s">
        <v>715</v>
      </c>
      <c r="C564" s="22">
        <v>230</v>
      </c>
      <c r="D564" s="3">
        <v>1300</v>
      </c>
      <c r="E564" s="22">
        <v>2400</v>
      </c>
      <c r="F564" s="13">
        <v>0.92</v>
      </c>
      <c r="G564" s="13">
        <v>1.8461538461538463</v>
      </c>
      <c r="H564" s="22">
        <v>1</v>
      </c>
      <c r="I564" s="22">
        <v>3</v>
      </c>
      <c r="J564" s="22">
        <v>2</v>
      </c>
      <c r="K564" s="13">
        <v>4.4593088071348944E-2</v>
      </c>
      <c r="L564" s="13">
        <v>22.5</v>
      </c>
      <c r="M564" s="13">
        <v>4.9147826086956519</v>
      </c>
      <c r="N564" s="13">
        <v>305</v>
      </c>
      <c r="O564" s="13" t="s">
        <v>26</v>
      </c>
      <c r="P564" s="13">
        <v>0.11190306486101212</v>
      </c>
      <c r="Q564" s="13">
        <v>344</v>
      </c>
      <c r="R564" s="13">
        <v>0.13994977965029373</v>
      </c>
      <c r="S564" s="13">
        <v>344</v>
      </c>
      <c r="U564" s="35"/>
      <c r="V564" s="24">
        <v>3.0769230769230771E-2</v>
      </c>
      <c r="W564" s="3">
        <v>5.6521739130434785</v>
      </c>
      <c r="X564" s="3"/>
      <c r="Y564" s="5">
        <v>2.1396766310978239</v>
      </c>
      <c r="Z564" s="5">
        <v>1.7108735249861409</v>
      </c>
      <c r="AA564" s="5">
        <v>0</v>
      </c>
      <c r="AB564" s="5">
        <v>66.622608695652175</v>
      </c>
      <c r="AD564" s="24">
        <v>271</v>
      </c>
      <c r="AE564" s="5">
        <f t="shared" si="9"/>
        <v>2.3011649194004002</v>
      </c>
    </row>
    <row r="565" spans="1:31" ht="25.5" customHeight="1" x14ac:dyDescent="0.2">
      <c r="A565" s="54"/>
      <c r="B565" s="21" t="s">
        <v>716</v>
      </c>
      <c r="C565" s="22">
        <v>230</v>
      </c>
      <c r="D565" s="3">
        <v>1300</v>
      </c>
      <c r="E565" s="22">
        <v>2400</v>
      </c>
      <c r="F565" s="13">
        <v>0.92</v>
      </c>
      <c r="G565" s="13">
        <v>1.8461538461538463</v>
      </c>
      <c r="H565" s="22">
        <v>1</v>
      </c>
      <c r="I565" s="22">
        <v>3</v>
      </c>
      <c r="J565" s="22">
        <v>2</v>
      </c>
      <c r="K565" s="13">
        <v>5.1986760704940474E-2</v>
      </c>
      <c r="L565" s="13">
        <v>19.3</v>
      </c>
      <c r="M565" s="13">
        <v>4.9147826086956519</v>
      </c>
      <c r="N565" s="13">
        <v>301</v>
      </c>
      <c r="O565" s="13" t="s">
        <v>26</v>
      </c>
      <c r="P565" s="13">
        <v>0.11190306486101212</v>
      </c>
      <c r="Q565" s="13">
        <v>490</v>
      </c>
      <c r="R565" s="13">
        <v>0.13994977965029373</v>
      </c>
      <c r="S565" s="13">
        <v>490</v>
      </c>
      <c r="U565" s="35"/>
      <c r="V565" s="24">
        <v>3.0769230769230771E-2</v>
      </c>
      <c r="W565" s="3">
        <v>5.6521739130434785</v>
      </c>
      <c r="X565" s="3"/>
      <c r="Y565" s="5">
        <v>3.5531291206551261</v>
      </c>
      <c r="Z565" s="5">
        <v>2.8410622684920175</v>
      </c>
      <c r="AA565" s="5">
        <v>0</v>
      </c>
      <c r="AB565" s="5">
        <v>76.65023653976121</v>
      </c>
      <c r="AD565" s="24">
        <v>308</v>
      </c>
      <c r="AE565" s="5">
        <f t="shared" si="9"/>
        <v>2.8238509829273002</v>
      </c>
    </row>
    <row r="566" spans="1:31" ht="25.5" customHeight="1" x14ac:dyDescent="0.2">
      <c r="A566" s="53" t="s">
        <v>717</v>
      </c>
      <c r="B566" s="36" t="s">
        <v>718</v>
      </c>
      <c r="C566" s="22">
        <v>102</v>
      </c>
      <c r="D566" s="22">
        <v>2388</v>
      </c>
      <c r="E566" s="22">
        <v>4384</v>
      </c>
      <c r="F566" s="13">
        <v>1.84</v>
      </c>
      <c r="G566" s="13">
        <v>1.8358458961474038</v>
      </c>
      <c r="H566" s="22">
        <v>2</v>
      </c>
      <c r="I566" s="22">
        <v>2</v>
      </c>
      <c r="J566" s="22">
        <v>1</v>
      </c>
      <c r="K566" s="13">
        <v>7.0000000000000007E-2</v>
      </c>
      <c r="L566" s="13">
        <v>35.450000000000003</v>
      </c>
      <c r="M566" s="13">
        <v>3.513981027962056</v>
      </c>
      <c r="N566" s="13">
        <v>444</v>
      </c>
      <c r="O566" s="13">
        <v>0.37636550486336262</v>
      </c>
      <c r="P566" s="13">
        <v>0.81664505933952525</v>
      </c>
      <c r="Q566" s="13">
        <v>507</v>
      </c>
      <c r="R566" s="13">
        <v>0.81664505933952525</v>
      </c>
      <c r="S566" s="13">
        <v>507</v>
      </c>
      <c r="U566" s="6"/>
      <c r="V566" s="24">
        <v>0.20111474101598545</v>
      </c>
      <c r="W566" s="3">
        <v>23.411764705882351</v>
      </c>
      <c r="X566" s="6"/>
      <c r="Y566" s="5">
        <v>11.6795217231351</v>
      </c>
      <c r="Z566" s="5">
        <v>11.6795217231351</v>
      </c>
      <c r="AA566" s="5">
        <v>4.6713913156524551</v>
      </c>
      <c r="AB566" s="5">
        <v>44.011497219045211</v>
      </c>
      <c r="AD566" s="24">
        <v>999.74979080000003</v>
      </c>
      <c r="AE566" s="5">
        <f t="shared" si="9"/>
        <v>8.3021315218742195</v>
      </c>
    </row>
    <row r="567" spans="1:31" ht="25.5" customHeight="1" x14ac:dyDescent="0.2">
      <c r="A567" s="54"/>
      <c r="B567" s="36" t="s">
        <v>719</v>
      </c>
      <c r="C567" s="22">
        <v>114</v>
      </c>
      <c r="D567" s="22">
        <v>2412</v>
      </c>
      <c r="E567" s="22">
        <v>3847</v>
      </c>
      <c r="F567" s="13">
        <v>1.59</v>
      </c>
      <c r="G567" s="13">
        <v>1.5949419568822554</v>
      </c>
      <c r="H567" s="22">
        <v>1</v>
      </c>
      <c r="I567" s="22">
        <v>2</v>
      </c>
      <c r="J567" s="22">
        <v>1</v>
      </c>
      <c r="K567" s="13">
        <v>0.06</v>
      </c>
      <c r="L567" s="13">
        <v>34.68</v>
      </c>
      <c r="M567" s="13">
        <v>5.6156154499151096</v>
      </c>
      <c r="N567" s="13">
        <v>482</v>
      </c>
      <c r="O567" s="13">
        <v>1.6771375128998967</v>
      </c>
      <c r="P567" s="13">
        <v>0.5444300395596835</v>
      </c>
      <c r="Q567" s="13">
        <v>507</v>
      </c>
      <c r="R567" s="13">
        <v>0.5444300395596835</v>
      </c>
      <c r="S567" s="13">
        <v>507</v>
      </c>
      <c r="U567" s="6"/>
      <c r="V567" s="24">
        <v>0.11567164179104478</v>
      </c>
      <c r="W567" s="3">
        <v>21.157894736842106</v>
      </c>
      <c r="X567" s="6"/>
      <c r="Y567" s="5">
        <v>7.9592280869884515</v>
      </c>
      <c r="Z567" s="5">
        <v>7.9592280869884515</v>
      </c>
      <c r="AA567" s="5">
        <v>21.278561294000998</v>
      </c>
      <c r="AB567" s="5">
        <v>78.048634569177707</v>
      </c>
      <c r="AD567" s="24">
        <v>917.64353136</v>
      </c>
      <c r="AE567" s="5">
        <f t="shared" si="9"/>
        <v>6.8248515536508956</v>
      </c>
    </row>
    <row r="568" spans="1:31" ht="25.5" customHeight="1" x14ac:dyDescent="0.2">
      <c r="A568" s="53" t="s">
        <v>720</v>
      </c>
      <c r="B568" s="36" t="s">
        <v>721</v>
      </c>
      <c r="C568" s="22">
        <v>150</v>
      </c>
      <c r="D568" s="22">
        <v>2300</v>
      </c>
      <c r="E568" s="22">
        <v>6400</v>
      </c>
      <c r="F568" s="13">
        <v>2.78</v>
      </c>
      <c r="G568" s="13">
        <v>2.7826086956521738</v>
      </c>
      <c r="H568" s="22">
        <v>1</v>
      </c>
      <c r="I568" s="22">
        <v>3</v>
      </c>
      <c r="J568" s="22">
        <v>1</v>
      </c>
      <c r="K568" s="13">
        <v>0</v>
      </c>
      <c r="L568" s="13">
        <v>47.4</v>
      </c>
      <c r="M568" s="13">
        <v>8.8423473504273495</v>
      </c>
      <c r="N568" s="13">
        <v>465</v>
      </c>
      <c r="O568" s="13">
        <v>0.84408433333333321</v>
      </c>
      <c r="P568" s="13">
        <v>0.49716666666666665</v>
      </c>
      <c r="Q568" s="13">
        <v>484.4</v>
      </c>
      <c r="R568" s="13">
        <v>0.36699318840579709</v>
      </c>
      <c r="S568" s="13">
        <v>441</v>
      </c>
      <c r="U568" s="6"/>
      <c r="V568" s="24">
        <v>0.16956521739130434</v>
      </c>
      <c r="W568" s="3">
        <v>15.333333333333334</v>
      </c>
      <c r="X568" s="6"/>
      <c r="Y568" s="5">
        <v>3.4144302971931753</v>
      </c>
      <c r="Z568" s="5">
        <v>5.08074964838256</v>
      </c>
      <c r="AA568" s="5">
        <v>8.6260432714486637</v>
      </c>
      <c r="AB568" s="5">
        <v>86.744546792167043</v>
      </c>
      <c r="AD568" s="24">
        <v>459.55</v>
      </c>
      <c r="AE568" s="5">
        <f t="shared" si="9"/>
        <v>2.3300508862892597</v>
      </c>
    </row>
    <row r="569" spans="1:31" ht="25.5" customHeight="1" x14ac:dyDescent="0.2">
      <c r="A569" s="54"/>
      <c r="B569" s="36" t="s">
        <v>722</v>
      </c>
      <c r="C569" s="22">
        <v>150</v>
      </c>
      <c r="D569" s="22">
        <v>2300</v>
      </c>
      <c r="E569" s="22">
        <v>6400</v>
      </c>
      <c r="F569" s="13">
        <v>2.78</v>
      </c>
      <c r="G569" s="13">
        <v>2.7826086956521738</v>
      </c>
      <c r="H569" s="22">
        <v>1</v>
      </c>
      <c r="I569" s="22">
        <v>3</v>
      </c>
      <c r="J569" s="22">
        <v>1</v>
      </c>
      <c r="K569" s="13">
        <v>0</v>
      </c>
      <c r="L569" s="13">
        <v>47.4</v>
      </c>
      <c r="M569" s="13">
        <v>3.78</v>
      </c>
      <c r="N569" s="13">
        <v>491</v>
      </c>
      <c r="O569" s="13">
        <v>1.0129011999999999</v>
      </c>
      <c r="P569" s="13">
        <v>0.49716666666666665</v>
      </c>
      <c r="Q569" s="13">
        <v>484.4</v>
      </c>
      <c r="R569" s="13">
        <v>0.36699318840579709</v>
      </c>
      <c r="S569" s="13">
        <v>441</v>
      </c>
      <c r="U569" s="6"/>
      <c r="V569" s="24">
        <v>0.11739130434782609</v>
      </c>
      <c r="W569" s="3">
        <v>15.333333333333334</v>
      </c>
      <c r="X569" s="6"/>
      <c r="Y569" s="5">
        <v>3.4144302971931753</v>
      </c>
      <c r="Z569" s="5">
        <v>5.08074964838256</v>
      </c>
      <c r="AA569" s="5">
        <v>10.351251925738396</v>
      </c>
      <c r="AB569" s="5">
        <v>39.155696202531644</v>
      </c>
      <c r="AD569" s="24">
        <v>848.16</v>
      </c>
      <c r="AE569" s="5">
        <f t="shared" si="9"/>
        <v>4.3004155363183516</v>
      </c>
    </row>
    <row r="570" spans="1:31" ht="25.5" customHeight="1" x14ac:dyDescent="0.2">
      <c r="A570" s="55" t="s">
        <v>723</v>
      </c>
      <c r="B570" s="21" t="s">
        <v>724</v>
      </c>
      <c r="C570" s="22">
        <v>100</v>
      </c>
      <c r="D570" s="22">
        <v>1500</v>
      </c>
      <c r="E570" s="22">
        <v>2005</v>
      </c>
      <c r="F570" s="13">
        <v>1.3366666666666667</v>
      </c>
      <c r="G570" s="13">
        <v>1.3366666666666667</v>
      </c>
      <c r="H570" s="22">
        <v>1</v>
      </c>
      <c r="I570" s="22">
        <v>1</v>
      </c>
      <c r="J570" s="22">
        <v>1</v>
      </c>
      <c r="K570" s="13">
        <v>0</v>
      </c>
      <c r="L570" s="13">
        <v>21.9</v>
      </c>
      <c r="M570" s="13" t="s">
        <v>26</v>
      </c>
      <c r="N570" s="13" t="s">
        <v>26</v>
      </c>
      <c r="O570" s="24" t="s">
        <v>26</v>
      </c>
      <c r="P570" s="13">
        <v>0.18941730249995084</v>
      </c>
      <c r="Q570" s="13">
        <v>415</v>
      </c>
      <c r="R570" s="13">
        <v>3</v>
      </c>
      <c r="S570" s="13">
        <v>452</v>
      </c>
      <c r="U570" s="35" t="s">
        <v>725</v>
      </c>
      <c r="V570" s="24">
        <v>0</v>
      </c>
      <c r="W570" s="3">
        <v>15</v>
      </c>
      <c r="X570" s="6"/>
      <c r="Y570" s="5">
        <v>61.917808219178085</v>
      </c>
      <c r="Z570" s="5">
        <v>3.5894146364145936</v>
      </c>
      <c r="AA570" s="5">
        <v>0</v>
      </c>
      <c r="AB570" s="5">
        <v>0</v>
      </c>
      <c r="AD570" s="24">
        <v>341</v>
      </c>
      <c r="AE570" s="5">
        <f t="shared" si="9"/>
        <v>5.8503515491034745</v>
      </c>
    </row>
    <row r="571" spans="1:31" ht="25.5" customHeight="1" x14ac:dyDescent="0.2">
      <c r="A571" s="54"/>
      <c r="B571" s="21" t="s">
        <v>726</v>
      </c>
      <c r="C571" s="22">
        <v>140</v>
      </c>
      <c r="D571" s="22">
        <v>2100</v>
      </c>
      <c r="E571" s="22">
        <v>2005</v>
      </c>
      <c r="F571" s="13">
        <v>0.95476190476190481</v>
      </c>
      <c r="G571" s="13">
        <v>0.95476190476190481</v>
      </c>
      <c r="H571" s="22">
        <v>1</v>
      </c>
      <c r="I571" s="22">
        <v>1</v>
      </c>
      <c r="J571" s="22">
        <v>1</v>
      </c>
      <c r="K571" s="13">
        <v>0</v>
      </c>
      <c r="L571" s="13">
        <v>17.600000000000001</v>
      </c>
      <c r="M571" s="13" t="s">
        <v>26</v>
      </c>
      <c r="N571" s="13" t="s">
        <v>26</v>
      </c>
      <c r="O571" s="24" t="s">
        <v>26</v>
      </c>
      <c r="P571" s="13">
        <v>0.22549678869041764</v>
      </c>
      <c r="Q571" s="13">
        <v>415</v>
      </c>
      <c r="R571" s="13">
        <v>3</v>
      </c>
      <c r="S571" s="13">
        <v>452</v>
      </c>
      <c r="U571" s="35" t="s">
        <v>725</v>
      </c>
      <c r="V571" s="24">
        <v>0</v>
      </c>
      <c r="W571" s="3">
        <v>15</v>
      </c>
      <c r="X571" s="6"/>
      <c r="Y571" s="5">
        <v>77.045454545454533</v>
      </c>
      <c r="Z571" s="5">
        <v>5.3171117787797337</v>
      </c>
      <c r="AA571" s="5">
        <v>0</v>
      </c>
      <c r="AB571" s="5">
        <v>0</v>
      </c>
      <c r="AD571" s="24">
        <v>1020</v>
      </c>
      <c r="AE571" s="5">
        <f t="shared" si="9"/>
        <v>9.9594970809745558</v>
      </c>
    </row>
    <row r="572" spans="1:31" ht="25.5" customHeight="1" x14ac:dyDescent="0.2">
      <c r="A572" s="3" t="s">
        <v>218</v>
      </c>
      <c r="B572" s="21" t="s">
        <v>727</v>
      </c>
      <c r="C572" s="22">
        <v>60</v>
      </c>
      <c r="D572" s="22">
        <v>1000</v>
      </c>
      <c r="E572" s="22">
        <v>3000</v>
      </c>
      <c r="F572" s="3">
        <v>3</v>
      </c>
      <c r="G572" s="13">
        <v>3</v>
      </c>
      <c r="H572" s="22">
        <v>3</v>
      </c>
      <c r="I572" s="22">
        <v>3</v>
      </c>
      <c r="J572" s="22">
        <v>1</v>
      </c>
      <c r="K572" s="3">
        <v>9.0596836200920156E-2</v>
      </c>
      <c r="L572" s="13">
        <v>12.3</v>
      </c>
      <c r="M572" s="13">
        <v>0.59809523809523812</v>
      </c>
      <c r="N572" s="13">
        <v>365</v>
      </c>
      <c r="O572" s="13">
        <v>5.9809523809523812E-2</v>
      </c>
      <c r="P572" s="13">
        <v>0.41866666666666669</v>
      </c>
      <c r="Q572" s="13"/>
      <c r="R572" s="13">
        <v>0.41866666666666669</v>
      </c>
      <c r="S572" s="13"/>
      <c r="U572" s="35" t="s">
        <v>653</v>
      </c>
      <c r="V572" s="24">
        <v>0.2441860465116279</v>
      </c>
      <c r="W572" s="3">
        <v>16.666666666666668</v>
      </c>
      <c r="X572" s="3"/>
      <c r="Y572" s="5">
        <v>0</v>
      </c>
      <c r="Z572" s="5">
        <v>0</v>
      </c>
      <c r="AA572" s="5">
        <v>2.1978784359272163</v>
      </c>
      <c r="AB572" s="5">
        <v>17.748354626403405</v>
      </c>
      <c r="AD572" s="24">
        <v>136</v>
      </c>
      <c r="AE572" s="5">
        <f t="shared" si="9"/>
        <v>7.7835192436145597</v>
      </c>
    </row>
    <row r="573" spans="1:31" ht="25.5" customHeight="1" x14ac:dyDescent="0.2">
      <c r="A573" s="3" t="s">
        <v>541</v>
      </c>
      <c r="B573" s="34" t="s">
        <v>728</v>
      </c>
      <c r="C573" s="3">
        <v>120</v>
      </c>
      <c r="D573" s="3">
        <v>1500</v>
      </c>
      <c r="E573" s="3">
        <v>750</v>
      </c>
      <c r="F573" s="3">
        <v>0.5</v>
      </c>
      <c r="G573" s="3">
        <v>0.5</v>
      </c>
      <c r="H573" s="3">
        <v>1</v>
      </c>
      <c r="I573" s="3">
        <v>1</v>
      </c>
      <c r="J573" s="3">
        <v>1</v>
      </c>
      <c r="K573" s="3">
        <v>0</v>
      </c>
      <c r="L573" s="3">
        <v>19.3</v>
      </c>
      <c r="M573" s="3">
        <v>5.15</v>
      </c>
      <c r="N573" s="3">
        <v>440</v>
      </c>
      <c r="O573" s="3" t="s">
        <v>26</v>
      </c>
      <c r="P573" s="3">
        <v>0.68</v>
      </c>
      <c r="Q573" s="3">
        <v>481</v>
      </c>
      <c r="R573" s="3">
        <v>0.68</v>
      </c>
      <c r="S573" s="3">
        <v>481</v>
      </c>
      <c r="U573" s="35" t="s">
        <v>653</v>
      </c>
      <c r="V573" s="24">
        <v>8.666666666666667E-2</v>
      </c>
      <c r="W573" s="3">
        <v>12.5</v>
      </c>
      <c r="X573" s="6"/>
      <c r="Y573" s="5">
        <v>16.94715025906736</v>
      </c>
      <c r="Z573" s="5">
        <v>16.94715025906736</v>
      </c>
      <c r="AA573" s="5">
        <v>0</v>
      </c>
      <c r="AB573" s="5">
        <v>117.40932642487046</v>
      </c>
      <c r="AD573" s="26">
        <v>799</v>
      </c>
      <c r="AE573" s="5">
        <f t="shared" si="9"/>
        <v>12.168485275474655</v>
      </c>
    </row>
    <row r="574" spans="1:31" ht="25.5" customHeight="1" x14ac:dyDescent="0.2">
      <c r="A574" s="20" t="s">
        <v>729</v>
      </c>
      <c r="B574" s="21" t="s">
        <v>305</v>
      </c>
      <c r="C574" s="22">
        <v>100</v>
      </c>
      <c r="D574" s="22">
        <v>700</v>
      </c>
      <c r="E574" s="22">
        <v>800</v>
      </c>
      <c r="F574" s="13">
        <v>1.1399999999999999</v>
      </c>
      <c r="G574" s="13">
        <v>1</v>
      </c>
      <c r="H574" s="22">
        <v>1</v>
      </c>
      <c r="I574" s="22">
        <v>1</v>
      </c>
      <c r="J574" s="22">
        <v>1</v>
      </c>
      <c r="K574" s="13">
        <v>0.13300000000000001</v>
      </c>
      <c r="L574" s="13">
        <v>50.07</v>
      </c>
      <c r="M574" s="13">
        <v>4.5199999999999996</v>
      </c>
      <c r="N574" s="13">
        <v>409</v>
      </c>
      <c r="O574" s="24">
        <v>0.37699111843077521</v>
      </c>
      <c r="P574" s="27">
        <v>0.28274333882308139</v>
      </c>
      <c r="Q574" s="13">
        <v>315.89999999999998</v>
      </c>
      <c r="R574" s="13">
        <v>0.32</v>
      </c>
      <c r="S574" s="13">
        <v>270</v>
      </c>
      <c r="U574" s="35" t="s">
        <v>225</v>
      </c>
      <c r="V574" s="24">
        <v>0.2857142857142857</v>
      </c>
      <c r="W574" s="3">
        <v>7</v>
      </c>
      <c r="X574" s="6"/>
      <c r="Y574" s="5">
        <v>1.7255841821449971</v>
      </c>
      <c r="Z574" s="5">
        <v>1.7838749896986501</v>
      </c>
      <c r="AA574" s="5">
        <v>2.0329059711665529</v>
      </c>
      <c r="AB574" s="5">
        <v>36.921909326942277</v>
      </c>
      <c r="AD574" s="24">
        <v>330.35</v>
      </c>
      <c r="AE574" s="5">
        <f t="shared" si="9"/>
        <v>8.0320864957263201</v>
      </c>
    </row>
    <row r="575" spans="1:31" ht="25.5" customHeight="1" x14ac:dyDescent="0.2">
      <c r="A575" s="3" t="s">
        <v>730</v>
      </c>
      <c r="B575" s="36" t="s">
        <v>731</v>
      </c>
      <c r="C575" s="22">
        <v>152</v>
      </c>
      <c r="D575" s="22">
        <v>1370</v>
      </c>
      <c r="E575" s="22">
        <v>1220</v>
      </c>
      <c r="F575" s="13">
        <v>0.44</v>
      </c>
      <c r="G575" s="13">
        <v>0.89051094890510951</v>
      </c>
      <c r="H575" s="22">
        <v>1</v>
      </c>
      <c r="I575" s="22">
        <v>1</v>
      </c>
      <c r="J575" s="22">
        <v>2</v>
      </c>
      <c r="K575" s="13">
        <v>0.05</v>
      </c>
      <c r="L575" s="13">
        <v>31.9</v>
      </c>
      <c r="M575" s="13">
        <v>1.363743832236842</v>
      </c>
      <c r="N575" s="13">
        <v>424</v>
      </c>
      <c r="O575" s="13">
        <v>0</v>
      </c>
      <c r="P575" s="13">
        <v>0.28616264020707505</v>
      </c>
      <c r="Q575" s="13">
        <v>424</v>
      </c>
      <c r="R575" s="13">
        <v>0.26448365231259968</v>
      </c>
      <c r="S575" s="13">
        <v>424</v>
      </c>
      <c r="U575" s="41" t="s">
        <v>653</v>
      </c>
      <c r="V575" s="24">
        <v>9.3430656934306563E-2</v>
      </c>
      <c r="W575" s="3">
        <v>9.0131578947368425</v>
      </c>
      <c r="X575" s="6"/>
      <c r="Y575" s="5">
        <v>3.51539399939004</v>
      </c>
      <c r="Z575" s="5">
        <v>3.8035410485203709</v>
      </c>
      <c r="AA575" s="5">
        <v>0</v>
      </c>
      <c r="AB575" s="5">
        <v>18.126250309354891</v>
      </c>
      <c r="AD575" s="24">
        <v>655.15</v>
      </c>
      <c r="AE575" s="5">
        <f t="shared" si="9"/>
        <v>6.7084494244502757</v>
      </c>
    </row>
    <row r="576" spans="1:31" ht="25.5" customHeight="1" x14ac:dyDescent="0.2">
      <c r="A576" s="56" t="s">
        <v>410</v>
      </c>
      <c r="B576" s="52" t="s">
        <v>411</v>
      </c>
      <c r="C576" s="42">
        <v>75</v>
      </c>
      <c r="D576" s="42">
        <v>3075</v>
      </c>
      <c r="E576" s="42">
        <v>2020</v>
      </c>
      <c r="F576" s="42">
        <v>0.66</v>
      </c>
      <c r="G576" s="43">
        <v>0.65691056910569101</v>
      </c>
      <c r="H576" s="42">
        <v>3</v>
      </c>
      <c r="I576" s="42">
        <v>0</v>
      </c>
      <c r="J576" s="42">
        <v>1</v>
      </c>
      <c r="K576" s="42">
        <v>6.9565731572798578E-2</v>
      </c>
      <c r="L576" s="42">
        <v>21.7</v>
      </c>
      <c r="M576" s="42">
        <v>0.37231699939503932</v>
      </c>
      <c r="N576" s="42">
        <v>605</v>
      </c>
      <c r="O576" s="8"/>
      <c r="P576" s="13">
        <v>0.73266666666666669</v>
      </c>
      <c r="Q576" s="13">
        <v>605</v>
      </c>
      <c r="R576" s="42">
        <v>0.78902564102564099</v>
      </c>
      <c r="S576" s="42">
        <v>605</v>
      </c>
      <c r="U576" s="41" t="s">
        <v>412</v>
      </c>
      <c r="V576" s="24">
        <v>0.36390225492971034</v>
      </c>
      <c r="W576" s="3">
        <v>41</v>
      </c>
      <c r="X576" s="8"/>
      <c r="Y576" s="5">
        <v>21.998180314309344</v>
      </c>
      <c r="Z576" s="5">
        <v>20.426881720430107</v>
      </c>
      <c r="AA576" s="5">
        <v>0</v>
      </c>
      <c r="AB576" s="5">
        <v>10.380266572995337</v>
      </c>
      <c r="AD576" s="24">
        <v>1200</v>
      </c>
      <c r="AE576" s="5">
        <f t="shared" si="9"/>
        <v>13.451970208642969</v>
      </c>
    </row>
    <row r="577" spans="1:31" ht="25.5" customHeight="1" x14ac:dyDescent="0.2">
      <c r="A577" s="54"/>
      <c r="B577" s="52" t="s">
        <v>413</v>
      </c>
      <c r="C577" s="42">
        <v>75</v>
      </c>
      <c r="D577" s="42">
        <v>3075</v>
      </c>
      <c r="E577" s="42">
        <v>2020</v>
      </c>
      <c r="F577" s="42">
        <v>0.66</v>
      </c>
      <c r="G577" s="43">
        <v>0.65691056910569101</v>
      </c>
      <c r="H577" s="42">
        <v>3</v>
      </c>
      <c r="I577" s="42">
        <v>0</v>
      </c>
      <c r="J577" s="42">
        <v>1</v>
      </c>
      <c r="K577" s="42">
        <v>7.7404622991108146E-2</v>
      </c>
      <c r="L577" s="42">
        <v>18.8</v>
      </c>
      <c r="M577" s="42">
        <v>0.35370114942528735</v>
      </c>
      <c r="N577" s="42">
        <v>605</v>
      </c>
      <c r="O577" s="8"/>
      <c r="P577" s="13">
        <v>0.73266666666666669</v>
      </c>
      <c r="Q577" s="13">
        <v>605</v>
      </c>
      <c r="R577" s="42">
        <v>0.78902564102564099</v>
      </c>
      <c r="S577" s="42">
        <v>605</v>
      </c>
      <c r="U577" s="41" t="s">
        <v>414</v>
      </c>
      <c r="V577" s="24">
        <v>0.36925875397908142</v>
      </c>
      <c r="W577" s="3">
        <v>41</v>
      </c>
      <c r="X577" s="8"/>
      <c r="Y577" s="5">
        <v>25.391516639388978</v>
      </c>
      <c r="Z577" s="5">
        <v>23.577836879432624</v>
      </c>
      <c r="AA577" s="5">
        <v>0</v>
      </c>
      <c r="AB577" s="5">
        <v>11.382404010760578</v>
      </c>
      <c r="AD577" s="24">
        <v>802</v>
      </c>
      <c r="AE577" s="5">
        <f t="shared" si="9"/>
        <v>9.6589509660431041</v>
      </c>
    </row>
    <row r="578" spans="1:31" ht="25.5" customHeight="1" x14ac:dyDescent="0.2">
      <c r="A578" s="56" t="s">
        <v>441</v>
      </c>
      <c r="B578" s="34" t="s">
        <v>446</v>
      </c>
      <c r="C578" s="22">
        <v>120</v>
      </c>
      <c r="D578" s="22">
        <v>2120</v>
      </c>
      <c r="E578" s="22">
        <v>1000</v>
      </c>
      <c r="F578" s="38">
        <v>0.47169811320754718</v>
      </c>
      <c r="G578" s="38">
        <v>0.47169811320754718</v>
      </c>
      <c r="H578" s="22">
        <v>3</v>
      </c>
      <c r="I578" s="3" t="s">
        <v>104</v>
      </c>
      <c r="J578" s="22">
        <v>1</v>
      </c>
      <c r="K578" s="13">
        <v>5.6745113168724277E-2</v>
      </c>
      <c r="L578" s="13">
        <v>36</v>
      </c>
      <c r="M578" s="13">
        <v>4.72</v>
      </c>
      <c r="N578" s="3">
        <v>280.79999999999995</v>
      </c>
      <c r="O578" s="13">
        <v>1.32</v>
      </c>
      <c r="P578" s="3">
        <v>1.32</v>
      </c>
      <c r="Q578" s="3">
        <v>280.79999999999995</v>
      </c>
      <c r="R578" s="3">
        <v>1.32</v>
      </c>
      <c r="S578" s="3">
        <v>280.79999999999995</v>
      </c>
      <c r="U578" s="3" t="s">
        <v>445</v>
      </c>
      <c r="V578" s="24">
        <v>0.1736111111111111</v>
      </c>
      <c r="W578" s="3">
        <v>17.666666666666668</v>
      </c>
      <c r="X578" s="6"/>
      <c r="Y578" s="5">
        <v>10.295999999999999</v>
      </c>
      <c r="Z578" s="5">
        <v>10.295999999999999</v>
      </c>
      <c r="AA578" s="5">
        <v>10.295999999999999</v>
      </c>
      <c r="AB578" s="5">
        <v>36.815999999999995</v>
      </c>
      <c r="AD578" s="24">
        <v>2657</v>
      </c>
      <c r="AE578" s="5">
        <f t="shared" si="9"/>
        <v>20.963514744610244</v>
      </c>
    </row>
    <row r="579" spans="1:31" ht="25.5" customHeight="1" x14ac:dyDescent="0.2">
      <c r="A579" s="54"/>
      <c r="B579" s="34" t="s">
        <v>444</v>
      </c>
      <c r="C579" s="22">
        <v>150</v>
      </c>
      <c r="D579" s="22">
        <v>2120</v>
      </c>
      <c r="E579" s="22">
        <v>1000</v>
      </c>
      <c r="F579" s="38">
        <v>0.47169811320754718</v>
      </c>
      <c r="G579" s="38">
        <v>0.47169811320754718</v>
      </c>
      <c r="H579" s="22">
        <v>3</v>
      </c>
      <c r="I579" s="3" t="s">
        <v>104</v>
      </c>
      <c r="J579" s="22">
        <v>1</v>
      </c>
      <c r="K579" s="13">
        <v>8.2587064676616903E-2</v>
      </c>
      <c r="L579" s="13">
        <v>25</v>
      </c>
      <c r="M579" s="13">
        <v>4.72</v>
      </c>
      <c r="N579" s="3">
        <v>421.2</v>
      </c>
      <c r="O579" s="13">
        <v>1.06</v>
      </c>
      <c r="P579" s="3">
        <v>1.06</v>
      </c>
      <c r="Q579" s="3">
        <v>421.2</v>
      </c>
      <c r="R579" s="3">
        <v>1.06</v>
      </c>
      <c r="S579" s="3">
        <v>421.2</v>
      </c>
      <c r="U579" s="3" t="s">
        <v>445</v>
      </c>
      <c r="V579" s="24">
        <v>0.14925373134328357</v>
      </c>
      <c r="W579" s="3">
        <v>14.133333333333333</v>
      </c>
      <c r="X579" s="6"/>
      <c r="Y579" s="5">
        <v>17.858880000000003</v>
      </c>
      <c r="Z579" s="5">
        <v>17.858880000000003</v>
      </c>
      <c r="AA579" s="5">
        <v>17.858880000000003</v>
      </c>
      <c r="AB579" s="5">
        <v>79.522559999999999</v>
      </c>
      <c r="AD579" s="24">
        <v>2187</v>
      </c>
      <c r="AE579" s="5">
        <f t="shared" si="9"/>
        <v>16.565042708545011</v>
      </c>
    </row>
    <row r="580" spans="1:31" ht="25.5" customHeight="1" x14ac:dyDescent="0.2">
      <c r="A580" s="57" t="s">
        <v>229</v>
      </c>
      <c r="B580" s="36" t="s">
        <v>732</v>
      </c>
      <c r="C580" s="22">
        <v>120</v>
      </c>
      <c r="D580" s="22">
        <v>1720</v>
      </c>
      <c r="E580" s="22">
        <v>1080</v>
      </c>
      <c r="F580" s="13">
        <v>0.8</v>
      </c>
      <c r="G580" s="13">
        <v>0.62790697674418605</v>
      </c>
      <c r="H580" s="22">
        <v>2</v>
      </c>
      <c r="I580" s="22">
        <v>1</v>
      </c>
      <c r="J580" s="22">
        <v>2</v>
      </c>
      <c r="K580" s="13">
        <v>0.04</v>
      </c>
      <c r="L580" s="13">
        <v>82.3</v>
      </c>
      <c r="M580" s="13">
        <v>0.89118008124999992</v>
      </c>
      <c r="N580" s="13">
        <v>560</v>
      </c>
      <c r="O580" s="17">
        <v>0.11882401083333333</v>
      </c>
      <c r="P580" s="17">
        <v>0.79216007222222218</v>
      </c>
      <c r="Q580" s="13">
        <v>560</v>
      </c>
      <c r="R580" s="13">
        <v>0.79216007222222218</v>
      </c>
      <c r="S580" s="13">
        <v>560</v>
      </c>
      <c r="U580" s="6"/>
      <c r="V580" s="24">
        <v>0.25974025974025972</v>
      </c>
      <c r="W580" s="3">
        <v>14.333333333333334</v>
      </c>
      <c r="X580" s="6"/>
      <c r="Y580" s="5">
        <v>5.3901535898474418</v>
      </c>
      <c r="Z580" s="5">
        <v>5.3901535898474418</v>
      </c>
      <c r="AA580" s="5">
        <v>0.80852303847711626</v>
      </c>
      <c r="AB580" s="5">
        <v>6.0639227885783713</v>
      </c>
      <c r="AD580" s="24">
        <v>1516</v>
      </c>
      <c r="AE580" s="5">
        <f t="shared" si="9"/>
        <v>9.7505809444359191</v>
      </c>
    </row>
    <row r="581" spans="1:31" ht="25.5" customHeight="1" x14ac:dyDescent="0.2">
      <c r="A581" s="57"/>
      <c r="B581" s="36" t="s">
        <v>733</v>
      </c>
      <c r="C581" s="22">
        <v>120</v>
      </c>
      <c r="D581" s="22">
        <v>1720</v>
      </c>
      <c r="E581" s="22">
        <v>1080</v>
      </c>
      <c r="F581" s="13">
        <v>0.8</v>
      </c>
      <c r="G581" s="13">
        <v>0.62790697674418605</v>
      </c>
      <c r="H581" s="22">
        <v>2</v>
      </c>
      <c r="I581" s="22">
        <v>1</v>
      </c>
      <c r="J581" s="22">
        <v>2</v>
      </c>
      <c r="K581" s="13">
        <v>0.04</v>
      </c>
      <c r="L581" s="13">
        <v>82.3</v>
      </c>
      <c r="M581" s="13">
        <v>1.1882401083333332</v>
      </c>
      <c r="N581" s="13">
        <v>347</v>
      </c>
      <c r="O581" s="17">
        <v>0.17823601624999999</v>
      </c>
      <c r="P581" s="17">
        <v>1.1882401083333332</v>
      </c>
      <c r="Q581" s="13">
        <v>347</v>
      </c>
      <c r="R581" s="13">
        <v>1.1882401083333332</v>
      </c>
      <c r="S581" s="13">
        <v>347</v>
      </c>
      <c r="U581" s="6"/>
      <c r="V581" s="24">
        <v>0.25974025974025972</v>
      </c>
      <c r="W581" s="3">
        <v>14.333333333333334</v>
      </c>
      <c r="X581" s="6"/>
      <c r="Y581" s="5">
        <v>5.0099552562778449</v>
      </c>
      <c r="Z581" s="5">
        <v>5.0099552562778449</v>
      </c>
      <c r="AA581" s="5">
        <v>0.75149328844167684</v>
      </c>
      <c r="AB581" s="5">
        <v>5.0099552562778449</v>
      </c>
      <c r="AD581" s="24">
        <v>1479</v>
      </c>
      <c r="AE581" s="5">
        <f t="shared" si="9"/>
        <v>9.5126050242880762</v>
      </c>
    </row>
    <row r="582" spans="1:31" ht="25.5" customHeight="1" x14ac:dyDescent="0.2">
      <c r="A582" s="57"/>
      <c r="B582" s="36" t="s">
        <v>734</v>
      </c>
      <c r="C582" s="22">
        <v>120</v>
      </c>
      <c r="D582" s="22">
        <v>1720</v>
      </c>
      <c r="E582" s="22">
        <v>1080</v>
      </c>
      <c r="F582" s="13">
        <v>0.8</v>
      </c>
      <c r="G582" s="13">
        <v>0.62790697674418605</v>
      </c>
      <c r="H582" s="22">
        <v>2</v>
      </c>
      <c r="I582" s="22">
        <v>1</v>
      </c>
      <c r="J582" s="22">
        <v>2</v>
      </c>
      <c r="K582" s="13">
        <v>0.04</v>
      </c>
      <c r="L582" s="13">
        <v>82.3</v>
      </c>
      <c r="M582" s="13">
        <v>0.89118008124999992</v>
      </c>
      <c r="N582" s="13">
        <v>792</v>
      </c>
      <c r="O582" s="17">
        <v>0.13710462788461536</v>
      </c>
      <c r="P582" s="17">
        <v>0.91403085256410255</v>
      </c>
      <c r="Q582" s="13">
        <v>792</v>
      </c>
      <c r="R582" s="13">
        <v>0.91403085256410255</v>
      </c>
      <c r="S582" s="13">
        <v>792</v>
      </c>
      <c r="U582" s="6"/>
      <c r="V582" s="24">
        <v>0.25974025974025972</v>
      </c>
      <c r="W582" s="3">
        <v>14.333333333333334</v>
      </c>
      <c r="X582" s="6"/>
      <c r="Y582" s="5">
        <v>8.7960198691466491</v>
      </c>
      <c r="Z582" s="5">
        <v>8.7960198691466491</v>
      </c>
      <c r="AA582" s="5">
        <v>1.3194029803719973</v>
      </c>
      <c r="AB582" s="5">
        <v>8.5761193724179829</v>
      </c>
      <c r="AD582" s="24">
        <v>2066</v>
      </c>
      <c r="AE582" s="5">
        <f t="shared" si="9"/>
        <v>13.288060838525469</v>
      </c>
    </row>
    <row r="583" spans="1:31" ht="25.5" customHeight="1" x14ac:dyDescent="0.2">
      <c r="A583" s="57"/>
      <c r="B583" s="36" t="s">
        <v>735</v>
      </c>
      <c r="C583" s="22">
        <v>120</v>
      </c>
      <c r="D583" s="22">
        <v>1720</v>
      </c>
      <c r="E583" s="22">
        <v>1080</v>
      </c>
      <c r="F583" s="13">
        <v>0.8</v>
      </c>
      <c r="G583" s="13">
        <v>0.62790697674418605</v>
      </c>
      <c r="H583" s="22">
        <v>2</v>
      </c>
      <c r="I583" s="22">
        <v>1</v>
      </c>
      <c r="J583" s="22">
        <v>2</v>
      </c>
      <c r="K583" s="13">
        <v>0.04</v>
      </c>
      <c r="L583" s="13">
        <v>101.8</v>
      </c>
      <c r="M583" s="13">
        <v>0.89118008124999992</v>
      </c>
      <c r="N583" s="13">
        <v>792</v>
      </c>
      <c r="O583" s="17">
        <v>0.13710462788461536</v>
      </c>
      <c r="P583" s="17">
        <v>0.91403085256410255</v>
      </c>
      <c r="Q583" s="13">
        <v>792</v>
      </c>
      <c r="R583" s="13">
        <v>0.91403085256410255</v>
      </c>
      <c r="S583" s="13">
        <v>792</v>
      </c>
      <c r="U583" s="6"/>
      <c r="V583" s="24">
        <v>0.25974025974025972</v>
      </c>
      <c r="W583" s="3">
        <v>14.333333333333334</v>
      </c>
      <c r="X583" s="6"/>
      <c r="Y583" s="5">
        <v>7.1111241181804443</v>
      </c>
      <c r="Z583" s="5">
        <v>7.1111241181804443</v>
      </c>
      <c r="AA583" s="5">
        <v>1.0666686177270666</v>
      </c>
      <c r="AB583" s="5">
        <v>6.9333460152259327</v>
      </c>
      <c r="AD583" s="24">
        <v>2128</v>
      </c>
      <c r="AE583" s="5">
        <f t="shared" si="9"/>
        <v>12.306340942497517</v>
      </c>
    </row>
    <row r="584" spans="1:31" ht="25.5" customHeight="1" x14ac:dyDescent="0.2">
      <c r="A584" s="57"/>
      <c r="B584" s="36" t="s">
        <v>736</v>
      </c>
      <c r="C584" s="22">
        <v>120</v>
      </c>
      <c r="D584" s="22">
        <v>1720</v>
      </c>
      <c r="E584" s="22">
        <v>1080</v>
      </c>
      <c r="F584" s="13">
        <v>0.8</v>
      </c>
      <c r="G584" s="13">
        <v>0.62790697674418605</v>
      </c>
      <c r="H584" s="22">
        <v>2</v>
      </c>
      <c r="I584" s="22">
        <v>1</v>
      </c>
      <c r="J584" s="22">
        <v>2</v>
      </c>
      <c r="K584" s="13">
        <v>0.03</v>
      </c>
      <c r="L584" s="13">
        <v>101.8</v>
      </c>
      <c r="M584" s="13">
        <v>1.1882401083333332</v>
      </c>
      <c r="N584" s="13">
        <v>792</v>
      </c>
      <c r="O584" s="17">
        <v>0.17823601624999999</v>
      </c>
      <c r="P584" s="17">
        <v>1.1882401083333332</v>
      </c>
      <c r="Q584" s="13">
        <v>792</v>
      </c>
      <c r="R584" s="13">
        <v>1.1882401083333332</v>
      </c>
      <c r="S584" s="13">
        <v>792</v>
      </c>
      <c r="U584" s="6"/>
      <c r="V584" s="24">
        <v>0.25974025974025972</v>
      </c>
      <c r="W584" s="3">
        <v>14.333333333333334</v>
      </c>
      <c r="X584" s="6"/>
      <c r="Y584" s="5">
        <v>9.244461353634577</v>
      </c>
      <c r="Z584" s="5">
        <v>9.244461353634577</v>
      </c>
      <c r="AA584" s="5">
        <v>1.3866692030451866</v>
      </c>
      <c r="AB584" s="5">
        <v>9.244461353634577</v>
      </c>
      <c r="AD584" s="24">
        <v>2483</v>
      </c>
      <c r="AE584" s="5">
        <f t="shared" si="9"/>
        <v>14.359325451231832</v>
      </c>
    </row>
  </sheetData>
  <autoFilter ref="A1:W584" xr:uid="{6CBF3D4B-E041-4830-9CAB-54238DFD0D44}">
    <filterColumn colId="2" showButton="0"/>
    <filterColumn colId="3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117">
    <mergeCell ref="K1:K4"/>
    <mergeCell ref="L1:L3"/>
    <mergeCell ref="M1:S1"/>
    <mergeCell ref="AD1:AD2"/>
    <mergeCell ref="G1:G4"/>
    <mergeCell ref="H1:H4"/>
    <mergeCell ref="I1:I4"/>
    <mergeCell ref="J1:J4"/>
    <mergeCell ref="A1:A4"/>
    <mergeCell ref="B1:B4"/>
    <mergeCell ref="C1:E3"/>
    <mergeCell ref="F1:F4"/>
    <mergeCell ref="R3:S3"/>
    <mergeCell ref="P3:Q3"/>
    <mergeCell ref="Y1:Y4"/>
    <mergeCell ref="Z1:Z4"/>
    <mergeCell ref="AA1:AA4"/>
    <mergeCell ref="AB1:AB4"/>
    <mergeCell ref="M2:O2"/>
    <mergeCell ref="P2:S2"/>
    <mergeCell ref="M3:N3"/>
    <mergeCell ref="U1:U4"/>
    <mergeCell ref="V1:V4"/>
    <mergeCell ref="W1:W4"/>
    <mergeCell ref="A26:A37"/>
    <mergeCell ref="A38:A47"/>
    <mergeCell ref="A48:A51"/>
    <mergeCell ref="A53:A54"/>
    <mergeCell ref="A55:A58"/>
    <mergeCell ref="A59:A63"/>
    <mergeCell ref="A6:A7"/>
    <mergeCell ref="A9:A11"/>
    <mergeCell ref="A14:A17"/>
    <mergeCell ref="A18:A25"/>
    <mergeCell ref="A93:A94"/>
    <mergeCell ref="A96:A101"/>
    <mergeCell ref="A106:A107"/>
    <mergeCell ref="A108:A111"/>
    <mergeCell ref="A113:A114"/>
    <mergeCell ref="A115:A134"/>
    <mergeCell ref="A68:A70"/>
    <mergeCell ref="A71:A73"/>
    <mergeCell ref="A74:A79"/>
    <mergeCell ref="A80:A85"/>
    <mergeCell ref="A86:A89"/>
    <mergeCell ref="A91:A92"/>
    <mergeCell ref="A169:A192"/>
    <mergeCell ref="A193:A195"/>
    <mergeCell ref="A197:A201"/>
    <mergeCell ref="A204:A209"/>
    <mergeCell ref="A210:A212"/>
    <mergeCell ref="A213:A220"/>
    <mergeCell ref="A135:A148"/>
    <mergeCell ref="A150:A155"/>
    <mergeCell ref="A156:A157"/>
    <mergeCell ref="A158:A159"/>
    <mergeCell ref="A160:A161"/>
    <mergeCell ref="A162:A167"/>
    <mergeCell ref="A256:A259"/>
    <mergeCell ref="A260:A261"/>
    <mergeCell ref="A262:A266"/>
    <mergeCell ref="A269:A288"/>
    <mergeCell ref="A291:A292"/>
    <mergeCell ref="A293:A295"/>
    <mergeCell ref="A223:A224"/>
    <mergeCell ref="A227:A230"/>
    <mergeCell ref="A231:A232"/>
    <mergeCell ref="A233:A238"/>
    <mergeCell ref="A240:A243"/>
    <mergeCell ref="A244:A255"/>
    <mergeCell ref="A341:A351"/>
    <mergeCell ref="A352:A358"/>
    <mergeCell ref="A359:A380"/>
    <mergeCell ref="A383:A390"/>
    <mergeCell ref="A392:A393"/>
    <mergeCell ref="A396:A398"/>
    <mergeCell ref="A296:A308"/>
    <mergeCell ref="A309:A312"/>
    <mergeCell ref="A316:A317"/>
    <mergeCell ref="A318:A319"/>
    <mergeCell ref="A320:A327"/>
    <mergeCell ref="A330:A335"/>
    <mergeCell ref="A432:A437"/>
    <mergeCell ref="A438:A440"/>
    <mergeCell ref="A441:A445"/>
    <mergeCell ref="A446:A448"/>
    <mergeCell ref="A449:A450"/>
    <mergeCell ref="A451:A454"/>
    <mergeCell ref="A399:A405"/>
    <mergeCell ref="A406:A407"/>
    <mergeCell ref="A408:A411"/>
    <mergeCell ref="A413:A416"/>
    <mergeCell ref="A417:A421"/>
    <mergeCell ref="A422:A431"/>
    <mergeCell ref="A484:A496"/>
    <mergeCell ref="A499:A500"/>
    <mergeCell ref="A505:A506"/>
    <mergeCell ref="A510:A514"/>
    <mergeCell ref="A515:A516"/>
    <mergeCell ref="A517:A518"/>
    <mergeCell ref="A457:A461"/>
    <mergeCell ref="A464:A465"/>
    <mergeCell ref="A467:A468"/>
    <mergeCell ref="A469:A473"/>
    <mergeCell ref="A475:A477"/>
    <mergeCell ref="A478:A483"/>
    <mergeCell ref="A568:A569"/>
    <mergeCell ref="A570:A571"/>
    <mergeCell ref="A576:A577"/>
    <mergeCell ref="A578:A579"/>
    <mergeCell ref="A580:A584"/>
    <mergeCell ref="A519:A520"/>
    <mergeCell ref="A521:A526"/>
    <mergeCell ref="A527:A545"/>
    <mergeCell ref="A546:A556"/>
    <mergeCell ref="A557:A565"/>
    <mergeCell ref="A566:A567"/>
  </mergeCells>
  <hyperlinks>
    <hyperlink ref="U509" location="Loading Protocole!A220" display="'Loading Protocole'!A220" xr:uid="{50456DE7-EC06-7E49-A5D6-DFC786B36D00}"/>
    <hyperlink ref="U570" location="Loading Protocole!B556" display="F2I-Y-D2I" xr:uid="{8A4310DB-9BD4-714D-9C2F-215FFFA34DD1}"/>
    <hyperlink ref="U571" location="Loading Protocole!B556" display="F2I-Y-D2I" xr:uid="{C77EC7D3-5C52-3146-8A8E-5C6C28C0BB1E}"/>
    <hyperlink ref="U572" location="Loading Protocole!A220" display="'Loading Protocole'!A220" xr:uid="{D594DB6D-AB4B-A44A-B90C-F4E6B846E9D6}"/>
    <hyperlink ref="U573" location="Loading Protocole!A220" display="'Loading Protocole'!A220" xr:uid="{77BC89F4-87D7-0142-99FB-2CC180E7CD1C}"/>
    <hyperlink ref="U574" location="Loading Protocole!B438" display="F1I-Y-D3I" xr:uid="{399906C1-7B65-4D42-8609-4181FEFE3B17}"/>
    <hyperlink ref="U575" location="Loading Protocole!A220" display="'Loading Protocole'!A220" xr:uid="{2757C5D2-C47E-1D45-8EFF-815F69EDAA6E}"/>
    <hyperlink ref="U55" location="Loading Protocole!A20" display="'Loading Protocole'!A20" xr:uid="{81B66FCB-3E25-8941-9EB9-19DE31663EB2}"/>
    <hyperlink ref="U56" location="Loading Protocole!A20" display="'Loading Protocole'!A20" xr:uid="{1AFE0B1C-87B1-7445-8065-03AEEF725A8F}"/>
    <hyperlink ref="U57" location="Loading Protocole!A20" display="'Loading Protocole'!A20" xr:uid="{ACEDD33E-57CB-E941-8E96-269CBB529179}"/>
    <hyperlink ref="U58" location="Loading Protocole!A20" display="'Loading Protocole'!A20" xr:uid="{910D8430-4522-E742-9DA7-C45801D88AAE}"/>
    <hyperlink ref="U59" location="Loading Protocole!A20" display="'Loading Protocole'!A20" xr:uid="{F1FA1408-57B8-724C-8026-56D60849CB30}"/>
    <hyperlink ref="U67" location="Loading Protocole!A240" display="'Loading Protocole'!A240" xr:uid="{596AEF47-16DF-4947-A0D7-523DDF7B24F8}"/>
    <hyperlink ref="U74" location="Loading Protocole!A771" display="'Loading Protocole'!A771" xr:uid="{31515FCC-BFE2-014B-BD2C-DE8C6B177CFF}"/>
    <hyperlink ref="U80" location="Loading Protocole!A380" display="'Loading Protocole'!A380" xr:uid="{608849D4-2A3B-D349-B8F8-6BA36FCBCC2E}"/>
    <hyperlink ref="U112" location="Loading Protocole!A180" display="'Loading Protocole'!A180" xr:uid="{6D82C951-57E3-CA4D-9D91-8DF027D78FF7}"/>
    <hyperlink ref="U156" location="Loading Protocole!B686" display="D2I-N-D2I" xr:uid="{20A5D7E3-3035-464A-A0EA-389DC3F9954D}"/>
    <hyperlink ref="U157" location="Loading Protocole!B686" display="D2I-N-D2I" xr:uid="{F59C2000-46C9-C748-A009-83D6012C3E74}"/>
    <hyperlink ref="U162" location="Loading Protocole!B616" display="F1I-Y-D3I" xr:uid="{6D972AA1-4D21-5F46-8F65-DB37CFD1F492}"/>
    <hyperlink ref="U213" location="Loading Protocole!B745" display="D1I-N-D2I" xr:uid="{1B181228-B19C-F642-A8D2-9975EEF0899A}"/>
    <hyperlink ref="U225" location="Loading Protocole!A120" display="'Loading Protocole'!A120" xr:uid="{EF7E2910-FC05-D64A-8908-677876544592}"/>
    <hyperlink ref="U231" location="Loading Protocole!B520" display="D1I-Y3I" xr:uid="{5CBA3FA5-99E8-184C-94B0-6B938CD3B7EF}"/>
    <hyperlink ref="U232" location="Loading Protocole!B520" display="D1I-Y3I" xr:uid="{A0EB18B6-84C3-1747-821E-12FCF0AC6A0F}"/>
    <hyperlink ref="U244" location="Loading Protocole!B454" display="D3C-N-D2I" xr:uid="{44CDD6CA-0225-C045-A353-123A0056F566}"/>
    <hyperlink ref="U245" location="Loading Protocole!B454" display="D2I-N-D2I" xr:uid="{C11186F3-8620-A047-98F4-F5D7181C411A}"/>
    <hyperlink ref="U267" location="Loading Protocole!A160" display="'Loading Protocole'!A160" xr:uid="{C21D9963-2238-E849-A849-1CCBBEF12D7E}"/>
    <hyperlink ref="U313" location="Loading Protocole!A40" display="'Loading Protocole'!A40" xr:uid="{A04D4D21-208A-9343-916B-49B8D4919B12}"/>
    <hyperlink ref="U329" location="Loading Protocole!B493" display="F1I-Y-D3I" xr:uid="{A772E369-177D-B547-9910-C8F603B298F8}"/>
    <hyperlink ref="U381" location="Loading Protocole!A60" display="'Loading Protocole'!A60" xr:uid="{C7ED9EEA-5184-804D-B08F-7C048E439779}"/>
    <hyperlink ref="U395" location="Loading Protocole!B417" display="F1I-Y-D1I" xr:uid="{3D3A8514-E4F3-814F-9337-A3DE1A6D89D0}"/>
    <hyperlink ref="U451" location="Loading Protocole!B766" display="D3I-N-D3I" xr:uid="{75EEFEE1-0FF0-3F46-8F27-25FAD76CBCB8}"/>
    <hyperlink ref="U508" location="Loading Protocole!B597" display="F1I-N-D3I" xr:uid="{2DACA4A5-D27C-FC4A-A72A-275DC0BFF9F3}"/>
    <hyperlink ref="U68:U70" location="'Loading Protocole'!A220" display="'Loading Protocole'!A220" xr:uid="{F5A8B707-B19C-AC4C-B3F6-4CCB0924945C}"/>
    <hyperlink ref="U319" location="Loading Protocole!A40" display="'Loading Protocole'!A40" xr:uid="{4B7F3108-BE9F-684B-BF1C-C1C15244F7B1}"/>
    <hyperlink ref="U318" location="Loading Protocole!A40" display="'Loading Protocole'!A40" xr:uid="{131FAAFB-27FF-0E4D-BDFD-32292513A42B}"/>
    <hyperlink ref="U576" location="Loading Protocole!A220" display="'Loading Protocole'!A220" xr:uid="{9AA47996-1190-B742-A1C4-50BEC74E32BA}"/>
    <hyperlink ref="U577" location="Loading Protocole!A220" display="'Loading Protocole'!A220" xr:uid="{B2D3BAD8-0DFA-4C47-9DAB-4AEA5C26E32F}"/>
    <hyperlink ref="U317" location="Loading Protocole!A40" display="'Loading Protocole'!A40" xr:uid="{2D568271-8EF0-6C41-9D21-CF5D256C6B35}"/>
  </hyperlinks>
  <pageMargins left="0.7" right="0.7" top="0.75" bottom="0.75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Maintable (M1) (CORRECTED)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tuna</dc:creator>
  <cp:lastModifiedBy>zeynep tuna</cp:lastModifiedBy>
  <dcterms:created xsi:type="dcterms:W3CDTF">2025-09-14T14:13:21Z</dcterms:created>
  <dcterms:modified xsi:type="dcterms:W3CDTF">2025-09-15T08:01:57Z</dcterms:modified>
</cp:coreProperties>
</file>